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50" yWindow="-150" windowWidth="21900" windowHeight="13350" activeTab="6"/>
  </bookViews>
  <sheets>
    <sheet name="光荣榜" sheetId="1" r:id="rId1"/>
    <sheet name="机改" sheetId="15" r:id="rId2"/>
    <sheet name="理科" sheetId="3" r:id="rId3"/>
    <sheet name="文科" sheetId="4" r:id="rId4"/>
    <sheet name="总表" sheetId="5" r:id="rId5"/>
    <sheet name="统计表" sheetId="6" r:id="rId6"/>
    <sheet name="贡献值" sheetId="7" r:id="rId7"/>
    <sheet name="期评" sheetId="10" state="hidden" r:id="rId8"/>
  </sheets>
  <definedNames>
    <definedName name="_xlnm._FilterDatabase" localSheetId="3" hidden="1">文科!#REF!</definedName>
    <definedName name="_xlnm._FilterDatabase" localSheetId="4" hidden="1">总表!$A$2:$T$1070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O4" i="5" l="1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1080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81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Q1059" i="5" l="1"/>
  <c r="T1059" i="5" s="1"/>
  <c r="P1039" i="5"/>
  <c r="Q1004" i="5"/>
  <c r="T1004" i="5" s="1"/>
  <c r="Q988" i="5"/>
  <c r="T988" i="5" s="1"/>
  <c r="P984" i="5"/>
  <c r="Q972" i="5"/>
  <c r="T972" i="5" s="1"/>
  <c r="Q956" i="5"/>
  <c r="T956" i="5" s="1"/>
  <c r="Q940" i="5"/>
  <c r="T940" i="5" s="1"/>
  <c r="P920" i="5"/>
  <c r="P888" i="5"/>
  <c r="P812" i="5"/>
  <c r="P792" i="5"/>
  <c r="P772" i="5"/>
  <c r="P704" i="5"/>
  <c r="P688" i="5"/>
  <c r="P672" i="5"/>
  <c r="P656" i="5"/>
  <c r="P640" i="5"/>
  <c r="P624" i="5"/>
  <c r="P608" i="5"/>
  <c r="P484" i="5"/>
  <c r="P468" i="5"/>
  <c r="P452" i="5"/>
  <c r="P444" i="5"/>
  <c r="P428" i="5"/>
  <c r="P412" i="5"/>
  <c r="P396" i="5"/>
  <c r="P324" i="5"/>
  <c r="P308" i="5"/>
  <c r="P213" i="5"/>
  <c r="P197" i="5"/>
  <c r="P181" i="5"/>
  <c r="P105" i="5"/>
  <c r="P89" i="5"/>
  <c r="P73" i="5"/>
  <c r="Q1070" i="5"/>
  <c r="T1070" i="5" s="1"/>
  <c r="P1070" i="5"/>
  <c r="Q1062" i="5"/>
  <c r="T1062" i="5" s="1"/>
  <c r="P1062" i="5"/>
  <c r="Q1054" i="5"/>
  <c r="T1054" i="5" s="1"/>
  <c r="P1054" i="5"/>
  <c r="Q1046" i="5"/>
  <c r="T1046" i="5" s="1"/>
  <c r="P1046" i="5"/>
  <c r="Q1038" i="5"/>
  <c r="T1038" i="5" s="1"/>
  <c r="P1038" i="5"/>
  <c r="Q1030" i="5"/>
  <c r="T1030" i="5" s="1"/>
  <c r="P1030" i="5"/>
  <c r="P1055" i="5"/>
  <c r="P1022" i="5"/>
  <c r="Q1022" i="5"/>
  <c r="T1022" i="5" s="1"/>
  <c r="P1014" i="5"/>
  <c r="Q1014" i="5"/>
  <c r="T1014" i="5" s="1"/>
  <c r="P1003" i="5"/>
  <c r="Q1003" i="5"/>
  <c r="T1003" i="5" s="1"/>
  <c r="P995" i="5"/>
  <c r="Q995" i="5"/>
  <c r="T995" i="5" s="1"/>
  <c r="P987" i="5"/>
  <c r="Q987" i="5"/>
  <c r="T987" i="5" s="1"/>
  <c r="P979" i="5"/>
  <c r="Q979" i="5"/>
  <c r="T979" i="5" s="1"/>
  <c r="P967" i="5"/>
  <c r="Q967" i="5"/>
  <c r="T967" i="5" s="1"/>
  <c r="P959" i="5"/>
  <c r="Q959" i="5"/>
  <c r="T959" i="5" s="1"/>
  <c r="P951" i="5"/>
  <c r="Q951" i="5"/>
  <c r="T951" i="5" s="1"/>
  <c r="P943" i="5"/>
  <c r="Q943" i="5"/>
  <c r="T943" i="5" s="1"/>
  <c r="P935" i="5"/>
  <c r="P923" i="5"/>
  <c r="P915" i="5"/>
  <c r="P907" i="5"/>
  <c r="P899" i="5"/>
  <c r="P891" i="5"/>
  <c r="P883" i="5"/>
  <c r="P905" i="5"/>
  <c r="P871" i="5"/>
  <c r="P863" i="5"/>
  <c r="P855" i="5"/>
  <c r="P847" i="5"/>
  <c r="P839" i="5"/>
  <c r="P831" i="5"/>
  <c r="P823" i="5"/>
  <c r="P819" i="5"/>
  <c r="P811" i="5"/>
  <c r="P799" i="5"/>
  <c r="P791" i="5"/>
  <c r="P783" i="5"/>
  <c r="P775" i="5"/>
  <c r="P767" i="5"/>
  <c r="P759" i="5"/>
  <c r="P751" i="5"/>
  <c r="P747" i="5"/>
  <c r="P739" i="5"/>
  <c r="P731" i="5"/>
  <c r="P723" i="5"/>
  <c r="P719" i="5"/>
  <c r="P711" i="5"/>
  <c r="P703" i="5"/>
  <c r="P695" i="5"/>
  <c r="P687" i="5"/>
  <c r="P679" i="5"/>
  <c r="P671" i="5"/>
  <c r="P663" i="5"/>
  <c r="P655" i="5"/>
  <c r="P647" i="5"/>
  <c r="P639" i="5"/>
  <c r="P631" i="5"/>
  <c r="P623" i="5"/>
  <c r="P615" i="5"/>
  <c r="P611" i="5"/>
  <c r="P603" i="5"/>
  <c r="P617" i="5"/>
  <c r="P649" i="5"/>
  <c r="P633" i="5"/>
  <c r="P595" i="5"/>
  <c r="P587" i="5"/>
  <c r="P579" i="5"/>
  <c r="P571" i="5"/>
  <c r="P563" i="5"/>
  <c r="P555" i="5"/>
  <c r="P543" i="5"/>
  <c r="P535" i="5"/>
  <c r="P527" i="5"/>
  <c r="P523" i="5"/>
  <c r="P515" i="5"/>
  <c r="P507" i="5"/>
  <c r="P499" i="5"/>
  <c r="P498" i="5"/>
  <c r="P530" i="5"/>
  <c r="P514" i="5"/>
  <c r="P546" i="5"/>
  <c r="P491" i="5"/>
  <c r="P483" i="5"/>
  <c r="P475" i="5"/>
  <c r="P467" i="5"/>
  <c r="P459" i="5"/>
  <c r="P451" i="5"/>
  <c r="P443" i="5"/>
  <c r="P435" i="5"/>
  <c r="P427" i="5"/>
  <c r="P419" i="5"/>
  <c r="P411" i="5"/>
  <c r="P403" i="5"/>
  <c r="P395" i="5"/>
  <c r="P421" i="5"/>
  <c r="P405" i="5"/>
  <c r="P437" i="5"/>
  <c r="P387" i="5"/>
  <c r="P379" i="5"/>
  <c r="P371" i="5"/>
  <c r="P363" i="5"/>
  <c r="P355" i="5"/>
  <c r="P347" i="5"/>
  <c r="P339" i="5"/>
  <c r="P346" i="5"/>
  <c r="P378" i="5"/>
  <c r="P362" i="5"/>
  <c r="P331" i="5"/>
  <c r="P323" i="5"/>
  <c r="P315" i="5"/>
  <c r="P307" i="5"/>
  <c r="P292" i="5"/>
  <c r="P316" i="5"/>
  <c r="P284" i="5"/>
  <c r="P332" i="5"/>
  <c r="P276" i="5"/>
  <c r="P272" i="5"/>
  <c r="P264" i="5"/>
  <c r="P256" i="5"/>
  <c r="P248" i="5"/>
  <c r="P240" i="5"/>
  <c r="P232" i="5"/>
  <c r="P228" i="5"/>
  <c r="P220" i="5"/>
  <c r="P212" i="5"/>
  <c r="P204" i="5"/>
  <c r="P196" i="5"/>
  <c r="P188" i="5"/>
  <c r="P180" i="5"/>
  <c r="P172" i="5"/>
  <c r="P174" i="5"/>
  <c r="P206" i="5"/>
  <c r="P190" i="5"/>
  <c r="P222" i="5"/>
  <c r="P164" i="5"/>
  <c r="P156" i="5"/>
  <c r="P148" i="5"/>
  <c r="P140" i="5"/>
  <c r="P132" i="5"/>
  <c r="P124" i="5"/>
  <c r="P116" i="5"/>
  <c r="P104" i="5"/>
  <c r="P96" i="5"/>
  <c r="P92" i="5"/>
  <c r="P84" i="5"/>
  <c r="P76" i="5"/>
  <c r="P68" i="5"/>
  <c r="P60" i="5"/>
  <c r="P81" i="5"/>
  <c r="P65" i="5"/>
  <c r="P97" i="5"/>
  <c r="Q1041" i="5"/>
  <c r="T1041" i="5" s="1"/>
  <c r="P958" i="5"/>
  <c r="P838" i="5"/>
  <c r="P766" i="5"/>
  <c r="P750" i="5"/>
  <c r="P734" i="5"/>
  <c r="P594" i="5"/>
  <c r="P578" i="5"/>
  <c r="P562" i="5"/>
  <c r="P513" i="5"/>
  <c r="P386" i="5"/>
  <c r="P370" i="5"/>
  <c r="P338" i="5"/>
  <c r="P267" i="5"/>
  <c r="P235" i="5"/>
  <c r="P1066" i="5"/>
  <c r="Q1066" i="5"/>
  <c r="T1066" i="5" s="1"/>
  <c r="P1058" i="5"/>
  <c r="Q1058" i="5"/>
  <c r="T1058" i="5" s="1"/>
  <c r="P1050" i="5"/>
  <c r="Q1050" i="5"/>
  <c r="T1050" i="5" s="1"/>
  <c r="P1042" i="5"/>
  <c r="Q1042" i="5"/>
  <c r="T1042" i="5" s="1"/>
  <c r="P1034" i="5"/>
  <c r="Q1034" i="5"/>
  <c r="T1034" i="5" s="1"/>
  <c r="P1026" i="5"/>
  <c r="Q1026" i="5"/>
  <c r="T1026" i="5" s="1"/>
  <c r="P1018" i="5"/>
  <c r="Q1018" i="5"/>
  <c r="T1018" i="5" s="1"/>
  <c r="P1010" i="5"/>
  <c r="Q1010" i="5"/>
  <c r="T1010" i="5" s="1"/>
  <c r="Q999" i="5"/>
  <c r="T999" i="5" s="1"/>
  <c r="P999" i="5"/>
  <c r="P991" i="5"/>
  <c r="Q991" i="5"/>
  <c r="T991" i="5" s="1"/>
  <c r="Q983" i="5"/>
  <c r="T983" i="5" s="1"/>
  <c r="P1000" i="5"/>
  <c r="P975" i="5"/>
  <c r="Q975" i="5"/>
  <c r="T975" i="5" s="1"/>
  <c r="P971" i="5"/>
  <c r="Q971" i="5"/>
  <c r="T971" i="5" s="1"/>
  <c r="P963" i="5"/>
  <c r="Q963" i="5"/>
  <c r="T963" i="5" s="1"/>
  <c r="P955" i="5"/>
  <c r="Q955" i="5"/>
  <c r="T955" i="5" s="1"/>
  <c r="P947" i="5"/>
  <c r="Q947" i="5"/>
  <c r="T947" i="5" s="1"/>
  <c r="P939" i="5"/>
  <c r="Q939" i="5"/>
  <c r="T939" i="5" s="1"/>
  <c r="P942" i="5"/>
  <c r="Q964" i="5"/>
  <c r="T964" i="5" s="1"/>
  <c r="Q996" i="5"/>
  <c r="T996" i="5" s="1"/>
  <c r="Q1028" i="5"/>
  <c r="T1028" i="5" s="1"/>
  <c r="Q1053" i="5"/>
  <c r="T1053" i="5" s="1"/>
  <c r="P974" i="5"/>
  <c r="Q948" i="5"/>
  <c r="T948" i="5" s="1"/>
  <c r="Q980" i="5"/>
  <c r="T980" i="5" s="1"/>
  <c r="Q1012" i="5"/>
  <c r="T1012" i="5" s="1"/>
  <c r="Q1043" i="5"/>
  <c r="T1043" i="5" s="1"/>
  <c r="Q1064" i="5"/>
  <c r="T1064" i="5" s="1"/>
  <c r="P931" i="5"/>
  <c r="P927" i="5"/>
  <c r="P919" i="5"/>
  <c r="P911" i="5"/>
  <c r="P903" i="5"/>
  <c r="P895" i="5"/>
  <c r="P887" i="5"/>
  <c r="P879" i="5"/>
  <c r="P875" i="5"/>
  <c r="P867" i="5"/>
  <c r="P859" i="5"/>
  <c r="P851" i="5"/>
  <c r="P843" i="5"/>
  <c r="P835" i="5"/>
  <c r="P827" i="5"/>
  <c r="P850" i="5"/>
  <c r="P826" i="5"/>
  <c r="P815" i="5"/>
  <c r="P807" i="5"/>
  <c r="P803" i="5"/>
  <c r="P795" i="5"/>
  <c r="P787" i="5"/>
  <c r="P779" i="5"/>
  <c r="P771" i="5"/>
  <c r="P820" i="5"/>
  <c r="P804" i="5"/>
  <c r="P763" i="5"/>
  <c r="P755" i="5"/>
  <c r="P743" i="5"/>
  <c r="P735" i="5"/>
  <c r="P727" i="5"/>
  <c r="P707" i="5"/>
  <c r="P699" i="5"/>
  <c r="P691" i="5"/>
  <c r="P683" i="5"/>
  <c r="P675" i="5"/>
  <c r="P667" i="5"/>
  <c r="P665" i="5"/>
  <c r="P697" i="5"/>
  <c r="P664" i="5"/>
  <c r="P680" i="5"/>
  <c r="P696" i="5"/>
  <c r="P712" i="5"/>
  <c r="P681" i="5"/>
  <c r="P713" i="5"/>
  <c r="P651" i="5"/>
  <c r="P643" i="5"/>
  <c r="P635" i="5"/>
  <c r="P627" i="5"/>
  <c r="P619" i="5"/>
  <c r="P607" i="5"/>
  <c r="P599" i="5"/>
  <c r="P591" i="5"/>
  <c r="P583" i="5"/>
  <c r="P575" i="5"/>
  <c r="P567" i="5"/>
  <c r="P559" i="5"/>
  <c r="P551" i="5"/>
  <c r="P570" i="5"/>
  <c r="P553" i="5"/>
  <c r="P569" i="5"/>
  <c r="P585" i="5"/>
  <c r="P601" i="5"/>
  <c r="P554" i="5"/>
  <c r="P586" i="5"/>
  <c r="P539" i="5"/>
  <c r="P531" i="5"/>
  <c r="P519" i="5"/>
  <c r="P511" i="5"/>
  <c r="P503" i="5"/>
  <c r="P495" i="5"/>
  <c r="P487" i="5"/>
  <c r="P479" i="5"/>
  <c r="P471" i="5"/>
  <c r="P463" i="5"/>
  <c r="P455" i="5"/>
  <c r="P447" i="5"/>
  <c r="P461" i="5"/>
  <c r="P493" i="5"/>
  <c r="P477" i="5"/>
  <c r="P439" i="5"/>
  <c r="P431" i="5"/>
  <c r="P423" i="5"/>
  <c r="P415" i="5"/>
  <c r="P407" i="5"/>
  <c r="P399" i="5"/>
  <c r="P391" i="5"/>
  <c r="P383" i="5"/>
  <c r="P375" i="5"/>
  <c r="P367" i="5"/>
  <c r="P359" i="5"/>
  <c r="P351" i="5"/>
  <c r="P343" i="5"/>
  <c r="P335" i="5"/>
  <c r="P327" i="5"/>
  <c r="P319" i="5"/>
  <c r="P311" i="5"/>
  <c r="P300" i="5"/>
  <c r="P296" i="5"/>
  <c r="P288" i="5"/>
  <c r="P280" i="5"/>
  <c r="P268" i="5"/>
  <c r="P260" i="5"/>
  <c r="P252" i="5"/>
  <c r="P244" i="5"/>
  <c r="P236" i="5"/>
  <c r="P216" i="5"/>
  <c r="P208" i="5"/>
  <c r="P200" i="5"/>
  <c r="P192" i="5"/>
  <c r="P184" i="5"/>
  <c r="P176" i="5"/>
  <c r="P168" i="5"/>
  <c r="P160" i="5"/>
  <c r="P152" i="5"/>
  <c r="P144" i="5"/>
  <c r="P136" i="5"/>
  <c r="P128" i="5"/>
  <c r="P120" i="5"/>
  <c r="P112" i="5"/>
  <c r="P108" i="5"/>
  <c r="P100" i="5"/>
  <c r="P88" i="5"/>
  <c r="P80" i="5"/>
  <c r="P72" i="5"/>
  <c r="P64" i="5"/>
  <c r="P921" i="5"/>
  <c r="P889" i="5"/>
  <c r="P861" i="5"/>
  <c r="P793" i="5"/>
  <c r="P705" i="5"/>
  <c r="P689" i="5"/>
  <c r="P673" i="5"/>
  <c r="P657" i="5"/>
  <c r="P641" i="5"/>
  <c r="P625" i="5"/>
  <c r="P609" i="5"/>
  <c r="P593" i="5"/>
  <c r="P577" i="5"/>
  <c r="P561" i="5"/>
  <c r="P537" i="5"/>
  <c r="P521" i="5"/>
  <c r="P505" i="5"/>
  <c r="P485" i="5"/>
  <c r="P469" i="5"/>
  <c r="P453" i="5"/>
  <c r="P429" i="5"/>
  <c r="P413" i="5"/>
  <c r="P397" i="5"/>
  <c r="P385" i="5"/>
  <c r="P369" i="5"/>
  <c r="P353" i="5"/>
  <c r="P1069" i="5"/>
  <c r="P1061" i="5"/>
  <c r="Q1061" i="5"/>
  <c r="T1061" i="5" s="1"/>
  <c r="P1053" i="5"/>
  <c r="P1049" i="5"/>
  <c r="Q1049" i="5"/>
  <c r="T1049" i="5" s="1"/>
  <c r="P1045" i="5"/>
  <c r="Q1045" i="5"/>
  <c r="T1045" i="5" s="1"/>
  <c r="P1037" i="5"/>
  <c r="Q1037" i="5"/>
  <c r="T1037" i="5" s="1"/>
  <c r="P1029" i="5"/>
  <c r="Q1029" i="5"/>
  <c r="T1029" i="5" s="1"/>
  <c r="P1021" i="5"/>
  <c r="Q1021" i="5"/>
  <c r="T1021" i="5" s="1"/>
  <c r="P1013" i="5"/>
  <c r="Q1013" i="5"/>
  <c r="T1013" i="5" s="1"/>
  <c r="P1006" i="5"/>
  <c r="Q1006" i="5"/>
  <c r="T1006" i="5" s="1"/>
  <c r="P1002" i="5"/>
  <c r="Q1002" i="5"/>
  <c r="T1002" i="5" s="1"/>
  <c r="P994" i="5"/>
  <c r="Q994" i="5"/>
  <c r="T994" i="5" s="1"/>
  <c r="P986" i="5"/>
  <c r="Q986" i="5"/>
  <c r="T986" i="5" s="1"/>
  <c r="Q974" i="5"/>
  <c r="T974" i="5" s="1"/>
  <c r="Q966" i="5"/>
  <c r="T966" i="5" s="1"/>
  <c r="P966" i="5"/>
  <c r="P962" i="5"/>
  <c r="Q962" i="5"/>
  <c r="T962" i="5" s="1"/>
  <c r="P954" i="5"/>
  <c r="Q954" i="5"/>
  <c r="T954" i="5" s="1"/>
  <c r="Q942" i="5"/>
  <c r="T942" i="5" s="1"/>
  <c r="P938" i="5"/>
  <c r="Q938" i="5"/>
  <c r="T938" i="5" s="1"/>
  <c r="P930" i="5"/>
  <c r="P922" i="5"/>
  <c r="P914" i="5"/>
  <c r="P906" i="5"/>
  <c r="P898" i="5"/>
  <c r="P890" i="5"/>
  <c r="P882" i="5"/>
  <c r="P878" i="5"/>
  <c r="P862" i="5"/>
  <c r="P854" i="5"/>
  <c r="P846" i="5"/>
  <c r="P830" i="5"/>
  <c r="P818" i="5"/>
  <c r="P810" i="5"/>
  <c r="P802" i="5"/>
  <c r="P794" i="5"/>
  <c r="P786" i="5"/>
  <c r="P778" i="5"/>
  <c r="P762" i="5"/>
  <c r="P746" i="5"/>
  <c r="P730" i="5"/>
  <c r="P722" i="5"/>
  <c r="P714" i="5"/>
  <c r="P706" i="5"/>
  <c r="P698" i="5"/>
  <c r="P690" i="5"/>
  <c r="P682" i="5"/>
  <c r="P674" i="5"/>
  <c r="P666" i="5"/>
  <c r="P658" i="5"/>
  <c r="P650" i="5"/>
  <c r="P642" i="5"/>
  <c r="P634" i="5"/>
  <c r="P626" i="5"/>
  <c r="P618" i="5"/>
  <c r="P610" i="5"/>
  <c r="P598" i="5"/>
  <c r="P582" i="5"/>
  <c r="P566" i="5"/>
  <c r="P550" i="5"/>
  <c r="P534" i="5"/>
  <c r="P518" i="5"/>
  <c r="P502" i="5"/>
  <c r="P494" i="5"/>
  <c r="P486" i="5"/>
  <c r="P478" i="5"/>
  <c r="P470" i="5"/>
  <c r="P462" i="5"/>
  <c r="P454" i="5"/>
  <c r="P446" i="5"/>
  <c r="P438" i="5"/>
  <c r="P430" i="5"/>
  <c r="P422" i="5"/>
  <c r="P414" i="5"/>
  <c r="P402" i="5"/>
  <c r="P394" i="5"/>
  <c r="P390" i="5"/>
  <c r="P374" i="5"/>
  <c r="P342" i="5"/>
  <c r="P334" i="5"/>
  <c r="P326" i="5"/>
  <c r="P318" i="5"/>
  <c r="P310" i="5"/>
  <c r="P295" i="5"/>
  <c r="P279" i="5"/>
  <c r="P271" i="5"/>
  <c r="P247" i="5"/>
  <c r="P239" i="5"/>
  <c r="P219" i="5"/>
  <c r="P211" i="5"/>
  <c r="P203" i="5"/>
  <c r="P195" i="5"/>
  <c r="P191" i="5"/>
  <c r="P183" i="5"/>
  <c r="P175" i="5"/>
  <c r="P171" i="5"/>
  <c r="P155" i="5"/>
  <c r="P139" i="5"/>
  <c r="P123" i="5"/>
  <c r="P115" i="5"/>
  <c r="P107" i="5"/>
  <c r="P99" i="5"/>
  <c r="P91" i="5"/>
  <c r="P83" i="5"/>
  <c r="P79" i="5"/>
  <c r="P71" i="5"/>
  <c r="P63" i="5"/>
  <c r="Q1063" i="5"/>
  <c r="T1063" i="5" s="1"/>
  <c r="Q1052" i="5"/>
  <c r="T1052" i="5" s="1"/>
  <c r="Q1027" i="5"/>
  <c r="T1027" i="5" s="1"/>
  <c r="Q1011" i="5"/>
  <c r="T1011" i="5" s="1"/>
  <c r="P159" i="5"/>
  <c r="P143" i="5"/>
  <c r="P127" i="5"/>
  <c r="P221" i="5"/>
  <c r="P205" i="5"/>
  <c r="P189" i="5"/>
  <c r="P173" i="5"/>
  <c r="P251" i="5"/>
  <c r="P299" i="5"/>
  <c r="P283" i="5"/>
  <c r="P377" i="5"/>
  <c r="P361" i="5"/>
  <c r="P345" i="5"/>
  <c r="P436" i="5"/>
  <c r="P420" i="5"/>
  <c r="P404" i="5"/>
  <c r="P492" i="5"/>
  <c r="P476" i="5"/>
  <c r="P460" i="5"/>
  <c r="P545" i="5"/>
  <c r="P648" i="5"/>
  <c r="P632" i="5"/>
  <c r="P616" i="5"/>
  <c r="P758" i="5"/>
  <c r="P742" i="5"/>
  <c r="P726" i="5"/>
  <c r="P781" i="5"/>
  <c r="P870" i="5"/>
  <c r="P849" i="5"/>
  <c r="P936" i="5"/>
  <c r="P904" i="5"/>
  <c r="P973" i="5"/>
  <c r="P941" i="5"/>
  <c r="P1068" i="5"/>
  <c r="P1064" i="5"/>
  <c r="P1060" i="5"/>
  <c r="Q1060" i="5"/>
  <c r="T1060" i="5" s="1"/>
  <c r="P1056" i="5"/>
  <c r="Q1056" i="5"/>
  <c r="T1056" i="5" s="1"/>
  <c r="P1052" i="5"/>
  <c r="P1048" i="5"/>
  <c r="P1044" i="5"/>
  <c r="Q1044" i="5"/>
  <c r="T1044" i="5" s="1"/>
  <c r="P1040" i="5"/>
  <c r="Q1040" i="5"/>
  <c r="T1040" i="5" s="1"/>
  <c r="P1036" i="5"/>
  <c r="P1032" i="5"/>
  <c r="Q1032" i="5"/>
  <c r="T1032" i="5" s="1"/>
  <c r="P1024" i="5"/>
  <c r="Q1024" i="5"/>
  <c r="T1024" i="5" s="1"/>
  <c r="P1020" i="5"/>
  <c r="Q1016" i="5"/>
  <c r="T1016" i="5" s="1"/>
  <c r="P1012" i="5"/>
  <c r="P1008" i="5"/>
  <c r="Q1008" i="5"/>
  <c r="T1008" i="5" s="1"/>
  <c r="P1005" i="5"/>
  <c r="Q1005" i="5"/>
  <c r="T1005" i="5" s="1"/>
  <c r="P1001" i="5"/>
  <c r="Q1001" i="5"/>
  <c r="T1001" i="5" s="1"/>
  <c r="P997" i="5"/>
  <c r="Q997" i="5"/>
  <c r="T997" i="5" s="1"/>
  <c r="P993" i="5"/>
  <c r="Q993" i="5"/>
  <c r="T993" i="5" s="1"/>
  <c r="P989" i="5"/>
  <c r="Q989" i="5"/>
  <c r="T989" i="5" s="1"/>
  <c r="P985" i="5"/>
  <c r="Q985" i="5"/>
  <c r="T985" i="5" s="1"/>
  <c r="Q981" i="5"/>
  <c r="T981" i="5" s="1"/>
  <c r="P981" i="5"/>
  <c r="P977" i="5"/>
  <c r="Q977" i="5"/>
  <c r="T977" i="5" s="1"/>
  <c r="Q973" i="5"/>
  <c r="T973" i="5" s="1"/>
  <c r="P969" i="5"/>
  <c r="Q969" i="5"/>
  <c r="T969" i="5" s="1"/>
  <c r="Q965" i="5"/>
  <c r="T965" i="5" s="1"/>
  <c r="P965" i="5"/>
  <c r="P961" i="5"/>
  <c r="Q961" i="5"/>
  <c r="T961" i="5" s="1"/>
  <c r="Q957" i="5"/>
  <c r="T957" i="5" s="1"/>
  <c r="P953" i="5"/>
  <c r="Q953" i="5"/>
  <c r="T953" i="5" s="1"/>
  <c r="Q949" i="5"/>
  <c r="T949" i="5" s="1"/>
  <c r="P949" i="5"/>
  <c r="P945" i="5"/>
  <c r="Q945" i="5"/>
  <c r="T945" i="5" s="1"/>
  <c r="Q941" i="5"/>
  <c r="T941" i="5" s="1"/>
  <c r="P933" i="5"/>
  <c r="P929" i="5"/>
  <c r="P925" i="5"/>
  <c r="P917" i="5"/>
  <c r="P913" i="5"/>
  <c r="P909" i="5"/>
  <c r="P901" i="5"/>
  <c r="P897" i="5"/>
  <c r="P893" i="5"/>
  <c r="P885" i="5"/>
  <c r="P877" i="5"/>
  <c r="P873" i="5"/>
  <c r="P869" i="5"/>
  <c r="P865" i="5"/>
  <c r="P857" i="5"/>
  <c r="P853" i="5"/>
  <c r="P845" i="5"/>
  <c r="P841" i="5"/>
  <c r="P837" i="5"/>
  <c r="P833" i="5"/>
  <c r="P829" i="5"/>
  <c r="P821" i="5"/>
  <c r="P817" i="5"/>
  <c r="P813" i="5"/>
  <c r="P809" i="5"/>
  <c r="P805" i="5"/>
  <c r="P801" i="5"/>
  <c r="P797" i="5"/>
  <c r="P789" i="5"/>
  <c r="P785" i="5"/>
  <c r="P777" i="5"/>
  <c r="P773" i="5"/>
  <c r="P769" i="5"/>
  <c r="P765" i="5"/>
  <c r="P761" i="5"/>
  <c r="P757" i="5"/>
  <c r="P753" i="5"/>
  <c r="P749" i="5"/>
  <c r="P745" i="5"/>
  <c r="P741" i="5"/>
  <c r="P737" i="5"/>
  <c r="P733" i="5"/>
  <c r="P729" i="5"/>
  <c r="P725" i="5"/>
  <c r="P721" i="5"/>
  <c r="P717" i="5"/>
  <c r="P709" i="5"/>
  <c r="P701" i="5"/>
  <c r="P693" i="5"/>
  <c r="P685" i="5"/>
  <c r="P677" i="5"/>
  <c r="P669" i="5"/>
  <c r="P661" i="5"/>
  <c r="P653" i="5"/>
  <c r="P645" i="5"/>
  <c r="P637" i="5"/>
  <c r="P629" i="5"/>
  <c r="P621" i="5"/>
  <c r="P613" i="5"/>
  <c r="P605" i="5"/>
  <c r="P597" i="5"/>
  <c r="P589" i="5"/>
  <c r="P581" i="5"/>
  <c r="P573" i="5"/>
  <c r="P565" i="5"/>
  <c r="P557" i="5"/>
  <c r="P549" i="5"/>
  <c r="P541" i="5"/>
  <c r="P533" i="5"/>
  <c r="P525" i="5"/>
  <c r="P517" i="5"/>
  <c r="P509" i="5"/>
  <c r="P501" i="5"/>
  <c r="P489" i="5"/>
  <c r="P481" i="5"/>
  <c r="P473" i="5"/>
  <c r="P465" i="5"/>
  <c r="P457" i="5"/>
  <c r="P449" i="5"/>
  <c r="P441" i="5"/>
  <c r="P433" i="5"/>
  <c r="P425" i="5"/>
  <c r="P417" i="5"/>
  <c r="P409" i="5"/>
  <c r="P401" i="5"/>
  <c r="P393" i="5"/>
  <c r="P389" i="5"/>
  <c r="P381" i="5"/>
  <c r="P373" i="5"/>
  <c r="P365" i="5"/>
  <c r="P357" i="5"/>
  <c r="P349" i="5"/>
  <c r="P341" i="5"/>
  <c r="P333" i="5"/>
  <c r="P329" i="5"/>
  <c r="P325" i="5"/>
  <c r="P321" i="5"/>
  <c r="P317" i="5"/>
  <c r="P313" i="5"/>
  <c r="P309" i="5"/>
  <c r="P305" i="5"/>
  <c r="P302" i="5"/>
  <c r="P298" i="5"/>
  <c r="P294" i="5"/>
  <c r="P290" i="5"/>
  <c r="P286" i="5"/>
  <c r="P282" i="5"/>
  <c r="P278" i="5"/>
  <c r="P274" i="5"/>
  <c r="P270" i="5"/>
  <c r="P266" i="5"/>
  <c r="P262" i="5"/>
  <c r="P258" i="5"/>
  <c r="P254" i="5"/>
  <c r="P250" i="5"/>
  <c r="P246" i="5"/>
  <c r="P242" i="5"/>
  <c r="P238" i="5"/>
  <c r="P234" i="5"/>
  <c r="P230" i="5"/>
  <c r="P226" i="5"/>
  <c r="P218" i="5"/>
  <c r="P210" i="5"/>
  <c r="P202" i="5"/>
  <c r="P194" i="5"/>
  <c r="P186" i="5"/>
  <c r="P178" i="5"/>
  <c r="P166" i="5"/>
  <c r="P162" i="5"/>
  <c r="P158" i="5"/>
  <c r="P154" i="5"/>
  <c r="P150" i="5"/>
  <c r="P146" i="5"/>
  <c r="P142" i="5"/>
  <c r="P138" i="5"/>
  <c r="P134" i="5"/>
  <c r="P130" i="5"/>
  <c r="P126" i="5"/>
  <c r="P122" i="5"/>
  <c r="P118" i="5"/>
  <c r="P114" i="5"/>
  <c r="P110" i="5"/>
  <c r="P106" i="5"/>
  <c r="P102" i="5"/>
  <c r="P98" i="5"/>
  <c r="P94" i="5"/>
  <c r="P90" i="5"/>
  <c r="P86" i="5"/>
  <c r="P82" i="5"/>
  <c r="P78" i="5"/>
  <c r="P74" i="5"/>
  <c r="P70" i="5"/>
  <c r="P66" i="5"/>
  <c r="P62" i="5"/>
  <c r="Q1069" i="5"/>
  <c r="T1069" i="5" s="1"/>
  <c r="Q1048" i="5"/>
  <c r="T1048" i="5" s="1"/>
  <c r="Q1036" i="5"/>
  <c r="T1036" i="5" s="1"/>
  <c r="Q1020" i="5"/>
  <c r="T1020" i="5" s="1"/>
  <c r="P214" i="5"/>
  <c r="P198" i="5"/>
  <c r="P182" i="5"/>
  <c r="P354" i="5"/>
  <c r="P538" i="5"/>
  <c r="P522" i="5"/>
  <c r="P506" i="5"/>
  <c r="P1016" i="5"/>
  <c r="P1065" i="5"/>
  <c r="Q1065" i="5"/>
  <c r="T1065" i="5" s="1"/>
  <c r="P1057" i="5"/>
  <c r="P1041" i="5"/>
  <c r="P1033" i="5"/>
  <c r="Q1033" i="5"/>
  <c r="T1033" i="5" s="1"/>
  <c r="P1025" i="5"/>
  <c r="Q1025" i="5"/>
  <c r="T1025" i="5" s="1"/>
  <c r="P1017" i="5"/>
  <c r="Q1017" i="5"/>
  <c r="T1017" i="5" s="1"/>
  <c r="P1009" i="5"/>
  <c r="Q1009" i="5"/>
  <c r="T1009" i="5" s="1"/>
  <c r="P998" i="5"/>
  <c r="Q998" i="5"/>
  <c r="T998" i="5" s="1"/>
  <c r="P990" i="5"/>
  <c r="Q990" i="5"/>
  <c r="T990" i="5" s="1"/>
  <c r="Q982" i="5"/>
  <c r="T982" i="5" s="1"/>
  <c r="P982" i="5"/>
  <c r="P978" i="5"/>
  <c r="Q978" i="5"/>
  <c r="T978" i="5" s="1"/>
  <c r="P970" i="5"/>
  <c r="Q970" i="5"/>
  <c r="T970" i="5" s="1"/>
  <c r="Q958" i="5"/>
  <c r="T958" i="5" s="1"/>
  <c r="Q950" i="5"/>
  <c r="T950" i="5" s="1"/>
  <c r="P950" i="5"/>
  <c r="P946" i="5"/>
  <c r="Q946" i="5"/>
  <c r="T946" i="5" s="1"/>
  <c r="P934" i="5"/>
  <c r="P926" i="5"/>
  <c r="P918" i="5"/>
  <c r="P910" i="5"/>
  <c r="P902" i="5"/>
  <c r="P894" i="5"/>
  <c r="P886" i="5"/>
  <c r="P874" i="5"/>
  <c r="P866" i="5"/>
  <c r="P858" i="5"/>
  <c r="P842" i="5"/>
  <c r="P834" i="5"/>
  <c r="P822" i="5"/>
  <c r="P814" i="5"/>
  <c r="P806" i="5"/>
  <c r="P798" i="5"/>
  <c r="P790" i="5"/>
  <c r="P782" i="5"/>
  <c r="P774" i="5"/>
  <c r="P754" i="5"/>
  <c r="P738" i="5"/>
  <c r="P710" i="5"/>
  <c r="P702" i="5"/>
  <c r="P694" i="5"/>
  <c r="P686" i="5"/>
  <c r="P678" i="5"/>
  <c r="P670" i="5"/>
  <c r="P662" i="5"/>
  <c r="P654" i="5"/>
  <c r="P646" i="5"/>
  <c r="P638" i="5"/>
  <c r="P630" i="5"/>
  <c r="P622" i="5"/>
  <c r="P614" i="5"/>
  <c r="P606" i="5"/>
  <c r="P590" i="5"/>
  <c r="P574" i="5"/>
  <c r="P558" i="5"/>
  <c r="P542" i="5"/>
  <c r="P526" i="5"/>
  <c r="P510" i="5"/>
  <c r="P490" i="5"/>
  <c r="P482" i="5"/>
  <c r="P474" i="5"/>
  <c r="P466" i="5"/>
  <c r="P458" i="5"/>
  <c r="P450" i="5"/>
  <c r="P442" i="5"/>
  <c r="P434" i="5"/>
  <c r="P426" i="5"/>
  <c r="P418" i="5"/>
  <c r="P410" i="5"/>
  <c r="P406" i="5"/>
  <c r="P398" i="5"/>
  <c r="P382" i="5"/>
  <c r="P366" i="5"/>
  <c r="P358" i="5"/>
  <c r="P350" i="5"/>
  <c r="P330" i="5"/>
  <c r="P322" i="5"/>
  <c r="P314" i="5"/>
  <c r="P306" i="5"/>
  <c r="P303" i="5"/>
  <c r="P287" i="5"/>
  <c r="P263" i="5"/>
  <c r="P255" i="5"/>
  <c r="P231" i="5"/>
  <c r="P223" i="5"/>
  <c r="P215" i="5"/>
  <c r="P207" i="5"/>
  <c r="P199" i="5"/>
  <c r="P187" i="5"/>
  <c r="P179" i="5"/>
  <c r="P163" i="5"/>
  <c r="P147" i="5"/>
  <c r="P131" i="5"/>
  <c r="P111" i="5"/>
  <c r="P103" i="5"/>
  <c r="P95" i="5"/>
  <c r="P87" i="5"/>
  <c r="P75" i="5"/>
  <c r="P67" i="5"/>
  <c r="P59" i="5"/>
  <c r="P529" i="5"/>
  <c r="P1067" i="5"/>
  <c r="Q1067" i="5"/>
  <c r="T1067" i="5" s="1"/>
  <c r="P1063" i="5"/>
  <c r="P1059" i="5"/>
  <c r="Q1055" i="5"/>
  <c r="T1055" i="5" s="1"/>
  <c r="P1051" i="5"/>
  <c r="Q1051" i="5"/>
  <c r="T1051" i="5" s="1"/>
  <c r="P1047" i="5"/>
  <c r="P1043" i="5"/>
  <c r="Q1039" i="5"/>
  <c r="T1039" i="5" s="1"/>
  <c r="P1035" i="5"/>
  <c r="Q1031" i="5"/>
  <c r="T1031" i="5" s="1"/>
  <c r="P1031" i="5"/>
  <c r="P1027" i="5"/>
  <c r="P1023" i="5"/>
  <c r="Q1023" i="5"/>
  <c r="T1023" i="5" s="1"/>
  <c r="P1019" i="5"/>
  <c r="Q1015" i="5"/>
  <c r="T1015" i="5" s="1"/>
  <c r="P1011" i="5"/>
  <c r="P1007" i="5"/>
  <c r="Q1007" i="5"/>
  <c r="T1007" i="5" s="1"/>
  <c r="P1004" i="5"/>
  <c r="Q1000" i="5"/>
  <c r="T1000" i="5" s="1"/>
  <c r="P996" i="5"/>
  <c r="P992" i="5"/>
  <c r="Q992" i="5"/>
  <c r="T992" i="5" s="1"/>
  <c r="P988" i="5"/>
  <c r="Q984" i="5"/>
  <c r="T984" i="5" s="1"/>
  <c r="P980" i="5"/>
  <c r="P976" i="5"/>
  <c r="Q976" i="5"/>
  <c r="T976" i="5" s="1"/>
  <c r="P972" i="5"/>
  <c r="P968" i="5"/>
  <c r="Q968" i="5"/>
  <c r="T968" i="5" s="1"/>
  <c r="P964" i="5"/>
  <c r="P960" i="5"/>
  <c r="Q960" i="5"/>
  <c r="T960" i="5" s="1"/>
  <c r="P956" i="5"/>
  <c r="P952" i="5"/>
  <c r="Q952" i="5"/>
  <c r="T952" i="5" s="1"/>
  <c r="P948" i="5"/>
  <c r="P944" i="5"/>
  <c r="Q944" i="5"/>
  <c r="T944" i="5" s="1"/>
  <c r="P940" i="5"/>
  <c r="P932" i="5"/>
  <c r="P928" i="5"/>
  <c r="P924" i="5"/>
  <c r="P916" i="5"/>
  <c r="P912" i="5"/>
  <c r="P908" i="5"/>
  <c r="P900" i="5"/>
  <c r="P896" i="5"/>
  <c r="P892" i="5"/>
  <c r="P884" i="5"/>
  <c r="P880" i="5"/>
  <c r="P876" i="5"/>
  <c r="P872" i="5"/>
  <c r="P868" i="5"/>
  <c r="P864" i="5"/>
  <c r="P860" i="5"/>
  <c r="P856" i="5"/>
  <c r="P852" i="5"/>
  <c r="P848" i="5"/>
  <c r="P844" i="5"/>
  <c r="P840" i="5"/>
  <c r="P836" i="5"/>
  <c r="P832" i="5"/>
  <c r="P828" i="5"/>
  <c r="P824" i="5"/>
  <c r="P816" i="5"/>
  <c r="P808" i="5"/>
  <c r="P800" i="5"/>
  <c r="P796" i="5"/>
  <c r="P788" i="5"/>
  <c r="P784" i="5"/>
  <c r="P780" i="5"/>
  <c r="P776" i="5"/>
  <c r="P768" i="5"/>
  <c r="P764" i="5"/>
  <c r="P760" i="5"/>
  <c r="P756" i="5"/>
  <c r="P752" i="5"/>
  <c r="P748" i="5"/>
  <c r="P744" i="5"/>
  <c r="P740" i="5"/>
  <c r="P736" i="5"/>
  <c r="P732" i="5"/>
  <c r="P728" i="5"/>
  <c r="P724" i="5"/>
  <c r="P720" i="5"/>
  <c r="P716" i="5"/>
  <c r="P708" i="5"/>
  <c r="P700" i="5"/>
  <c r="P692" i="5"/>
  <c r="P684" i="5"/>
  <c r="P676" i="5"/>
  <c r="P668" i="5"/>
  <c r="P660" i="5"/>
  <c r="P652" i="5"/>
  <c r="P644" i="5"/>
  <c r="P636" i="5"/>
  <c r="P628" i="5"/>
  <c r="P620" i="5"/>
  <c r="P612" i="5"/>
  <c r="P604" i="5"/>
  <c r="P600" i="5"/>
  <c r="P596" i="5"/>
  <c r="P592" i="5"/>
  <c r="P588" i="5"/>
  <c r="P584" i="5"/>
  <c r="P580" i="5"/>
  <c r="P576" i="5"/>
  <c r="P572" i="5"/>
  <c r="P568" i="5"/>
  <c r="P564" i="5"/>
  <c r="P560" i="5"/>
  <c r="P556" i="5"/>
  <c r="P552" i="5"/>
  <c r="P548" i="5"/>
  <c r="P544" i="5"/>
  <c r="P540" i="5"/>
  <c r="P536" i="5"/>
  <c r="P532" i="5"/>
  <c r="P528" i="5"/>
  <c r="P524" i="5"/>
  <c r="P520" i="5"/>
  <c r="P516" i="5"/>
  <c r="P512" i="5"/>
  <c r="P508" i="5"/>
  <c r="P504" i="5"/>
  <c r="P500" i="5"/>
  <c r="P496" i="5"/>
  <c r="P488" i="5"/>
  <c r="P480" i="5"/>
  <c r="P472" i="5"/>
  <c r="P464" i="5"/>
  <c r="P456" i="5"/>
  <c r="P448" i="5"/>
  <c r="P440" i="5"/>
  <c r="P432" i="5"/>
  <c r="P424" i="5"/>
  <c r="P416" i="5"/>
  <c r="P408" i="5"/>
  <c r="P400" i="5"/>
  <c r="P388" i="5"/>
  <c r="P384" i="5"/>
  <c r="P380" i="5"/>
  <c r="P376" i="5"/>
  <c r="P372" i="5"/>
  <c r="P368" i="5"/>
  <c r="P364" i="5"/>
  <c r="P360" i="5"/>
  <c r="P356" i="5"/>
  <c r="P352" i="5"/>
  <c r="P348" i="5"/>
  <c r="P344" i="5"/>
  <c r="P340" i="5"/>
  <c r="P336" i="5"/>
  <c r="P328" i="5"/>
  <c r="P320" i="5"/>
  <c r="P312" i="5"/>
  <c r="P304" i="5"/>
  <c r="P301" i="5"/>
  <c r="P297" i="5"/>
  <c r="P293" i="5"/>
  <c r="P289" i="5"/>
  <c r="P285" i="5"/>
  <c r="P277" i="5"/>
  <c r="P273" i="5"/>
  <c r="P269" i="5"/>
  <c r="P265" i="5"/>
  <c r="P261" i="5"/>
  <c r="P257" i="5"/>
  <c r="P253" i="5"/>
  <c r="P249" i="5"/>
  <c r="P245" i="5"/>
  <c r="P241" i="5"/>
  <c r="P237" i="5"/>
  <c r="P233" i="5"/>
  <c r="P229" i="5"/>
  <c r="P225" i="5"/>
  <c r="P217" i="5"/>
  <c r="P209" i="5"/>
  <c r="P201" i="5"/>
  <c r="P193" i="5"/>
  <c r="P185" i="5"/>
  <c r="P177" i="5"/>
  <c r="P169" i="5"/>
  <c r="P165" i="5"/>
  <c r="P161" i="5"/>
  <c r="P157" i="5"/>
  <c r="P153" i="5"/>
  <c r="P149" i="5"/>
  <c r="P145" i="5"/>
  <c r="P141" i="5"/>
  <c r="P137" i="5"/>
  <c r="P133" i="5"/>
  <c r="P129" i="5"/>
  <c r="P125" i="5"/>
  <c r="P121" i="5"/>
  <c r="P117" i="5"/>
  <c r="P109" i="5"/>
  <c r="P101" i="5"/>
  <c r="P93" i="5"/>
  <c r="P85" i="5"/>
  <c r="P77" i="5"/>
  <c r="P69" i="5"/>
  <c r="P61" i="5"/>
  <c r="Q1068" i="5"/>
  <c r="T1068" i="5" s="1"/>
  <c r="Q1057" i="5"/>
  <c r="T1057" i="5" s="1"/>
  <c r="Q1047" i="5"/>
  <c r="T1047" i="5" s="1"/>
  <c r="Q1035" i="5"/>
  <c r="T1035" i="5" s="1"/>
  <c r="Q1019" i="5"/>
  <c r="T1019" i="5" s="1"/>
  <c r="P167" i="5"/>
  <c r="P151" i="5"/>
  <c r="P135" i="5"/>
  <c r="P119" i="5"/>
  <c r="P275" i="5"/>
  <c r="P259" i="5"/>
  <c r="P243" i="5"/>
  <c r="P227" i="5"/>
  <c r="P291" i="5"/>
  <c r="P718" i="5"/>
  <c r="P957" i="5"/>
  <c r="P1015" i="5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1074" i="5" l="1"/>
  <c r="O1075" i="5"/>
  <c r="O1076" i="5"/>
  <c r="O1077" i="5"/>
  <c r="O1078" i="5"/>
  <c r="O1079" i="5"/>
  <c r="O3" i="5"/>
  <c r="Q308" i="5" l="1"/>
  <c r="T308" i="5" s="1"/>
  <c r="Q332" i="5"/>
  <c r="T332" i="5" s="1"/>
  <c r="Q348" i="5"/>
  <c r="T348" i="5" s="1"/>
  <c r="Q364" i="5"/>
  <c r="T364" i="5" s="1"/>
  <c r="Q380" i="5"/>
  <c r="T380" i="5" s="1"/>
  <c r="Q396" i="5"/>
  <c r="T396" i="5" s="1"/>
  <c r="Q412" i="5"/>
  <c r="T412" i="5" s="1"/>
  <c r="Q428" i="5"/>
  <c r="T428" i="5" s="1"/>
  <c r="Q444" i="5"/>
  <c r="T444" i="5" s="1"/>
  <c r="Q460" i="5"/>
  <c r="T460" i="5" s="1"/>
  <c r="Q476" i="5"/>
  <c r="T476" i="5" s="1"/>
  <c r="Q492" i="5"/>
  <c r="T492" i="5" s="1"/>
  <c r="Q508" i="5"/>
  <c r="T508" i="5" s="1"/>
  <c r="Q524" i="5"/>
  <c r="T524" i="5" s="1"/>
  <c r="Q540" i="5"/>
  <c r="T540" i="5" s="1"/>
  <c r="Q556" i="5"/>
  <c r="T556" i="5" s="1"/>
  <c r="Q572" i="5"/>
  <c r="T572" i="5" s="1"/>
  <c r="Q596" i="5"/>
  <c r="T596" i="5" s="1"/>
  <c r="Q612" i="5"/>
  <c r="T612" i="5" s="1"/>
  <c r="Q628" i="5"/>
  <c r="T628" i="5" s="1"/>
  <c r="Q644" i="5"/>
  <c r="T644" i="5" s="1"/>
  <c r="Q660" i="5"/>
  <c r="T660" i="5" s="1"/>
  <c r="Q676" i="5"/>
  <c r="T676" i="5" s="1"/>
  <c r="Q692" i="5"/>
  <c r="T692" i="5" s="1"/>
  <c r="Q708" i="5"/>
  <c r="T708" i="5" s="1"/>
  <c r="Q728" i="5"/>
  <c r="T728" i="5" s="1"/>
  <c r="Q749" i="5"/>
  <c r="T749" i="5" s="1"/>
  <c r="Q760" i="5"/>
  <c r="T760" i="5" s="1"/>
  <c r="Q781" i="5"/>
  <c r="T781" i="5" s="1"/>
  <c r="Q792" i="5"/>
  <c r="T792" i="5" s="1"/>
  <c r="Q813" i="5"/>
  <c r="T813" i="5" s="1"/>
  <c r="Q824" i="5"/>
  <c r="T824" i="5" s="1"/>
  <c r="Q845" i="5"/>
  <c r="T845" i="5" s="1"/>
  <c r="Q856" i="5"/>
  <c r="T856" i="5" s="1"/>
  <c r="Q877" i="5"/>
  <c r="T877" i="5" s="1"/>
  <c r="Q888" i="5"/>
  <c r="T888" i="5" s="1"/>
  <c r="Q909" i="5"/>
  <c r="T909" i="5" s="1"/>
  <c r="Q920" i="5"/>
  <c r="T920" i="5" s="1"/>
  <c r="Q936" i="5"/>
  <c r="T936" i="5" s="1"/>
  <c r="Q29" i="5"/>
  <c r="T29" i="5" s="1"/>
  <c r="Q50" i="5"/>
  <c r="T50" i="5" s="1"/>
  <c r="Q69" i="5"/>
  <c r="T69" i="5" s="1"/>
  <c r="Q85" i="5"/>
  <c r="T85" i="5" s="1"/>
  <c r="Q101" i="5"/>
  <c r="T101" i="5" s="1"/>
  <c r="Q117" i="5"/>
  <c r="T117" i="5" s="1"/>
  <c r="Q133" i="5"/>
  <c r="T133" i="5" s="1"/>
  <c r="Q149" i="5"/>
  <c r="T149" i="5" s="1"/>
  <c r="Q165" i="5"/>
  <c r="T165" i="5" s="1"/>
  <c r="Q181" i="5"/>
  <c r="T181" i="5" s="1"/>
  <c r="Q197" i="5"/>
  <c r="T197" i="5" s="1"/>
  <c r="Q213" i="5"/>
  <c r="T213" i="5" s="1"/>
  <c r="Q229" i="5"/>
  <c r="T229" i="5" s="1"/>
  <c r="Q245" i="5"/>
  <c r="T245" i="5" s="1"/>
  <c r="Q261" i="5"/>
  <c r="T261" i="5" s="1"/>
  <c r="Q277" i="5"/>
  <c r="T277" i="5" s="1"/>
  <c r="Q293" i="5"/>
  <c r="T293" i="5" s="1"/>
  <c r="Q309" i="5"/>
  <c r="T309" i="5" s="1"/>
  <c r="Q325" i="5"/>
  <c r="T325" i="5" s="1"/>
  <c r="Q341" i="5"/>
  <c r="T341" i="5" s="1"/>
  <c r="Q357" i="5"/>
  <c r="T357" i="5" s="1"/>
  <c r="Q373" i="5"/>
  <c r="T373" i="5" s="1"/>
  <c r="Q389" i="5"/>
  <c r="T389" i="5" s="1"/>
  <c r="Q405" i="5"/>
  <c r="T405" i="5" s="1"/>
  <c r="Q421" i="5"/>
  <c r="T421" i="5" s="1"/>
  <c r="Q437" i="5"/>
  <c r="T437" i="5" s="1"/>
  <c r="Q453" i="5"/>
  <c r="T453" i="5" s="1"/>
  <c r="Q469" i="5"/>
  <c r="T469" i="5" s="1"/>
  <c r="Q493" i="5"/>
  <c r="T493" i="5" s="1"/>
  <c r="Q509" i="5"/>
  <c r="T509" i="5" s="1"/>
  <c r="Q525" i="5"/>
  <c r="T525" i="5" s="1"/>
  <c r="Q541" i="5"/>
  <c r="T541" i="5" s="1"/>
  <c r="Q557" i="5"/>
  <c r="T557" i="5" s="1"/>
  <c r="Q573" i="5"/>
  <c r="T573" i="5" s="1"/>
  <c r="Q6" i="5"/>
  <c r="T6" i="5" s="1"/>
  <c r="Q17" i="5"/>
  <c r="T17" i="5" s="1"/>
  <c r="Q38" i="5"/>
  <c r="T38" i="5" s="1"/>
  <c r="Q49" i="5"/>
  <c r="T49" i="5" s="1"/>
  <c r="Q316" i="5"/>
  <c r="T316" i="5" s="1"/>
  <c r="Q324" i="5"/>
  <c r="T324" i="5" s="1"/>
  <c r="Q340" i="5"/>
  <c r="T340" i="5" s="1"/>
  <c r="Q356" i="5"/>
  <c r="T356" i="5" s="1"/>
  <c r="Q372" i="5"/>
  <c r="T372" i="5" s="1"/>
  <c r="Q388" i="5"/>
  <c r="T388" i="5" s="1"/>
  <c r="Q404" i="5"/>
  <c r="T404" i="5" s="1"/>
  <c r="Q420" i="5"/>
  <c r="T420" i="5" s="1"/>
  <c r="Q436" i="5"/>
  <c r="T436" i="5" s="1"/>
  <c r="Q452" i="5"/>
  <c r="T452" i="5" s="1"/>
  <c r="Q468" i="5"/>
  <c r="T468" i="5" s="1"/>
  <c r="Q484" i="5"/>
  <c r="T484" i="5" s="1"/>
  <c r="Q500" i="5"/>
  <c r="T500" i="5" s="1"/>
  <c r="Q516" i="5"/>
  <c r="T516" i="5" s="1"/>
  <c r="Q532" i="5"/>
  <c r="T532" i="5" s="1"/>
  <c r="Q548" i="5"/>
  <c r="T548" i="5" s="1"/>
  <c r="Q564" i="5"/>
  <c r="T564" i="5" s="1"/>
  <c r="Q580" i="5"/>
  <c r="T580" i="5" s="1"/>
  <c r="Q588" i="5"/>
  <c r="T588" i="5" s="1"/>
  <c r="Q604" i="5"/>
  <c r="T604" i="5" s="1"/>
  <c r="Q620" i="5"/>
  <c r="T620" i="5" s="1"/>
  <c r="Q636" i="5"/>
  <c r="T636" i="5" s="1"/>
  <c r="Q652" i="5"/>
  <c r="T652" i="5" s="1"/>
  <c r="Q668" i="5"/>
  <c r="T668" i="5" s="1"/>
  <c r="Q684" i="5"/>
  <c r="T684" i="5" s="1"/>
  <c r="Q700" i="5"/>
  <c r="T700" i="5" s="1"/>
  <c r="Q716" i="5"/>
  <c r="T716" i="5" s="1"/>
  <c r="Q733" i="5"/>
  <c r="T733" i="5" s="1"/>
  <c r="Q744" i="5"/>
  <c r="T744" i="5" s="1"/>
  <c r="Q765" i="5"/>
  <c r="T765" i="5" s="1"/>
  <c r="Q776" i="5"/>
  <c r="T776" i="5" s="1"/>
  <c r="Q797" i="5"/>
  <c r="T797" i="5" s="1"/>
  <c r="Q808" i="5"/>
  <c r="T808" i="5" s="1"/>
  <c r="Q829" i="5"/>
  <c r="T829" i="5" s="1"/>
  <c r="Q840" i="5"/>
  <c r="T840" i="5" s="1"/>
  <c r="Q861" i="5"/>
  <c r="T861" i="5" s="1"/>
  <c r="Q872" i="5"/>
  <c r="T872" i="5" s="1"/>
  <c r="Q893" i="5"/>
  <c r="T893" i="5" s="1"/>
  <c r="Q904" i="5"/>
  <c r="T904" i="5" s="1"/>
  <c r="Q925" i="5"/>
  <c r="T925" i="5" s="1"/>
  <c r="Q18" i="5"/>
  <c r="T18" i="5" s="1"/>
  <c r="Q61" i="5"/>
  <c r="T61" i="5" s="1"/>
  <c r="Q77" i="5"/>
  <c r="T77" i="5" s="1"/>
  <c r="Q93" i="5"/>
  <c r="T93" i="5" s="1"/>
  <c r="Q109" i="5"/>
  <c r="T109" i="5" s="1"/>
  <c r="Q125" i="5"/>
  <c r="T125" i="5" s="1"/>
  <c r="Q141" i="5"/>
  <c r="T141" i="5" s="1"/>
  <c r="Q157" i="5"/>
  <c r="T157" i="5" s="1"/>
  <c r="Q173" i="5"/>
  <c r="T173" i="5" s="1"/>
  <c r="Q189" i="5"/>
  <c r="T189" i="5" s="1"/>
  <c r="Q205" i="5"/>
  <c r="T205" i="5" s="1"/>
  <c r="Q221" i="5"/>
  <c r="T221" i="5" s="1"/>
  <c r="Q237" i="5"/>
  <c r="T237" i="5" s="1"/>
  <c r="Q253" i="5"/>
  <c r="T253" i="5" s="1"/>
  <c r="Q269" i="5"/>
  <c r="T269" i="5" s="1"/>
  <c r="Q285" i="5"/>
  <c r="T285" i="5" s="1"/>
  <c r="Q301" i="5"/>
  <c r="T301" i="5" s="1"/>
  <c r="Q317" i="5"/>
  <c r="T317" i="5" s="1"/>
  <c r="Q333" i="5"/>
  <c r="T333" i="5" s="1"/>
  <c r="Q349" i="5"/>
  <c r="T349" i="5" s="1"/>
  <c r="Q365" i="5"/>
  <c r="T365" i="5" s="1"/>
  <c r="Q381" i="5"/>
  <c r="T381" i="5" s="1"/>
  <c r="Q397" i="5"/>
  <c r="T397" i="5" s="1"/>
  <c r="Q413" i="5"/>
  <c r="T413" i="5" s="1"/>
  <c r="Q429" i="5"/>
  <c r="T429" i="5" s="1"/>
  <c r="Q445" i="5"/>
  <c r="T445" i="5" s="1"/>
  <c r="Q461" i="5"/>
  <c r="T461" i="5" s="1"/>
  <c r="Q477" i="5"/>
  <c r="T477" i="5" s="1"/>
  <c r="Q485" i="5"/>
  <c r="T485" i="5" s="1"/>
  <c r="Q501" i="5"/>
  <c r="T501" i="5" s="1"/>
  <c r="Q517" i="5"/>
  <c r="T517" i="5" s="1"/>
  <c r="Q533" i="5"/>
  <c r="T533" i="5" s="1"/>
  <c r="Q549" i="5"/>
  <c r="T549" i="5" s="1"/>
  <c r="Q565" i="5"/>
  <c r="T565" i="5" s="1"/>
  <c r="Q581" i="5"/>
  <c r="T581" i="5" s="1"/>
  <c r="Q613" i="5"/>
  <c r="T613" i="5" s="1"/>
  <c r="Q645" i="5"/>
  <c r="T645" i="5" s="1"/>
  <c r="Q677" i="5"/>
  <c r="T677" i="5" s="1"/>
  <c r="Q709" i="5"/>
  <c r="T709" i="5" s="1"/>
  <c r="Q734" i="5"/>
  <c r="T734" i="5" s="1"/>
  <c r="Q756" i="5"/>
  <c r="T756" i="5" s="1"/>
  <c r="Q777" i="5"/>
  <c r="T777" i="5" s="1"/>
  <c r="Q798" i="5"/>
  <c r="T798" i="5" s="1"/>
  <c r="Q820" i="5"/>
  <c r="T820" i="5" s="1"/>
  <c r="Q841" i="5"/>
  <c r="T841" i="5" s="1"/>
  <c r="Q862" i="5"/>
  <c r="T862" i="5" s="1"/>
  <c r="Q884" i="5"/>
  <c r="T884" i="5" s="1"/>
  <c r="Q905" i="5"/>
  <c r="T905" i="5" s="1"/>
  <c r="Q926" i="5"/>
  <c r="T926" i="5" s="1"/>
  <c r="Q629" i="5"/>
  <c r="T629" i="5" s="1"/>
  <c r="Q605" i="5"/>
  <c r="T605" i="5" s="1"/>
  <c r="Q729" i="5"/>
  <c r="T729" i="5" s="1"/>
  <c r="Q793" i="5"/>
  <c r="T793" i="5" s="1"/>
  <c r="Q836" i="5"/>
  <c r="T836" i="5" s="1"/>
  <c r="Q878" i="5"/>
  <c r="T878" i="5" s="1"/>
  <c r="Q921" i="5"/>
  <c r="T921" i="5" s="1"/>
  <c r="Q589" i="5"/>
  <c r="T589" i="5" s="1"/>
  <c r="Q621" i="5"/>
  <c r="T621" i="5" s="1"/>
  <c r="Q653" i="5"/>
  <c r="T653" i="5" s="1"/>
  <c r="Q685" i="5"/>
  <c r="T685" i="5" s="1"/>
  <c r="Q717" i="5"/>
  <c r="T717" i="5" s="1"/>
  <c r="Q740" i="5"/>
  <c r="T740" i="5" s="1"/>
  <c r="Q761" i="5"/>
  <c r="T761" i="5" s="1"/>
  <c r="Q782" i="5"/>
  <c r="T782" i="5" s="1"/>
  <c r="Q804" i="5"/>
  <c r="T804" i="5" s="1"/>
  <c r="Q825" i="5"/>
  <c r="T825" i="5" s="1"/>
  <c r="Q846" i="5"/>
  <c r="T846" i="5" s="1"/>
  <c r="Q868" i="5"/>
  <c r="T868" i="5" s="1"/>
  <c r="Q889" i="5"/>
  <c r="T889" i="5" s="1"/>
  <c r="Q910" i="5"/>
  <c r="T910" i="5" s="1"/>
  <c r="Q932" i="5"/>
  <c r="T932" i="5" s="1"/>
  <c r="Q597" i="5"/>
  <c r="T597" i="5" s="1"/>
  <c r="Q661" i="5"/>
  <c r="T661" i="5" s="1"/>
  <c r="Q693" i="5"/>
  <c r="T693" i="5" s="1"/>
  <c r="Q724" i="5"/>
  <c r="T724" i="5" s="1"/>
  <c r="Q745" i="5"/>
  <c r="T745" i="5" s="1"/>
  <c r="Q766" i="5"/>
  <c r="T766" i="5" s="1"/>
  <c r="Q788" i="5"/>
  <c r="T788" i="5" s="1"/>
  <c r="Q809" i="5"/>
  <c r="T809" i="5" s="1"/>
  <c r="Q830" i="5"/>
  <c r="T830" i="5" s="1"/>
  <c r="Q852" i="5"/>
  <c r="T852" i="5" s="1"/>
  <c r="Q873" i="5"/>
  <c r="T873" i="5" s="1"/>
  <c r="Q894" i="5"/>
  <c r="T894" i="5" s="1"/>
  <c r="Q916" i="5"/>
  <c r="T916" i="5" s="1"/>
  <c r="Q637" i="5"/>
  <c r="T637" i="5" s="1"/>
  <c r="Q669" i="5"/>
  <c r="T669" i="5" s="1"/>
  <c r="Q701" i="5"/>
  <c r="T701" i="5" s="1"/>
  <c r="Q750" i="5"/>
  <c r="T750" i="5" s="1"/>
  <c r="Q772" i="5"/>
  <c r="T772" i="5" s="1"/>
  <c r="Q814" i="5"/>
  <c r="T814" i="5" s="1"/>
  <c r="Q857" i="5"/>
  <c r="T857" i="5" s="1"/>
  <c r="Q900" i="5"/>
  <c r="T900" i="5" s="1"/>
  <c r="Q908" i="5"/>
  <c r="T908" i="5" s="1"/>
  <c r="Q696" i="5"/>
  <c r="T696" i="5" s="1"/>
  <c r="Q297" i="5"/>
  <c r="T297" i="5" s="1"/>
  <c r="Q201" i="5"/>
  <c r="T201" i="5" s="1"/>
  <c r="Q923" i="5"/>
  <c r="T923" i="5" s="1"/>
  <c r="Q907" i="5"/>
  <c r="T907" i="5" s="1"/>
  <c r="Q891" i="5"/>
  <c r="T891" i="5" s="1"/>
  <c r="Q871" i="5"/>
  <c r="T871" i="5" s="1"/>
  <c r="Q839" i="5"/>
  <c r="T839" i="5" s="1"/>
  <c r="Q811" i="5"/>
  <c r="T811" i="5" s="1"/>
  <c r="Q759" i="5"/>
  <c r="T759" i="5" s="1"/>
  <c r="Q719" i="5"/>
  <c r="T719" i="5" s="1"/>
  <c r="Q595" i="5"/>
  <c r="T595" i="5" s="1"/>
  <c r="Q579" i="5"/>
  <c r="T579" i="5" s="1"/>
  <c r="Q563" i="5"/>
  <c r="T563" i="5" s="1"/>
  <c r="Q543" i="5"/>
  <c r="T543" i="5" s="1"/>
  <c r="Q527" i="5"/>
  <c r="T527" i="5" s="1"/>
  <c r="Q515" i="5"/>
  <c r="T515" i="5" s="1"/>
  <c r="Q499" i="5"/>
  <c r="T499" i="5" s="1"/>
  <c r="Q483" i="5"/>
  <c r="T483" i="5" s="1"/>
  <c r="Q467" i="5"/>
  <c r="T467" i="5" s="1"/>
  <c r="Q451" i="5"/>
  <c r="T451" i="5" s="1"/>
  <c r="Q435" i="5"/>
  <c r="T435" i="5" s="1"/>
  <c r="Q419" i="5"/>
  <c r="T419" i="5" s="1"/>
  <c r="Q403" i="5"/>
  <c r="T403" i="5" s="1"/>
  <c r="Q292" i="5"/>
  <c r="T292" i="5" s="1"/>
  <c r="Q272" i="5"/>
  <c r="T272" i="5" s="1"/>
  <c r="Q256" i="5"/>
  <c r="T256" i="5" s="1"/>
  <c r="Q240" i="5"/>
  <c r="T240" i="5" s="1"/>
  <c r="Q228" i="5"/>
  <c r="T228" i="5" s="1"/>
  <c r="Q212" i="5"/>
  <c r="T212" i="5" s="1"/>
  <c r="Q196" i="5"/>
  <c r="T196" i="5" s="1"/>
  <c r="Q180" i="5"/>
  <c r="T180" i="5" s="1"/>
  <c r="Q172" i="5"/>
  <c r="T172" i="5" s="1"/>
  <c r="Q164" i="5"/>
  <c r="T164" i="5" s="1"/>
  <c r="Q148" i="5"/>
  <c r="T148" i="5" s="1"/>
  <c r="Q132" i="5"/>
  <c r="T132" i="5" s="1"/>
  <c r="Q116" i="5"/>
  <c r="T116" i="5" s="1"/>
  <c r="Q84" i="5"/>
  <c r="T84" i="5" s="1"/>
  <c r="Q68" i="5"/>
  <c r="T68" i="5" s="1"/>
  <c r="P48" i="5"/>
  <c r="P40" i="5"/>
  <c r="P28" i="5"/>
  <c r="Q20" i="5"/>
  <c r="T20" i="5" s="1"/>
  <c r="Q12" i="5"/>
  <c r="T12" i="5" s="1"/>
  <c r="Q4" i="5"/>
  <c r="T4" i="5" s="1"/>
  <c r="Q934" i="5"/>
  <c r="T934" i="5" s="1"/>
  <c r="Q870" i="5"/>
  <c r="T870" i="5" s="1"/>
  <c r="Q822" i="5"/>
  <c r="T822" i="5" s="1"/>
  <c r="Q770" i="5"/>
  <c r="T770" i="5" s="1"/>
  <c r="Q860" i="5"/>
  <c r="T860" i="5" s="1"/>
  <c r="Q764" i="5"/>
  <c r="T764" i="5" s="1"/>
  <c r="Q648" i="5"/>
  <c r="T648" i="5" s="1"/>
  <c r="Q265" i="5"/>
  <c r="T265" i="5" s="1"/>
  <c r="Q225" i="5"/>
  <c r="T225" i="5" s="1"/>
  <c r="Q177" i="5"/>
  <c r="T177" i="5" s="1"/>
  <c r="Q137" i="5"/>
  <c r="T137" i="5" s="1"/>
  <c r="Q81" i="5"/>
  <c r="T81" i="5" s="1"/>
  <c r="Q859" i="5"/>
  <c r="T859" i="5" s="1"/>
  <c r="Q803" i="5"/>
  <c r="T803" i="5" s="1"/>
  <c r="Q771" i="5"/>
  <c r="T771" i="5" s="1"/>
  <c r="Q743" i="5"/>
  <c r="T743" i="5" s="1"/>
  <c r="Q727" i="5"/>
  <c r="T727" i="5" s="1"/>
  <c r="Q707" i="5"/>
  <c r="T707" i="5" s="1"/>
  <c r="Q691" i="5"/>
  <c r="T691" i="5" s="1"/>
  <c r="Q675" i="5"/>
  <c r="T675" i="5" s="1"/>
  <c r="Q431" i="5"/>
  <c r="T431" i="5" s="1"/>
  <c r="Q415" i="5"/>
  <c r="T415" i="5" s="1"/>
  <c r="Q399" i="5"/>
  <c r="T399" i="5" s="1"/>
  <c r="Q383" i="5"/>
  <c r="T383" i="5" s="1"/>
  <c r="Q367" i="5"/>
  <c r="Q351" i="5"/>
  <c r="T351" i="5" s="1"/>
  <c r="Q335" i="5"/>
  <c r="T335" i="5" s="1"/>
  <c r="Q319" i="5"/>
  <c r="T319" i="5" s="1"/>
  <c r="Q288" i="5"/>
  <c r="T288" i="5" s="1"/>
  <c r="Q160" i="5"/>
  <c r="T160" i="5" s="1"/>
  <c r="Q144" i="5"/>
  <c r="T144" i="5" s="1"/>
  <c r="Q128" i="5"/>
  <c r="T128" i="5" s="1"/>
  <c r="Q112" i="5"/>
  <c r="T112" i="5" s="1"/>
  <c r="Q80" i="5"/>
  <c r="T80" i="5" s="1"/>
  <c r="Q64" i="5"/>
  <c r="T64" i="5" s="1"/>
  <c r="Q36" i="5"/>
  <c r="T36" i="5" s="1"/>
  <c r="Q881" i="5"/>
  <c r="T881" i="5" s="1"/>
  <c r="Q713" i="5"/>
  <c r="T713" i="5" s="1"/>
  <c r="Q681" i="5"/>
  <c r="T681" i="5" s="1"/>
  <c r="Q649" i="5"/>
  <c r="T649" i="5" s="1"/>
  <c r="Q617" i="5"/>
  <c r="T617" i="5" s="1"/>
  <c r="Q585" i="5"/>
  <c r="T585" i="5" s="1"/>
  <c r="Q553" i="5"/>
  <c r="T553" i="5" s="1"/>
  <c r="Q337" i="5"/>
  <c r="T337" i="5" s="1"/>
  <c r="Q706" i="5"/>
  <c r="T706" i="5" s="1"/>
  <c r="Q690" i="5"/>
  <c r="T690" i="5" s="1"/>
  <c r="Q674" i="5"/>
  <c r="T674" i="5" s="1"/>
  <c r="Q658" i="5"/>
  <c r="T658" i="5" s="1"/>
  <c r="Q642" i="5"/>
  <c r="T642" i="5" s="1"/>
  <c r="Q626" i="5"/>
  <c r="T626" i="5" s="1"/>
  <c r="Q610" i="5"/>
  <c r="T610" i="5" s="1"/>
  <c r="Q586" i="5"/>
  <c r="T586" i="5" s="1"/>
  <c r="Q566" i="5"/>
  <c r="T566" i="5" s="1"/>
  <c r="Q522" i="5"/>
  <c r="T522" i="5" s="1"/>
  <c r="Q502" i="5"/>
  <c r="T502" i="5" s="1"/>
  <c r="Q390" i="5"/>
  <c r="T390" i="5" s="1"/>
  <c r="Q342" i="5"/>
  <c r="T342" i="5" s="1"/>
  <c r="Q295" i="5"/>
  <c r="T295" i="5" s="1"/>
  <c r="Q227" i="5"/>
  <c r="T227" i="5" s="1"/>
  <c r="Q211" i="5"/>
  <c r="T211" i="5" s="1"/>
  <c r="Q195" i="5"/>
  <c r="T195" i="5" s="1"/>
  <c r="Q183" i="5"/>
  <c r="T183" i="5" s="1"/>
  <c r="Q171" i="5"/>
  <c r="T171" i="5" s="1"/>
  <c r="Q143" i="5"/>
  <c r="T143" i="5" s="1"/>
  <c r="Q43" i="5"/>
  <c r="T43" i="5" s="1"/>
  <c r="Q19" i="5"/>
  <c r="T19" i="5" s="1"/>
  <c r="P7" i="5"/>
  <c r="Q818" i="5"/>
  <c r="T818" i="5" s="1"/>
  <c r="Q302" i="5"/>
  <c r="T302" i="5" s="1"/>
  <c r="Q294" i="5"/>
  <c r="T294" i="5" s="1"/>
  <c r="Q286" i="5"/>
  <c r="T286" i="5" s="1"/>
  <c r="Q278" i="5"/>
  <c r="T278" i="5" s="1"/>
  <c r="Q270" i="5"/>
  <c r="T270" i="5" s="1"/>
  <c r="Q262" i="5"/>
  <c r="T262" i="5" s="1"/>
  <c r="Q254" i="5"/>
  <c r="T254" i="5" s="1"/>
  <c r="Q246" i="5"/>
  <c r="T246" i="5" s="1"/>
  <c r="Q238" i="5"/>
  <c r="T238" i="5" s="1"/>
  <c r="Q230" i="5"/>
  <c r="T230" i="5" s="1"/>
  <c r="Q218" i="5"/>
  <c r="T218" i="5" s="1"/>
  <c r="Q198" i="5"/>
  <c r="T198" i="5" s="1"/>
  <c r="Q186" i="5"/>
  <c r="T186" i="5" s="1"/>
  <c r="Q166" i="5"/>
  <c r="T166" i="5" s="1"/>
  <c r="Q158" i="5"/>
  <c r="T158" i="5" s="1"/>
  <c r="Q150" i="5"/>
  <c r="T150" i="5" s="1"/>
  <c r="Q142" i="5"/>
  <c r="T142" i="5" s="1"/>
  <c r="Q134" i="5"/>
  <c r="T134" i="5" s="1"/>
  <c r="Q126" i="5"/>
  <c r="T126" i="5" s="1"/>
  <c r="Q118" i="5"/>
  <c r="T118" i="5" s="1"/>
  <c r="Q110" i="5"/>
  <c r="T110" i="5" s="1"/>
  <c r="Q102" i="5"/>
  <c r="T102" i="5" s="1"/>
  <c r="Q94" i="5"/>
  <c r="T94" i="5" s="1"/>
  <c r="Q86" i="5"/>
  <c r="T86" i="5" s="1"/>
  <c r="Q78" i="5"/>
  <c r="T78" i="5" s="1"/>
  <c r="Q70" i="5"/>
  <c r="T70" i="5" s="1"/>
  <c r="Q62" i="5"/>
  <c r="T62" i="5" s="1"/>
  <c r="P46" i="5"/>
  <c r="P38" i="5"/>
  <c r="P26" i="5"/>
  <c r="P14" i="5"/>
  <c r="P6" i="5"/>
  <c r="Q865" i="5"/>
  <c r="T865" i="5" s="1"/>
  <c r="Q817" i="5"/>
  <c r="T817" i="5" s="1"/>
  <c r="Q769" i="5"/>
  <c r="T769" i="5" s="1"/>
  <c r="Q705" i="5"/>
  <c r="T705" i="5" s="1"/>
  <c r="Q641" i="5"/>
  <c r="T641" i="5" s="1"/>
  <c r="Q577" i="5"/>
  <c r="T577" i="5" s="1"/>
  <c r="Q505" i="5"/>
  <c r="T505" i="5" s="1"/>
  <c r="Q465" i="5"/>
  <c r="T465" i="5" s="1"/>
  <c r="Q433" i="5"/>
  <c r="T433" i="5" s="1"/>
  <c r="Q401" i="5"/>
  <c r="T401" i="5" s="1"/>
  <c r="Q353" i="5"/>
  <c r="T353" i="5" s="1"/>
  <c r="Q305" i="5"/>
  <c r="T305" i="5" s="1"/>
  <c r="Q34" i="5"/>
  <c r="T34" i="5" s="1"/>
  <c r="Q562" i="5"/>
  <c r="T562" i="5" s="1"/>
  <c r="Q542" i="5"/>
  <c r="T542" i="5" s="1"/>
  <c r="Q498" i="5"/>
  <c r="T498" i="5" s="1"/>
  <c r="Q482" i="5"/>
  <c r="T482" i="5" s="1"/>
  <c r="Q466" i="5"/>
  <c r="T466" i="5" s="1"/>
  <c r="Q450" i="5"/>
  <c r="T450" i="5" s="1"/>
  <c r="Q434" i="5"/>
  <c r="T434" i="5" s="1"/>
  <c r="Q418" i="5"/>
  <c r="T418" i="5" s="1"/>
  <c r="Q406" i="5"/>
  <c r="T406" i="5" s="1"/>
  <c r="Q382" i="5"/>
  <c r="T382" i="5" s="1"/>
  <c r="Q291" i="5"/>
  <c r="T291" i="5" s="1"/>
  <c r="Q267" i="5"/>
  <c r="T267" i="5" s="1"/>
  <c r="Q255" i="5"/>
  <c r="T255" i="5" s="1"/>
  <c r="Q231" i="5"/>
  <c r="T231" i="5" s="1"/>
  <c r="Q215" i="5"/>
  <c r="T215" i="5" s="1"/>
  <c r="Q199" i="5"/>
  <c r="T199" i="5" s="1"/>
  <c r="Q179" i="5"/>
  <c r="T179" i="5" s="1"/>
  <c r="Q151" i="5"/>
  <c r="T151" i="5" s="1"/>
  <c r="Q111" i="5"/>
  <c r="T111" i="5" s="1"/>
  <c r="Q95" i="5"/>
  <c r="T95" i="5" s="1"/>
  <c r="Q75" i="5"/>
  <c r="T75" i="5" s="1"/>
  <c r="Q59" i="5"/>
  <c r="T59" i="5" s="1"/>
  <c r="Q39" i="5"/>
  <c r="T39" i="5" s="1"/>
  <c r="P23" i="5"/>
  <c r="Q834" i="5"/>
  <c r="T834" i="5" s="1"/>
  <c r="Q53" i="5"/>
  <c r="T53" i="5" s="1"/>
  <c r="Q41" i="5"/>
  <c r="T41" i="5" s="1"/>
  <c r="P29" i="5"/>
  <c r="Q21" i="5"/>
  <c r="T21" i="5" s="1"/>
  <c r="Q9" i="5"/>
  <c r="T9" i="5" s="1"/>
  <c r="Q928" i="5"/>
  <c r="T928" i="5" s="1"/>
  <c r="Q906" i="5"/>
  <c r="T906" i="5" s="1"/>
  <c r="Q885" i="5"/>
  <c r="T885" i="5" s="1"/>
  <c r="Q864" i="5"/>
  <c r="T864" i="5" s="1"/>
  <c r="Q842" i="5"/>
  <c r="T842" i="5" s="1"/>
  <c r="Q816" i="5"/>
  <c r="T816" i="5" s="1"/>
  <c r="Q794" i="5"/>
  <c r="T794" i="5" s="1"/>
  <c r="Q773" i="5"/>
  <c r="T773" i="5" s="1"/>
  <c r="Q752" i="5"/>
  <c r="T752" i="5" s="1"/>
  <c r="Q730" i="5"/>
  <c r="T730" i="5" s="1"/>
  <c r="Q688" i="5"/>
  <c r="T688" i="5" s="1"/>
  <c r="Q624" i="5"/>
  <c r="T624" i="5" s="1"/>
  <c r="Q584" i="5"/>
  <c r="T584" i="5" s="1"/>
  <c r="Q552" i="5"/>
  <c r="T552" i="5" s="1"/>
  <c r="Q520" i="5"/>
  <c r="T520" i="5" s="1"/>
  <c r="Q488" i="5"/>
  <c r="T488" i="5" s="1"/>
  <c r="Q456" i="5"/>
  <c r="T456" i="5" s="1"/>
  <c r="Q424" i="5"/>
  <c r="T424" i="5" s="1"/>
  <c r="Q384" i="5"/>
  <c r="T384" i="5" s="1"/>
  <c r="Q352" i="5"/>
  <c r="Q320" i="5"/>
  <c r="T320" i="5" s="1"/>
  <c r="Q33" i="5"/>
  <c r="T33" i="5" s="1"/>
  <c r="P27" i="5"/>
  <c r="Q892" i="5"/>
  <c r="T892" i="5" s="1"/>
  <c r="Q664" i="5"/>
  <c r="T664" i="5" s="1"/>
  <c r="Q273" i="5"/>
  <c r="T273" i="5" s="1"/>
  <c r="Q169" i="5"/>
  <c r="T169" i="5" s="1"/>
  <c r="Q855" i="5"/>
  <c r="T855" i="5" s="1"/>
  <c r="Q823" i="5"/>
  <c r="T823" i="5" s="1"/>
  <c r="Q791" i="5"/>
  <c r="T791" i="5" s="1"/>
  <c r="Q775" i="5"/>
  <c r="T775" i="5" s="1"/>
  <c r="Q747" i="5"/>
  <c r="T747" i="5" s="1"/>
  <c r="Q731" i="5"/>
  <c r="T731" i="5" s="1"/>
  <c r="Q703" i="5"/>
  <c r="T703" i="5" s="1"/>
  <c r="Q687" i="5"/>
  <c r="T687" i="5" s="1"/>
  <c r="Q671" i="5"/>
  <c r="T671" i="5" s="1"/>
  <c r="Q655" i="5"/>
  <c r="T655" i="5" s="1"/>
  <c r="Q639" i="5"/>
  <c r="T639" i="5" s="1"/>
  <c r="Q623" i="5"/>
  <c r="T623" i="5" s="1"/>
  <c r="Q611" i="5"/>
  <c r="T611" i="5" s="1"/>
  <c r="Q379" i="5"/>
  <c r="T379" i="5" s="1"/>
  <c r="Q363" i="5"/>
  <c r="T363" i="5" s="1"/>
  <c r="Q347" i="5"/>
  <c r="T347" i="5" s="1"/>
  <c r="Q323" i="5"/>
  <c r="T323" i="5" s="1"/>
  <c r="Q307" i="5"/>
  <c r="T307" i="5" s="1"/>
  <c r="Q48" i="5"/>
  <c r="T48" i="5" s="1"/>
  <c r="Q40" i="5"/>
  <c r="T40" i="5" s="1"/>
  <c r="Q28" i="5"/>
  <c r="T28" i="5" s="1"/>
  <c r="P20" i="5"/>
  <c r="P12" i="5"/>
  <c r="P4" i="5"/>
  <c r="Q918" i="5"/>
  <c r="T918" i="5" s="1"/>
  <c r="Q850" i="5"/>
  <c r="T850" i="5" s="1"/>
  <c r="Q806" i="5"/>
  <c r="T806" i="5" s="1"/>
  <c r="Q742" i="5"/>
  <c r="T742" i="5" s="1"/>
  <c r="P51" i="5"/>
  <c r="Q844" i="5"/>
  <c r="T844" i="5" s="1"/>
  <c r="Q732" i="5"/>
  <c r="T732" i="5" s="1"/>
  <c r="Q616" i="5"/>
  <c r="T616" i="5" s="1"/>
  <c r="Q249" i="5"/>
  <c r="T249" i="5" s="1"/>
  <c r="Q217" i="5"/>
  <c r="T217" i="5" s="1"/>
  <c r="Q161" i="5"/>
  <c r="T161" i="5" s="1"/>
  <c r="Q129" i="5"/>
  <c r="T129" i="5" s="1"/>
  <c r="Q65" i="5"/>
  <c r="T65" i="5" s="1"/>
  <c r="Q931" i="5"/>
  <c r="T931" i="5" s="1"/>
  <c r="Q919" i="5"/>
  <c r="T919" i="5" s="1"/>
  <c r="Q903" i="5"/>
  <c r="T903" i="5" s="1"/>
  <c r="Q887" i="5"/>
  <c r="T887" i="5" s="1"/>
  <c r="Q875" i="5"/>
  <c r="T875" i="5" s="1"/>
  <c r="Q843" i="5"/>
  <c r="T843" i="5" s="1"/>
  <c r="Q827" i="5"/>
  <c r="T827" i="5" s="1"/>
  <c r="Q815" i="5"/>
  <c r="T815" i="5" s="1"/>
  <c r="Q787" i="5"/>
  <c r="T787" i="5" s="1"/>
  <c r="Q763" i="5"/>
  <c r="T763" i="5" s="1"/>
  <c r="Q651" i="5"/>
  <c r="T651" i="5" s="1"/>
  <c r="Q635" i="5"/>
  <c r="T635" i="5" s="1"/>
  <c r="Q619" i="5"/>
  <c r="T619" i="5" s="1"/>
  <c r="Q599" i="5"/>
  <c r="T599" i="5" s="1"/>
  <c r="Q583" i="5"/>
  <c r="T583" i="5" s="1"/>
  <c r="Q567" i="5"/>
  <c r="T567" i="5" s="1"/>
  <c r="Q551" i="5"/>
  <c r="T551" i="5" s="1"/>
  <c r="Q531" i="5"/>
  <c r="T531" i="5" s="1"/>
  <c r="Q511" i="5"/>
  <c r="T511" i="5" s="1"/>
  <c r="Q495" i="5"/>
  <c r="T495" i="5" s="1"/>
  <c r="Q479" i="5"/>
  <c r="T479" i="5" s="1"/>
  <c r="Q463" i="5"/>
  <c r="T463" i="5" s="1"/>
  <c r="Q447" i="5"/>
  <c r="T447" i="5" s="1"/>
  <c r="Q224" i="5"/>
  <c r="T224" i="5" s="1"/>
  <c r="Q208" i="5"/>
  <c r="T208" i="5" s="1"/>
  <c r="Q192" i="5"/>
  <c r="T192" i="5" s="1"/>
  <c r="Q176" i="5"/>
  <c r="T176" i="5" s="1"/>
  <c r="Q100" i="5"/>
  <c r="T100" i="5" s="1"/>
  <c r="P36" i="5"/>
  <c r="Q545" i="5"/>
  <c r="T545" i="5" s="1"/>
  <c r="Q513" i="5"/>
  <c r="T513" i="5" s="1"/>
  <c r="Q361" i="5"/>
  <c r="T361" i="5" s="1"/>
  <c r="Q602" i="5"/>
  <c r="T602" i="5" s="1"/>
  <c r="Q582" i="5"/>
  <c r="T582" i="5" s="1"/>
  <c r="Q538" i="5"/>
  <c r="T538" i="5" s="1"/>
  <c r="Q518" i="5"/>
  <c r="T518" i="5" s="1"/>
  <c r="Q486" i="5"/>
  <c r="T486" i="5" s="1"/>
  <c r="Q470" i="5"/>
  <c r="T470" i="5" s="1"/>
  <c r="Q454" i="5"/>
  <c r="T454" i="5" s="1"/>
  <c r="Q438" i="5"/>
  <c r="T438" i="5" s="1"/>
  <c r="Q422" i="5"/>
  <c r="T422" i="5" s="1"/>
  <c r="Q402" i="5"/>
  <c r="T402" i="5" s="1"/>
  <c r="Q362" i="5"/>
  <c r="T362" i="5" s="1"/>
  <c r="Q326" i="5"/>
  <c r="T326" i="5" s="1"/>
  <c r="Q310" i="5"/>
  <c r="T310" i="5" s="1"/>
  <c r="Q283" i="5"/>
  <c r="T283" i="5" s="1"/>
  <c r="Q271" i="5"/>
  <c r="T271" i="5" s="1"/>
  <c r="Q247" i="5"/>
  <c r="T247" i="5" s="1"/>
  <c r="Q159" i="5"/>
  <c r="T159" i="5" s="1"/>
  <c r="Q123" i="5"/>
  <c r="T123" i="5" s="1"/>
  <c r="Q107" i="5"/>
  <c r="T107" i="5" s="1"/>
  <c r="Q91" i="5"/>
  <c r="T91" i="5" s="1"/>
  <c r="Q79" i="5"/>
  <c r="T79" i="5" s="1"/>
  <c r="Q63" i="5"/>
  <c r="T63" i="5" s="1"/>
  <c r="Q35" i="5"/>
  <c r="Q15" i="5"/>
  <c r="T15" i="5" s="1"/>
  <c r="Q930" i="5"/>
  <c r="T930" i="5" s="1"/>
  <c r="Q786" i="5"/>
  <c r="T786" i="5" s="1"/>
  <c r="Q206" i="5"/>
  <c r="T206" i="5" s="1"/>
  <c r="Q194" i="5"/>
  <c r="T194" i="5" s="1"/>
  <c r="Q174" i="5"/>
  <c r="T174" i="5" s="1"/>
  <c r="Q58" i="5"/>
  <c r="T58" i="5" s="1"/>
  <c r="Q46" i="5"/>
  <c r="T46" i="5" s="1"/>
  <c r="P34" i="5"/>
  <c r="Q26" i="5"/>
  <c r="T26" i="5" s="1"/>
  <c r="Q14" i="5"/>
  <c r="T14" i="5" s="1"/>
  <c r="Q929" i="5"/>
  <c r="T929" i="5" s="1"/>
  <c r="Q854" i="5"/>
  <c r="T854" i="5" s="1"/>
  <c r="Q812" i="5"/>
  <c r="T812" i="5" s="1"/>
  <c r="Q753" i="5"/>
  <c r="T753" i="5" s="1"/>
  <c r="Q689" i="5"/>
  <c r="T689" i="5" s="1"/>
  <c r="Q625" i="5"/>
  <c r="T625" i="5" s="1"/>
  <c r="Q561" i="5"/>
  <c r="T561" i="5" s="1"/>
  <c r="Q489" i="5"/>
  <c r="T489" i="5" s="1"/>
  <c r="Q457" i="5"/>
  <c r="T457" i="5" s="1"/>
  <c r="Q425" i="5"/>
  <c r="T425" i="5" s="1"/>
  <c r="Q393" i="5"/>
  <c r="T393" i="5" s="1"/>
  <c r="Q329" i="5"/>
  <c r="T329" i="5" s="1"/>
  <c r="Q105" i="5"/>
  <c r="T105" i="5" s="1"/>
  <c r="Q718" i="5"/>
  <c r="T718" i="5" s="1"/>
  <c r="Q702" i="5"/>
  <c r="T702" i="5" s="1"/>
  <c r="Q686" i="5"/>
  <c r="T686" i="5" s="1"/>
  <c r="Q670" i="5"/>
  <c r="T670" i="5" s="1"/>
  <c r="Q654" i="5"/>
  <c r="T654" i="5" s="1"/>
  <c r="Q638" i="5"/>
  <c r="T638" i="5" s="1"/>
  <c r="Q622" i="5"/>
  <c r="T622" i="5" s="1"/>
  <c r="Q606" i="5"/>
  <c r="T606" i="5" s="1"/>
  <c r="Q578" i="5"/>
  <c r="T578" i="5" s="1"/>
  <c r="Q558" i="5"/>
  <c r="T558" i="5" s="1"/>
  <c r="Q514" i="5"/>
  <c r="T514" i="5" s="1"/>
  <c r="Q358" i="5"/>
  <c r="T358" i="5" s="1"/>
  <c r="Q338" i="5"/>
  <c r="T338" i="5" s="1"/>
  <c r="Q322" i="5"/>
  <c r="T322" i="5" s="1"/>
  <c r="Q306" i="5"/>
  <c r="T306" i="5" s="1"/>
  <c r="Q243" i="5"/>
  <c r="T243" i="5" s="1"/>
  <c r="Q167" i="5"/>
  <c r="T167" i="5" s="1"/>
  <c r="Q131" i="5"/>
  <c r="T131" i="5" s="1"/>
  <c r="Q51" i="5"/>
  <c r="T51" i="5" s="1"/>
  <c r="P39" i="5"/>
  <c r="Q11" i="5"/>
  <c r="T11" i="5" s="1"/>
  <c r="Q802" i="5"/>
  <c r="T802" i="5" s="1"/>
  <c r="P57" i="5"/>
  <c r="P49" i="5"/>
  <c r="P37" i="5"/>
  <c r="P25" i="5"/>
  <c r="P17" i="5"/>
  <c r="P5" i="5"/>
  <c r="Q922" i="5"/>
  <c r="T922" i="5" s="1"/>
  <c r="Q901" i="5"/>
  <c r="T901" i="5" s="1"/>
  <c r="Q880" i="5"/>
  <c r="T880" i="5" s="1"/>
  <c r="Q858" i="5"/>
  <c r="T858" i="5" s="1"/>
  <c r="Q837" i="5"/>
  <c r="T837" i="5" s="1"/>
  <c r="Q810" i="5"/>
  <c r="T810" i="5" s="1"/>
  <c r="Q789" i="5"/>
  <c r="T789" i="5" s="1"/>
  <c r="Q768" i="5"/>
  <c r="T768" i="5" s="1"/>
  <c r="Q746" i="5"/>
  <c r="T746" i="5" s="1"/>
  <c r="Q725" i="5"/>
  <c r="T725" i="5" s="1"/>
  <c r="Q672" i="5"/>
  <c r="T672" i="5" s="1"/>
  <c r="Q608" i="5"/>
  <c r="T608" i="5" s="1"/>
  <c r="Q576" i="5"/>
  <c r="T576" i="5" s="1"/>
  <c r="Q544" i="5"/>
  <c r="T544" i="5" s="1"/>
  <c r="Q512" i="5"/>
  <c r="T512" i="5" s="1"/>
  <c r="Q480" i="5"/>
  <c r="T480" i="5" s="1"/>
  <c r="Q448" i="5"/>
  <c r="T448" i="5" s="1"/>
  <c r="Q416" i="5"/>
  <c r="T416" i="5" s="1"/>
  <c r="Q376" i="5"/>
  <c r="T376" i="5" s="1"/>
  <c r="Q344" i="5"/>
  <c r="T344" i="5" s="1"/>
  <c r="Q312" i="5"/>
  <c r="T312" i="5" s="1"/>
  <c r="Q22" i="5"/>
  <c r="T22" i="5" s="1"/>
  <c r="P11" i="5"/>
  <c r="Q748" i="5"/>
  <c r="T748" i="5" s="1"/>
  <c r="Q392" i="5"/>
  <c r="T392" i="5" s="1"/>
  <c r="Q209" i="5"/>
  <c r="T209" i="5" s="1"/>
  <c r="Q45" i="5"/>
  <c r="T45" i="5" s="1"/>
  <c r="Q863" i="5"/>
  <c r="T863" i="5" s="1"/>
  <c r="Q847" i="5"/>
  <c r="T847" i="5" s="1"/>
  <c r="Q831" i="5"/>
  <c r="T831" i="5" s="1"/>
  <c r="Q799" i="5"/>
  <c r="T799" i="5" s="1"/>
  <c r="Q739" i="5"/>
  <c r="T739" i="5" s="1"/>
  <c r="Q723" i="5"/>
  <c r="T723" i="5" s="1"/>
  <c r="Q711" i="5"/>
  <c r="T711" i="5" s="1"/>
  <c r="Q695" i="5"/>
  <c r="T695" i="5" s="1"/>
  <c r="Q679" i="5"/>
  <c r="T679" i="5" s="1"/>
  <c r="Q663" i="5"/>
  <c r="T663" i="5" s="1"/>
  <c r="Q647" i="5"/>
  <c r="T647" i="5" s="1"/>
  <c r="Q631" i="5"/>
  <c r="T631" i="5" s="1"/>
  <c r="Q615" i="5"/>
  <c r="T615" i="5" s="1"/>
  <c r="Q603" i="5"/>
  <c r="T603" i="5" s="1"/>
  <c r="Q387" i="5"/>
  <c r="T387" i="5" s="1"/>
  <c r="Q371" i="5"/>
  <c r="T371" i="5" s="1"/>
  <c r="Q355" i="5"/>
  <c r="T355" i="5" s="1"/>
  <c r="Q339" i="5"/>
  <c r="T339" i="5" s="1"/>
  <c r="Q331" i="5"/>
  <c r="T331" i="5" s="1"/>
  <c r="Q315" i="5"/>
  <c r="T315" i="5" s="1"/>
  <c r="Q96" i="5"/>
  <c r="T96" i="5" s="1"/>
  <c r="Q60" i="5"/>
  <c r="T60" i="5" s="1"/>
  <c r="Q56" i="5"/>
  <c r="T56" i="5" s="1"/>
  <c r="P44" i="5"/>
  <c r="Q32" i="5"/>
  <c r="T32" i="5" s="1"/>
  <c r="Q24" i="5"/>
  <c r="T24" i="5" s="1"/>
  <c r="Q16" i="5"/>
  <c r="T16" i="5" s="1"/>
  <c r="Q8" i="5"/>
  <c r="T8" i="5" s="1"/>
  <c r="Q886" i="5"/>
  <c r="T886" i="5" s="1"/>
  <c r="Q826" i="5"/>
  <c r="T826" i="5" s="1"/>
  <c r="Q774" i="5"/>
  <c r="T774" i="5" s="1"/>
  <c r="Q754" i="5"/>
  <c r="T754" i="5" s="1"/>
  <c r="Q726" i="5"/>
  <c r="T726" i="5" s="1"/>
  <c r="Q876" i="5"/>
  <c r="T876" i="5" s="1"/>
  <c r="Q780" i="5"/>
  <c r="T780" i="5" s="1"/>
  <c r="Q680" i="5"/>
  <c r="T680" i="5" s="1"/>
  <c r="Q281" i="5"/>
  <c r="T281" i="5" s="1"/>
  <c r="Q233" i="5"/>
  <c r="T233" i="5" s="1"/>
  <c r="Q185" i="5"/>
  <c r="T185" i="5" s="1"/>
  <c r="Q145" i="5"/>
  <c r="T145" i="5" s="1"/>
  <c r="Q113" i="5"/>
  <c r="T113" i="5" s="1"/>
  <c r="Q927" i="5"/>
  <c r="T927" i="5" s="1"/>
  <c r="Q911" i="5"/>
  <c r="T911" i="5" s="1"/>
  <c r="Q895" i="5"/>
  <c r="T895" i="5" s="1"/>
  <c r="Q879" i="5"/>
  <c r="T879" i="5" s="1"/>
  <c r="Q867" i="5"/>
  <c r="T867" i="5" s="1"/>
  <c r="Q851" i="5"/>
  <c r="T851" i="5" s="1"/>
  <c r="Q835" i="5"/>
  <c r="T835" i="5" s="1"/>
  <c r="Q807" i="5"/>
  <c r="T807" i="5" s="1"/>
  <c r="Q795" i="5"/>
  <c r="T795" i="5" s="1"/>
  <c r="Q779" i="5"/>
  <c r="T779" i="5" s="1"/>
  <c r="Q755" i="5"/>
  <c r="T755" i="5" s="1"/>
  <c r="Q659" i="5"/>
  <c r="T659" i="5" s="1"/>
  <c r="Q643" i="5"/>
  <c r="T643" i="5" s="1"/>
  <c r="Q627" i="5"/>
  <c r="T627" i="5" s="1"/>
  <c r="Q607" i="5"/>
  <c r="T607" i="5" s="1"/>
  <c r="Q591" i="5"/>
  <c r="T591" i="5" s="1"/>
  <c r="Q575" i="5"/>
  <c r="T575" i="5" s="1"/>
  <c r="Q559" i="5"/>
  <c r="T559" i="5" s="1"/>
  <c r="Q539" i="5"/>
  <c r="T539" i="5" s="1"/>
  <c r="Q519" i="5"/>
  <c r="T519" i="5" s="1"/>
  <c r="Q503" i="5"/>
  <c r="T503" i="5" s="1"/>
  <c r="Q487" i="5"/>
  <c r="T487" i="5" s="1"/>
  <c r="Q471" i="5"/>
  <c r="T471" i="5" s="1"/>
  <c r="Q455" i="5"/>
  <c r="T455" i="5" s="1"/>
  <c r="Q300" i="5"/>
  <c r="T300" i="5" s="1"/>
  <c r="Q268" i="5"/>
  <c r="T268" i="5" s="1"/>
  <c r="Q252" i="5"/>
  <c r="T252" i="5" s="1"/>
  <c r="Q236" i="5"/>
  <c r="T236" i="5" s="1"/>
  <c r="Q216" i="5"/>
  <c r="T216" i="5" s="1"/>
  <c r="Q200" i="5"/>
  <c r="T200" i="5" s="1"/>
  <c r="Q184" i="5"/>
  <c r="T184" i="5" s="1"/>
  <c r="Q108" i="5"/>
  <c r="T108" i="5" s="1"/>
  <c r="Q88" i="5"/>
  <c r="T88" i="5" s="1"/>
  <c r="Q72" i="5"/>
  <c r="T72" i="5" s="1"/>
  <c r="P52" i="5"/>
  <c r="Q529" i="5"/>
  <c r="T529" i="5" s="1"/>
  <c r="Q497" i="5"/>
  <c r="T497" i="5" s="1"/>
  <c r="Q377" i="5"/>
  <c r="T377" i="5" s="1"/>
  <c r="Q345" i="5"/>
  <c r="T345" i="5" s="1"/>
  <c r="Q570" i="5"/>
  <c r="T570" i="5" s="1"/>
  <c r="Q796" i="5"/>
  <c r="T796" i="5" s="1"/>
  <c r="Q899" i="5"/>
  <c r="T899" i="5" s="1"/>
  <c r="Q819" i="5"/>
  <c r="T819" i="5" s="1"/>
  <c r="Q767" i="5"/>
  <c r="T767" i="5" s="1"/>
  <c r="Q555" i="5"/>
  <c r="T555" i="5" s="1"/>
  <c r="Q491" i="5"/>
  <c r="T491" i="5" s="1"/>
  <c r="Q427" i="5"/>
  <c r="T427" i="5" s="1"/>
  <c r="Q248" i="5"/>
  <c r="T248" i="5" s="1"/>
  <c r="Q188" i="5"/>
  <c r="T188" i="5" s="1"/>
  <c r="Q140" i="5"/>
  <c r="T140" i="5" s="1"/>
  <c r="Q76" i="5"/>
  <c r="T76" i="5" s="1"/>
  <c r="P32" i="5"/>
  <c r="Q790" i="5"/>
  <c r="T790" i="5" s="1"/>
  <c r="Q712" i="5"/>
  <c r="T712" i="5" s="1"/>
  <c r="Q153" i="5"/>
  <c r="T153" i="5" s="1"/>
  <c r="Q715" i="5"/>
  <c r="T715" i="5" s="1"/>
  <c r="Q391" i="5"/>
  <c r="T391" i="5" s="1"/>
  <c r="Q327" i="5"/>
  <c r="T327" i="5" s="1"/>
  <c r="Q260" i="5"/>
  <c r="T260" i="5" s="1"/>
  <c r="Q120" i="5"/>
  <c r="T120" i="5" s="1"/>
  <c r="Q697" i="5"/>
  <c r="T697" i="5" s="1"/>
  <c r="Q569" i="5"/>
  <c r="T569" i="5" s="1"/>
  <c r="Q666" i="5"/>
  <c r="T666" i="5" s="1"/>
  <c r="Q550" i="5"/>
  <c r="T550" i="5" s="1"/>
  <c r="Q494" i="5"/>
  <c r="T494" i="5" s="1"/>
  <c r="Q430" i="5"/>
  <c r="T430" i="5" s="1"/>
  <c r="Q378" i="5"/>
  <c r="T378" i="5" s="1"/>
  <c r="Q346" i="5"/>
  <c r="T346" i="5" s="1"/>
  <c r="Q299" i="5"/>
  <c r="T299" i="5" s="1"/>
  <c r="Q175" i="5"/>
  <c r="T175" i="5" s="1"/>
  <c r="Q99" i="5"/>
  <c r="T99" i="5" s="1"/>
  <c r="Q55" i="5"/>
  <c r="T55" i="5" s="1"/>
  <c r="P15" i="5"/>
  <c r="P35" i="5"/>
  <c r="Q274" i="5"/>
  <c r="T274" i="5" s="1"/>
  <c r="Q242" i="5"/>
  <c r="T242" i="5" s="1"/>
  <c r="Q202" i="5"/>
  <c r="T202" i="5" s="1"/>
  <c r="Q170" i="5"/>
  <c r="T170" i="5" s="1"/>
  <c r="Q138" i="5"/>
  <c r="T138" i="5" s="1"/>
  <c r="Q106" i="5"/>
  <c r="T106" i="5" s="1"/>
  <c r="Q74" i="5"/>
  <c r="T74" i="5" s="1"/>
  <c r="Q42" i="5"/>
  <c r="T42" i="5" s="1"/>
  <c r="P18" i="5"/>
  <c r="Q897" i="5"/>
  <c r="T897" i="5" s="1"/>
  <c r="Q785" i="5"/>
  <c r="T785" i="5" s="1"/>
  <c r="Q657" i="5"/>
  <c r="T657" i="5" s="1"/>
  <c r="Q521" i="5"/>
  <c r="T521" i="5" s="1"/>
  <c r="Q441" i="5"/>
  <c r="T441" i="5" s="1"/>
  <c r="Q369" i="5"/>
  <c r="T369" i="5" s="1"/>
  <c r="Q73" i="5"/>
  <c r="T73" i="5" s="1"/>
  <c r="Q678" i="5"/>
  <c r="T678" i="5" s="1"/>
  <c r="Q614" i="5"/>
  <c r="T614" i="5" s="1"/>
  <c r="Q546" i="5"/>
  <c r="T546" i="5" s="1"/>
  <c r="Q490" i="5"/>
  <c r="T490" i="5" s="1"/>
  <c r="Q426" i="5"/>
  <c r="T426" i="5" s="1"/>
  <c r="Q330" i="5"/>
  <c r="T330" i="5" s="1"/>
  <c r="Q287" i="5"/>
  <c r="T287" i="5" s="1"/>
  <c r="Q223" i="5"/>
  <c r="T223" i="5" s="1"/>
  <c r="Q135" i="5"/>
  <c r="T135" i="5" s="1"/>
  <c r="Q87" i="5"/>
  <c r="T87" i="5" s="1"/>
  <c r="Q23" i="5"/>
  <c r="T23" i="5" s="1"/>
  <c r="Q722" i="5"/>
  <c r="T722" i="5" s="1"/>
  <c r="P45" i="5"/>
  <c r="Q25" i="5"/>
  <c r="T25" i="5" s="1"/>
  <c r="Q5" i="5"/>
  <c r="T5" i="5" s="1"/>
  <c r="Q896" i="5"/>
  <c r="T896" i="5" s="1"/>
  <c r="Q853" i="5"/>
  <c r="T853" i="5" s="1"/>
  <c r="Q805" i="5"/>
  <c r="T805" i="5" s="1"/>
  <c r="Q762" i="5"/>
  <c r="T762" i="5" s="1"/>
  <c r="Q720" i="5"/>
  <c r="T720" i="5" s="1"/>
  <c r="Q600" i="5"/>
  <c r="T600" i="5" s="1"/>
  <c r="Q536" i="5"/>
  <c r="T536" i="5" s="1"/>
  <c r="Q472" i="5"/>
  <c r="T472" i="5" s="1"/>
  <c r="Q408" i="5"/>
  <c r="T408" i="5" s="1"/>
  <c r="Q336" i="5"/>
  <c r="T336" i="5" s="1"/>
  <c r="Q632" i="5"/>
  <c r="T632" i="5" s="1"/>
  <c r="Q915" i="5"/>
  <c r="T915" i="5" s="1"/>
  <c r="Q783" i="5"/>
  <c r="T783" i="5" s="1"/>
  <c r="Q571" i="5"/>
  <c r="T571" i="5" s="1"/>
  <c r="Q507" i="5"/>
  <c r="T507" i="5" s="1"/>
  <c r="Q443" i="5"/>
  <c r="T443" i="5" s="1"/>
  <c r="Q264" i="5"/>
  <c r="T264" i="5" s="1"/>
  <c r="Q204" i="5"/>
  <c r="T204" i="5" s="1"/>
  <c r="Q156" i="5"/>
  <c r="T156" i="5" s="1"/>
  <c r="Q92" i="5"/>
  <c r="T92" i="5" s="1"/>
  <c r="P24" i="5"/>
  <c r="Q289" i="5"/>
  <c r="T289" i="5" s="1"/>
  <c r="Q121" i="5"/>
  <c r="T121" i="5" s="1"/>
  <c r="Q735" i="5"/>
  <c r="T735" i="5" s="1"/>
  <c r="Q667" i="5"/>
  <c r="T667" i="5" s="1"/>
  <c r="Q407" i="5"/>
  <c r="T407" i="5" s="1"/>
  <c r="Q343" i="5"/>
  <c r="T343" i="5" s="1"/>
  <c r="Q280" i="5"/>
  <c r="T280" i="5" s="1"/>
  <c r="Q136" i="5"/>
  <c r="T136" i="5" s="1"/>
  <c r="Q52" i="5"/>
  <c r="T52" i="5" s="1"/>
  <c r="Q849" i="5"/>
  <c r="T849" i="5" s="1"/>
  <c r="Q601" i="5"/>
  <c r="T601" i="5" s="1"/>
  <c r="Q682" i="5"/>
  <c r="T682" i="5" s="1"/>
  <c r="Q618" i="5"/>
  <c r="T618" i="5" s="1"/>
  <c r="Q506" i="5"/>
  <c r="T506" i="5" s="1"/>
  <c r="Q446" i="5"/>
  <c r="T446" i="5" s="1"/>
  <c r="Q374" i="5"/>
  <c r="T374" i="5" s="1"/>
  <c r="Q259" i="5"/>
  <c r="T259" i="5" s="1"/>
  <c r="Q239" i="5"/>
  <c r="T239" i="5" s="1"/>
  <c r="Q191" i="5"/>
  <c r="T191" i="5" s="1"/>
  <c r="Q139" i="5"/>
  <c r="T139" i="5" s="1"/>
  <c r="Q115" i="5"/>
  <c r="T115" i="5" s="1"/>
  <c r="P55" i="5"/>
  <c r="Q7" i="5"/>
  <c r="T7" i="5" s="1"/>
  <c r="P19" i="5"/>
  <c r="Q282" i="5"/>
  <c r="T282" i="5" s="1"/>
  <c r="Q250" i="5"/>
  <c r="T250" i="5" s="1"/>
  <c r="Q214" i="5"/>
  <c r="T214" i="5" s="1"/>
  <c r="Q182" i="5"/>
  <c r="T182" i="5" s="1"/>
  <c r="Q146" i="5"/>
  <c r="T146" i="5" s="1"/>
  <c r="Q114" i="5"/>
  <c r="T114" i="5" s="1"/>
  <c r="Q82" i="5"/>
  <c r="T82" i="5" s="1"/>
  <c r="P54" i="5"/>
  <c r="P30" i="5"/>
  <c r="P10" i="5"/>
  <c r="Q838" i="5"/>
  <c r="T838" i="5" s="1"/>
  <c r="Q737" i="5"/>
  <c r="T737" i="5" s="1"/>
  <c r="Q609" i="5"/>
  <c r="T609" i="5" s="1"/>
  <c r="Q481" i="5"/>
  <c r="T481" i="5" s="1"/>
  <c r="Q417" i="5"/>
  <c r="T417" i="5" s="1"/>
  <c r="Q321" i="5"/>
  <c r="T321" i="5" s="1"/>
  <c r="Q694" i="5"/>
  <c r="T694" i="5" s="1"/>
  <c r="Q630" i="5"/>
  <c r="T630" i="5" s="1"/>
  <c r="Q574" i="5"/>
  <c r="T574" i="5" s="1"/>
  <c r="Q510" i="5"/>
  <c r="Q442" i="5"/>
  <c r="T442" i="5" s="1"/>
  <c r="Q370" i="5"/>
  <c r="T370" i="5" s="1"/>
  <c r="Q350" i="5"/>
  <c r="T350" i="5" s="1"/>
  <c r="Q275" i="5"/>
  <c r="T275" i="5" s="1"/>
  <c r="Q235" i="5"/>
  <c r="T235" i="5" s="1"/>
  <c r="Q163" i="5"/>
  <c r="T163" i="5" s="1"/>
  <c r="Q103" i="5"/>
  <c r="T103" i="5" s="1"/>
  <c r="Q47" i="5"/>
  <c r="T47" i="5" s="1"/>
  <c r="Q898" i="5"/>
  <c r="T898" i="5" s="1"/>
  <c r="P41" i="5"/>
  <c r="P21" i="5"/>
  <c r="Q933" i="5"/>
  <c r="T933" i="5" s="1"/>
  <c r="Q890" i="5"/>
  <c r="T890" i="5" s="1"/>
  <c r="Q848" i="5"/>
  <c r="T848" i="5" s="1"/>
  <c r="Q800" i="5"/>
  <c r="T800" i="5" s="1"/>
  <c r="Q757" i="5"/>
  <c r="T757" i="5" s="1"/>
  <c r="Q704" i="5"/>
  <c r="T704" i="5" s="1"/>
  <c r="Q592" i="5"/>
  <c r="T592" i="5" s="1"/>
  <c r="Q528" i="5"/>
  <c r="T528" i="5" s="1"/>
  <c r="Q464" i="5"/>
  <c r="T464" i="5" s="1"/>
  <c r="Q400" i="5"/>
  <c r="T400" i="5" s="1"/>
  <c r="Q328" i="5"/>
  <c r="T328" i="5" s="1"/>
  <c r="P43" i="5"/>
  <c r="Q257" i="5"/>
  <c r="T257" i="5" s="1"/>
  <c r="Q935" i="5"/>
  <c r="T935" i="5" s="1"/>
  <c r="Q587" i="5"/>
  <c r="T587" i="5" s="1"/>
  <c r="Q523" i="5"/>
  <c r="T523" i="5" s="1"/>
  <c r="Q459" i="5"/>
  <c r="T459" i="5" s="1"/>
  <c r="Q395" i="5"/>
  <c r="T395" i="5" s="1"/>
  <c r="Q284" i="5"/>
  <c r="T284" i="5" s="1"/>
  <c r="Q276" i="5"/>
  <c r="T276" i="5" s="1"/>
  <c r="Q220" i="5"/>
  <c r="T220" i="5" s="1"/>
  <c r="Q104" i="5"/>
  <c r="T104" i="5" s="1"/>
  <c r="P56" i="5"/>
  <c r="P16" i="5"/>
  <c r="Q902" i="5"/>
  <c r="T902" i="5" s="1"/>
  <c r="Q758" i="5"/>
  <c r="T758" i="5" s="1"/>
  <c r="Q924" i="5"/>
  <c r="T924" i="5" s="1"/>
  <c r="Q241" i="5"/>
  <c r="T241" i="5" s="1"/>
  <c r="Q13" i="5"/>
  <c r="T13" i="5" s="1"/>
  <c r="Q683" i="5"/>
  <c r="T683" i="5" s="1"/>
  <c r="Q423" i="5"/>
  <c r="T423" i="5" s="1"/>
  <c r="Q359" i="5"/>
  <c r="T359" i="5" s="1"/>
  <c r="Q296" i="5"/>
  <c r="T296" i="5" s="1"/>
  <c r="Q152" i="5"/>
  <c r="T152" i="5" s="1"/>
  <c r="Q633" i="5"/>
  <c r="T633" i="5" s="1"/>
  <c r="Q698" i="5"/>
  <c r="T698" i="5" s="1"/>
  <c r="Q634" i="5"/>
  <c r="T634" i="5" s="1"/>
  <c r="Q534" i="5"/>
  <c r="T534" i="5" s="1"/>
  <c r="Q462" i="5"/>
  <c r="T462" i="5" s="1"/>
  <c r="Q394" i="5"/>
  <c r="T394" i="5" s="1"/>
  <c r="Q318" i="5"/>
  <c r="T318" i="5" s="1"/>
  <c r="Q251" i="5"/>
  <c r="T251" i="5" s="1"/>
  <c r="Q203" i="5"/>
  <c r="T203" i="5" s="1"/>
  <c r="Q127" i="5"/>
  <c r="T127" i="5" s="1"/>
  <c r="Q71" i="5"/>
  <c r="T71" i="5" s="1"/>
  <c r="Q31" i="5"/>
  <c r="T31" i="5" s="1"/>
  <c r="Q914" i="5"/>
  <c r="T914" i="5" s="1"/>
  <c r="Q290" i="5"/>
  <c r="T290" i="5" s="1"/>
  <c r="Q258" i="5"/>
  <c r="T258" i="5" s="1"/>
  <c r="Q226" i="5"/>
  <c r="T226" i="5" s="1"/>
  <c r="Q210" i="5"/>
  <c r="T210" i="5" s="1"/>
  <c r="Q178" i="5"/>
  <c r="T178" i="5" s="1"/>
  <c r="Q154" i="5"/>
  <c r="T154" i="5" s="1"/>
  <c r="Q122" i="5"/>
  <c r="T122" i="5" s="1"/>
  <c r="Q90" i="5"/>
  <c r="T90" i="5" s="1"/>
  <c r="P50" i="5"/>
  <c r="Q30" i="5"/>
  <c r="T30" i="5" s="1"/>
  <c r="Q10" i="5"/>
  <c r="T10" i="5" s="1"/>
  <c r="Q833" i="5"/>
  <c r="T833" i="5" s="1"/>
  <c r="Q721" i="5"/>
  <c r="T721" i="5" s="1"/>
  <c r="Q593" i="5"/>
  <c r="T593" i="5" s="1"/>
  <c r="Q473" i="5"/>
  <c r="T473" i="5" s="1"/>
  <c r="Q409" i="5"/>
  <c r="T409" i="5" s="1"/>
  <c r="Q313" i="5"/>
  <c r="T313" i="5" s="1"/>
  <c r="Q710" i="5"/>
  <c r="Q646" i="5"/>
  <c r="T646" i="5" s="1"/>
  <c r="Q594" i="5"/>
  <c r="T594" i="5" s="1"/>
  <c r="Q530" i="5"/>
  <c r="T530" i="5" s="1"/>
  <c r="Q458" i="5"/>
  <c r="T458" i="5" s="1"/>
  <c r="Q398" i="5"/>
  <c r="T398" i="5" s="1"/>
  <c r="Q366" i="5"/>
  <c r="T366" i="5" s="1"/>
  <c r="Q303" i="5"/>
  <c r="T303" i="5" s="1"/>
  <c r="Q187" i="5"/>
  <c r="T187" i="5" s="1"/>
  <c r="Q119" i="5"/>
  <c r="T119" i="5" s="1"/>
  <c r="P47" i="5"/>
  <c r="Q866" i="5"/>
  <c r="T866" i="5" s="1"/>
  <c r="Q57" i="5"/>
  <c r="T57" i="5" s="1"/>
  <c r="Q37" i="5"/>
  <c r="T37" i="5" s="1"/>
  <c r="P13" i="5"/>
  <c r="Q917" i="5"/>
  <c r="T917" i="5" s="1"/>
  <c r="Q874" i="5"/>
  <c r="T874" i="5" s="1"/>
  <c r="Q832" i="5"/>
  <c r="T832" i="5" s="1"/>
  <c r="Q784" i="5"/>
  <c r="T784" i="5" s="1"/>
  <c r="Q741" i="5"/>
  <c r="T741" i="5" s="1"/>
  <c r="Q656" i="5"/>
  <c r="T656" i="5" s="1"/>
  <c r="Q568" i="5"/>
  <c r="T568" i="5" s="1"/>
  <c r="Q504" i="5"/>
  <c r="T504" i="5" s="1"/>
  <c r="Q440" i="5"/>
  <c r="T440" i="5" s="1"/>
  <c r="Q368" i="5"/>
  <c r="T368" i="5" s="1"/>
  <c r="Q304" i="5"/>
  <c r="T304" i="5" s="1"/>
  <c r="Q97" i="5"/>
  <c r="T97" i="5" s="1"/>
  <c r="Q883" i="5"/>
  <c r="T883" i="5" s="1"/>
  <c r="Q751" i="5"/>
  <c r="T751" i="5" s="1"/>
  <c r="Q535" i="5"/>
  <c r="T535" i="5" s="1"/>
  <c r="Q475" i="5"/>
  <c r="T475" i="5" s="1"/>
  <c r="Q411" i="5"/>
  <c r="T411" i="5" s="1"/>
  <c r="Q232" i="5"/>
  <c r="T232" i="5" s="1"/>
  <c r="Q124" i="5"/>
  <c r="T124" i="5" s="1"/>
  <c r="Q44" i="5"/>
  <c r="T44" i="5" s="1"/>
  <c r="P8" i="5"/>
  <c r="Q828" i="5"/>
  <c r="T828" i="5" s="1"/>
  <c r="Q193" i="5"/>
  <c r="T193" i="5" s="1"/>
  <c r="Q699" i="5"/>
  <c r="T699" i="5" s="1"/>
  <c r="Q547" i="5"/>
  <c r="T547" i="5" s="1"/>
  <c r="Q439" i="5"/>
  <c r="T439" i="5" s="1"/>
  <c r="Q375" i="5"/>
  <c r="T375" i="5" s="1"/>
  <c r="Q311" i="5"/>
  <c r="T311" i="5" s="1"/>
  <c r="Q244" i="5"/>
  <c r="T244" i="5" s="1"/>
  <c r="Q168" i="5"/>
  <c r="T168" i="5" s="1"/>
  <c r="Q665" i="5"/>
  <c r="T665" i="5" s="1"/>
  <c r="Q714" i="5"/>
  <c r="T714" i="5" s="1"/>
  <c r="Q650" i="5"/>
  <c r="T650" i="5" s="1"/>
  <c r="Q598" i="5"/>
  <c r="T598" i="5" s="1"/>
  <c r="Q554" i="5"/>
  <c r="T554" i="5" s="1"/>
  <c r="Q478" i="5"/>
  <c r="T478" i="5" s="1"/>
  <c r="Q414" i="5"/>
  <c r="T414" i="5" s="1"/>
  <c r="Q354" i="5"/>
  <c r="T354" i="5" s="1"/>
  <c r="Q334" i="5"/>
  <c r="T334" i="5" s="1"/>
  <c r="Q279" i="5"/>
  <c r="T279" i="5" s="1"/>
  <c r="Q219" i="5"/>
  <c r="T219" i="5" s="1"/>
  <c r="Q155" i="5"/>
  <c r="T155" i="5" s="1"/>
  <c r="Q83" i="5"/>
  <c r="T83" i="5" s="1"/>
  <c r="P31" i="5"/>
  <c r="Q882" i="5"/>
  <c r="T882" i="5" s="1"/>
  <c r="Q298" i="5"/>
  <c r="T298" i="5" s="1"/>
  <c r="Q266" i="5"/>
  <c r="T266" i="5" s="1"/>
  <c r="Q234" i="5"/>
  <c r="T234" i="5" s="1"/>
  <c r="Q222" i="5"/>
  <c r="T222" i="5" s="1"/>
  <c r="Q190" i="5"/>
  <c r="T190" i="5" s="1"/>
  <c r="Q162" i="5"/>
  <c r="T162" i="5" s="1"/>
  <c r="Q130" i="5"/>
  <c r="T130" i="5" s="1"/>
  <c r="Q98" i="5"/>
  <c r="T98" i="5" s="1"/>
  <c r="Q66" i="5"/>
  <c r="T66" i="5" s="1"/>
  <c r="P42" i="5"/>
  <c r="P22" i="5"/>
  <c r="Q913" i="5"/>
  <c r="T913" i="5" s="1"/>
  <c r="Q801" i="5"/>
  <c r="T801" i="5" s="1"/>
  <c r="Q673" i="5"/>
  <c r="T673" i="5" s="1"/>
  <c r="Q537" i="5"/>
  <c r="T537" i="5" s="1"/>
  <c r="Q449" i="5"/>
  <c r="T449" i="5" s="1"/>
  <c r="Q385" i="5"/>
  <c r="T385" i="5" s="1"/>
  <c r="Q89" i="5"/>
  <c r="T89" i="5" s="1"/>
  <c r="Q662" i="5"/>
  <c r="T662" i="5" s="1"/>
  <c r="Q590" i="5"/>
  <c r="T590" i="5" s="1"/>
  <c r="Q526" i="5"/>
  <c r="T526" i="5" s="1"/>
  <c r="Q474" i="5"/>
  <c r="T474" i="5" s="1"/>
  <c r="Q410" i="5"/>
  <c r="T410" i="5" s="1"/>
  <c r="Q386" i="5"/>
  <c r="T386" i="5" s="1"/>
  <c r="Q314" i="5"/>
  <c r="T314" i="5" s="1"/>
  <c r="Q263" i="5"/>
  <c r="T263" i="5" s="1"/>
  <c r="Q207" i="5"/>
  <c r="T207" i="5" s="1"/>
  <c r="Q147" i="5"/>
  <c r="T147" i="5" s="1"/>
  <c r="Q67" i="5"/>
  <c r="T67" i="5" s="1"/>
  <c r="Q27" i="5"/>
  <c r="T27" i="5" s="1"/>
  <c r="Q738" i="5"/>
  <c r="T738" i="5" s="1"/>
  <c r="P53" i="5"/>
  <c r="P33" i="5"/>
  <c r="P9" i="5"/>
  <c r="Q912" i="5"/>
  <c r="T912" i="5" s="1"/>
  <c r="Q869" i="5"/>
  <c r="T869" i="5" s="1"/>
  <c r="Q821" i="5"/>
  <c r="T821" i="5" s="1"/>
  <c r="Q778" i="5"/>
  <c r="T778" i="5" s="1"/>
  <c r="Q736" i="5"/>
  <c r="T736" i="5" s="1"/>
  <c r="Q640" i="5"/>
  <c r="T640" i="5" s="1"/>
  <c r="Q560" i="5"/>
  <c r="T560" i="5" s="1"/>
  <c r="Q496" i="5"/>
  <c r="T496" i="5" s="1"/>
  <c r="Q432" i="5"/>
  <c r="T432" i="5" s="1"/>
  <c r="Q360" i="5"/>
  <c r="T360" i="5" s="1"/>
  <c r="Q54" i="5"/>
  <c r="T54" i="5" s="1"/>
  <c r="P983" i="5"/>
  <c r="P715" i="5"/>
  <c r="P1081" i="5"/>
  <c r="P497" i="5"/>
  <c r="P445" i="5"/>
  <c r="P337" i="5"/>
  <c r="P1079" i="5"/>
  <c r="P770" i="5"/>
  <c r="P281" i="5"/>
  <c r="P1076" i="5"/>
  <c r="P1075" i="5"/>
  <c r="P3" i="5"/>
  <c r="P1028" i="5"/>
  <c r="P937" i="5"/>
  <c r="P881" i="5"/>
  <c r="P825" i="5"/>
  <c r="P547" i="5"/>
  <c r="P392" i="5"/>
  <c r="P1080" i="5"/>
  <c r="P224" i="5"/>
  <c r="P170" i="5"/>
  <c r="P659" i="5"/>
  <c r="P602" i="5"/>
  <c r="P1078" i="5"/>
  <c r="P1077" i="5"/>
  <c r="P113" i="5"/>
  <c r="P1074" i="5"/>
  <c r="P58" i="5"/>
  <c r="Q1081" i="5"/>
  <c r="T1081" i="5" s="1"/>
  <c r="Q1079" i="5"/>
  <c r="T1079" i="5" s="1"/>
  <c r="Q937" i="5"/>
  <c r="T937" i="5" s="1"/>
  <c r="Q1077" i="5"/>
  <c r="T1077" i="5" s="1"/>
  <c r="Q3" i="5"/>
  <c r="T3" i="5" s="1"/>
  <c r="Q1078" i="5"/>
  <c r="T1078" i="5" s="1"/>
  <c r="Q1074" i="5"/>
  <c r="Q1075" i="5"/>
  <c r="T1075" i="5" s="1"/>
  <c r="Q1076" i="5"/>
  <c r="T1076" i="5" s="1"/>
  <c r="Q1080" i="5"/>
  <c r="T1080" i="5" s="1"/>
  <c r="T30" i="6" l="1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L39" i="6" l="1"/>
  <c r="C30" i="7" l="1"/>
  <c r="C22" i="7"/>
  <c r="C31" i="7" s="1"/>
  <c r="D30" i="7" l="1"/>
  <c r="D22" i="7"/>
  <c r="D31" i="7" l="1"/>
  <c r="E14" i="7" l="1"/>
  <c r="H69" i="1"/>
  <c r="G69" i="1"/>
  <c r="R10" i="7" l="1"/>
  <c r="P10" i="7"/>
  <c r="Q10" i="7" s="1"/>
  <c r="AD28" i="7" l="1"/>
  <c r="AD29" i="7"/>
  <c r="AB28" i="7"/>
  <c r="AC28" i="7" s="1"/>
  <c r="AB29" i="7"/>
  <c r="AC29" i="7" s="1"/>
  <c r="Z28" i="7"/>
  <c r="Z29" i="7"/>
  <c r="X28" i="7"/>
  <c r="Y28" i="7" s="1"/>
  <c r="X29" i="7"/>
  <c r="Y29" i="7" s="1"/>
  <c r="V28" i="7"/>
  <c r="V29" i="7"/>
  <c r="T28" i="7"/>
  <c r="U28" i="7" s="1"/>
  <c r="T29" i="7"/>
  <c r="U29" i="7" s="1"/>
  <c r="R28" i="7"/>
  <c r="R29" i="7"/>
  <c r="P28" i="7"/>
  <c r="Q28" i="7" s="1"/>
  <c r="P29" i="7"/>
  <c r="Q29" i="7" s="1"/>
  <c r="N28" i="7"/>
  <c r="N29" i="7"/>
  <c r="L28" i="7"/>
  <c r="M28" i="7" s="1"/>
  <c r="L29" i="7"/>
  <c r="M29" i="7" s="1"/>
  <c r="J28" i="7"/>
  <c r="J29" i="7"/>
  <c r="H28" i="7"/>
  <c r="I28" i="7" s="1"/>
  <c r="H29" i="7"/>
  <c r="I29" i="7" s="1"/>
  <c r="AD27" i="7"/>
  <c r="AB27" i="7"/>
  <c r="AC27" i="7" s="1"/>
  <c r="Z27" i="7"/>
  <c r="X27" i="7"/>
  <c r="Y27" i="7" s="1"/>
  <c r="V27" i="7"/>
  <c r="T27" i="7"/>
  <c r="U27" i="7" s="1"/>
  <c r="R27" i="7"/>
  <c r="P27" i="7"/>
  <c r="Q27" i="7" s="1"/>
  <c r="N27" i="7"/>
  <c r="L27" i="7"/>
  <c r="M27" i="7" s="1"/>
  <c r="J27" i="7"/>
  <c r="H27" i="7"/>
  <c r="I27" i="7" s="1"/>
  <c r="Z30" i="7" l="1"/>
  <c r="H30" i="7"/>
  <c r="X30" i="7"/>
  <c r="R30" i="7"/>
  <c r="N30" i="7"/>
  <c r="V30" i="7"/>
  <c r="AD30" i="7"/>
  <c r="J30" i="7"/>
  <c r="P30" i="7"/>
  <c r="L30" i="7"/>
  <c r="T30" i="7"/>
  <c r="AB30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B6" i="7"/>
  <c r="AC6" i="7" s="1"/>
  <c r="AB7" i="7"/>
  <c r="AC7" i="7" s="1"/>
  <c r="AB8" i="7"/>
  <c r="AC8" i="7" s="1"/>
  <c r="AB9" i="7"/>
  <c r="AC9" i="7" s="1"/>
  <c r="AB10" i="7"/>
  <c r="AC10" i="7" s="1"/>
  <c r="AB11" i="7"/>
  <c r="AC11" i="7" s="1"/>
  <c r="AB12" i="7"/>
  <c r="AC12" i="7" s="1"/>
  <c r="AB13" i="7"/>
  <c r="AC13" i="7" s="1"/>
  <c r="AB14" i="7"/>
  <c r="AC14" i="7" s="1"/>
  <c r="AB15" i="7"/>
  <c r="AC15" i="7" s="1"/>
  <c r="AB16" i="7"/>
  <c r="AC16" i="7" s="1"/>
  <c r="AB17" i="7"/>
  <c r="AC17" i="7" s="1"/>
  <c r="AB18" i="7"/>
  <c r="AC18" i="7" s="1"/>
  <c r="AB19" i="7"/>
  <c r="AC19" i="7" s="1"/>
  <c r="AB20" i="7"/>
  <c r="AC20" i="7" s="1"/>
  <c r="AB21" i="7"/>
  <c r="AC21" i="7" s="1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X6" i="7"/>
  <c r="Y6" i="7" s="1"/>
  <c r="X7" i="7"/>
  <c r="Y7" i="7" s="1"/>
  <c r="X8" i="7"/>
  <c r="Y8" i="7" s="1"/>
  <c r="X9" i="7"/>
  <c r="Y9" i="7" s="1"/>
  <c r="X10" i="7"/>
  <c r="Y10" i="7" s="1"/>
  <c r="X11" i="7"/>
  <c r="Y11" i="7" s="1"/>
  <c r="X12" i="7"/>
  <c r="Y12" i="7" s="1"/>
  <c r="X13" i="7"/>
  <c r="Y13" i="7" s="1"/>
  <c r="X14" i="7"/>
  <c r="Y14" i="7" s="1"/>
  <c r="X15" i="7"/>
  <c r="Y15" i="7" s="1"/>
  <c r="X16" i="7"/>
  <c r="Y16" i="7" s="1"/>
  <c r="X17" i="7"/>
  <c r="Y17" i="7" s="1"/>
  <c r="X18" i="7"/>
  <c r="Y18" i="7" s="1"/>
  <c r="X19" i="7"/>
  <c r="Y19" i="7" s="1"/>
  <c r="X20" i="7"/>
  <c r="Y20" i="7" s="1"/>
  <c r="X21" i="7"/>
  <c r="Y21" i="7" s="1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T6" i="7"/>
  <c r="U6" i="7" s="1"/>
  <c r="T7" i="7"/>
  <c r="U7" i="7" s="1"/>
  <c r="T8" i="7"/>
  <c r="U8" i="7" s="1"/>
  <c r="T9" i="7"/>
  <c r="U9" i="7" s="1"/>
  <c r="T10" i="7"/>
  <c r="U10" i="7" s="1"/>
  <c r="T11" i="7"/>
  <c r="U11" i="7" s="1"/>
  <c r="T12" i="7"/>
  <c r="U12" i="7" s="1"/>
  <c r="T13" i="7"/>
  <c r="U13" i="7" s="1"/>
  <c r="T14" i="7"/>
  <c r="U14" i="7" s="1"/>
  <c r="T15" i="7"/>
  <c r="U15" i="7" s="1"/>
  <c r="T16" i="7"/>
  <c r="U16" i="7" s="1"/>
  <c r="T17" i="7"/>
  <c r="U17" i="7" s="1"/>
  <c r="T18" i="7"/>
  <c r="U18" i="7" s="1"/>
  <c r="T19" i="7"/>
  <c r="U19" i="7" s="1"/>
  <c r="T20" i="7"/>
  <c r="U20" i="7" s="1"/>
  <c r="T21" i="7"/>
  <c r="U21" i="7" s="1"/>
  <c r="R6" i="7"/>
  <c r="R7" i="7"/>
  <c r="R8" i="7"/>
  <c r="R9" i="7"/>
  <c r="R11" i="7"/>
  <c r="R12" i="7"/>
  <c r="R13" i="7"/>
  <c r="R14" i="7"/>
  <c r="R15" i="7"/>
  <c r="R16" i="7"/>
  <c r="R17" i="7"/>
  <c r="R18" i="7"/>
  <c r="R19" i="7"/>
  <c r="R20" i="7"/>
  <c r="R21" i="7"/>
  <c r="P6" i="7"/>
  <c r="Q6" i="7" s="1"/>
  <c r="P7" i="7"/>
  <c r="Q7" i="7" s="1"/>
  <c r="P8" i="7"/>
  <c r="Q8" i="7" s="1"/>
  <c r="P9" i="7"/>
  <c r="Q9" i="7" s="1"/>
  <c r="P11" i="7"/>
  <c r="Q11" i="7" s="1"/>
  <c r="P12" i="7"/>
  <c r="Q12" i="7" s="1"/>
  <c r="P13" i="7"/>
  <c r="Q13" i="7" s="1"/>
  <c r="P14" i="7"/>
  <c r="Q14" i="7" s="1"/>
  <c r="P15" i="7"/>
  <c r="Q15" i="7" s="1"/>
  <c r="P16" i="7"/>
  <c r="Q16" i="7" s="1"/>
  <c r="P17" i="7"/>
  <c r="Q17" i="7" s="1"/>
  <c r="P18" i="7"/>
  <c r="Q18" i="7" s="1"/>
  <c r="P19" i="7"/>
  <c r="Q19" i="7" s="1"/>
  <c r="P20" i="7"/>
  <c r="Q20" i="7" s="1"/>
  <c r="P21" i="7"/>
  <c r="Q21" i="7" s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L6" i="7"/>
  <c r="M6" i="7" s="1"/>
  <c r="L7" i="7"/>
  <c r="M7" i="7" s="1"/>
  <c r="L8" i="7"/>
  <c r="M8" i="7" s="1"/>
  <c r="L9" i="7"/>
  <c r="M9" i="7" s="1"/>
  <c r="L10" i="7"/>
  <c r="M10" i="7" s="1"/>
  <c r="L11" i="7"/>
  <c r="M11" i="7" s="1"/>
  <c r="L12" i="7"/>
  <c r="M12" i="7" s="1"/>
  <c r="L13" i="7"/>
  <c r="M13" i="7" s="1"/>
  <c r="L14" i="7"/>
  <c r="M14" i="7" s="1"/>
  <c r="L15" i="7"/>
  <c r="M15" i="7" s="1"/>
  <c r="L16" i="7"/>
  <c r="M16" i="7" s="1"/>
  <c r="L17" i="7"/>
  <c r="M17" i="7" s="1"/>
  <c r="L18" i="7"/>
  <c r="M18" i="7" s="1"/>
  <c r="L19" i="7"/>
  <c r="M19" i="7" s="1"/>
  <c r="L20" i="7"/>
  <c r="M20" i="7" s="1"/>
  <c r="L21" i="7"/>
  <c r="M21" i="7" s="1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AD5" i="7"/>
  <c r="AB5" i="7"/>
  <c r="AC5" i="7" s="1"/>
  <c r="Z5" i="7"/>
  <c r="X5" i="7"/>
  <c r="Y5" i="7" s="1"/>
  <c r="V5" i="7"/>
  <c r="T5" i="7"/>
  <c r="U5" i="7" s="1"/>
  <c r="R5" i="7"/>
  <c r="P5" i="7"/>
  <c r="Q5" i="7" s="1"/>
  <c r="N5" i="7"/>
  <c r="L5" i="7"/>
  <c r="M5" i="7" s="1"/>
  <c r="J5" i="7"/>
  <c r="H5" i="7"/>
  <c r="I5" i="7" s="1"/>
  <c r="R22" i="7" l="1"/>
  <c r="R31" i="7" s="1"/>
  <c r="L22" i="7"/>
  <c r="L31" i="7" s="1"/>
  <c r="T22" i="7"/>
  <c r="T31" i="7" s="1"/>
  <c r="AD22" i="7"/>
  <c r="AD31" i="7" s="1"/>
  <c r="AB22" i="7"/>
  <c r="AB31" i="7" s="1"/>
  <c r="Z22" i="7"/>
  <c r="Z31" i="7" s="1"/>
  <c r="X22" i="7"/>
  <c r="X31" i="7" s="1"/>
  <c r="V22" i="7"/>
  <c r="V31" i="7" s="1"/>
  <c r="P22" i="7"/>
  <c r="P31" i="7" s="1"/>
  <c r="N22" i="7"/>
  <c r="N31" i="7" s="1"/>
  <c r="J22" i="7"/>
  <c r="J31" i="7" s="1"/>
  <c r="H22" i="7"/>
  <c r="H31" i="7" s="1"/>
  <c r="X37" i="6"/>
  <c r="T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U37" i="6"/>
  <c r="V37" i="6"/>
  <c r="W37" i="6"/>
  <c r="C37" i="6"/>
  <c r="X36" i="6"/>
  <c r="T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U36" i="6"/>
  <c r="V36" i="6"/>
  <c r="W36" i="6"/>
  <c r="C36" i="6"/>
  <c r="X31" i="6"/>
  <c r="U31" i="6"/>
  <c r="V31" i="6"/>
  <c r="W31" i="6"/>
  <c r="X30" i="6"/>
  <c r="U30" i="6"/>
  <c r="V30" i="6"/>
  <c r="W30" i="6"/>
  <c r="X25" i="6"/>
  <c r="U25" i="6"/>
  <c r="V25" i="6"/>
  <c r="W25" i="6"/>
  <c r="X24" i="6"/>
  <c r="U24" i="6"/>
  <c r="V24" i="6"/>
  <c r="W24" i="6"/>
  <c r="X19" i="6"/>
  <c r="T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U19" i="6"/>
  <c r="V19" i="6"/>
  <c r="W19" i="6"/>
  <c r="C19" i="6"/>
  <c r="X18" i="6"/>
  <c r="T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U18" i="6"/>
  <c r="V18" i="6"/>
  <c r="W18" i="6"/>
  <c r="C18" i="6"/>
  <c r="X13" i="6"/>
  <c r="T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U13" i="6"/>
  <c r="V13" i="6"/>
  <c r="W13" i="6"/>
  <c r="C13" i="6"/>
  <c r="X12" i="6"/>
  <c r="T12" i="6"/>
  <c r="U12" i="6"/>
  <c r="V12" i="6"/>
  <c r="W12" i="6"/>
  <c r="X7" i="6" l="1"/>
  <c r="T7" i="6"/>
  <c r="U7" i="6"/>
  <c r="V7" i="6"/>
  <c r="W7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C12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C7" i="6"/>
  <c r="T6" i="6"/>
  <c r="U6" i="6"/>
  <c r="W6" i="6"/>
  <c r="X6" i="6"/>
  <c r="V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C6" i="6"/>
  <c r="X34" i="6" l="1"/>
  <c r="W34" i="6"/>
  <c r="V34" i="6"/>
  <c r="U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G28" i="6"/>
  <c r="T34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F28" i="6"/>
  <c r="E28" i="6"/>
  <c r="D28" i="6"/>
  <c r="C28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X4" i="6" l="1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30" i="7" l="1"/>
  <c r="B22" i="7"/>
  <c r="B31" i="7" l="1"/>
  <c r="W38" i="6"/>
  <c r="C38" i="6"/>
  <c r="W35" i="6"/>
  <c r="V35" i="6"/>
  <c r="N35" i="6"/>
  <c r="M35" i="6"/>
  <c r="F35" i="6"/>
  <c r="E35" i="6"/>
  <c r="U35" i="6"/>
  <c r="C35" i="6"/>
  <c r="U32" i="6"/>
  <c r="Q29" i="6"/>
  <c r="L29" i="6"/>
  <c r="G29" i="6"/>
  <c r="V29" i="6"/>
  <c r="U29" i="6"/>
  <c r="M29" i="6"/>
  <c r="K29" i="6"/>
  <c r="I29" i="6"/>
  <c r="E29" i="6"/>
  <c r="P29" i="6"/>
  <c r="I26" i="6"/>
  <c r="W23" i="6"/>
  <c r="U23" i="6"/>
  <c r="M23" i="6"/>
  <c r="M20" i="6"/>
  <c r="H20" i="6"/>
  <c r="V20" i="6"/>
  <c r="U20" i="6"/>
  <c r="K20" i="6"/>
  <c r="G20" i="6"/>
  <c r="S20" i="6"/>
  <c r="L20" i="6"/>
  <c r="Q17" i="6"/>
  <c r="L17" i="6"/>
  <c r="G17" i="6"/>
  <c r="V17" i="6"/>
  <c r="U17" i="6"/>
  <c r="M17" i="6"/>
  <c r="K17" i="6"/>
  <c r="I17" i="6"/>
  <c r="E17" i="6"/>
  <c r="P17" i="6"/>
  <c r="S14" i="6"/>
  <c r="N14" i="6"/>
  <c r="I14" i="6"/>
  <c r="W14" i="6"/>
  <c r="K14" i="6"/>
  <c r="G14" i="6"/>
  <c r="R14" i="6"/>
  <c r="R11" i="6"/>
  <c r="M11" i="6"/>
  <c r="W11" i="6"/>
  <c r="U11" i="6"/>
  <c r="K11" i="6"/>
  <c r="F11" i="6"/>
  <c r="S8" i="6"/>
  <c r="U8" i="6"/>
  <c r="M8" i="6"/>
  <c r="Q5" i="6"/>
  <c r="L5" i="6"/>
  <c r="G5" i="6"/>
  <c r="V5" i="6"/>
  <c r="U5" i="6"/>
  <c r="M5" i="6"/>
  <c r="K5" i="6"/>
  <c r="I5" i="6"/>
  <c r="E5" i="6"/>
  <c r="P5" i="6"/>
  <c r="O26" i="6" l="1"/>
  <c r="J26" i="6"/>
  <c r="E26" i="6"/>
  <c r="M26" i="6"/>
  <c r="U26" i="6"/>
  <c r="V26" i="6"/>
  <c r="C26" i="6"/>
  <c r="O8" i="6"/>
  <c r="D8" i="6"/>
  <c r="E8" i="6"/>
  <c r="C8" i="6"/>
  <c r="E23" i="6"/>
  <c r="I23" i="6"/>
  <c r="Q23" i="6"/>
  <c r="G23" i="6"/>
  <c r="E32" i="6"/>
  <c r="L32" i="6"/>
  <c r="D32" i="6"/>
  <c r="S32" i="6"/>
  <c r="K32" i="6"/>
  <c r="M32" i="6"/>
  <c r="V8" i="6"/>
  <c r="H8" i="6"/>
  <c r="H11" i="6"/>
  <c r="L11" i="6"/>
  <c r="P11" i="6"/>
  <c r="O14" i="6"/>
  <c r="J14" i="6"/>
  <c r="E14" i="6"/>
  <c r="M14" i="6"/>
  <c r="Q14" i="6"/>
  <c r="U14" i="6"/>
  <c r="V14" i="6"/>
  <c r="C14" i="6"/>
  <c r="R26" i="6"/>
  <c r="G26" i="6"/>
  <c r="K26" i="6"/>
  <c r="W26" i="6"/>
  <c r="N26" i="6"/>
  <c r="D23" i="6"/>
  <c r="O23" i="6"/>
  <c r="J23" i="6"/>
  <c r="S23" i="6"/>
  <c r="N23" i="6"/>
  <c r="C23" i="6"/>
  <c r="H23" i="6"/>
  <c r="L23" i="6"/>
  <c r="P23" i="6"/>
  <c r="Q26" i="6"/>
  <c r="I8" i="6"/>
  <c r="Q8" i="6"/>
  <c r="I32" i="6"/>
  <c r="Q32" i="6"/>
  <c r="C32" i="6"/>
  <c r="D11" i="6"/>
  <c r="S11" i="6"/>
  <c r="N11" i="6"/>
  <c r="C11" i="6"/>
  <c r="O11" i="6"/>
  <c r="J11" i="6"/>
  <c r="L8" i="6"/>
  <c r="G8" i="6"/>
  <c r="K8" i="6"/>
  <c r="E11" i="6"/>
  <c r="I11" i="6"/>
  <c r="Q11" i="6"/>
  <c r="G11" i="6"/>
  <c r="E20" i="6"/>
  <c r="O20" i="6"/>
  <c r="D20" i="6"/>
  <c r="I20" i="6"/>
  <c r="Q20" i="6"/>
  <c r="C20" i="6"/>
  <c r="F23" i="6"/>
  <c r="K23" i="6"/>
  <c r="R23" i="6"/>
  <c r="S26" i="6"/>
  <c r="P32" i="6"/>
  <c r="G32" i="6"/>
  <c r="O32" i="6"/>
  <c r="F20" i="6"/>
  <c r="J20" i="6"/>
  <c r="N20" i="6"/>
  <c r="R20" i="6"/>
  <c r="C29" i="6"/>
  <c r="H29" i="6"/>
  <c r="S29" i="6"/>
  <c r="J32" i="6"/>
  <c r="J38" i="6"/>
  <c r="J5" i="6"/>
  <c r="R5" i="6"/>
  <c r="W8" i="6"/>
  <c r="P8" i="6"/>
  <c r="V11" i="6"/>
  <c r="F14" i="6"/>
  <c r="J17" i="6"/>
  <c r="R17" i="6"/>
  <c r="D17" i="6"/>
  <c r="O17" i="6"/>
  <c r="W20" i="6"/>
  <c r="P20" i="6"/>
  <c r="V23" i="6"/>
  <c r="F26" i="6"/>
  <c r="F29" i="6"/>
  <c r="J29" i="6"/>
  <c r="N29" i="6"/>
  <c r="R29" i="6"/>
  <c r="D29" i="6"/>
  <c r="O29" i="6"/>
  <c r="W32" i="6"/>
  <c r="G35" i="6"/>
  <c r="K35" i="6"/>
  <c r="O35" i="6"/>
  <c r="S35" i="6"/>
  <c r="I35" i="6"/>
  <c r="Q35" i="6"/>
  <c r="U38" i="6"/>
  <c r="E38" i="6"/>
  <c r="M38" i="6"/>
  <c r="V38" i="6"/>
  <c r="G38" i="6"/>
  <c r="K38" i="6"/>
  <c r="O38" i="6"/>
  <c r="S38" i="6"/>
  <c r="I38" i="6"/>
  <c r="Q38" i="6"/>
  <c r="C5" i="6"/>
  <c r="H5" i="6"/>
  <c r="S5" i="6"/>
  <c r="F8" i="6"/>
  <c r="J8" i="6"/>
  <c r="N8" i="6"/>
  <c r="R8" i="6"/>
  <c r="C17" i="6"/>
  <c r="H17" i="6"/>
  <c r="S17" i="6"/>
  <c r="F32" i="6"/>
  <c r="N32" i="6"/>
  <c r="R32" i="6"/>
  <c r="V32" i="6"/>
  <c r="D38" i="6"/>
  <c r="H38" i="6"/>
  <c r="L38" i="6"/>
  <c r="P38" i="6"/>
  <c r="R38" i="6"/>
  <c r="F5" i="6"/>
  <c r="N5" i="6"/>
  <c r="D5" i="6"/>
  <c r="O5" i="6"/>
  <c r="F17" i="6"/>
  <c r="N17" i="6"/>
  <c r="W5" i="6"/>
  <c r="D14" i="6"/>
  <c r="H14" i="6"/>
  <c r="L14" i="6"/>
  <c r="P14" i="6"/>
  <c r="W17" i="6"/>
  <c r="D26" i="6"/>
  <c r="H26" i="6"/>
  <c r="L26" i="6"/>
  <c r="P26" i="6"/>
  <c r="W29" i="6"/>
  <c r="H32" i="6"/>
  <c r="D35" i="6"/>
  <c r="H35" i="6"/>
  <c r="L35" i="6"/>
  <c r="P35" i="6"/>
  <c r="J35" i="6"/>
  <c r="R35" i="6"/>
  <c r="F38" i="6"/>
  <c r="N38" i="6"/>
  <c r="G7" i="7" l="1"/>
  <c r="E7" i="7"/>
  <c r="F7" i="7" s="1"/>
  <c r="E39" i="6"/>
  <c r="G18" i="7"/>
  <c r="E18" i="7"/>
  <c r="F18" i="7" s="1"/>
  <c r="P39" i="6"/>
  <c r="G19" i="7"/>
  <c r="E19" i="7"/>
  <c r="F19" i="7" s="1"/>
  <c r="Q39" i="6"/>
  <c r="G28" i="7"/>
  <c r="E28" i="7"/>
  <c r="F28" i="7" s="1"/>
  <c r="V39" i="6"/>
  <c r="E5" i="7"/>
  <c r="F5" i="7" s="1"/>
  <c r="G5" i="7"/>
  <c r="T39" i="6"/>
  <c r="C39" i="6"/>
  <c r="G8" i="7"/>
  <c r="E8" i="7"/>
  <c r="F8" i="7" s="1"/>
  <c r="F39" i="6"/>
  <c r="G11" i="7"/>
  <c r="E11" i="7"/>
  <c r="F11" i="7" s="1"/>
  <c r="I39" i="6"/>
  <c r="G12" i="7"/>
  <c r="E12" i="7"/>
  <c r="F12" i="7" s="1"/>
  <c r="J39" i="6"/>
  <c r="G15" i="7"/>
  <c r="E15" i="7"/>
  <c r="F15" i="7" s="1"/>
  <c r="M39" i="6"/>
  <c r="G6" i="7"/>
  <c r="E6" i="7"/>
  <c r="F6" i="7" s="1"/>
  <c r="D39" i="6"/>
  <c r="E9" i="7"/>
  <c r="F9" i="7" s="1"/>
  <c r="G9" i="7"/>
  <c r="G39" i="6"/>
  <c r="G10" i="7"/>
  <c r="E10" i="7"/>
  <c r="F10" i="7" s="1"/>
  <c r="H39" i="6"/>
  <c r="E27" i="7"/>
  <c r="F27" i="7" s="1"/>
  <c r="G27" i="7"/>
  <c r="X39" i="6"/>
  <c r="U39" i="6"/>
  <c r="E29" i="7"/>
  <c r="F29" i="7" s="1"/>
  <c r="G29" i="7"/>
  <c r="W39" i="6"/>
  <c r="E13" i="7"/>
  <c r="F13" i="7" s="1"/>
  <c r="G13" i="7"/>
  <c r="K39" i="6"/>
  <c r="G14" i="7"/>
  <c r="F14" i="7"/>
  <c r="G16" i="7"/>
  <c r="E16" i="7"/>
  <c r="F16" i="7" s="1"/>
  <c r="N39" i="6"/>
  <c r="E17" i="7"/>
  <c r="F17" i="7" s="1"/>
  <c r="G17" i="7"/>
  <c r="O39" i="6"/>
  <c r="G20" i="7"/>
  <c r="E20" i="7"/>
  <c r="F20" i="7" s="1"/>
  <c r="R39" i="6"/>
  <c r="E21" i="7"/>
  <c r="F21" i="7" s="1"/>
  <c r="G21" i="7"/>
  <c r="S39" i="6"/>
  <c r="U40" i="6" l="1"/>
  <c r="O40" i="6"/>
  <c r="E30" i="7"/>
  <c r="I40" i="6"/>
  <c r="G22" i="7"/>
  <c r="P40" i="6"/>
  <c r="E40" i="6"/>
  <c r="R40" i="6"/>
  <c r="K40" i="6"/>
  <c r="H40" i="6"/>
  <c r="J40" i="6"/>
  <c r="E22" i="7"/>
  <c r="Q40" i="6"/>
  <c r="S40" i="6"/>
  <c r="L40" i="6"/>
  <c r="W40" i="6"/>
  <c r="G40" i="6"/>
  <c r="M40" i="6"/>
  <c r="C40" i="6"/>
  <c r="V40" i="6"/>
  <c r="N40" i="6"/>
  <c r="G30" i="7"/>
  <c r="D40" i="6"/>
  <c r="F40" i="6"/>
  <c r="E31" i="7" l="1"/>
  <c r="G31" i="7"/>
</calcChain>
</file>

<file path=xl/sharedStrings.xml><?xml version="1.0" encoding="utf-8"?>
<sst xmlns="http://schemas.openxmlformats.org/spreadsheetml/2006/main" count="18573" uniqueCount="3503">
  <si>
    <t>班别</t>
  </si>
  <si>
    <t>姓名</t>
  </si>
  <si>
    <t>总分</t>
    <phoneticPr fontId="2" type="noConversion"/>
  </si>
  <si>
    <t>语文</t>
  </si>
  <si>
    <t>物理</t>
    <phoneticPr fontId="2" type="noConversion"/>
  </si>
  <si>
    <t>班级</t>
  </si>
  <si>
    <t>政治</t>
  </si>
  <si>
    <t>1814</t>
  </si>
  <si>
    <t>范馨尹</t>
  </si>
  <si>
    <t>1810</t>
  </si>
  <si>
    <t>1809</t>
  </si>
  <si>
    <t>邹禹盈</t>
  </si>
  <si>
    <t>1818</t>
  </si>
  <si>
    <t>钟妙鸣</t>
  </si>
  <si>
    <t>黄颖珊</t>
  </si>
  <si>
    <t>欧沛杨</t>
  </si>
  <si>
    <t>潘黄画意</t>
  </si>
  <si>
    <t>1803</t>
  </si>
  <si>
    <t>陶芝莹</t>
  </si>
  <si>
    <t>1802</t>
  </si>
  <si>
    <t>黎文垚</t>
  </si>
  <si>
    <t>刘家丽</t>
  </si>
  <si>
    <t>黄嘉雨</t>
  </si>
  <si>
    <t>梁安然</t>
  </si>
  <si>
    <t>苏雨昕</t>
  </si>
  <si>
    <t>1820</t>
  </si>
  <si>
    <t>莫凯茵</t>
  </si>
  <si>
    <t>袁意</t>
  </si>
  <si>
    <t>1801</t>
  </si>
  <si>
    <t>李宗誉</t>
  </si>
  <si>
    <t>冼嘉杏</t>
  </si>
  <si>
    <t>林聪</t>
  </si>
  <si>
    <t>李佳茵</t>
  </si>
  <si>
    <t>冯阳洋</t>
  </si>
  <si>
    <t>1811</t>
  </si>
  <si>
    <t>罗晓霖</t>
  </si>
  <si>
    <t>黎钊阳</t>
  </si>
  <si>
    <t>车锦红</t>
  </si>
  <si>
    <t>1817</t>
  </si>
  <si>
    <t>莫非凡</t>
  </si>
  <si>
    <t>廖子森</t>
  </si>
  <si>
    <t>谢依君</t>
  </si>
  <si>
    <t>陈冠帆</t>
  </si>
  <si>
    <t>卢奕希</t>
  </si>
  <si>
    <t>陈洁</t>
  </si>
  <si>
    <t>谭钰莹</t>
  </si>
  <si>
    <t>曾宪杭</t>
  </si>
  <si>
    <t>纪奔妤</t>
  </si>
  <si>
    <t>韦惠钰</t>
  </si>
  <si>
    <t>1816</t>
  </si>
  <si>
    <t>李达昊</t>
  </si>
  <si>
    <t>宾颖淇</t>
  </si>
  <si>
    <t>1819</t>
  </si>
  <si>
    <t>谢丹妮</t>
  </si>
  <si>
    <t>1807</t>
  </si>
  <si>
    <t>潘尚</t>
  </si>
  <si>
    <t>1808</t>
  </si>
  <si>
    <t>胡永华</t>
  </si>
  <si>
    <t>许心愿</t>
  </si>
  <si>
    <t>李诗洋</t>
  </si>
  <si>
    <t>1805</t>
  </si>
  <si>
    <t>何俊锐</t>
  </si>
  <si>
    <t>周雅婷</t>
  </si>
  <si>
    <t>黄浩昌</t>
  </si>
  <si>
    <t>何希言</t>
  </si>
  <si>
    <t>严颖铧</t>
  </si>
  <si>
    <t>饶幸怡</t>
  </si>
  <si>
    <t>潘铭真</t>
  </si>
  <si>
    <t>1806</t>
  </si>
  <si>
    <t>陈俊中</t>
  </si>
  <si>
    <t>黄麒高</t>
  </si>
  <si>
    <t>李沁睿</t>
  </si>
  <si>
    <t>刘志锋</t>
  </si>
  <si>
    <t>1813</t>
  </si>
  <si>
    <t>童劲光</t>
  </si>
  <si>
    <t>化学</t>
  </si>
  <si>
    <t>历史</t>
  </si>
  <si>
    <t>覃东健</t>
  </si>
  <si>
    <t>陆嘉杰</t>
  </si>
  <si>
    <t>黄子聪</t>
  </si>
  <si>
    <t>李泳恩</t>
  </si>
  <si>
    <t>关舒心</t>
  </si>
  <si>
    <t>劳梓晋</t>
  </si>
  <si>
    <t>崔子裕</t>
  </si>
  <si>
    <t>黄倩茹</t>
  </si>
  <si>
    <t>江晓毅</t>
  </si>
  <si>
    <t>陈诗梦</t>
  </si>
  <si>
    <t>姚舜宇</t>
  </si>
  <si>
    <t>梁成</t>
  </si>
  <si>
    <t>梁焜鹏</t>
  </si>
  <si>
    <t>周娆涛</t>
  </si>
  <si>
    <t>陈颖烨</t>
  </si>
  <si>
    <t>李铿锵</t>
  </si>
  <si>
    <t>郭筱婷</t>
  </si>
  <si>
    <t>李茜</t>
  </si>
  <si>
    <t>李立珍</t>
  </si>
  <si>
    <t>梁峻豪</t>
  </si>
  <si>
    <t>陈柯维</t>
  </si>
  <si>
    <t>严冬仪</t>
  </si>
  <si>
    <t>黄婕妤</t>
  </si>
  <si>
    <t>张伊妍</t>
  </si>
  <si>
    <t>何子云</t>
  </si>
  <si>
    <t>邱夏</t>
  </si>
  <si>
    <t>莫思淇</t>
  </si>
  <si>
    <t>英语</t>
  </si>
  <si>
    <t>赖伟业</t>
  </si>
  <si>
    <t>陈湘王莹</t>
  </si>
  <si>
    <t>蒙晓桐</t>
  </si>
  <si>
    <t>陈佳强</t>
  </si>
  <si>
    <t>1812</t>
  </si>
  <si>
    <t>谭砚桁</t>
  </si>
  <si>
    <t>方仕锋</t>
  </si>
  <si>
    <t>杨林遐</t>
  </si>
  <si>
    <t>吴聊</t>
  </si>
  <si>
    <t>梅天傲</t>
  </si>
  <si>
    <t>李坤明</t>
  </si>
  <si>
    <t>覃凯琳</t>
  </si>
  <si>
    <t>1804</t>
  </si>
  <si>
    <t>石恩豪</t>
  </si>
  <si>
    <t>林梅兰</t>
  </si>
  <si>
    <t>钟玉倩</t>
  </si>
  <si>
    <t>徐莆钧</t>
  </si>
  <si>
    <t>潘思成</t>
  </si>
  <si>
    <t>黎伊雯</t>
  </si>
  <si>
    <t>李勇材</t>
  </si>
  <si>
    <t>欧沛楠</t>
  </si>
  <si>
    <t>霍宗尧</t>
  </si>
  <si>
    <t>李思思</t>
  </si>
  <si>
    <t>黄嘉丽</t>
  </si>
  <si>
    <t>李楚莹</t>
  </si>
  <si>
    <t>黄耀萱</t>
  </si>
  <si>
    <t>1815</t>
  </si>
  <si>
    <t>钟榆盛</t>
  </si>
  <si>
    <t>陈卓斌</t>
  </si>
  <si>
    <t>潘佳慧</t>
  </si>
  <si>
    <t>李炳坚</t>
  </si>
  <si>
    <t>黄妙乐</t>
  </si>
  <si>
    <t>陈兆康</t>
  </si>
  <si>
    <t>梁怡菁</t>
  </si>
  <si>
    <t>陈扬</t>
  </si>
  <si>
    <t>吴虹漫</t>
  </si>
  <si>
    <t>梁嘉辉</t>
  </si>
  <si>
    <t>梁耀文</t>
  </si>
  <si>
    <t>谢链飞</t>
  </si>
  <si>
    <t>刘岳奇</t>
  </si>
  <si>
    <t>钟楚婷</t>
  </si>
  <si>
    <t>黄启正</t>
  </si>
  <si>
    <t>黄炜权</t>
  </si>
  <si>
    <t>李媚</t>
  </si>
  <si>
    <t>钟惠梅</t>
  </si>
  <si>
    <t>蔡东辉</t>
  </si>
  <si>
    <t>容子茵</t>
  </si>
  <si>
    <t>黄铭静</t>
  </si>
  <si>
    <t>班级</t>
    <phoneticPr fontId="2" type="noConversion"/>
  </si>
  <si>
    <t>前50名人数</t>
    <phoneticPr fontId="2" type="noConversion"/>
  </si>
  <si>
    <t>前100名人数</t>
    <phoneticPr fontId="2" type="noConversion"/>
  </si>
  <si>
    <t>理科总分前6名班级</t>
  </si>
  <si>
    <t>蒋松蓉</t>
  </si>
  <si>
    <t>余逸晴</t>
  </si>
  <si>
    <t>陆嘉怡</t>
  </si>
  <si>
    <t>陈树清</t>
  </si>
  <si>
    <t>容子茜</t>
  </si>
  <si>
    <t>刘凯洋</t>
  </si>
  <si>
    <t>阮心妍</t>
  </si>
  <si>
    <t>钟厚德</t>
  </si>
  <si>
    <t>黄铭章</t>
  </si>
  <si>
    <t>聂舒琳</t>
  </si>
  <si>
    <t>文科总分前2名班级</t>
    <phoneticPr fontId="2" type="noConversion"/>
  </si>
  <si>
    <t>陈晓婷</t>
  </si>
  <si>
    <t>黄治</t>
  </si>
  <si>
    <t>罗镇林</t>
  </si>
  <si>
    <t>宋昀芮</t>
  </si>
  <si>
    <t>李承儒</t>
  </si>
  <si>
    <t>合计</t>
    <phoneticPr fontId="2" type="noConversion"/>
  </si>
  <si>
    <t>陈彤</t>
  </si>
  <si>
    <t>刘炜寺</t>
  </si>
  <si>
    <t>陈驰宇</t>
  </si>
  <si>
    <t>麦安淇</t>
  </si>
  <si>
    <t>梁馨允</t>
  </si>
  <si>
    <t>廖闻</t>
  </si>
  <si>
    <t>李哲</t>
  </si>
  <si>
    <t>姚俊杰</t>
  </si>
  <si>
    <t>全海银</t>
  </si>
  <si>
    <t>吴钰婷</t>
  </si>
  <si>
    <t>陈朝阳</t>
  </si>
  <si>
    <t>李舒婷</t>
  </si>
  <si>
    <t>陈海宇</t>
  </si>
  <si>
    <t>李沁彤</t>
  </si>
  <si>
    <t>苏文洁</t>
  </si>
  <si>
    <t>谭植文</t>
  </si>
  <si>
    <t>谭淳谦</t>
  </si>
  <si>
    <t>陆启俊</t>
  </si>
  <si>
    <t>苏禹衡</t>
  </si>
  <si>
    <t>禤春苹</t>
  </si>
  <si>
    <t>邓焕</t>
  </si>
  <si>
    <t>卢钰薇</t>
  </si>
  <si>
    <t>严方蔓</t>
  </si>
  <si>
    <t>刘湘念</t>
  </si>
  <si>
    <t>蒙鲡弘</t>
  </si>
  <si>
    <t>谢佳君</t>
  </si>
  <si>
    <t>梁栩源</t>
  </si>
  <si>
    <t>陈美朱</t>
  </si>
  <si>
    <t>莫一凡</t>
  </si>
  <si>
    <t>徐焱梅</t>
  </si>
  <si>
    <t>文诗音</t>
  </si>
  <si>
    <t>段亚豪</t>
  </si>
  <si>
    <t>陈立儒</t>
  </si>
  <si>
    <t>甘露露</t>
  </si>
  <si>
    <t>程家瑶</t>
  </si>
  <si>
    <t>郑元基</t>
  </si>
  <si>
    <t>考号</t>
  </si>
  <si>
    <t>20180499</t>
  </si>
  <si>
    <t>180101</t>
  </si>
  <si>
    <t>陈程慧</t>
  </si>
  <si>
    <t>20180117</t>
  </si>
  <si>
    <t>180102</t>
  </si>
  <si>
    <t>20180593</t>
  </si>
  <si>
    <t>180103</t>
  </si>
  <si>
    <t>陈冠林</t>
  </si>
  <si>
    <t>20180898</t>
  </si>
  <si>
    <t>180104</t>
  </si>
  <si>
    <t>陈军瑜</t>
  </si>
  <si>
    <t>20180354</t>
  </si>
  <si>
    <t>180105</t>
  </si>
  <si>
    <t>陈晔</t>
  </si>
  <si>
    <t>20180757</t>
  </si>
  <si>
    <t>180106</t>
  </si>
  <si>
    <t>陈奕安</t>
  </si>
  <si>
    <t>20180633</t>
  </si>
  <si>
    <t>180107</t>
  </si>
  <si>
    <t>方勇</t>
  </si>
  <si>
    <t>20180155</t>
  </si>
  <si>
    <t>180108</t>
  </si>
  <si>
    <t>冯展明</t>
  </si>
  <si>
    <t>20180009</t>
  </si>
  <si>
    <t>180109</t>
  </si>
  <si>
    <t>郭柳炎</t>
  </si>
  <si>
    <t>20180115</t>
  </si>
  <si>
    <t>180110</t>
  </si>
  <si>
    <t>韩耀鑫</t>
  </si>
  <si>
    <t>20180908</t>
  </si>
  <si>
    <t>180111</t>
  </si>
  <si>
    <t>何东泽</t>
  </si>
  <si>
    <t>20180740</t>
  </si>
  <si>
    <t>180112</t>
  </si>
  <si>
    <t>胡锦鸿</t>
  </si>
  <si>
    <t>20180510</t>
  </si>
  <si>
    <t>180113</t>
  </si>
  <si>
    <t>胡宗兰</t>
  </si>
  <si>
    <t>20180810</t>
  </si>
  <si>
    <t>180114</t>
  </si>
  <si>
    <t>黄柏淳</t>
  </si>
  <si>
    <t>20180647</t>
  </si>
  <si>
    <t>180115</t>
  </si>
  <si>
    <t>黄嘉辉</t>
  </si>
  <si>
    <t>20180595</t>
  </si>
  <si>
    <t>180116</t>
  </si>
  <si>
    <t>黄靖恒</t>
  </si>
  <si>
    <t>20180162</t>
  </si>
  <si>
    <t>180117</t>
  </si>
  <si>
    <t>黄清枫</t>
  </si>
  <si>
    <t>20180677</t>
  </si>
  <si>
    <t>180118</t>
  </si>
  <si>
    <t>黄诗淇</t>
  </si>
  <si>
    <t>20180982</t>
  </si>
  <si>
    <t>180119</t>
  </si>
  <si>
    <t>黄昕玥</t>
  </si>
  <si>
    <t>20180044</t>
  </si>
  <si>
    <t>180120</t>
  </si>
  <si>
    <t>蒋虹秀</t>
  </si>
  <si>
    <t>20180153</t>
  </si>
  <si>
    <t>180121</t>
  </si>
  <si>
    <t>黎桁孜</t>
  </si>
  <si>
    <t>20180556</t>
  </si>
  <si>
    <t>180122</t>
  </si>
  <si>
    <t>黎淼</t>
  </si>
  <si>
    <t>20180482</t>
  </si>
  <si>
    <t>180123</t>
  </si>
  <si>
    <t>20181001</t>
  </si>
  <si>
    <t>180124</t>
  </si>
  <si>
    <t>李喜钊</t>
  </si>
  <si>
    <t>20180553</t>
  </si>
  <si>
    <t>180125</t>
  </si>
  <si>
    <t>李星怡</t>
  </si>
  <si>
    <t>20180062</t>
  </si>
  <si>
    <t>180126</t>
  </si>
  <si>
    <t>李秀灵</t>
  </si>
  <si>
    <t>20180406</t>
  </si>
  <si>
    <t>180127</t>
  </si>
  <si>
    <t>李彦砺</t>
  </si>
  <si>
    <t>20180636</t>
  </si>
  <si>
    <t>180128</t>
  </si>
  <si>
    <t>李毅冠</t>
  </si>
  <si>
    <t>20180183</t>
  </si>
  <si>
    <t>180129</t>
  </si>
  <si>
    <t>20180529</t>
  </si>
  <si>
    <t>180130</t>
  </si>
  <si>
    <t>梁杰明</t>
  </si>
  <si>
    <t>20181052</t>
  </si>
  <si>
    <t>180131</t>
  </si>
  <si>
    <t>梁诗琪</t>
  </si>
  <si>
    <t>20181025</t>
  </si>
  <si>
    <t>180132</t>
  </si>
  <si>
    <t>梁炜蓥</t>
  </si>
  <si>
    <t>20180951</t>
  </si>
  <si>
    <t>180133</t>
  </si>
  <si>
    <t>梁蕴仪</t>
  </si>
  <si>
    <t>20180134</t>
  </si>
  <si>
    <t>180134</t>
  </si>
  <si>
    <t>林丹</t>
  </si>
  <si>
    <t>20181054</t>
  </si>
  <si>
    <t>180135</t>
  </si>
  <si>
    <t>林金玲</t>
  </si>
  <si>
    <t>20180481</t>
  </si>
  <si>
    <t>180136</t>
  </si>
  <si>
    <t>林柳余</t>
  </si>
  <si>
    <t>20180620</t>
  </si>
  <si>
    <t>180137</t>
  </si>
  <si>
    <t>林诗婷</t>
  </si>
  <si>
    <t>20180761</t>
  </si>
  <si>
    <t>180138</t>
  </si>
  <si>
    <t>刘颍铭</t>
  </si>
  <si>
    <t>20180811</t>
  </si>
  <si>
    <t>180139</t>
  </si>
  <si>
    <t>卢诗镘</t>
  </si>
  <si>
    <t>20180727</t>
  </si>
  <si>
    <t>180140</t>
  </si>
  <si>
    <t>20180202</t>
  </si>
  <si>
    <t>180141</t>
  </si>
  <si>
    <t>马浩莹</t>
  </si>
  <si>
    <t>20180323</t>
  </si>
  <si>
    <t>180142</t>
  </si>
  <si>
    <t>麦鉴升</t>
  </si>
  <si>
    <t>20180897</t>
  </si>
  <si>
    <t>麦艺馨</t>
  </si>
  <si>
    <t>20180316</t>
  </si>
  <si>
    <t>180144</t>
  </si>
  <si>
    <t>莫小羚</t>
  </si>
  <si>
    <t>20180690</t>
  </si>
  <si>
    <t>180145</t>
  </si>
  <si>
    <t>聂千云</t>
  </si>
  <si>
    <t>20180551</t>
  </si>
  <si>
    <t>180146</t>
  </si>
  <si>
    <t>欧桐</t>
  </si>
  <si>
    <t>20180959</t>
  </si>
  <si>
    <t>180147</t>
  </si>
  <si>
    <t>区耀</t>
  </si>
  <si>
    <t>20180352</t>
  </si>
  <si>
    <t>180148</t>
  </si>
  <si>
    <t>粟晓柠</t>
  </si>
  <si>
    <t>20180639</t>
  </si>
  <si>
    <t>180149</t>
  </si>
  <si>
    <t>谭筱喆</t>
  </si>
  <si>
    <t>20180122</t>
  </si>
  <si>
    <t>180151</t>
  </si>
  <si>
    <t>肖博文</t>
  </si>
  <si>
    <t>20180231</t>
  </si>
  <si>
    <t>180152</t>
  </si>
  <si>
    <t>20180611</t>
  </si>
  <si>
    <t>180153</t>
  </si>
  <si>
    <t>谢妤珂</t>
  </si>
  <si>
    <t>20180679</t>
  </si>
  <si>
    <t>180154</t>
  </si>
  <si>
    <t>张铉钐</t>
  </si>
  <si>
    <t>20180853</t>
  </si>
  <si>
    <t>180155</t>
  </si>
  <si>
    <t>赵晓南</t>
  </si>
  <si>
    <t>20180684</t>
  </si>
  <si>
    <t>180156</t>
  </si>
  <si>
    <t>钟秉桦</t>
  </si>
  <si>
    <t>20180361</t>
  </si>
  <si>
    <t>180157</t>
  </si>
  <si>
    <t>周兴铖</t>
  </si>
  <si>
    <t>20180111</t>
  </si>
  <si>
    <t>180201</t>
  </si>
  <si>
    <t>陈敏</t>
  </si>
  <si>
    <t>20180710</t>
  </si>
  <si>
    <t>180202</t>
  </si>
  <si>
    <t>陈诗莜</t>
  </si>
  <si>
    <t>20180261</t>
  </si>
  <si>
    <t>180203</t>
  </si>
  <si>
    <t>陈伊铭</t>
  </si>
  <si>
    <t>20180582</t>
  </si>
  <si>
    <t>180204</t>
  </si>
  <si>
    <t>20180404</t>
  </si>
  <si>
    <t>180205</t>
  </si>
  <si>
    <t>邓广英</t>
  </si>
  <si>
    <t>20180822</t>
  </si>
  <si>
    <t>180206</t>
  </si>
  <si>
    <t>20180541</t>
  </si>
  <si>
    <t>180207</t>
  </si>
  <si>
    <t>黄椿菱</t>
  </si>
  <si>
    <t>20180220</t>
  </si>
  <si>
    <t>180208</t>
  </si>
  <si>
    <t>黄俊</t>
  </si>
  <si>
    <t>20181038</t>
  </si>
  <si>
    <t>180209</t>
  </si>
  <si>
    <t>黄曦逸</t>
  </si>
  <si>
    <t>20180847</t>
  </si>
  <si>
    <t>180210</t>
  </si>
  <si>
    <t>黄小桐</t>
  </si>
  <si>
    <t>20181039</t>
  </si>
  <si>
    <t>180211</t>
  </si>
  <si>
    <t>黄修治</t>
  </si>
  <si>
    <t>20180599</t>
  </si>
  <si>
    <t>180212</t>
  </si>
  <si>
    <t>黄颖茵</t>
  </si>
  <si>
    <t>20180681</t>
  </si>
  <si>
    <t>乐熙</t>
  </si>
  <si>
    <t>20180846</t>
  </si>
  <si>
    <t>180214</t>
  </si>
  <si>
    <t>黎睿霖</t>
  </si>
  <si>
    <t>20180465</t>
  </si>
  <si>
    <t>180215</t>
  </si>
  <si>
    <t>20180388</t>
  </si>
  <si>
    <t>180216</t>
  </si>
  <si>
    <t>黎鑫玲</t>
  </si>
  <si>
    <t>20180841</t>
  </si>
  <si>
    <t>180217</t>
  </si>
  <si>
    <t>李彬巧</t>
  </si>
  <si>
    <t>180218</t>
  </si>
  <si>
    <t>20180993</t>
  </si>
  <si>
    <t>180219</t>
  </si>
  <si>
    <t>李俊庆</t>
  </si>
  <si>
    <t>20180439</t>
  </si>
  <si>
    <t>180220</t>
  </si>
  <si>
    <t>20180470</t>
  </si>
  <si>
    <t>180221</t>
  </si>
  <si>
    <t>20180649</t>
  </si>
  <si>
    <t>180222</t>
  </si>
  <si>
    <t>李志豪</t>
  </si>
  <si>
    <t>20180703</t>
  </si>
  <si>
    <t>180223</t>
  </si>
  <si>
    <t>李柱朋</t>
  </si>
  <si>
    <t>20180503</t>
  </si>
  <si>
    <t>180224</t>
  </si>
  <si>
    <t>梁凤梅</t>
  </si>
  <si>
    <t>20180673</t>
  </si>
  <si>
    <t>180225</t>
  </si>
  <si>
    <t>梁婉蕾</t>
  </si>
  <si>
    <t>20180278</t>
  </si>
  <si>
    <t>180226</t>
  </si>
  <si>
    <t>廖文宇</t>
  </si>
  <si>
    <t>20181045</t>
  </si>
  <si>
    <t>180227</t>
  </si>
  <si>
    <t>林金壁</t>
  </si>
  <si>
    <t>20180017</t>
  </si>
  <si>
    <t>180228</t>
  </si>
  <si>
    <t>林倩宇</t>
  </si>
  <si>
    <t>20180604</t>
  </si>
  <si>
    <t>180229</t>
  </si>
  <si>
    <t>20180984</t>
  </si>
  <si>
    <t>180230</t>
  </si>
  <si>
    <t>陆俊羽</t>
  </si>
  <si>
    <t>20180314</t>
  </si>
  <si>
    <t>180231</t>
  </si>
  <si>
    <t>罗铵琪</t>
  </si>
  <si>
    <t>20180594</t>
  </si>
  <si>
    <t>180232</t>
  </si>
  <si>
    <t>罗怡芸</t>
  </si>
  <si>
    <t>20180065</t>
  </si>
  <si>
    <t>180233</t>
  </si>
  <si>
    <t>蒙柳莹</t>
  </si>
  <si>
    <t>20180783</t>
  </si>
  <si>
    <t>180234</t>
  </si>
  <si>
    <t>蒙煜轩</t>
  </si>
  <si>
    <t>20180414</t>
  </si>
  <si>
    <t>180235</t>
  </si>
  <si>
    <t>莫炳间</t>
  </si>
  <si>
    <t>20180808</t>
  </si>
  <si>
    <t>180236</t>
  </si>
  <si>
    <t>莫东桦</t>
  </si>
  <si>
    <t>20180151</t>
  </si>
  <si>
    <t>180237</t>
  </si>
  <si>
    <t>聂铭君</t>
  </si>
  <si>
    <t>20180288</t>
  </si>
  <si>
    <t>180238</t>
  </si>
  <si>
    <t>聂士杰</t>
  </si>
  <si>
    <t>20180071</t>
  </si>
  <si>
    <t>180239</t>
  </si>
  <si>
    <t>欧金兰</t>
  </si>
  <si>
    <t>20180456</t>
  </si>
  <si>
    <t>180240</t>
  </si>
  <si>
    <t>覃崇锴</t>
  </si>
  <si>
    <t>20181026</t>
  </si>
  <si>
    <t>180241</t>
  </si>
  <si>
    <t>20180131</t>
  </si>
  <si>
    <t>180242</t>
  </si>
  <si>
    <t>覃金慧</t>
  </si>
  <si>
    <t>20180545</t>
  </si>
  <si>
    <t>覃子豫</t>
  </si>
  <si>
    <t>20180209</t>
  </si>
  <si>
    <t>180244</t>
  </si>
  <si>
    <t>20180618</t>
  </si>
  <si>
    <t>180245</t>
  </si>
  <si>
    <t>温雨诚</t>
  </si>
  <si>
    <t>20180624</t>
  </si>
  <si>
    <t>180246</t>
  </si>
  <si>
    <t>吴松岳</t>
  </si>
  <si>
    <t>20180671</t>
  </si>
  <si>
    <t>180247</t>
  </si>
  <si>
    <t>冼鹏涛</t>
  </si>
  <si>
    <t>20180570</t>
  </si>
  <si>
    <t>180248</t>
  </si>
  <si>
    <t>肖湘月</t>
  </si>
  <si>
    <t>20180119</t>
  </si>
  <si>
    <t>180249</t>
  </si>
  <si>
    <t>熊芊锦</t>
  </si>
  <si>
    <t>20180896</t>
  </si>
  <si>
    <t>180250</t>
  </si>
  <si>
    <t>严炽权</t>
  </si>
  <si>
    <t>20180476</t>
  </si>
  <si>
    <t>180251</t>
  </si>
  <si>
    <t>杨天祥</t>
  </si>
  <si>
    <t>20180629</t>
  </si>
  <si>
    <t>180252</t>
  </si>
  <si>
    <t>易思慧</t>
  </si>
  <si>
    <t>20180709</t>
  </si>
  <si>
    <t>180253</t>
  </si>
  <si>
    <t>张敬培</t>
  </si>
  <si>
    <t>20180612</t>
  </si>
  <si>
    <t>180254</t>
  </si>
  <si>
    <t>张礼</t>
  </si>
  <si>
    <t>20181008</t>
  </si>
  <si>
    <t>180255</t>
  </si>
  <si>
    <t>钟景妍</t>
  </si>
  <si>
    <t>20180648</t>
  </si>
  <si>
    <t>180256</t>
  </si>
  <si>
    <t>朱昊军</t>
  </si>
  <si>
    <t>20180907</t>
  </si>
  <si>
    <t>180257</t>
  </si>
  <si>
    <t>左振国</t>
  </si>
  <si>
    <t>20180203</t>
  </si>
  <si>
    <t>180301</t>
  </si>
  <si>
    <t>陈戈有</t>
  </si>
  <si>
    <t>20180794</t>
  </si>
  <si>
    <t>180302</t>
  </si>
  <si>
    <t>陈家豪</t>
  </si>
  <si>
    <t>20180780</t>
  </si>
  <si>
    <t>180303</t>
  </si>
  <si>
    <t>陈俊宇</t>
  </si>
  <si>
    <t>20180672</t>
  </si>
  <si>
    <t>180304</t>
  </si>
  <si>
    <t>20180266</t>
  </si>
  <si>
    <t>180305</t>
  </si>
  <si>
    <t>20180549</t>
  </si>
  <si>
    <t>180306</t>
  </si>
  <si>
    <t>20180116</t>
  </si>
  <si>
    <t>180307</t>
  </si>
  <si>
    <t>冯茵榆</t>
  </si>
  <si>
    <t>20180882</t>
  </si>
  <si>
    <t>180308</t>
  </si>
  <si>
    <t>甘浩杰</t>
  </si>
  <si>
    <t>20180207</t>
  </si>
  <si>
    <t>180309</t>
  </si>
  <si>
    <t>关启钲</t>
  </si>
  <si>
    <t>20181056</t>
  </si>
  <si>
    <t>180310</t>
  </si>
  <si>
    <t>何梁锋</t>
  </si>
  <si>
    <t>20180704</t>
  </si>
  <si>
    <t>180311</t>
  </si>
  <si>
    <t>黄科材</t>
  </si>
  <si>
    <t>20180460</t>
  </si>
  <si>
    <t>180312</t>
  </si>
  <si>
    <t>黄小凤</t>
  </si>
  <si>
    <t>20180513</t>
  </si>
  <si>
    <t>180313</t>
  </si>
  <si>
    <t>黄遗豪</t>
  </si>
  <si>
    <t>20180871</t>
  </si>
  <si>
    <t>180314</t>
  </si>
  <si>
    <t>黄於情</t>
  </si>
  <si>
    <t>20180236</t>
  </si>
  <si>
    <t>180315</t>
  </si>
  <si>
    <t>江金静</t>
  </si>
  <si>
    <t>20180666</t>
  </si>
  <si>
    <t>180316</t>
  </si>
  <si>
    <t>柯骏宇</t>
  </si>
  <si>
    <t>20181004</t>
  </si>
  <si>
    <t>180317</t>
  </si>
  <si>
    <t>蓝许轩</t>
  </si>
  <si>
    <t>20180579</t>
  </si>
  <si>
    <t>180318</t>
  </si>
  <si>
    <t>黎诗烨</t>
  </si>
  <si>
    <t>20180304</t>
  </si>
  <si>
    <t>180319</t>
  </si>
  <si>
    <t>黎枝</t>
  </si>
  <si>
    <t>20181061</t>
  </si>
  <si>
    <t>180320</t>
  </si>
  <si>
    <t>李安安</t>
  </si>
  <si>
    <t>20180394</t>
  </si>
  <si>
    <t>180321</t>
  </si>
  <si>
    <t>李锦坤</t>
  </si>
  <si>
    <t>20180480</t>
  </si>
  <si>
    <t>180322</t>
  </si>
  <si>
    <t>李庞诗</t>
  </si>
  <si>
    <t>20180812</t>
  </si>
  <si>
    <t>180323</t>
  </si>
  <si>
    <t>李树清</t>
  </si>
  <si>
    <t>20180668</t>
  </si>
  <si>
    <t>180324</t>
  </si>
  <si>
    <t>李思锐</t>
  </si>
  <si>
    <t>20180002</t>
  </si>
  <si>
    <t>180325</t>
  </si>
  <si>
    <t>李小遥</t>
  </si>
  <si>
    <t>20180190</t>
  </si>
  <si>
    <t>180326</t>
  </si>
  <si>
    <t>梁依琳</t>
  </si>
  <si>
    <t>20180587</t>
  </si>
  <si>
    <t>180327</t>
  </si>
  <si>
    <t>20180179</t>
  </si>
  <si>
    <t>180328</t>
  </si>
  <si>
    <t>林骏</t>
  </si>
  <si>
    <t>20180571</t>
  </si>
  <si>
    <t>180329</t>
  </si>
  <si>
    <t>林奕希</t>
  </si>
  <si>
    <t>20181030</t>
  </si>
  <si>
    <t>180330</t>
  </si>
  <si>
    <t>刘隽炫</t>
  </si>
  <si>
    <t>20180023</t>
  </si>
  <si>
    <t>180331</t>
  </si>
  <si>
    <t>刘铭琳</t>
  </si>
  <si>
    <t>20180218</t>
  </si>
  <si>
    <t>180332</t>
  </si>
  <si>
    <t>刘泽龙</t>
  </si>
  <si>
    <t>20180156</t>
  </si>
  <si>
    <t>180333</t>
  </si>
  <si>
    <t>陆源</t>
  </si>
  <si>
    <t>20180252</t>
  </si>
  <si>
    <t>180334</t>
  </si>
  <si>
    <t>麦旖钰</t>
  </si>
  <si>
    <t>20180421</t>
  </si>
  <si>
    <t>180335</t>
  </si>
  <si>
    <t>莫玲芝</t>
  </si>
  <si>
    <t>20180140</t>
  </si>
  <si>
    <t>180336</t>
  </si>
  <si>
    <t>聂杞洋</t>
  </si>
  <si>
    <t>20180187</t>
  </si>
  <si>
    <t>180337</t>
  </si>
  <si>
    <t>欧锦桃</t>
  </si>
  <si>
    <t>20180813</t>
  </si>
  <si>
    <t>180338</t>
  </si>
  <si>
    <t>潘千铭</t>
  </si>
  <si>
    <t>20180949</t>
  </si>
  <si>
    <t>180339</t>
  </si>
  <si>
    <t>盘盈</t>
  </si>
  <si>
    <t>20180820</t>
  </si>
  <si>
    <t>180340</t>
  </si>
  <si>
    <t>邱煦童</t>
  </si>
  <si>
    <t>20180038</t>
  </si>
  <si>
    <t>180341</t>
  </si>
  <si>
    <t>全炫梅</t>
  </si>
  <si>
    <t>20180590</t>
  </si>
  <si>
    <t>180342</t>
  </si>
  <si>
    <t>施炜杰</t>
  </si>
  <si>
    <t>20180989</t>
  </si>
  <si>
    <t>180343</t>
  </si>
  <si>
    <t>宋杰龙</t>
  </si>
  <si>
    <t>20180484</t>
  </si>
  <si>
    <t>180344</t>
  </si>
  <si>
    <t>覃炜雯</t>
  </si>
  <si>
    <t>20180753</t>
  </si>
  <si>
    <t>180345</t>
  </si>
  <si>
    <t>20180216</t>
  </si>
  <si>
    <t>180346</t>
  </si>
  <si>
    <t>韦仕轩</t>
  </si>
  <si>
    <t>20180485</t>
  </si>
  <si>
    <t>180347</t>
  </si>
  <si>
    <t>韦贤延</t>
  </si>
  <si>
    <t>20180883</t>
  </si>
  <si>
    <t>180348</t>
  </si>
  <si>
    <t>韦欣</t>
  </si>
  <si>
    <t>20180371</t>
  </si>
  <si>
    <t>180349</t>
  </si>
  <si>
    <t>吴烨铭</t>
  </si>
  <si>
    <t>20180817</t>
  </si>
  <si>
    <t>180350</t>
  </si>
  <si>
    <t>闫梓琪</t>
  </si>
  <si>
    <t>20180895</t>
  </si>
  <si>
    <t>180351</t>
  </si>
  <si>
    <t>严嘉良</t>
  </si>
  <si>
    <t>20180886</t>
  </si>
  <si>
    <t>180352</t>
  </si>
  <si>
    <t>叶龙</t>
  </si>
  <si>
    <t>20180428</t>
  </si>
  <si>
    <t>180353</t>
  </si>
  <si>
    <t>赵艺萍</t>
  </si>
  <si>
    <t>20180053</t>
  </si>
  <si>
    <t>180354</t>
  </si>
  <si>
    <t>20180667</t>
  </si>
  <si>
    <t>180355</t>
  </si>
  <si>
    <t>钟崇铭</t>
  </si>
  <si>
    <t>20180010</t>
  </si>
  <si>
    <t>180356</t>
  </si>
  <si>
    <t>20180451</t>
  </si>
  <si>
    <t>180357</t>
  </si>
  <si>
    <t>钟楚荧</t>
  </si>
  <si>
    <t>20180490</t>
  </si>
  <si>
    <t>180401</t>
  </si>
  <si>
    <t>陈显明</t>
  </si>
  <si>
    <t>20180610</t>
  </si>
  <si>
    <t>180402</t>
  </si>
  <si>
    <t>龚铭俊</t>
  </si>
  <si>
    <t>20180198</t>
  </si>
  <si>
    <t>180403</t>
  </si>
  <si>
    <t>关玉梅</t>
  </si>
  <si>
    <t>20180607</t>
  </si>
  <si>
    <t>180404</t>
  </si>
  <si>
    <t>郭健骏</t>
  </si>
  <si>
    <t>20180479</t>
  </si>
  <si>
    <t>180405</t>
  </si>
  <si>
    <t>郭钊宏</t>
  </si>
  <si>
    <t>20180815</t>
  </si>
  <si>
    <t>180406</t>
  </si>
  <si>
    <t>何铭浩</t>
  </si>
  <si>
    <t>20180792</t>
  </si>
  <si>
    <t>180407</t>
  </si>
  <si>
    <t>胡海锐</t>
  </si>
  <si>
    <t>20181042</t>
  </si>
  <si>
    <t>180408</t>
  </si>
  <si>
    <t>胡起升</t>
  </si>
  <si>
    <t>20180188</t>
  </si>
  <si>
    <t>180409</t>
  </si>
  <si>
    <t>胡汝淋</t>
  </si>
  <si>
    <t>20180359</t>
  </si>
  <si>
    <t>180410</t>
  </si>
  <si>
    <t>黄青云</t>
  </si>
  <si>
    <t>20180656</t>
  </si>
  <si>
    <t>180411</t>
  </si>
  <si>
    <t>黄懿</t>
  </si>
  <si>
    <t>20180326</t>
  </si>
  <si>
    <t>180412</t>
  </si>
  <si>
    <t>黄颖慧</t>
  </si>
  <si>
    <t>20180309</t>
  </si>
  <si>
    <t>180413</t>
  </si>
  <si>
    <t>黄宇杰</t>
  </si>
  <si>
    <t>20180927</t>
  </si>
  <si>
    <t>180414</t>
  </si>
  <si>
    <t>黄昱豪</t>
  </si>
  <si>
    <t>20180178</t>
  </si>
  <si>
    <t>180415</t>
  </si>
  <si>
    <t>黄钰媚</t>
  </si>
  <si>
    <t>20180474</t>
  </si>
  <si>
    <t>180416</t>
  </si>
  <si>
    <t>黄云靖</t>
  </si>
  <si>
    <t>20180839</t>
  </si>
  <si>
    <t>180417</t>
  </si>
  <si>
    <t>黄卓玲</t>
  </si>
  <si>
    <t>20180533</t>
  </si>
  <si>
    <t>180418</t>
  </si>
  <si>
    <t>江秋韵</t>
  </si>
  <si>
    <t>20180276</t>
  </si>
  <si>
    <t>180419</t>
  </si>
  <si>
    <t>黎桂玫</t>
  </si>
  <si>
    <t>20180956</t>
  </si>
  <si>
    <t>180420</t>
  </si>
  <si>
    <t>黎炫东</t>
  </si>
  <si>
    <t>20180268</t>
  </si>
  <si>
    <t>180421</t>
  </si>
  <si>
    <t>李曾林</t>
  </si>
  <si>
    <t>20180095</t>
  </si>
  <si>
    <t>180422</t>
  </si>
  <si>
    <t>李洁宁</t>
  </si>
  <si>
    <t>20180407</t>
  </si>
  <si>
    <t>180423</t>
  </si>
  <si>
    <t>李满华</t>
  </si>
  <si>
    <t>20180313</t>
  </si>
  <si>
    <t>180424</t>
  </si>
  <si>
    <t>李琪琪</t>
  </si>
  <si>
    <t>20180292</t>
  </si>
  <si>
    <t>180425</t>
  </si>
  <si>
    <t>李湘莲</t>
  </si>
  <si>
    <t>20181041</t>
  </si>
  <si>
    <t>180426</t>
  </si>
  <si>
    <t>李子康</t>
  </si>
  <si>
    <t>20180793</t>
  </si>
  <si>
    <t>180427</t>
  </si>
  <si>
    <t>梁家明</t>
  </si>
  <si>
    <t>20180577</t>
  </si>
  <si>
    <t>180428</t>
  </si>
  <si>
    <t>梁路</t>
  </si>
  <si>
    <t>20180561</t>
  </si>
  <si>
    <t>180429</t>
  </si>
  <si>
    <t>20180632</t>
  </si>
  <si>
    <t>180430</t>
  </si>
  <si>
    <t>廖锦欣</t>
  </si>
  <si>
    <t>20180260</t>
  </si>
  <si>
    <t>180431</t>
  </si>
  <si>
    <t>廖秋梅</t>
  </si>
  <si>
    <t>20180878</t>
  </si>
  <si>
    <t>180432</t>
  </si>
  <si>
    <t>廖卓喆</t>
  </si>
  <si>
    <t>20180497</t>
  </si>
  <si>
    <t>180433</t>
  </si>
  <si>
    <t>林嘉慧</t>
  </si>
  <si>
    <t>20180923</t>
  </si>
  <si>
    <t>180434</t>
  </si>
  <si>
    <t>林小琪</t>
  </si>
  <si>
    <t>20180980</t>
  </si>
  <si>
    <t>180435</t>
  </si>
  <si>
    <t>刘思健</t>
  </si>
  <si>
    <t>20180616</t>
  </si>
  <si>
    <t>180436</t>
  </si>
  <si>
    <t>龙超</t>
  </si>
  <si>
    <t>20180767</t>
  </si>
  <si>
    <t>180437</t>
  </si>
  <si>
    <t>龙晓露</t>
  </si>
  <si>
    <t>20180874</t>
  </si>
  <si>
    <t>180438</t>
  </si>
  <si>
    <t>卢过</t>
  </si>
  <si>
    <t>20180943</t>
  </si>
  <si>
    <t>180439</t>
  </si>
  <si>
    <t>罗汉</t>
  </si>
  <si>
    <t>20180442</t>
  </si>
  <si>
    <t>180440</t>
  </si>
  <si>
    <t>罗媚</t>
  </si>
  <si>
    <t>20180398</t>
  </si>
  <si>
    <t>180441</t>
  </si>
  <si>
    <t>蒙培贤</t>
  </si>
  <si>
    <t>20180834</t>
  </si>
  <si>
    <t>180442</t>
  </si>
  <si>
    <t>莫书迪</t>
  </si>
  <si>
    <t>20180142</t>
  </si>
  <si>
    <t>180443</t>
  </si>
  <si>
    <t>莫文祯</t>
  </si>
  <si>
    <t>20180037</t>
  </si>
  <si>
    <t>180444</t>
  </si>
  <si>
    <t>20180575</t>
  </si>
  <si>
    <t>180445</t>
  </si>
  <si>
    <t>20181047</t>
  </si>
  <si>
    <t>180446</t>
  </si>
  <si>
    <t>苏焜榆</t>
  </si>
  <si>
    <t>20180524</t>
  </si>
  <si>
    <t>180447</t>
  </si>
  <si>
    <t>覃丽茵</t>
  </si>
  <si>
    <t>20180105</t>
  </si>
  <si>
    <t>180448</t>
  </si>
  <si>
    <t>覃小珠</t>
  </si>
  <si>
    <t>20180454</t>
  </si>
  <si>
    <t>180449</t>
  </si>
  <si>
    <t>唐火兰</t>
  </si>
  <si>
    <t>20180940</t>
  </si>
  <si>
    <t>180450</t>
  </si>
  <si>
    <t>韦振宇</t>
  </si>
  <si>
    <t>20180760</t>
  </si>
  <si>
    <t>180451</t>
  </si>
  <si>
    <t>魏炬华</t>
  </si>
  <si>
    <t>20181021</t>
  </si>
  <si>
    <t>180452</t>
  </si>
  <si>
    <t>吴肖彤</t>
  </si>
  <si>
    <t>20180362</t>
  </si>
  <si>
    <t>180453</t>
  </si>
  <si>
    <t>肖茵翠</t>
  </si>
  <si>
    <t>20180143</t>
  </si>
  <si>
    <t>180454</t>
  </si>
  <si>
    <t>熊卓婷</t>
  </si>
  <si>
    <t>20180083</t>
  </si>
  <si>
    <t>180455</t>
  </si>
  <si>
    <t>叶政聪</t>
  </si>
  <si>
    <t>20180689</t>
  </si>
  <si>
    <t>180456</t>
  </si>
  <si>
    <t>张瑜</t>
  </si>
  <si>
    <t>20180509</t>
  </si>
  <si>
    <t>180457</t>
  </si>
  <si>
    <t>植宝棋</t>
  </si>
  <si>
    <t>20180771</t>
  </si>
  <si>
    <t>180501</t>
  </si>
  <si>
    <t>艾昕</t>
  </si>
  <si>
    <t>20180745</t>
  </si>
  <si>
    <t>180502</t>
  </si>
  <si>
    <t>陈昊田</t>
  </si>
  <si>
    <t>20180601</t>
  </si>
  <si>
    <t>180503</t>
  </si>
  <si>
    <t>陈金兰</t>
  </si>
  <si>
    <t>20180695</t>
  </si>
  <si>
    <t>180504</t>
  </si>
  <si>
    <t>陈丽冰</t>
  </si>
  <si>
    <t>20180803</t>
  </si>
  <si>
    <t>180505</t>
  </si>
  <si>
    <t>陈鹏</t>
  </si>
  <si>
    <t>20180463</t>
  </si>
  <si>
    <t>180506</t>
  </si>
  <si>
    <t>陈小康</t>
  </si>
  <si>
    <t>20180900</t>
  </si>
  <si>
    <t>180507</t>
  </si>
  <si>
    <t>邓泽琛</t>
  </si>
  <si>
    <t>20180234</t>
  </si>
  <si>
    <t>180508</t>
  </si>
  <si>
    <t>关雅心</t>
  </si>
  <si>
    <t>20180045</t>
  </si>
  <si>
    <t>180509</t>
  </si>
  <si>
    <t>郭晓莉</t>
  </si>
  <si>
    <t>20180171</t>
  </si>
  <si>
    <t>180510</t>
  </si>
  <si>
    <t>20180358</t>
  </si>
  <si>
    <t>180511</t>
  </si>
  <si>
    <t>何忠轩</t>
  </si>
  <si>
    <t>20180265</t>
  </si>
  <si>
    <t>180512</t>
  </si>
  <si>
    <t>胡壬馨</t>
  </si>
  <si>
    <t>20180032</t>
  </si>
  <si>
    <t>180513</t>
  </si>
  <si>
    <t>黄家棋</t>
  </si>
  <si>
    <t>20180177</t>
  </si>
  <si>
    <t>180514</t>
  </si>
  <si>
    <t>20180776</t>
  </si>
  <si>
    <t>180515</t>
  </si>
  <si>
    <t>黄瑾淇</t>
  </si>
  <si>
    <t>20180478</t>
  </si>
  <si>
    <t>180516</t>
  </si>
  <si>
    <t>黄思帆</t>
  </si>
  <si>
    <t>20180958</t>
  </si>
  <si>
    <t>180517</t>
  </si>
  <si>
    <t>黄苋婷</t>
  </si>
  <si>
    <t>20180970</t>
  </si>
  <si>
    <t>180518</t>
  </si>
  <si>
    <t>黄紫睿</t>
  </si>
  <si>
    <t>20180467</t>
  </si>
  <si>
    <t>180519</t>
  </si>
  <si>
    <t>霍青虹</t>
  </si>
  <si>
    <t>20181032</t>
  </si>
  <si>
    <t>180520</t>
  </si>
  <si>
    <t>黎承材</t>
  </si>
  <si>
    <t>20180713</t>
  </si>
  <si>
    <t>180521</t>
  </si>
  <si>
    <t>黎虹希</t>
  </si>
  <si>
    <t>20180426</t>
  </si>
  <si>
    <t>180522</t>
  </si>
  <si>
    <t>李权</t>
  </si>
  <si>
    <t>20180225</t>
  </si>
  <si>
    <t>180524</t>
  </si>
  <si>
    <t>李钰茹</t>
  </si>
  <si>
    <t>20180415</t>
  </si>
  <si>
    <t>180525</t>
  </si>
  <si>
    <t>梁宝珑</t>
  </si>
  <si>
    <t>20180258</t>
  </si>
  <si>
    <t>180526</t>
  </si>
  <si>
    <t>梁钰婷</t>
  </si>
  <si>
    <t>20180176</t>
  </si>
  <si>
    <t>180527</t>
  </si>
  <si>
    <t>廖柏潮</t>
  </si>
  <si>
    <t>20180859</t>
  </si>
  <si>
    <t>180528</t>
  </si>
  <si>
    <t>20180731</t>
  </si>
  <si>
    <t>180529</t>
  </si>
  <si>
    <t>林福霖</t>
  </si>
  <si>
    <t>20180600</t>
  </si>
  <si>
    <t>180530</t>
  </si>
  <si>
    <t>林锦成</t>
  </si>
  <si>
    <t>20181058</t>
  </si>
  <si>
    <t>180531</t>
  </si>
  <si>
    <t>刘津梧</t>
  </si>
  <si>
    <t>20180964</t>
  </si>
  <si>
    <t>180532</t>
  </si>
  <si>
    <t>刘泽民</t>
  </si>
  <si>
    <t>20180722</t>
  </si>
  <si>
    <t>180533</t>
  </si>
  <si>
    <t>龙秋利</t>
  </si>
  <si>
    <t>20180185</t>
  </si>
  <si>
    <t>180534</t>
  </si>
  <si>
    <t>卢通</t>
  </si>
  <si>
    <t>20180932</t>
  </si>
  <si>
    <t>180535</t>
  </si>
  <si>
    <t>20180589</t>
  </si>
  <si>
    <t>180536</t>
  </si>
  <si>
    <t>麦嘉聪</t>
  </si>
  <si>
    <t>20180387</t>
  </si>
  <si>
    <t>180537</t>
  </si>
  <si>
    <t>莫娟英</t>
  </si>
  <si>
    <t>20180224</t>
  </si>
  <si>
    <t>180538</t>
  </si>
  <si>
    <t>莫梅</t>
  </si>
  <si>
    <t>20180353</t>
  </si>
  <si>
    <t>180539</t>
  </si>
  <si>
    <t>莫倩烨</t>
  </si>
  <si>
    <t>20181051</t>
  </si>
  <si>
    <t>180540</t>
  </si>
  <si>
    <t>聂铭成</t>
  </si>
  <si>
    <t>20180857</t>
  </si>
  <si>
    <t>180541</t>
  </si>
  <si>
    <t>容骏</t>
  </si>
  <si>
    <t>20180963</t>
  </si>
  <si>
    <t>180542</t>
  </si>
  <si>
    <t>邵钊明</t>
  </si>
  <si>
    <t>20180427</t>
  </si>
  <si>
    <t>180543</t>
  </si>
  <si>
    <t>施敬铃</t>
  </si>
  <si>
    <t>20180777</t>
  </si>
  <si>
    <t>180544</t>
  </si>
  <si>
    <t>苏靖期</t>
  </si>
  <si>
    <t>20180734</t>
  </si>
  <si>
    <t>180545</t>
  </si>
  <si>
    <t>覃楚茵</t>
  </si>
  <si>
    <t>20180192</t>
  </si>
  <si>
    <t>180546</t>
  </si>
  <si>
    <t>谭至昕</t>
  </si>
  <si>
    <t>20180534</t>
  </si>
  <si>
    <t>180547</t>
  </si>
  <si>
    <t>吴铭轩</t>
  </si>
  <si>
    <t>20180928</t>
  </si>
  <si>
    <t>180548</t>
  </si>
  <si>
    <t>吴斯昕</t>
  </si>
  <si>
    <t>20180725</t>
  </si>
  <si>
    <t>180549</t>
  </si>
  <si>
    <t>夏晟杰</t>
  </si>
  <si>
    <t>20180835</t>
  </si>
  <si>
    <t>180550</t>
  </si>
  <si>
    <t>严文苑</t>
  </si>
  <si>
    <t>20180557</t>
  </si>
  <si>
    <t>180551</t>
  </si>
  <si>
    <t>杨钧茹</t>
  </si>
  <si>
    <t>20180180</t>
  </si>
  <si>
    <t>180552</t>
  </si>
  <si>
    <t>张文静</t>
  </si>
  <si>
    <t>20180791</t>
  </si>
  <si>
    <t>180553</t>
  </si>
  <si>
    <t>张钰欣</t>
  </si>
  <si>
    <t>20180332</t>
  </si>
  <si>
    <t>180554</t>
  </si>
  <si>
    <t>张芸苑</t>
  </si>
  <si>
    <t>20180748</t>
  </si>
  <si>
    <t>180555</t>
  </si>
  <si>
    <t>周文朗</t>
  </si>
  <si>
    <t>20180319</t>
  </si>
  <si>
    <t>180556</t>
  </si>
  <si>
    <t>周小坤</t>
  </si>
  <si>
    <t>20180718</t>
  </si>
  <si>
    <t>180601</t>
  </si>
  <si>
    <t>岑苑铟</t>
  </si>
  <si>
    <t>20180063</t>
  </si>
  <si>
    <t>180602</t>
  </si>
  <si>
    <t>曾雨君</t>
  </si>
  <si>
    <t>20180902</t>
  </si>
  <si>
    <t>180603</t>
  </si>
  <si>
    <t>陈谷盈</t>
  </si>
  <si>
    <t>20180228</t>
  </si>
  <si>
    <t>180604</t>
  </si>
  <si>
    <t>20180880</t>
  </si>
  <si>
    <t>180605</t>
  </si>
  <si>
    <t>20180498</t>
  </si>
  <si>
    <t>180606</t>
  </si>
  <si>
    <t>陈玟杏</t>
  </si>
  <si>
    <t>20181077</t>
  </si>
  <si>
    <t>180607</t>
  </si>
  <si>
    <t>陈信</t>
  </si>
  <si>
    <t>20180145</t>
  </si>
  <si>
    <t>180608</t>
  </si>
  <si>
    <t>陈雨泉</t>
  </si>
  <si>
    <t>20180899</t>
  </si>
  <si>
    <t>180609</t>
  </si>
  <si>
    <t>20180796</t>
  </si>
  <si>
    <t>180610</t>
  </si>
  <si>
    <t>樊亚萱</t>
  </si>
  <si>
    <t>20180699</t>
  </si>
  <si>
    <t>180611</t>
  </si>
  <si>
    <t>冯琪欢</t>
  </si>
  <si>
    <t>20180034</t>
  </si>
  <si>
    <t>180612</t>
  </si>
  <si>
    <t>郭磊</t>
  </si>
  <si>
    <t>20180539</t>
  </si>
  <si>
    <t>180613</t>
  </si>
  <si>
    <t>何裕幸</t>
  </si>
  <si>
    <t>20181033</t>
  </si>
  <si>
    <t>180614</t>
  </si>
  <si>
    <t>黄家桐</t>
  </si>
  <si>
    <t>20180233</t>
  </si>
  <si>
    <t>180615</t>
  </si>
  <si>
    <t>黄嘉杰</t>
  </si>
  <si>
    <t>20180983</t>
  </si>
  <si>
    <t>180616</t>
  </si>
  <si>
    <t>黄心彦</t>
  </si>
  <si>
    <t>20180712</t>
  </si>
  <si>
    <t>180617</t>
  </si>
  <si>
    <t>黄耀华</t>
  </si>
  <si>
    <t>20180918</t>
  </si>
  <si>
    <t>180618</t>
  </si>
  <si>
    <t>黄钰怡</t>
  </si>
  <si>
    <t>20180528</t>
  </si>
  <si>
    <t>180619</t>
  </si>
  <si>
    <t>黄振辉</t>
  </si>
  <si>
    <t>20180103</t>
  </si>
  <si>
    <t>180620</t>
  </si>
  <si>
    <t>江夏献</t>
  </si>
  <si>
    <t>20180282</t>
  </si>
  <si>
    <t>180621</t>
  </si>
  <si>
    <t>蓝琳</t>
  </si>
  <si>
    <t>20180493</t>
  </si>
  <si>
    <t>180622</t>
  </si>
  <si>
    <t>黎杼</t>
  </si>
  <si>
    <t>20180281</t>
  </si>
  <si>
    <t>180623</t>
  </si>
  <si>
    <t>李念祖</t>
  </si>
  <si>
    <t>20180925</t>
  </si>
  <si>
    <t>180624</t>
  </si>
  <si>
    <t>李逸菲</t>
  </si>
  <si>
    <t>20180698</t>
  </si>
  <si>
    <t>180625</t>
  </si>
  <si>
    <t>林洪正</t>
  </si>
  <si>
    <t>20180773</t>
  </si>
  <si>
    <t>180626</t>
  </si>
  <si>
    <t>刘佳</t>
  </si>
  <si>
    <t>20180726</t>
  </si>
  <si>
    <t>180627</t>
  </si>
  <si>
    <t>刘远达</t>
  </si>
  <si>
    <t>20180246</t>
  </si>
  <si>
    <t>180628</t>
  </si>
  <si>
    <t>罗格妙</t>
  </si>
  <si>
    <t>20181037</t>
  </si>
  <si>
    <t>180629</t>
  </si>
  <si>
    <t>吕淋漓</t>
  </si>
  <si>
    <t>20180141</t>
  </si>
  <si>
    <t>180630</t>
  </si>
  <si>
    <t>20180184</t>
  </si>
  <si>
    <t>180631</t>
  </si>
  <si>
    <t>莫沛钊</t>
  </si>
  <si>
    <t>20180992</t>
  </si>
  <si>
    <t>180632</t>
  </si>
  <si>
    <t>20180417</t>
  </si>
  <si>
    <t>180633</t>
  </si>
  <si>
    <t>聂金飞</t>
  </si>
  <si>
    <t>20180971</t>
  </si>
  <si>
    <t>180634</t>
  </si>
  <si>
    <t>区钧铭</t>
  </si>
  <si>
    <t>20180957</t>
  </si>
  <si>
    <t>180635</t>
  </si>
  <si>
    <t>首舜</t>
  </si>
  <si>
    <t>20180974</t>
  </si>
  <si>
    <t>180636</t>
  </si>
  <si>
    <t>覃洁溦</t>
  </si>
  <si>
    <t>20180082</t>
  </si>
  <si>
    <t>180637</t>
  </si>
  <si>
    <t>唐海萍</t>
  </si>
  <si>
    <t>20180865</t>
  </si>
  <si>
    <t>180638</t>
  </si>
  <si>
    <t>王焯</t>
  </si>
  <si>
    <t>20180458</t>
  </si>
  <si>
    <t>180639</t>
  </si>
  <si>
    <t>魏秋纯</t>
  </si>
  <si>
    <t>20180979</t>
  </si>
  <si>
    <t>180640</t>
  </si>
  <si>
    <t>邬乐怡</t>
  </si>
  <si>
    <t>20180864</t>
  </si>
  <si>
    <t>180641</t>
  </si>
  <si>
    <t>吴卓然</t>
  </si>
  <si>
    <t>20180204</t>
  </si>
  <si>
    <t>180642</t>
  </si>
  <si>
    <t>20180339</t>
  </si>
  <si>
    <t>180643</t>
  </si>
  <si>
    <t>辛金钊</t>
  </si>
  <si>
    <t>20180622</t>
  </si>
  <si>
    <t>180644</t>
  </si>
  <si>
    <t>禤楷妍</t>
  </si>
  <si>
    <t>20180136</t>
  </si>
  <si>
    <t>180645</t>
  </si>
  <si>
    <t>严楚锋</t>
  </si>
  <si>
    <t>20180831</t>
  </si>
  <si>
    <t>180646</t>
  </si>
  <si>
    <t>严进</t>
  </si>
  <si>
    <t>20180693</t>
  </si>
  <si>
    <t>180647</t>
  </si>
  <si>
    <t>严丽欣</t>
  </si>
  <si>
    <t>20180093</t>
  </si>
  <si>
    <t>180648</t>
  </si>
  <si>
    <t>严荣贞</t>
  </si>
  <si>
    <t>20180723</t>
  </si>
  <si>
    <t>180649</t>
  </si>
  <si>
    <t>严炜材</t>
  </si>
  <si>
    <t>20180778</t>
  </si>
  <si>
    <t>180650</t>
  </si>
  <si>
    <t>杨米雪</t>
  </si>
  <si>
    <t>20180126</t>
  </si>
  <si>
    <t>180651</t>
  </si>
  <si>
    <t>叶孜欣</t>
  </si>
  <si>
    <t>20180924</t>
  </si>
  <si>
    <t>180652</t>
  </si>
  <si>
    <t>袁和兴</t>
  </si>
  <si>
    <t>20180746</t>
  </si>
  <si>
    <t>180653</t>
  </si>
  <si>
    <t>张宇航</t>
  </si>
  <si>
    <t>20180397</t>
  </si>
  <si>
    <t>180654</t>
  </si>
  <si>
    <t>钟二梅</t>
  </si>
  <si>
    <t>20180330</t>
  </si>
  <si>
    <t>180655</t>
  </si>
  <si>
    <t>钟韵</t>
  </si>
  <si>
    <t>20180851</t>
  </si>
  <si>
    <t>180656</t>
  </si>
  <si>
    <t>周恩德</t>
  </si>
  <si>
    <t>20180519</t>
  </si>
  <si>
    <t>180657</t>
  </si>
  <si>
    <t>周晓雯</t>
  </si>
  <si>
    <t>20180106</t>
  </si>
  <si>
    <t>180701</t>
  </si>
  <si>
    <t>曾彦彬</t>
  </si>
  <si>
    <t>20180229</t>
  </si>
  <si>
    <t>180702</t>
  </si>
  <si>
    <t>陈朝羽</t>
  </si>
  <si>
    <t>20181000</t>
  </si>
  <si>
    <t>180703</t>
  </si>
  <si>
    <t>陈冠美</t>
  </si>
  <si>
    <t>20181029</t>
  </si>
  <si>
    <t>180704</t>
  </si>
  <si>
    <t>陈丽宇</t>
  </si>
  <si>
    <t>20180011</t>
  </si>
  <si>
    <t>20181023</t>
  </si>
  <si>
    <t>180706</t>
  </si>
  <si>
    <t>陈炜斌</t>
  </si>
  <si>
    <t>20180424</t>
  </si>
  <si>
    <t>180707</t>
  </si>
  <si>
    <t>程春媛</t>
  </si>
  <si>
    <t>20180765</t>
  </si>
  <si>
    <t>180708</t>
  </si>
  <si>
    <t>董一意</t>
  </si>
  <si>
    <t>20181007</t>
  </si>
  <si>
    <t>180709</t>
  </si>
  <si>
    <t>董艺雯</t>
  </si>
  <si>
    <t>20180807</t>
  </si>
  <si>
    <t>180710</t>
  </si>
  <si>
    <t>冯榕兰</t>
  </si>
  <si>
    <t>20180728</t>
  </si>
  <si>
    <t>180711</t>
  </si>
  <si>
    <t>郭诗雨</t>
  </si>
  <si>
    <t>20180098</t>
  </si>
  <si>
    <t>180712</t>
  </si>
  <si>
    <t>韩振宇</t>
  </si>
  <si>
    <t>20180047</t>
  </si>
  <si>
    <t>180713</t>
  </si>
  <si>
    <t>何柳平</t>
  </si>
  <si>
    <t>20180801</t>
  </si>
  <si>
    <t>180714</t>
  </si>
  <si>
    <t>胡芷茵</t>
  </si>
  <si>
    <t>20180525</t>
  </si>
  <si>
    <t>180715</t>
  </si>
  <si>
    <t>黄嘉良</t>
  </si>
  <si>
    <t>20180802</t>
  </si>
  <si>
    <t>180716</t>
  </si>
  <si>
    <t>黄杰荣</t>
  </si>
  <si>
    <t>20180651</t>
  </si>
  <si>
    <t>180717</t>
  </si>
  <si>
    <t>黄栎程</t>
  </si>
  <si>
    <t>20181010</t>
  </si>
  <si>
    <t>180718</t>
  </si>
  <si>
    <t>黄世鸿</t>
  </si>
  <si>
    <t>20181059</t>
  </si>
  <si>
    <t>180719</t>
  </si>
  <si>
    <t>黄玮浩</t>
  </si>
  <si>
    <t>20180962</t>
  </si>
  <si>
    <t>180720</t>
  </si>
  <si>
    <t>黎昊</t>
  </si>
  <si>
    <t>20180729</t>
  </si>
  <si>
    <t>180721</t>
  </si>
  <si>
    <t>黎晓峰</t>
  </si>
  <si>
    <t>180722</t>
  </si>
  <si>
    <t>20180523</t>
  </si>
  <si>
    <t>180723</t>
  </si>
  <si>
    <t>李维峰</t>
  </si>
  <si>
    <t>20180625</t>
  </si>
  <si>
    <t>180724</t>
  </si>
  <si>
    <t>李无霜</t>
  </si>
  <si>
    <t>20180300</t>
  </si>
  <si>
    <t>180725</t>
  </si>
  <si>
    <t>练炳林</t>
  </si>
  <si>
    <t>20180242</t>
  </si>
  <si>
    <t>180726</t>
  </si>
  <si>
    <t>梁椅淇</t>
  </si>
  <si>
    <t>20180544</t>
  </si>
  <si>
    <t>180727</t>
  </si>
  <si>
    <t>廖紫霞</t>
  </si>
  <si>
    <t>20180617</t>
  </si>
  <si>
    <t>180728</t>
  </si>
  <si>
    <t>卢栩烽</t>
  </si>
  <si>
    <t>20181066</t>
  </si>
  <si>
    <t>180729</t>
  </si>
  <si>
    <t>陆宇翔</t>
  </si>
  <si>
    <t>20181055</t>
  </si>
  <si>
    <t>180730</t>
  </si>
  <si>
    <t>莫鹃铭</t>
  </si>
  <si>
    <t>20181074</t>
  </si>
  <si>
    <t>180731</t>
  </si>
  <si>
    <t>莫梦佳</t>
  </si>
  <si>
    <t>20180569</t>
  </si>
  <si>
    <t>180732</t>
  </si>
  <si>
    <t>莫骐睿</t>
  </si>
  <si>
    <t>20180331</t>
  </si>
  <si>
    <t>180733</t>
  </si>
  <si>
    <t>聂焕坤</t>
  </si>
  <si>
    <t>20180108</t>
  </si>
  <si>
    <t>180734</t>
  </si>
  <si>
    <t>农镇涛</t>
  </si>
  <si>
    <t>20180165</t>
  </si>
  <si>
    <t>180735</t>
  </si>
  <si>
    <t>欧芷彤</t>
  </si>
  <si>
    <t>20180573</t>
  </si>
  <si>
    <t>180736</t>
  </si>
  <si>
    <t>潘锦海</t>
  </si>
  <si>
    <t>20180658</t>
  </si>
  <si>
    <t>180737</t>
  </si>
  <si>
    <t>20180596</t>
  </si>
  <si>
    <t>180738</t>
  </si>
  <si>
    <t>柒懿倩</t>
  </si>
  <si>
    <t>20180782</t>
  </si>
  <si>
    <t>180739</t>
  </si>
  <si>
    <t>苏宝怡</t>
  </si>
  <si>
    <t>20180705</t>
  </si>
  <si>
    <t>180740</t>
  </si>
  <si>
    <t>覃威斌</t>
  </si>
  <si>
    <t>20180708</t>
  </si>
  <si>
    <t>180741</t>
  </si>
  <si>
    <t>20180457</t>
  </si>
  <si>
    <t>180742</t>
  </si>
  <si>
    <t>唐荣霞</t>
  </si>
  <si>
    <t>20180251</t>
  </si>
  <si>
    <t>180743</t>
  </si>
  <si>
    <t>韦颖珊</t>
  </si>
  <si>
    <t>20180921</t>
  </si>
  <si>
    <t>180744</t>
  </si>
  <si>
    <t>吴少多</t>
  </si>
  <si>
    <t>20180263</t>
  </si>
  <si>
    <t>180745</t>
  </si>
  <si>
    <t>吴玉剑</t>
  </si>
  <si>
    <t>20180284</t>
  </si>
  <si>
    <t>180746</t>
  </si>
  <si>
    <t>徐椿林</t>
  </si>
  <si>
    <t>20180068</t>
  </si>
  <si>
    <t>180747</t>
  </si>
  <si>
    <t>严泽禧</t>
  </si>
  <si>
    <t>20180774</t>
  </si>
  <si>
    <t>180748</t>
  </si>
  <si>
    <t>叶桦宁</t>
  </si>
  <si>
    <t>20180652</t>
  </si>
  <si>
    <t>180749</t>
  </si>
  <si>
    <t>易臻</t>
  </si>
  <si>
    <t>20181016</t>
  </si>
  <si>
    <t>180750</t>
  </si>
  <si>
    <t>张桂松</t>
  </si>
  <si>
    <t>20180195</t>
  </si>
  <si>
    <t>180751</t>
  </si>
  <si>
    <t>钟德植</t>
  </si>
  <si>
    <t>20181011</t>
  </si>
  <si>
    <t>180752</t>
  </si>
  <si>
    <t>钟棋</t>
  </si>
  <si>
    <t>20180526</t>
  </si>
  <si>
    <t>180753</t>
  </si>
  <si>
    <t>钟巧纯</t>
  </si>
  <si>
    <t>20180516</t>
  </si>
  <si>
    <t>180754</t>
  </si>
  <si>
    <t>钟杏婷</t>
  </si>
  <si>
    <t>20180511</t>
  </si>
  <si>
    <t>180755</t>
  </si>
  <si>
    <t>钟雪晴</t>
  </si>
  <si>
    <t>20180953</t>
  </si>
  <si>
    <t>180756</t>
  </si>
  <si>
    <t>周杰</t>
  </si>
  <si>
    <t>20180827</t>
  </si>
  <si>
    <t>180757</t>
  </si>
  <si>
    <t>邹辛勤</t>
  </si>
  <si>
    <t>20180751</t>
  </si>
  <si>
    <t>180801</t>
  </si>
  <si>
    <t>曾婷慧</t>
  </si>
  <si>
    <t>20180066</t>
  </si>
  <si>
    <t>陈泓策</t>
  </si>
  <si>
    <t>20180152</t>
  </si>
  <si>
    <t>180803</t>
  </si>
  <si>
    <t>陈莉</t>
  </si>
  <si>
    <t>20180790</t>
  </si>
  <si>
    <t>180804</t>
  </si>
  <si>
    <t>陈诗柔</t>
  </si>
  <si>
    <t>20180638</t>
  </si>
  <si>
    <t>180805</t>
  </si>
  <si>
    <t>20180285</t>
  </si>
  <si>
    <t>180806</t>
  </si>
  <si>
    <t>邓杰明</t>
  </si>
  <si>
    <t>20180241</t>
  </si>
  <si>
    <t>180807</t>
  </si>
  <si>
    <t>邓仕超</t>
  </si>
  <si>
    <t>20180889</t>
  </si>
  <si>
    <t>180808</t>
  </si>
  <si>
    <t>冯潇彦</t>
  </si>
  <si>
    <t>20180562</t>
  </si>
  <si>
    <t>180809</t>
  </si>
  <si>
    <t>顾安怡</t>
  </si>
  <si>
    <t>20180929</t>
  </si>
  <si>
    <t>180810</t>
  </si>
  <si>
    <t>韩子夏</t>
  </si>
  <si>
    <t>20180450</t>
  </si>
  <si>
    <t>180811</t>
  </si>
  <si>
    <t>20180280</t>
  </si>
  <si>
    <t>180812</t>
  </si>
  <si>
    <t>20180343</t>
  </si>
  <si>
    <t>180813</t>
  </si>
  <si>
    <t>黄淑银</t>
  </si>
  <si>
    <t>20180904</t>
  </si>
  <si>
    <t>180814</t>
  </si>
  <si>
    <t>20180466</t>
  </si>
  <si>
    <t>180815</t>
  </si>
  <si>
    <t>黄艺萍</t>
  </si>
  <si>
    <t>20181014</t>
  </si>
  <si>
    <t>180816</t>
  </si>
  <si>
    <t>黄悦</t>
  </si>
  <si>
    <t>20180201</t>
  </si>
  <si>
    <t>180817</t>
  </si>
  <si>
    <t>黄子珊</t>
  </si>
  <si>
    <t>20180303</t>
  </si>
  <si>
    <t>180818</t>
  </si>
  <si>
    <t>孔美焰</t>
  </si>
  <si>
    <t>20180077</t>
  </si>
  <si>
    <t>180819</t>
  </si>
  <si>
    <t>赖昶名</t>
  </si>
  <si>
    <t>20180072</t>
  </si>
  <si>
    <t>180820</t>
  </si>
  <si>
    <t>黎桂祥</t>
  </si>
  <si>
    <t>20180717</t>
  </si>
  <si>
    <t>180821</t>
  </si>
  <si>
    <t>黎鉴辉</t>
  </si>
  <si>
    <t>20180489</t>
  </si>
  <si>
    <t>180822</t>
  </si>
  <si>
    <t>李金亮</t>
  </si>
  <si>
    <t>20180255</t>
  </si>
  <si>
    <t>180823</t>
  </si>
  <si>
    <t>李沛泳</t>
  </si>
  <si>
    <t>20180420</t>
  </si>
  <si>
    <t>180824</t>
  </si>
  <si>
    <t>李羽婷</t>
  </si>
  <si>
    <t>20180860</t>
  </si>
  <si>
    <t>180825</t>
  </si>
  <si>
    <t>梁家诚</t>
  </si>
  <si>
    <t>20180972</t>
  </si>
  <si>
    <t>180826</t>
  </si>
  <si>
    <t>梁小桦</t>
  </si>
  <si>
    <t>20180472</t>
  </si>
  <si>
    <t>180827</t>
  </si>
  <si>
    <t>20180322</t>
  </si>
  <si>
    <t>180828</t>
  </si>
  <si>
    <t>梁周恩</t>
  </si>
  <si>
    <t>20180059</t>
  </si>
  <si>
    <t>180829</t>
  </si>
  <si>
    <t>林富鑫</t>
  </si>
  <si>
    <t>20180416</t>
  </si>
  <si>
    <t>180830</t>
  </si>
  <si>
    <t>刘亭君</t>
  </si>
  <si>
    <t>20180848</t>
  </si>
  <si>
    <t>180831</t>
  </si>
  <si>
    <t>刘栩君</t>
  </si>
  <si>
    <t>20180273</t>
  </si>
  <si>
    <t>180832</t>
  </si>
  <si>
    <t>陆彦妃</t>
  </si>
  <si>
    <t>20180373</t>
  </si>
  <si>
    <t>180833</t>
  </si>
  <si>
    <t>罗楚梅</t>
  </si>
  <si>
    <t>20180583</t>
  </si>
  <si>
    <t>180834</t>
  </si>
  <si>
    <t>罗林昊</t>
  </si>
  <si>
    <t>20180075</t>
  </si>
  <si>
    <t>180835</t>
  </si>
  <si>
    <t>罗舒铃</t>
  </si>
  <si>
    <t>20180738</t>
  </si>
  <si>
    <t>180836</t>
  </si>
  <si>
    <t>20180816</t>
  </si>
  <si>
    <t>180837</t>
  </si>
  <si>
    <t>麦晖</t>
  </si>
  <si>
    <t>20181069</t>
  </si>
  <si>
    <t>180838</t>
  </si>
  <si>
    <t>莫琰恩</t>
  </si>
  <si>
    <t>20180634</t>
  </si>
  <si>
    <t>180839</t>
  </si>
  <si>
    <t>莫子杰</t>
  </si>
  <si>
    <t>20180584</t>
  </si>
  <si>
    <t>180840</t>
  </si>
  <si>
    <t>潘格丽</t>
  </si>
  <si>
    <t>20180628</t>
  </si>
  <si>
    <t>180841</t>
  </si>
  <si>
    <t>潘星霖</t>
  </si>
  <si>
    <t>20180074</t>
  </si>
  <si>
    <t>180842</t>
  </si>
  <si>
    <t>秦铭霞</t>
  </si>
  <si>
    <t>20180086</t>
  </si>
  <si>
    <t>180843</t>
  </si>
  <si>
    <t>宋淼玲</t>
  </si>
  <si>
    <t>20180588</t>
  </si>
  <si>
    <t>180844</t>
  </si>
  <si>
    <t>宋长风</t>
  </si>
  <si>
    <t>20180014</t>
  </si>
  <si>
    <t>180845</t>
  </si>
  <si>
    <t>苏小钰</t>
  </si>
  <si>
    <t>20180832</t>
  </si>
  <si>
    <t>180846</t>
  </si>
  <si>
    <t>覃烯杨</t>
  </si>
  <si>
    <t>20181075</t>
  </si>
  <si>
    <t>180847</t>
  </si>
  <si>
    <t>唐敬杰</t>
  </si>
  <si>
    <t>20180148</t>
  </si>
  <si>
    <t>180848</t>
  </si>
  <si>
    <t>唐石火</t>
  </si>
  <si>
    <t>20180350</t>
  </si>
  <si>
    <t>180849</t>
  </si>
  <si>
    <t>吴晓钰</t>
  </si>
  <si>
    <t>20180514</t>
  </si>
  <si>
    <t>180850</t>
  </si>
  <si>
    <t>贤雪玲</t>
  </si>
  <si>
    <t>20180714</t>
  </si>
  <si>
    <t>180851</t>
  </si>
  <si>
    <t>杨钰良</t>
  </si>
  <si>
    <t>20181036</t>
  </si>
  <si>
    <t>180852</t>
  </si>
  <si>
    <t>钟锦婷</t>
  </si>
  <si>
    <t>20180706</t>
  </si>
  <si>
    <t>180853</t>
  </si>
  <si>
    <t>钟沁卉</t>
  </si>
  <si>
    <t>20180390</t>
  </si>
  <si>
    <t>180854</t>
  </si>
  <si>
    <t>周浩靖</t>
  </si>
  <si>
    <t>20180462</t>
  </si>
  <si>
    <t>180855</t>
  </si>
  <si>
    <t>周轩</t>
  </si>
  <si>
    <t>20180506</t>
  </si>
  <si>
    <t>180856</t>
  </si>
  <si>
    <t>朱茵</t>
  </si>
  <si>
    <t>20180291</t>
  </si>
  <si>
    <t>180857</t>
  </si>
  <si>
    <t>钟馨仪</t>
  </si>
  <si>
    <t>20180400</t>
  </si>
  <si>
    <t>180901</t>
  </si>
  <si>
    <t>20181064</t>
  </si>
  <si>
    <t>180902</t>
  </si>
  <si>
    <t>20180173</t>
  </si>
  <si>
    <t>180903</t>
  </si>
  <si>
    <t>20180483</t>
  </si>
  <si>
    <t>180904</t>
  </si>
  <si>
    <t>陈敏玲</t>
  </si>
  <si>
    <t>20180113</t>
  </si>
  <si>
    <t>180905</t>
  </si>
  <si>
    <t>20180219</t>
  </si>
  <si>
    <t>180906</t>
  </si>
  <si>
    <t>20180412</t>
  </si>
  <si>
    <t>180907</t>
  </si>
  <si>
    <t>20180154</t>
  </si>
  <si>
    <t>180908</t>
  </si>
  <si>
    <t>20180158</t>
  </si>
  <si>
    <t>180909</t>
  </si>
  <si>
    <t>段亚辉</t>
  </si>
  <si>
    <t>20180215</t>
  </si>
  <si>
    <t>180910</t>
  </si>
  <si>
    <t>郭维凌</t>
  </si>
  <si>
    <t>20180048</t>
  </si>
  <si>
    <t>180911</t>
  </si>
  <si>
    <t>20180090</t>
  </si>
  <si>
    <t>180912</t>
  </si>
  <si>
    <t>20180384</t>
  </si>
  <si>
    <t>180913</t>
  </si>
  <si>
    <t>20180181</t>
  </si>
  <si>
    <t>180914</t>
  </si>
  <si>
    <t>20180351</t>
  </si>
  <si>
    <t>180915</t>
  </si>
  <si>
    <t>黄榆媚</t>
  </si>
  <si>
    <t>20180206</t>
  </si>
  <si>
    <t>180916</t>
  </si>
  <si>
    <t>20180120</t>
  </si>
  <si>
    <t>180917</t>
  </si>
  <si>
    <t>20180168</t>
  </si>
  <si>
    <t>180918</t>
  </si>
  <si>
    <t>黎予君</t>
  </si>
  <si>
    <t>20180312</t>
  </si>
  <si>
    <t>180919</t>
  </si>
  <si>
    <t>李金媛</t>
  </si>
  <si>
    <t>20180167</t>
  </si>
  <si>
    <t>180920</t>
  </si>
  <si>
    <t>20180446</t>
  </si>
  <si>
    <t>180921</t>
  </si>
  <si>
    <t>20180127</t>
  </si>
  <si>
    <t>180922</t>
  </si>
  <si>
    <t>20180094</t>
  </si>
  <si>
    <t>180923</t>
  </si>
  <si>
    <t>20180395</t>
  </si>
  <si>
    <t>180924</t>
  </si>
  <si>
    <t>20180532</t>
  </si>
  <si>
    <t>20180307</t>
  </si>
  <si>
    <t>180926</t>
  </si>
  <si>
    <t>20180174</t>
  </si>
  <si>
    <t>180927</t>
  </si>
  <si>
    <t>林鹏</t>
  </si>
  <si>
    <t>20181040</t>
  </si>
  <si>
    <t>180928</t>
  </si>
  <si>
    <t>20180109</t>
  </si>
  <si>
    <t>180929</t>
  </si>
  <si>
    <t>20181009</t>
  </si>
  <si>
    <t>180930</t>
  </si>
  <si>
    <t>20180013</t>
  </si>
  <si>
    <t>180931</t>
  </si>
  <si>
    <t>20180289</t>
  </si>
  <si>
    <t>180932</t>
  </si>
  <si>
    <t>20180448</t>
  </si>
  <si>
    <t>180933</t>
  </si>
  <si>
    <t>20180380</t>
  </si>
  <si>
    <t>180934</t>
  </si>
  <si>
    <t>20180269</t>
  </si>
  <si>
    <t>180935</t>
  </si>
  <si>
    <t>20180222</t>
  </si>
  <si>
    <t>180936</t>
  </si>
  <si>
    <t>庞思琳</t>
  </si>
  <si>
    <t>20180149</t>
  </si>
  <si>
    <t>180937</t>
  </si>
  <si>
    <t>宋昀逸</t>
  </si>
  <si>
    <t>20180018</t>
  </si>
  <si>
    <t>180938</t>
  </si>
  <si>
    <t>20180505</t>
  </si>
  <si>
    <t>180939</t>
  </si>
  <si>
    <t>覃美凤</t>
  </si>
  <si>
    <t>20180340</t>
  </si>
  <si>
    <t>180940</t>
  </si>
  <si>
    <t>唐振为</t>
  </si>
  <si>
    <t>20180453</t>
  </si>
  <si>
    <t>180941</t>
  </si>
  <si>
    <t>王健源</t>
  </si>
  <si>
    <t>20180213</t>
  </si>
  <si>
    <t>180942</t>
  </si>
  <si>
    <t>20180461</t>
  </si>
  <si>
    <t>180943</t>
  </si>
  <si>
    <t>20180118</t>
  </si>
  <si>
    <t>180944</t>
  </si>
  <si>
    <t>吴依洋</t>
  </si>
  <si>
    <t>20180135</t>
  </si>
  <si>
    <t>180945</t>
  </si>
  <si>
    <t>20180020</t>
  </si>
  <si>
    <t>180946</t>
  </si>
  <si>
    <t>20180039</t>
  </si>
  <si>
    <t>180947</t>
  </si>
  <si>
    <t>杨浣镱</t>
  </si>
  <si>
    <t>20180217</t>
  </si>
  <si>
    <t>180948</t>
  </si>
  <si>
    <t>20180262</t>
  </si>
  <si>
    <t>180949</t>
  </si>
  <si>
    <t>祝文敏</t>
  </si>
  <si>
    <t>20180021</t>
  </si>
  <si>
    <t>180950</t>
  </si>
  <si>
    <t>20180051</t>
  </si>
  <si>
    <t>181001</t>
  </si>
  <si>
    <t>白林媚</t>
  </si>
  <si>
    <t>20180101</t>
  </si>
  <si>
    <t>181002</t>
  </si>
  <si>
    <t>曾永橦</t>
  </si>
  <si>
    <t>20180239</t>
  </si>
  <si>
    <t>181003</t>
  </si>
  <si>
    <t>20181070</t>
  </si>
  <si>
    <t>181004</t>
  </si>
  <si>
    <t>20180372</t>
  </si>
  <si>
    <t>181005</t>
  </si>
  <si>
    <t>戴如晴</t>
  </si>
  <si>
    <t>20180232</t>
  </si>
  <si>
    <t>181006</t>
  </si>
  <si>
    <t>戴泳杨</t>
  </si>
  <si>
    <t>20180464</t>
  </si>
  <si>
    <t>181007</t>
  </si>
  <si>
    <t>董海婷</t>
  </si>
  <si>
    <t>20180054</t>
  </si>
  <si>
    <t>冯宝贤</t>
  </si>
  <si>
    <t>20180031</t>
  </si>
  <si>
    <t>181009</t>
  </si>
  <si>
    <t>甘镕清</t>
  </si>
  <si>
    <t>20180320</t>
  </si>
  <si>
    <t>181010</t>
  </si>
  <si>
    <t>郭奕伶</t>
  </si>
  <si>
    <t>20180376</t>
  </si>
  <si>
    <t>181011</t>
  </si>
  <si>
    <t>何杏枝</t>
  </si>
  <si>
    <t>20180182</t>
  </si>
  <si>
    <t>侯承峰</t>
  </si>
  <si>
    <t>20180114</t>
  </si>
  <si>
    <t>181013</t>
  </si>
  <si>
    <t>黄立锐</t>
  </si>
  <si>
    <t>20180558</t>
  </si>
  <si>
    <t>181014</t>
  </si>
  <si>
    <t>黄铟婷</t>
  </si>
  <si>
    <t>20180391</t>
  </si>
  <si>
    <t>181015</t>
  </si>
  <si>
    <t>黄梓琦</t>
  </si>
  <si>
    <t>20180245</t>
  </si>
  <si>
    <t>181016</t>
  </si>
  <si>
    <t>20180027</t>
  </si>
  <si>
    <t>李桦洁</t>
  </si>
  <si>
    <t>20180223</t>
  </si>
  <si>
    <t>181018</t>
  </si>
  <si>
    <t>李嘉欣</t>
  </si>
  <si>
    <t>20180488</t>
  </si>
  <si>
    <t>181019</t>
  </si>
  <si>
    <t>李秋琪</t>
  </si>
  <si>
    <t>20180243</t>
  </si>
  <si>
    <t>181020</t>
  </si>
  <si>
    <t>李映赋</t>
  </si>
  <si>
    <t>20180050</t>
  </si>
  <si>
    <t>181021</t>
  </si>
  <si>
    <t>梁筱晴</t>
  </si>
  <si>
    <t>20180447</t>
  </si>
  <si>
    <t>181022</t>
  </si>
  <si>
    <t>刘海期</t>
  </si>
  <si>
    <t>20180492</t>
  </si>
  <si>
    <t>181023</t>
  </si>
  <si>
    <t>20180329</t>
  </si>
  <si>
    <t>181024</t>
  </si>
  <si>
    <t>罗化敏</t>
  </si>
  <si>
    <t>20180197</t>
  </si>
  <si>
    <t>181025</t>
  </si>
  <si>
    <t>毛婷</t>
  </si>
  <si>
    <t>20180067</t>
  </si>
  <si>
    <t>181026</t>
  </si>
  <si>
    <t>20180530</t>
  </si>
  <si>
    <t>181027</t>
  </si>
  <si>
    <t>莫茜栩</t>
  </si>
  <si>
    <t>20180081</t>
  </si>
  <si>
    <t>181028</t>
  </si>
  <si>
    <t>莫栩妍</t>
  </si>
  <si>
    <t>20180399</t>
  </si>
  <si>
    <t>181029</t>
  </si>
  <si>
    <t>聂嘉榆</t>
  </si>
  <si>
    <t>20180496</t>
  </si>
  <si>
    <t>181030</t>
  </si>
  <si>
    <t>潘锦聪</t>
  </si>
  <si>
    <t>20180042</t>
  </si>
  <si>
    <t>181031</t>
  </si>
  <si>
    <t>潘彦妤</t>
  </si>
  <si>
    <t>20180008</t>
  </si>
  <si>
    <t>181032</t>
  </si>
  <si>
    <t>彭钧健</t>
  </si>
  <si>
    <t>20180107</t>
  </si>
  <si>
    <t>181033</t>
  </si>
  <si>
    <t>秦子锐</t>
  </si>
  <si>
    <t>20180308</t>
  </si>
  <si>
    <t>181034</t>
  </si>
  <si>
    <t>20180491</t>
  </si>
  <si>
    <t>181035</t>
  </si>
  <si>
    <t>石冰莲</t>
  </si>
  <si>
    <t>20180205</t>
  </si>
  <si>
    <t>181036</t>
  </si>
  <si>
    <t>覃宝莹</t>
  </si>
  <si>
    <t>20180058</t>
  </si>
  <si>
    <t>181037</t>
  </si>
  <si>
    <t>覃李莉</t>
  </si>
  <si>
    <t>20180080</t>
  </si>
  <si>
    <t>181038</t>
  </si>
  <si>
    <t>谭芷潇</t>
  </si>
  <si>
    <t>20180138</t>
  </si>
  <si>
    <t>181039</t>
  </si>
  <si>
    <t>唐昕妍</t>
  </si>
  <si>
    <t>20180392</t>
  </si>
  <si>
    <t>181040</t>
  </si>
  <si>
    <t>陀嘉杰</t>
  </si>
  <si>
    <t>20180036</t>
  </si>
  <si>
    <t>181041</t>
  </si>
  <si>
    <t>20180423</t>
  </si>
  <si>
    <t>181042</t>
  </si>
  <si>
    <t>吴海梅</t>
  </si>
  <si>
    <t>20180356</t>
  </si>
  <si>
    <t>181043</t>
  </si>
  <si>
    <t>吴锴怡</t>
  </si>
  <si>
    <t>20180437</t>
  </si>
  <si>
    <t>181044</t>
  </si>
  <si>
    <t>徐丽兰</t>
  </si>
  <si>
    <t>181045</t>
  </si>
  <si>
    <t>20180336</t>
  </si>
  <si>
    <t>181046</t>
  </si>
  <si>
    <t>20180445</t>
  </si>
  <si>
    <t>181047</t>
  </si>
  <si>
    <t>杨上林</t>
  </si>
  <si>
    <t>20180161</t>
  </si>
  <si>
    <t>181048</t>
  </si>
  <si>
    <t>20180007</t>
  </si>
  <si>
    <t>181049</t>
  </si>
  <si>
    <t>张少梅</t>
  </si>
  <si>
    <t>20180006</t>
  </si>
  <si>
    <t>181050</t>
  </si>
  <si>
    <t>张颖欣</t>
  </si>
  <si>
    <t>20180169</t>
  </si>
  <si>
    <t>181051</t>
  </si>
  <si>
    <t>钟艺颀</t>
  </si>
  <si>
    <t>20180419</t>
  </si>
  <si>
    <t>朱紫柔</t>
  </si>
  <si>
    <t>20180894</t>
  </si>
  <si>
    <t>181101</t>
  </si>
  <si>
    <t>贝浩铭</t>
  </si>
  <si>
    <t>20180125</t>
  </si>
  <si>
    <t>181102</t>
  </si>
  <si>
    <t>陈承昌</t>
  </si>
  <si>
    <t>20181067</t>
  </si>
  <si>
    <t>181103</t>
  </si>
  <si>
    <t>20180471</t>
  </si>
  <si>
    <t>181104</t>
  </si>
  <si>
    <t>陈潜</t>
  </si>
  <si>
    <t>20180517</t>
  </si>
  <si>
    <t>181105</t>
  </si>
  <si>
    <t>陈文清</t>
  </si>
  <si>
    <t>20181057</t>
  </si>
  <si>
    <t>181106</t>
  </si>
  <si>
    <t>陈瑶瑶</t>
  </si>
  <si>
    <t>20180814</t>
  </si>
  <si>
    <t>181107</t>
  </si>
  <si>
    <t>陈奕锴</t>
  </si>
  <si>
    <t>20180603</t>
  </si>
  <si>
    <t>181108</t>
  </si>
  <si>
    <t>程菲琳</t>
  </si>
  <si>
    <t>20180318</t>
  </si>
  <si>
    <t>181109</t>
  </si>
  <si>
    <t>冯柏华</t>
  </si>
  <si>
    <t>20180986</t>
  </si>
  <si>
    <t>181110</t>
  </si>
  <si>
    <t>甘镇铭</t>
  </si>
  <si>
    <t>20180732</t>
  </si>
  <si>
    <t>181111</t>
  </si>
  <si>
    <t>郭登铨</t>
  </si>
  <si>
    <t>20180191</t>
  </si>
  <si>
    <t>181112</t>
  </si>
  <si>
    <t>黄光铧</t>
  </si>
  <si>
    <t>20180385</t>
  </si>
  <si>
    <t>181113</t>
  </si>
  <si>
    <t>黄靖杰</t>
  </si>
  <si>
    <t>20180759</t>
  </si>
  <si>
    <t>181114</t>
  </si>
  <si>
    <t>黄可莹</t>
  </si>
  <si>
    <t>20180960</t>
  </si>
  <si>
    <t>181115</t>
  </si>
  <si>
    <t>黄琪琳</t>
  </si>
  <si>
    <t>20180644</t>
  </si>
  <si>
    <t>181116</t>
  </si>
  <si>
    <t>黄颖琪</t>
  </si>
  <si>
    <t>20180911</t>
  </si>
  <si>
    <t>181117</t>
  </si>
  <si>
    <t>孔令涛</t>
  </si>
  <si>
    <t>20180130</t>
  </si>
  <si>
    <t>181118</t>
  </si>
  <si>
    <t>黎彬</t>
  </si>
  <si>
    <t>20180160</t>
  </si>
  <si>
    <t>181119</t>
  </si>
  <si>
    <t>李金峰</t>
  </si>
  <si>
    <t>20180643</t>
  </si>
  <si>
    <t>181120</t>
  </si>
  <si>
    <t>李乙芳</t>
  </si>
  <si>
    <t>20180994</t>
  </si>
  <si>
    <t>181121</t>
  </si>
  <si>
    <t>梁华锟</t>
  </si>
  <si>
    <t>20181027</t>
  </si>
  <si>
    <t>181122</t>
  </si>
  <si>
    <t>梁淇茵</t>
  </si>
  <si>
    <t>20180507</t>
  </si>
  <si>
    <t>181123</t>
  </si>
  <si>
    <t>梁文煜</t>
  </si>
  <si>
    <t>20180443</t>
  </si>
  <si>
    <t>181124</t>
  </si>
  <si>
    <t>梁予淇</t>
  </si>
  <si>
    <t>20180845</t>
  </si>
  <si>
    <t>181125</t>
  </si>
  <si>
    <t>廖宇凡</t>
  </si>
  <si>
    <t>20180952</t>
  </si>
  <si>
    <t>181126</t>
  </si>
  <si>
    <t>林睿骥</t>
  </si>
  <si>
    <t>20180311</t>
  </si>
  <si>
    <t>181127</t>
  </si>
  <si>
    <t>凌潇媚</t>
  </si>
  <si>
    <t>20180715</t>
  </si>
  <si>
    <t>181128</t>
  </si>
  <si>
    <t>刘铠越</t>
  </si>
  <si>
    <t>20181050</t>
  </si>
  <si>
    <t>181129</t>
  </si>
  <si>
    <t>刘良宇</t>
  </si>
  <si>
    <t>20180403</t>
  </si>
  <si>
    <t>181130</t>
  </si>
  <si>
    <t>刘炎萍</t>
  </si>
  <si>
    <t>20180637</t>
  </si>
  <si>
    <t>181131</t>
  </si>
  <si>
    <t>卢思如</t>
  </si>
  <si>
    <t>20180221</t>
  </si>
  <si>
    <t>181132</t>
  </si>
  <si>
    <t>罗婷</t>
  </si>
  <si>
    <t>20180944</t>
  </si>
  <si>
    <t>181133</t>
  </si>
  <si>
    <t>罗文荃</t>
  </si>
  <si>
    <t>20181003</t>
  </si>
  <si>
    <t>181134</t>
  </si>
  <si>
    <t>20181068</t>
  </si>
  <si>
    <t>181135</t>
  </si>
  <si>
    <t>马语暄</t>
  </si>
  <si>
    <t>20180270</t>
  </si>
  <si>
    <t>181136</t>
  </si>
  <si>
    <t>蒙奕全</t>
  </si>
  <si>
    <t>20183001</t>
  </si>
  <si>
    <t>181137</t>
  </si>
  <si>
    <t>欧龙</t>
  </si>
  <si>
    <t>20180909</t>
  </si>
  <si>
    <t>181138</t>
  </si>
  <si>
    <t>秦玥</t>
  </si>
  <si>
    <t>20181019</t>
  </si>
  <si>
    <t>181139</t>
  </si>
  <si>
    <t>邱钰艺</t>
  </si>
  <si>
    <t>20180752</t>
  </si>
  <si>
    <t>181140</t>
  </si>
  <si>
    <t>全丽燕</t>
  </si>
  <si>
    <t>20180259</t>
  </si>
  <si>
    <t>181141</t>
  </si>
  <si>
    <t>20183002</t>
  </si>
  <si>
    <t>181142</t>
  </si>
  <si>
    <t>苏颖格</t>
  </si>
  <si>
    <t>20180574</t>
  </si>
  <si>
    <t>181143</t>
  </si>
  <si>
    <t>谭依旎</t>
  </si>
  <si>
    <t>20181006</t>
  </si>
  <si>
    <t>181144</t>
  </si>
  <si>
    <t>韦佳伶</t>
  </si>
  <si>
    <t>20180540</t>
  </si>
  <si>
    <t>181145</t>
  </si>
  <si>
    <t>吴晓彤</t>
  </si>
  <si>
    <t>20181002</t>
  </si>
  <si>
    <t>181146</t>
  </si>
  <si>
    <t>冼煜杰</t>
  </si>
  <si>
    <t>20180999</t>
  </si>
  <si>
    <t>181147</t>
  </si>
  <si>
    <t>谢钰丹</t>
  </si>
  <si>
    <t>20180920</t>
  </si>
  <si>
    <t>181148</t>
  </si>
  <si>
    <t>谢沚榆</t>
  </si>
  <si>
    <t>20180821</t>
  </si>
  <si>
    <t>181149</t>
  </si>
  <si>
    <t>徐钰钧</t>
  </si>
  <si>
    <t>20180004</t>
  </si>
  <si>
    <t>181150</t>
  </si>
  <si>
    <t>20181048</t>
  </si>
  <si>
    <t>181151</t>
  </si>
  <si>
    <t>杨豪楠</t>
  </si>
  <si>
    <t>20180598</t>
  </si>
  <si>
    <t>20180087</t>
  </si>
  <si>
    <t>181153</t>
  </si>
  <si>
    <t>于晓滢</t>
  </si>
  <si>
    <t>20180535</t>
  </si>
  <si>
    <t>181154</t>
  </si>
  <si>
    <t>余金霞</t>
  </si>
  <si>
    <t>20180486</t>
  </si>
  <si>
    <t>181155</t>
  </si>
  <si>
    <t>张莉</t>
  </si>
  <si>
    <t>20180069</t>
  </si>
  <si>
    <t>181156</t>
  </si>
  <si>
    <t>郑然庭</t>
  </si>
  <si>
    <t>20181063</t>
  </si>
  <si>
    <t>181157</t>
  </si>
  <si>
    <t>20180856</t>
  </si>
  <si>
    <t>181201</t>
  </si>
  <si>
    <t>陈纲圣</t>
  </si>
  <si>
    <t>20180733</t>
  </si>
  <si>
    <t>181202</t>
  </si>
  <si>
    <t>陈虹</t>
  </si>
  <si>
    <t>20180137</t>
  </si>
  <si>
    <t>181203</t>
  </si>
  <si>
    <t>陈丽瑕</t>
  </si>
  <si>
    <t>20180875</t>
  </si>
  <si>
    <t>181204</t>
  </si>
  <si>
    <t>程皓</t>
  </si>
  <si>
    <t>20181031</t>
  </si>
  <si>
    <t>181205</t>
  </si>
  <si>
    <t>高梓萱</t>
  </si>
  <si>
    <t>20180692</t>
  </si>
  <si>
    <t>181206</t>
  </si>
  <si>
    <t>胡雨蓝</t>
  </si>
  <si>
    <t>20180937</t>
  </si>
  <si>
    <t>181207</t>
  </si>
  <si>
    <t>胡政民</t>
  </si>
  <si>
    <t>20180028</t>
  </si>
  <si>
    <t>181208</t>
  </si>
  <si>
    <t>20180750</t>
  </si>
  <si>
    <t>181209</t>
  </si>
  <si>
    <t>20180057</t>
  </si>
  <si>
    <t>181210</t>
  </si>
  <si>
    <t>黄泽滨</t>
  </si>
  <si>
    <t>20180881</t>
  </si>
  <si>
    <t>181211</t>
  </si>
  <si>
    <t>黄子恒</t>
  </si>
  <si>
    <t>20181017</t>
  </si>
  <si>
    <t>181212</t>
  </si>
  <si>
    <t>霍雨佳</t>
  </si>
  <si>
    <t>20180998</t>
  </si>
  <si>
    <t>181213</t>
  </si>
  <si>
    <t>蒋弘杨</t>
  </si>
  <si>
    <t>20180585</t>
  </si>
  <si>
    <t>181214</t>
  </si>
  <si>
    <t>黎桓廷</t>
  </si>
  <si>
    <t>20180707</t>
  </si>
  <si>
    <t>181215</t>
  </si>
  <si>
    <t>黎柳君</t>
  </si>
  <si>
    <t>20180003</t>
  </si>
  <si>
    <t>181216</t>
  </si>
  <si>
    <t>黎榕珍</t>
  </si>
  <si>
    <t>20180102</t>
  </si>
  <si>
    <t>181217</t>
  </si>
  <si>
    <t>20180818</t>
  </si>
  <si>
    <t>181218</t>
  </si>
  <si>
    <t>李弘耀</t>
  </si>
  <si>
    <t>20180144</t>
  </si>
  <si>
    <t>181219</t>
  </si>
  <si>
    <t>李开艳</t>
  </si>
  <si>
    <t>20180991</t>
  </si>
  <si>
    <t>181220</t>
  </si>
  <si>
    <t>李科锋</t>
  </si>
  <si>
    <t>20180781</t>
  </si>
  <si>
    <t>181221</t>
  </si>
  <si>
    <t>20180931</t>
  </si>
  <si>
    <t>181222</t>
  </si>
  <si>
    <t>李睿涵</t>
  </si>
  <si>
    <t>20180294</t>
  </si>
  <si>
    <t>181223</t>
  </si>
  <si>
    <t>李少源</t>
  </si>
  <si>
    <t>20180858</t>
  </si>
  <si>
    <t>181224</t>
  </si>
  <si>
    <t>李潇鹏</t>
  </si>
  <si>
    <t>20180686</t>
  </si>
  <si>
    <t>181225</t>
  </si>
  <si>
    <t>梁沛业</t>
  </si>
  <si>
    <t>20180547</t>
  </si>
  <si>
    <t>181226</t>
  </si>
  <si>
    <t>梁舒</t>
  </si>
  <si>
    <t>20180565</t>
  </si>
  <si>
    <t>181227</t>
  </si>
  <si>
    <t>梁与雨</t>
  </si>
  <si>
    <t>20180935</t>
  </si>
  <si>
    <t>181228</t>
  </si>
  <si>
    <t>梁祖霖</t>
  </si>
  <si>
    <t>20180946</t>
  </si>
  <si>
    <t>181229</t>
  </si>
  <si>
    <t>林睿骐</t>
  </si>
  <si>
    <t>20180933</t>
  </si>
  <si>
    <t>181230</t>
  </si>
  <si>
    <t>刘文浩</t>
  </si>
  <si>
    <t>20180035</t>
  </si>
  <si>
    <t>181231</t>
  </si>
  <si>
    <t>刘筱祺</t>
  </si>
  <si>
    <t>20180434</t>
  </si>
  <si>
    <t>181232</t>
  </si>
  <si>
    <t>20180680</t>
  </si>
  <si>
    <t>181233</t>
  </si>
  <si>
    <t>罗蕾</t>
  </si>
  <si>
    <t>20180688</t>
  </si>
  <si>
    <t>181234</t>
  </si>
  <si>
    <t>罗炎</t>
  </si>
  <si>
    <t>20180879</t>
  </si>
  <si>
    <t>181235</t>
  </si>
  <si>
    <t>吕东骏</t>
  </si>
  <si>
    <t>20180694</t>
  </si>
  <si>
    <t>181236</t>
  </si>
  <si>
    <t>莫棋</t>
  </si>
  <si>
    <t>20180076</t>
  </si>
  <si>
    <t>181237</t>
  </si>
  <si>
    <t>莫鑫华</t>
  </si>
  <si>
    <t>20180452</t>
  </si>
  <si>
    <t>181238</t>
  </si>
  <si>
    <t>倪洁娴</t>
  </si>
  <si>
    <t>20180379</t>
  </si>
  <si>
    <t>181239</t>
  </si>
  <si>
    <t>潘黄诗晴</t>
  </si>
  <si>
    <t>20180606</t>
  </si>
  <si>
    <t>181240</t>
  </si>
  <si>
    <t>吴辉钰</t>
  </si>
  <si>
    <t>20180542</t>
  </si>
  <si>
    <t>181241</t>
  </si>
  <si>
    <t>潘晓霞</t>
  </si>
  <si>
    <t>20180838</t>
  </si>
  <si>
    <t>181242</t>
  </si>
  <si>
    <t>潘钰</t>
  </si>
  <si>
    <t>20180227</t>
  </si>
  <si>
    <t>181243</t>
  </si>
  <si>
    <t>容锷苗</t>
  </si>
  <si>
    <t>20180132</t>
  </si>
  <si>
    <t>181244</t>
  </si>
  <si>
    <t>覃金梅</t>
  </si>
  <si>
    <t>20180737</t>
  </si>
  <si>
    <t>181245</t>
  </si>
  <si>
    <t>覃奕霖</t>
  </si>
  <si>
    <t>20180755</t>
  </si>
  <si>
    <t>181246</t>
  </si>
  <si>
    <t>谭学谦</t>
  </si>
  <si>
    <t>20180829</t>
  </si>
  <si>
    <t>181247</t>
  </si>
  <si>
    <t>20180597</t>
  </si>
  <si>
    <t>181248</t>
  </si>
  <si>
    <t>王权</t>
  </si>
  <si>
    <t>20181071</t>
  </si>
  <si>
    <t>181249</t>
  </si>
  <si>
    <t>谢东明</t>
  </si>
  <si>
    <t>20180674</t>
  </si>
  <si>
    <t>181250</t>
  </si>
  <si>
    <t>许嘉林</t>
  </si>
  <si>
    <t>20180405</t>
  </si>
  <si>
    <t>181251</t>
  </si>
  <si>
    <t>严涓</t>
  </si>
  <si>
    <t>20180085</t>
  </si>
  <si>
    <t>181252</t>
  </si>
  <si>
    <t>严弋孜</t>
  </si>
  <si>
    <t>20180518</t>
  </si>
  <si>
    <t>181253</t>
  </si>
  <si>
    <t>姚慧楠</t>
  </si>
  <si>
    <t>20180249</t>
  </si>
  <si>
    <t>181254</t>
  </si>
  <si>
    <t>张芷言</t>
  </si>
  <si>
    <t>20180015</t>
  </si>
  <si>
    <t>181255</t>
  </si>
  <si>
    <t>钟曼静</t>
  </si>
  <si>
    <t>20180520</t>
  </si>
  <si>
    <t>181256</t>
  </si>
  <si>
    <t>钟欣丽</t>
  </si>
  <si>
    <t>20180500</t>
  </si>
  <si>
    <t>181301</t>
  </si>
  <si>
    <t>20180719</t>
  </si>
  <si>
    <t>181302</t>
  </si>
  <si>
    <t>陈佳言</t>
  </si>
  <si>
    <t>20180743</t>
  </si>
  <si>
    <t>181303</t>
  </si>
  <si>
    <t>陈嘉邦</t>
  </si>
  <si>
    <t>20180915</t>
  </si>
  <si>
    <t>181304</t>
  </si>
  <si>
    <t>陈洁怡</t>
  </si>
  <si>
    <t>20180806</t>
  </si>
  <si>
    <t>181305</t>
  </si>
  <si>
    <t>陈俊一</t>
  </si>
  <si>
    <t>20180967</t>
  </si>
  <si>
    <t>181306</t>
  </si>
  <si>
    <t>陈铭慧</t>
  </si>
  <si>
    <t>20180396</t>
  </si>
  <si>
    <t>181307</t>
  </si>
  <si>
    <t>陈奕</t>
  </si>
  <si>
    <t>20180635</t>
  </si>
  <si>
    <t>181308</t>
  </si>
  <si>
    <t>陈永钊</t>
  </si>
  <si>
    <t>20180279</t>
  </si>
  <si>
    <t>181309</t>
  </si>
  <si>
    <t>方骜</t>
  </si>
  <si>
    <t>20180945</t>
  </si>
  <si>
    <t>181310</t>
  </si>
  <si>
    <t>冯宇轩</t>
  </si>
  <si>
    <t>20180418</t>
  </si>
  <si>
    <t>181311</t>
  </si>
  <si>
    <t>20180521</t>
  </si>
  <si>
    <t>181312</t>
  </si>
  <si>
    <t>郭锦锋</t>
  </si>
  <si>
    <t>20180060</t>
  </si>
  <si>
    <t>181313</t>
  </si>
  <si>
    <t>胡楷涛</t>
  </si>
  <si>
    <t>20180247</t>
  </si>
  <si>
    <t>181314</t>
  </si>
  <si>
    <t>黄安宜</t>
  </si>
  <si>
    <t>20180965</t>
  </si>
  <si>
    <t>181315</t>
  </si>
  <si>
    <t>黄柏林</t>
  </si>
  <si>
    <t>20180872</t>
  </si>
  <si>
    <t>181316</t>
  </si>
  <si>
    <t>黄昌泉</t>
  </si>
  <si>
    <t>20180338</t>
  </si>
  <si>
    <t>181317</t>
  </si>
  <si>
    <t>黄星华</t>
  </si>
  <si>
    <t>20180768</t>
  </si>
  <si>
    <t>181318</t>
  </si>
  <si>
    <t>黄泳瑜</t>
  </si>
  <si>
    <t>20180954</t>
  </si>
  <si>
    <t>181319</t>
  </si>
  <si>
    <t>黄昭杰</t>
  </si>
  <si>
    <t>20180230</t>
  </si>
  <si>
    <t>181320</t>
  </si>
  <si>
    <t>20180799</t>
  </si>
  <si>
    <t>181321</t>
  </si>
  <si>
    <t>孔繁菁</t>
  </si>
  <si>
    <t>181322</t>
  </si>
  <si>
    <t>黎潇骏</t>
  </si>
  <si>
    <t>20180211</t>
  </si>
  <si>
    <t>181323</t>
  </si>
  <si>
    <t>20180133</t>
  </si>
  <si>
    <t>181324</t>
  </si>
  <si>
    <t>李楚琪</t>
  </si>
  <si>
    <t>20180019</t>
  </si>
  <si>
    <t>181325</t>
  </si>
  <si>
    <t>李莉</t>
  </si>
  <si>
    <t>20180208</t>
  </si>
  <si>
    <t>181326</t>
  </si>
  <si>
    <t>李清华</t>
  </si>
  <si>
    <t>20180345</t>
  </si>
  <si>
    <t>181327</t>
  </si>
  <si>
    <t>李思欣</t>
  </si>
  <si>
    <t>20180194</t>
  </si>
  <si>
    <t>181328</t>
  </si>
  <si>
    <t>李晓渟</t>
  </si>
  <si>
    <t>20180784</t>
  </si>
  <si>
    <t>181329</t>
  </si>
  <si>
    <t>梁楚雪</t>
  </si>
  <si>
    <t>20180025</t>
  </si>
  <si>
    <t>181330</t>
  </si>
  <si>
    <t>梁嘉怡</t>
  </si>
  <si>
    <t>20180735</t>
  </si>
  <si>
    <t>181331</t>
  </si>
  <si>
    <t>20181020</t>
  </si>
  <si>
    <t>181332</t>
  </si>
  <si>
    <t>刘玲妃</t>
  </si>
  <si>
    <t>20180685</t>
  </si>
  <si>
    <t>181333</t>
  </si>
  <si>
    <t>罗钧铭</t>
  </si>
  <si>
    <t>20180969</t>
  </si>
  <si>
    <t>181334</t>
  </si>
  <si>
    <t>罗立铚</t>
  </si>
  <si>
    <t>20180934</t>
  </si>
  <si>
    <t>181335</t>
  </si>
  <si>
    <t>罗钰滢</t>
  </si>
  <si>
    <t>20180903</t>
  </si>
  <si>
    <t>181336</t>
  </si>
  <si>
    <t>麦倩</t>
  </si>
  <si>
    <t>20180905</t>
  </si>
  <si>
    <t>181337</t>
  </si>
  <si>
    <t>20180299</t>
  </si>
  <si>
    <t>181338</t>
  </si>
  <si>
    <t>莫璧翠</t>
  </si>
  <si>
    <t>20180150</t>
  </si>
  <si>
    <t>181339</t>
  </si>
  <si>
    <t>莫澄仟</t>
  </si>
  <si>
    <t>20180826</t>
  </si>
  <si>
    <t>181340</t>
  </si>
  <si>
    <t>莫嘉浩</t>
  </si>
  <si>
    <t>20180079</t>
  </si>
  <si>
    <t>181341</t>
  </si>
  <si>
    <t>莫薏</t>
  </si>
  <si>
    <t>20180564</t>
  </si>
  <si>
    <t>181342</t>
  </si>
  <si>
    <t>聂炫</t>
  </si>
  <si>
    <t>20180430</t>
  </si>
  <si>
    <t>181343</t>
  </si>
  <si>
    <t>聂芷滢</t>
  </si>
  <si>
    <t>20180720</t>
  </si>
  <si>
    <t>181344</t>
  </si>
  <si>
    <t>欧曼凌</t>
  </si>
  <si>
    <t>20180997</t>
  </si>
  <si>
    <t>181345</t>
  </si>
  <si>
    <t>饶幸娜</t>
  </si>
  <si>
    <t>20180619</t>
  </si>
  <si>
    <t>181346</t>
  </si>
  <si>
    <t>宋昀轩</t>
  </si>
  <si>
    <t>20180475</t>
  </si>
  <si>
    <t>181347</t>
  </si>
  <si>
    <t>覃显棉</t>
  </si>
  <si>
    <t>20180295</t>
  </si>
  <si>
    <t>181348</t>
  </si>
  <si>
    <t>20180043</t>
  </si>
  <si>
    <t>181349</t>
  </si>
  <si>
    <t>冼和圣</t>
  </si>
  <si>
    <t>20180868</t>
  </si>
  <si>
    <t>181350</t>
  </si>
  <si>
    <t>谢雅琳</t>
  </si>
  <si>
    <t>20180522</t>
  </si>
  <si>
    <t>181351</t>
  </si>
  <si>
    <t>谢依桐</t>
  </si>
  <si>
    <t>20181018</t>
  </si>
  <si>
    <t>181352</t>
  </si>
  <si>
    <t>熊东明</t>
  </si>
  <si>
    <t>20180739</t>
  </si>
  <si>
    <t>181353</t>
  </si>
  <si>
    <t>杨铠铭</t>
  </si>
  <si>
    <t>20180764</t>
  </si>
  <si>
    <t>181354</t>
  </si>
  <si>
    <t>张潆月</t>
  </si>
  <si>
    <t>20181024</t>
  </si>
  <si>
    <t>181355</t>
  </si>
  <si>
    <t>朱庭楷</t>
  </si>
  <si>
    <t>20180357</t>
  </si>
  <si>
    <t>181356</t>
  </si>
  <si>
    <t>江娟兰</t>
  </si>
  <si>
    <t>20180256</t>
  </si>
  <si>
    <t>181401</t>
  </si>
  <si>
    <t>蔡舒怡</t>
  </si>
  <si>
    <t>20180763</t>
  </si>
  <si>
    <t>181402</t>
  </si>
  <si>
    <t>曾心阳</t>
  </si>
  <si>
    <t>20180297</t>
  </si>
  <si>
    <t>181403</t>
  </si>
  <si>
    <t>陈凤娟</t>
  </si>
  <si>
    <t>20180580</t>
  </si>
  <si>
    <t>181404</t>
  </si>
  <si>
    <t>陈泓妃</t>
  </si>
  <si>
    <t>20180702</t>
  </si>
  <si>
    <t>181405</t>
  </si>
  <si>
    <t>陈杰锋</t>
  </si>
  <si>
    <t>20180244</t>
  </si>
  <si>
    <t>181406</t>
  </si>
  <si>
    <t>陈锦婷</t>
  </si>
  <si>
    <t>20180968</t>
  </si>
  <si>
    <t>181407</t>
  </si>
  <si>
    <t>陈梦霞</t>
  </si>
  <si>
    <t>20180166</t>
  </si>
  <si>
    <t>181408</t>
  </si>
  <si>
    <t>陈瑞欣</t>
  </si>
  <si>
    <t>20180022</t>
  </si>
  <si>
    <t>181409</t>
  </si>
  <si>
    <t>陈彦铭</t>
  </si>
  <si>
    <t>20181013</t>
  </si>
  <si>
    <t>陈泳秀</t>
  </si>
  <si>
    <t>20180560</t>
  </si>
  <si>
    <t>181411</t>
  </si>
  <si>
    <t>陈梓彬</t>
  </si>
  <si>
    <t>20180640</t>
  </si>
  <si>
    <t>181412</t>
  </si>
  <si>
    <t>邓达昊</t>
  </si>
  <si>
    <t>20180012</t>
  </si>
  <si>
    <t>181413</t>
  </si>
  <si>
    <t>20180189</t>
  </si>
  <si>
    <t>181414</t>
  </si>
  <si>
    <t>20180696</t>
  </si>
  <si>
    <t>181415</t>
  </si>
  <si>
    <t>韩俊杰</t>
  </si>
  <si>
    <t>20180100</t>
  </si>
  <si>
    <t>181416</t>
  </si>
  <si>
    <t>何柏明</t>
  </si>
  <si>
    <t>20180287</t>
  </si>
  <si>
    <t>黄华柳</t>
  </si>
  <si>
    <t>20180615</t>
  </si>
  <si>
    <t>181418</t>
  </si>
  <si>
    <t>黄骏奔</t>
  </si>
  <si>
    <t>20180369</t>
  </si>
  <si>
    <t>181419</t>
  </si>
  <si>
    <t>黄舒敏</t>
  </si>
  <si>
    <t>20180056</t>
  </si>
  <si>
    <t>181420</t>
  </si>
  <si>
    <t>黄相潮</t>
  </si>
  <si>
    <t>20180275</t>
  </si>
  <si>
    <t>181421</t>
  </si>
  <si>
    <t>黎伊萍</t>
  </si>
  <si>
    <t>20180473</t>
  </si>
  <si>
    <t>181422</t>
  </si>
  <si>
    <t>黎运骏</t>
  </si>
  <si>
    <t>20180196</t>
  </si>
  <si>
    <t>181423</t>
  </si>
  <si>
    <t>李格莹</t>
  </si>
  <si>
    <t>20180214</t>
  </si>
  <si>
    <t>181424</t>
  </si>
  <si>
    <t>李金玉</t>
  </si>
  <si>
    <t>20180862</t>
  </si>
  <si>
    <t>181425</t>
  </si>
  <si>
    <t>20180621</t>
  </si>
  <si>
    <t>181426</t>
  </si>
  <si>
    <t>李泳铧</t>
  </si>
  <si>
    <t>20180296</t>
  </si>
  <si>
    <t>181427</t>
  </si>
  <si>
    <t>李雨珊</t>
  </si>
  <si>
    <t>20180199</t>
  </si>
  <si>
    <t>181428</t>
  </si>
  <si>
    <t>梁楚玲</t>
  </si>
  <si>
    <t>20180254</t>
  </si>
  <si>
    <t>181429</t>
  </si>
  <si>
    <t>梁绮</t>
  </si>
  <si>
    <t>20180586</t>
  </si>
  <si>
    <t>181430</t>
  </si>
  <si>
    <t>梁莹</t>
  </si>
  <si>
    <t>20180655</t>
  </si>
  <si>
    <t>181431</t>
  </si>
  <si>
    <t>廖媛</t>
  </si>
  <si>
    <t>20180867</t>
  </si>
  <si>
    <t>181432</t>
  </si>
  <si>
    <t>零纯</t>
  </si>
  <si>
    <t>20180938</t>
  </si>
  <si>
    <t>181433</t>
  </si>
  <si>
    <t>刘晖鹏</t>
  </si>
  <si>
    <t>20180950</t>
  </si>
  <si>
    <t>181434</t>
  </si>
  <si>
    <t>刘学</t>
  </si>
  <si>
    <t>20180890</t>
  </si>
  <si>
    <t>181435</t>
  </si>
  <si>
    <t>龙家银</t>
  </si>
  <si>
    <t>20180642</t>
  </si>
  <si>
    <t>181436</t>
  </si>
  <si>
    <t>罗发霖</t>
  </si>
  <si>
    <t>20180691</t>
  </si>
  <si>
    <t>181437</t>
  </si>
  <si>
    <t>毛力弘</t>
  </si>
  <si>
    <t>20180779</t>
  </si>
  <si>
    <t>181438</t>
  </si>
  <si>
    <t>蒙婕</t>
  </si>
  <si>
    <t>20180823</t>
  </si>
  <si>
    <t>181439</t>
  </si>
  <si>
    <t>欧昭棋</t>
  </si>
  <si>
    <t>20180440</t>
  </si>
  <si>
    <t>181440</t>
  </si>
  <si>
    <t>潘泸</t>
  </si>
  <si>
    <t>20180873</t>
  </si>
  <si>
    <t>181441</t>
  </si>
  <si>
    <t>彭爱茵</t>
  </si>
  <si>
    <t>20180049</t>
  </si>
  <si>
    <t>181442</t>
  </si>
  <si>
    <t>苏锴琪</t>
  </si>
  <si>
    <t>20181044</t>
  </si>
  <si>
    <t>181443</t>
  </si>
  <si>
    <t>苏鑫</t>
  </si>
  <si>
    <t>20180070</t>
  </si>
  <si>
    <t>181444</t>
  </si>
  <si>
    <t>孙源历</t>
  </si>
  <si>
    <t>20180040</t>
  </si>
  <si>
    <t>181445</t>
  </si>
  <si>
    <t>覃弘明</t>
  </si>
  <si>
    <t>20180257</t>
  </si>
  <si>
    <t>181446</t>
  </si>
  <si>
    <t>唐丽茗</t>
  </si>
  <si>
    <t>20180650</t>
  </si>
  <si>
    <t>181447</t>
  </si>
  <si>
    <t>王芯榆</t>
  </si>
  <si>
    <t>20180277</t>
  </si>
  <si>
    <t>181448</t>
  </si>
  <si>
    <t>韦金汝</t>
  </si>
  <si>
    <t>20180402</t>
  </si>
  <si>
    <t>181449</t>
  </si>
  <si>
    <t>许槟玲</t>
  </si>
  <si>
    <t>20180548</t>
  </si>
  <si>
    <t>181450</t>
  </si>
  <si>
    <t>元俊宁</t>
  </si>
  <si>
    <t>181451</t>
  </si>
  <si>
    <t>张林滢</t>
  </si>
  <si>
    <t>20180367</t>
  </si>
  <si>
    <t>181452</t>
  </si>
  <si>
    <t>钟秋航</t>
  </si>
  <si>
    <t>20180444</t>
  </si>
  <si>
    <t>181453</t>
  </si>
  <si>
    <t>钟杨灏</t>
  </si>
  <si>
    <t>20180436</t>
  </si>
  <si>
    <t>181454</t>
  </si>
  <si>
    <t>钟雨君</t>
  </si>
  <si>
    <t>20180870</t>
  </si>
  <si>
    <t>181455</t>
  </si>
  <si>
    <t>钟梓豪</t>
  </si>
  <si>
    <t>20180531</t>
  </si>
  <si>
    <t>181456</t>
  </si>
  <si>
    <t>朱美定</t>
  </si>
  <si>
    <t>20180441</t>
  </si>
  <si>
    <t>181501</t>
  </si>
  <si>
    <t>曾炜城</t>
  </si>
  <si>
    <t>20180939</t>
  </si>
  <si>
    <t>181502</t>
  </si>
  <si>
    <t>车炳岐</t>
  </si>
  <si>
    <t>20180508</t>
  </si>
  <si>
    <t>181503</t>
  </si>
  <si>
    <t>陈鼎</t>
  </si>
  <si>
    <t>20180200</t>
  </si>
  <si>
    <t>181504</t>
  </si>
  <si>
    <t>陈嘉铧</t>
  </si>
  <si>
    <t>20180468</t>
  </si>
  <si>
    <t>181505</t>
  </si>
  <si>
    <t>陈嘉桦</t>
  </si>
  <si>
    <t>20180495</t>
  </si>
  <si>
    <t>181506</t>
  </si>
  <si>
    <t>陈思宇</t>
  </si>
  <si>
    <t>20180975</t>
  </si>
  <si>
    <t>181507</t>
  </si>
  <si>
    <t>陈彦学</t>
  </si>
  <si>
    <t>20181049</t>
  </si>
  <si>
    <t>181508</t>
  </si>
  <si>
    <t>程文彬</t>
  </si>
  <si>
    <t>20180913</t>
  </si>
  <si>
    <t>181509</t>
  </si>
  <si>
    <t>冯雪莹</t>
  </si>
  <si>
    <t>20180368</t>
  </si>
  <si>
    <t>181510</t>
  </si>
  <si>
    <t>高聆灵</t>
  </si>
  <si>
    <t>20180026</t>
  </si>
  <si>
    <t>181511</t>
  </si>
  <si>
    <t>郭伟倩</t>
  </si>
  <si>
    <t>20180096</t>
  </si>
  <si>
    <t>181512</t>
  </si>
  <si>
    <t>黄楚慧</t>
  </si>
  <si>
    <t>20180360</t>
  </si>
  <si>
    <t>181513</t>
  </si>
  <si>
    <t>黄海倩</t>
  </si>
  <si>
    <t>20180401</t>
  </si>
  <si>
    <t>181514</t>
  </si>
  <si>
    <t>黄镓诺</t>
  </si>
  <si>
    <t>20180700</t>
  </si>
  <si>
    <t>181515</t>
  </si>
  <si>
    <t>黄丽霞</t>
  </si>
  <si>
    <t>20180842</t>
  </si>
  <si>
    <t>181516</t>
  </si>
  <si>
    <t>黄婉瑶</t>
  </si>
  <si>
    <t>20180559</t>
  </si>
  <si>
    <t>181517</t>
  </si>
  <si>
    <t>赖豆豆</t>
  </si>
  <si>
    <t>20180302</t>
  </si>
  <si>
    <t>181518</t>
  </si>
  <si>
    <t>黎桂砚</t>
  </si>
  <si>
    <t>20180756</t>
  </si>
  <si>
    <t>181519</t>
  </si>
  <si>
    <t>黎琰</t>
  </si>
  <si>
    <t>20180267</t>
  </si>
  <si>
    <t>181520</t>
  </si>
  <si>
    <t>李德敏</t>
  </si>
  <si>
    <t>20181060</t>
  </si>
  <si>
    <t>181521</t>
  </si>
  <si>
    <t>李格格</t>
  </si>
  <si>
    <t>20180321</t>
  </si>
  <si>
    <t>181522</t>
  </si>
  <si>
    <t>李海东</t>
  </si>
  <si>
    <t>20181005</t>
  </si>
  <si>
    <t>181523</t>
  </si>
  <si>
    <t>李念</t>
  </si>
  <si>
    <t>20180566</t>
  </si>
  <si>
    <t>181524</t>
  </si>
  <si>
    <t>李映烨</t>
  </si>
  <si>
    <t>20180800</t>
  </si>
  <si>
    <t>181525</t>
  </si>
  <si>
    <t>梁逸飞</t>
  </si>
  <si>
    <t>20180139</t>
  </si>
  <si>
    <t>181526</t>
  </si>
  <si>
    <t>林清梅</t>
  </si>
  <si>
    <t>20180888</t>
  </si>
  <si>
    <t>181527</t>
  </si>
  <si>
    <t>龙芋江</t>
  </si>
  <si>
    <t>20180665</t>
  </si>
  <si>
    <t>181528</t>
  </si>
  <si>
    <t>蒙俊杰</t>
  </si>
  <si>
    <t>20180819</t>
  </si>
  <si>
    <t>181529</t>
  </si>
  <si>
    <t>莫云雁</t>
  </si>
  <si>
    <t>20180863</t>
  </si>
  <si>
    <t>181530</t>
  </si>
  <si>
    <t>欧志宗</t>
  </si>
  <si>
    <t>20180614</t>
  </si>
  <si>
    <t>181531</t>
  </si>
  <si>
    <t>潘勇燊</t>
  </si>
  <si>
    <t>20180501</t>
  </si>
  <si>
    <t>181532</t>
  </si>
  <si>
    <t>邱凡英</t>
  </si>
  <si>
    <t>20181035</t>
  </si>
  <si>
    <t>181533</t>
  </si>
  <si>
    <t>饶烨</t>
  </si>
  <si>
    <t>20180576</t>
  </si>
  <si>
    <t>181534</t>
  </si>
  <si>
    <t>宋清逸</t>
  </si>
  <si>
    <t>20180563</t>
  </si>
  <si>
    <t>181535</t>
  </si>
  <si>
    <t>20180411</t>
  </si>
  <si>
    <t>181536</t>
  </si>
  <si>
    <t>苏林鸿</t>
  </si>
  <si>
    <t>20180333</t>
  </si>
  <si>
    <t>181537</t>
  </si>
  <si>
    <t>苏镟妃</t>
  </si>
  <si>
    <t>20180789</t>
  </si>
  <si>
    <t>181538</t>
  </si>
  <si>
    <t>陶昕</t>
  </si>
  <si>
    <t>20180572</t>
  </si>
  <si>
    <t>181539</t>
  </si>
  <si>
    <t>魏斌</t>
  </si>
  <si>
    <t>20180605</t>
  </si>
  <si>
    <t>181540</t>
  </si>
  <si>
    <t>20181034</t>
  </si>
  <si>
    <t>181541</t>
  </si>
  <si>
    <t>20180459</t>
  </si>
  <si>
    <t>181542</t>
  </si>
  <si>
    <t>熊炎桦</t>
  </si>
  <si>
    <t>20180646</t>
  </si>
  <si>
    <t>181543</t>
  </si>
  <si>
    <t>许丽欢</t>
  </si>
  <si>
    <t>20180449</t>
  </si>
  <si>
    <t>181544</t>
  </si>
  <si>
    <t>叶锦丽</t>
  </si>
  <si>
    <t>20180033</t>
  </si>
  <si>
    <t>181545</t>
  </si>
  <si>
    <t>易敏葶</t>
  </si>
  <si>
    <t>20180381</t>
  </si>
  <si>
    <t>181546</t>
  </si>
  <si>
    <t>易子晴</t>
  </si>
  <si>
    <t>20180410</t>
  </si>
  <si>
    <t>181547</t>
  </si>
  <si>
    <t>赵桂兰</t>
  </si>
  <si>
    <t>20180981</t>
  </si>
  <si>
    <t>181548</t>
  </si>
  <si>
    <t>钟蕾</t>
  </si>
  <si>
    <t>20180770</t>
  </si>
  <si>
    <t>20180687</t>
  </si>
  <si>
    <t>181550</t>
  </si>
  <si>
    <t>周楚林</t>
  </si>
  <si>
    <t>20180654</t>
  </si>
  <si>
    <t>181551</t>
  </si>
  <si>
    <t>周恒宇</t>
  </si>
  <si>
    <t>20180836</t>
  </si>
  <si>
    <t>181552</t>
  </si>
  <si>
    <t>周子媛</t>
  </si>
  <si>
    <t>20180159</t>
  </si>
  <si>
    <t>181553</t>
  </si>
  <si>
    <t>朱焕佳</t>
  </si>
  <si>
    <t>20180844</t>
  </si>
  <si>
    <t>181554</t>
  </si>
  <si>
    <t>朱嘉钊</t>
  </si>
  <si>
    <t>20180711</t>
  </si>
  <si>
    <t>181555</t>
  </si>
  <si>
    <t>陈晞锦</t>
  </si>
  <si>
    <t>20180990</t>
  </si>
  <si>
    <t>181556</t>
  </si>
  <si>
    <t>黄茵露</t>
  </si>
  <si>
    <t>20180948</t>
  </si>
  <si>
    <t>181601</t>
  </si>
  <si>
    <t>岑欣桐</t>
  </si>
  <si>
    <t>20180877</t>
  </si>
  <si>
    <t>181602</t>
  </si>
  <si>
    <t>20180250</t>
  </si>
  <si>
    <t>181603</t>
  </si>
  <si>
    <t>陈露</t>
  </si>
  <si>
    <t>20180175</t>
  </si>
  <si>
    <t>181604</t>
  </si>
  <si>
    <t>陈艳桦</t>
  </si>
  <si>
    <t>20180833</t>
  </si>
  <si>
    <t>181605</t>
  </si>
  <si>
    <t>陈颖莹</t>
  </si>
  <si>
    <t>20180825</t>
  </si>
  <si>
    <t>181606</t>
  </si>
  <si>
    <t>邓文茵</t>
  </si>
  <si>
    <t>20181073</t>
  </si>
  <si>
    <t>邓柱华</t>
  </si>
  <si>
    <t>20180910</t>
  </si>
  <si>
    <t>181608</t>
  </si>
  <si>
    <t>甘泽民</t>
  </si>
  <si>
    <t>20180286</t>
  </si>
  <si>
    <t>181609</t>
  </si>
  <si>
    <t>古韵菲</t>
  </si>
  <si>
    <t>20180315</t>
  </si>
  <si>
    <t>181610</t>
  </si>
  <si>
    <t>胡沣</t>
  </si>
  <si>
    <t>20180536</t>
  </si>
  <si>
    <t>181611</t>
  </si>
  <si>
    <t>黄超梅</t>
  </si>
  <si>
    <t>20180347</t>
  </si>
  <si>
    <t>181612</t>
  </si>
  <si>
    <t>黄江锋</t>
  </si>
  <si>
    <t>20180869</t>
  </si>
  <si>
    <t>181613</t>
  </si>
  <si>
    <t>黄静宜</t>
  </si>
  <si>
    <t>20180527</t>
  </si>
  <si>
    <t>181614</t>
  </si>
  <si>
    <t>黄林</t>
  </si>
  <si>
    <t>20180001</t>
  </si>
  <si>
    <t>181615</t>
  </si>
  <si>
    <t>20180769</t>
  </si>
  <si>
    <t>181616</t>
  </si>
  <si>
    <t>焦俏</t>
  </si>
  <si>
    <t>20180377</t>
  </si>
  <si>
    <t>181617</t>
  </si>
  <si>
    <t>20180365</t>
  </si>
  <si>
    <t>181618</t>
  </si>
  <si>
    <t>黎锦铭</t>
  </si>
  <si>
    <t>20180977</t>
  </si>
  <si>
    <t>181619</t>
  </si>
  <si>
    <t>20180089</t>
  </si>
  <si>
    <t>181620</t>
  </si>
  <si>
    <t>李健杨</t>
  </si>
  <si>
    <t>20180092</t>
  </si>
  <si>
    <t>181621</t>
  </si>
  <si>
    <t>李沅桦</t>
  </si>
  <si>
    <t>20180306</t>
  </si>
  <si>
    <t>181622</t>
  </si>
  <si>
    <t>李镇科</t>
  </si>
  <si>
    <t>20180670</t>
  </si>
  <si>
    <t>181623</t>
  </si>
  <si>
    <t>梁家红</t>
  </si>
  <si>
    <t>20180349</t>
  </si>
  <si>
    <t>181624</t>
  </si>
  <si>
    <t>梁馨文</t>
  </si>
  <si>
    <t>20180146</t>
  </si>
  <si>
    <t>181625</t>
  </si>
  <si>
    <t>廖锦霞</t>
  </si>
  <si>
    <t>20180985</t>
  </si>
  <si>
    <t>181626</t>
  </si>
  <si>
    <t>廖南峰</t>
  </si>
  <si>
    <t>20180272</t>
  </si>
  <si>
    <t>181627</t>
  </si>
  <si>
    <t>凌社月</t>
  </si>
  <si>
    <t>20180662</t>
  </si>
  <si>
    <t>181628</t>
  </si>
  <si>
    <t>刘思彤</t>
  </si>
  <si>
    <t>20180592</t>
  </si>
  <si>
    <t>181629</t>
  </si>
  <si>
    <t>卢嘉盈</t>
  </si>
  <si>
    <t>20180157</t>
  </si>
  <si>
    <t>181630</t>
  </si>
  <si>
    <t>罗晓丽</t>
  </si>
  <si>
    <t>20180052</t>
  </si>
  <si>
    <t>181631</t>
  </si>
  <si>
    <t>莫晓怡</t>
  </si>
  <si>
    <t>20180855</t>
  </si>
  <si>
    <t>181632</t>
  </si>
  <si>
    <t>宁心如</t>
  </si>
  <si>
    <t>20180375</t>
  </si>
  <si>
    <t>181633</t>
  </si>
  <si>
    <t>邱金妹</t>
  </si>
  <si>
    <t>20180386</t>
  </si>
  <si>
    <t>181634</t>
  </si>
  <si>
    <t>邱龙龙</t>
  </si>
  <si>
    <t>20180805</t>
  </si>
  <si>
    <t>181635</t>
  </si>
  <si>
    <t>覃俊熹</t>
  </si>
  <si>
    <t>20180348</t>
  </si>
  <si>
    <t>181636</t>
  </si>
  <si>
    <t>田金婵</t>
  </si>
  <si>
    <t>20180016</t>
  </si>
  <si>
    <t>181637</t>
  </si>
  <si>
    <t>陀汇</t>
  </si>
  <si>
    <t>20180110</t>
  </si>
  <si>
    <t>181638</t>
  </si>
  <si>
    <t>王创鑫</t>
  </si>
  <si>
    <t>20180324</t>
  </si>
  <si>
    <t>181639</t>
  </si>
  <si>
    <t>韦锦英</t>
  </si>
  <si>
    <t>20180775</t>
  </si>
  <si>
    <t>181640</t>
  </si>
  <si>
    <t>吴潼</t>
  </si>
  <si>
    <t>20180366</t>
  </si>
  <si>
    <t>181641</t>
  </si>
  <si>
    <t>熊泰</t>
  </si>
  <si>
    <t>20180567</t>
  </si>
  <si>
    <t>181642</t>
  </si>
  <si>
    <t>徐夏玲</t>
  </si>
  <si>
    <t>20181072</t>
  </si>
  <si>
    <t>181643</t>
  </si>
  <si>
    <t>严晗菱</t>
  </si>
  <si>
    <t>20180432</t>
  </si>
  <si>
    <t>181644</t>
  </si>
  <si>
    <t>严子辉</t>
  </si>
  <si>
    <t>20180097</t>
  </si>
  <si>
    <t>181645</t>
  </si>
  <si>
    <t>颜宇杰</t>
  </si>
  <si>
    <t>20180413</t>
  </si>
  <si>
    <t>181646</t>
  </si>
  <si>
    <t>杨泽森</t>
  </si>
  <si>
    <t>20180091</t>
  </si>
  <si>
    <t>181647</t>
  </si>
  <si>
    <t>于栩</t>
  </si>
  <si>
    <t>20180046</t>
  </si>
  <si>
    <t>181648</t>
  </si>
  <si>
    <t>俞权威</t>
  </si>
  <si>
    <t>20180112</t>
  </si>
  <si>
    <t>181649</t>
  </si>
  <si>
    <t>张铠熙</t>
  </si>
  <si>
    <t>20180758</t>
  </si>
  <si>
    <t>181650</t>
  </si>
  <si>
    <t>张茜</t>
  </si>
  <si>
    <t>20180675</t>
  </si>
  <si>
    <t>181651</t>
  </si>
  <si>
    <t>张瑞琪</t>
  </si>
  <si>
    <t>20180837</t>
  </si>
  <si>
    <t>181652</t>
  </si>
  <si>
    <t>张义铭</t>
  </si>
  <si>
    <t>20180785</t>
  </si>
  <si>
    <t>181653</t>
  </si>
  <si>
    <t>张钰东</t>
  </si>
  <si>
    <t>20180744</t>
  </si>
  <si>
    <t>181654</t>
  </si>
  <si>
    <t>钟建滔</t>
  </si>
  <si>
    <t>20180104</t>
  </si>
  <si>
    <t>181655</t>
  </si>
  <si>
    <t>钟立影</t>
  </si>
  <si>
    <t>20180237</t>
  </si>
  <si>
    <t>181656</t>
  </si>
  <si>
    <t>祝敏华</t>
  </si>
  <si>
    <t>20180494</t>
  </si>
  <si>
    <t>181701</t>
  </si>
  <si>
    <t>车炫香</t>
  </si>
  <si>
    <t>20180435</t>
  </si>
  <si>
    <t>181702</t>
  </si>
  <si>
    <t>陈浩林</t>
  </si>
  <si>
    <t>20180653</t>
  </si>
  <si>
    <t>181703</t>
  </si>
  <si>
    <t>陈嘉琳</t>
  </si>
  <si>
    <t>20180682</t>
  </si>
  <si>
    <t>181704</t>
  </si>
  <si>
    <t>陈奕诚</t>
  </si>
  <si>
    <t>20181015</t>
  </si>
  <si>
    <t>181705</t>
  </si>
  <si>
    <t>陈钰婷</t>
  </si>
  <si>
    <t>20180887</t>
  </si>
  <si>
    <t>181706</t>
  </si>
  <si>
    <t>邓诗雅</t>
  </si>
  <si>
    <t>20180613</t>
  </si>
  <si>
    <t>181707</t>
  </si>
  <si>
    <t>丁镔斌</t>
  </si>
  <si>
    <t>20180849</t>
  </si>
  <si>
    <t>181708</t>
  </si>
  <si>
    <t>冯晓倩</t>
  </si>
  <si>
    <t>20180264</t>
  </si>
  <si>
    <t>181709</t>
  </si>
  <si>
    <t>甘海梅</t>
  </si>
  <si>
    <t>20180623</t>
  </si>
  <si>
    <t>181710</t>
  </si>
  <si>
    <t>甘铭茵</t>
  </si>
  <si>
    <t>20180866</t>
  </si>
  <si>
    <t>181711</t>
  </si>
  <si>
    <t>胡蝶儿</t>
  </si>
  <si>
    <t>20180543</t>
  </si>
  <si>
    <t>181712</t>
  </si>
  <si>
    <t>黄楚惠</t>
  </si>
  <si>
    <t>20180341</t>
  </si>
  <si>
    <t>181713</t>
  </si>
  <si>
    <t>黄钧裕</t>
  </si>
  <si>
    <t>20180210</t>
  </si>
  <si>
    <t>181714</t>
  </si>
  <si>
    <t>黄日</t>
  </si>
  <si>
    <t>20180455</t>
  </si>
  <si>
    <t>181715</t>
  </si>
  <si>
    <t>黄栩</t>
  </si>
  <si>
    <t>20180843</t>
  </si>
  <si>
    <t>181716</t>
  </si>
  <si>
    <t>黄智斌</t>
  </si>
  <si>
    <t>20180669</t>
  </si>
  <si>
    <t>181717</t>
  </si>
  <si>
    <t>黄梓晋</t>
  </si>
  <si>
    <t>20180005</t>
  </si>
  <si>
    <t>181718</t>
  </si>
  <si>
    <t>柯璐璐</t>
  </si>
  <si>
    <t>20180383</t>
  </si>
  <si>
    <t>181719</t>
  </si>
  <si>
    <t>赖伽瑜</t>
  </si>
  <si>
    <t>20180370</t>
  </si>
  <si>
    <t>181720</t>
  </si>
  <si>
    <t>黎松波</t>
  </si>
  <si>
    <t>20180147</t>
  </si>
  <si>
    <t>181721</t>
  </si>
  <si>
    <t>黎霆城</t>
  </si>
  <si>
    <t>20180754</t>
  </si>
  <si>
    <t>181722</t>
  </si>
  <si>
    <t>黎小雨</t>
  </si>
  <si>
    <t>20180678</t>
  </si>
  <si>
    <t>181723</t>
  </si>
  <si>
    <t>20180795</t>
  </si>
  <si>
    <t>181724</t>
  </si>
  <si>
    <t>李俊霖</t>
  </si>
  <si>
    <t>20180602</t>
  </si>
  <si>
    <t>181725</t>
  </si>
  <si>
    <t>李林莉</t>
  </si>
  <si>
    <t>20180955</t>
  </si>
  <si>
    <t>181726</t>
  </si>
  <si>
    <t>李珊</t>
  </si>
  <si>
    <t>20181053</t>
  </si>
  <si>
    <t>181727</t>
  </si>
  <si>
    <t>梁锦烯</t>
  </si>
  <si>
    <t>20180064</t>
  </si>
  <si>
    <t>181728</t>
  </si>
  <si>
    <t>20180922</t>
  </si>
  <si>
    <t>181729</t>
  </si>
  <si>
    <t>梁腾风</t>
  </si>
  <si>
    <t>20180235</t>
  </si>
  <si>
    <t>181730</t>
  </si>
  <si>
    <t>梁杏熙</t>
  </si>
  <si>
    <t>20180298</t>
  </si>
  <si>
    <t>181731</t>
  </si>
  <si>
    <t>廖桂兰</t>
  </si>
  <si>
    <t>20180253</t>
  </si>
  <si>
    <t>181732</t>
  </si>
  <si>
    <t>林天锦</t>
  </si>
  <si>
    <t>20180641</t>
  </si>
  <si>
    <t>181733</t>
  </si>
  <si>
    <t>刘楚君</t>
  </si>
  <si>
    <t>20180996</t>
  </si>
  <si>
    <t>181734</t>
  </si>
  <si>
    <t>刘弘彬</t>
  </si>
  <si>
    <t>20180772</t>
  </si>
  <si>
    <t>181735</t>
  </si>
  <si>
    <t>20180550</t>
  </si>
  <si>
    <t>181736</t>
  </si>
  <si>
    <t>陆舒婷</t>
  </si>
  <si>
    <t>20180121</t>
  </si>
  <si>
    <t>20180078</t>
  </si>
  <si>
    <t>181738</t>
  </si>
  <si>
    <t>聂金圣</t>
  </si>
  <si>
    <t>20180310</t>
  </si>
  <si>
    <t>181739</t>
  </si>
  <si>
    <t>潘展泽</t>
  </si>
  <si>
    <t>20180828</t>
  </si>
  <si>
    <t>181740</t>
  </si>
  <si>
    <t>彭倩</t>
  </si>
  <si>
    <t>20181043</t>
  </si>
  <si>
    <t>181741</t>
  </si>
  <si>
    <t>彭晓涵</t>
  </si>
  <si>
    <t>20180661</t>
  </si>
  <si>
    <t>181742</t>
  </si>
  <si>
    <t>邱浩</t>
  </si>
  <si>
    <t>20180389</t>
  </si>
  <si>
    <t>181743</t>
  </si>
  <si>
    <t>全丽燃</t>
  </si>
  <si>
    <t>20180830</t>
  </si>
  <si>
    <t>181744</t>
  </si>
  <si>
    <t>覃开拓</t>
  </si>
  <si>
    <t>20180581</t>
  </si>
  <si>
    <t>181745</t>
  </si>
  <si>
    <t>汤雨桦</t>
  </si>
  <si>
    <t>20180884</t>
  </si>
  <si>
    <t>181746</t>
  </si>
  <si>
    <t>王芯艳</t>
  </si>
  <si>
    <t>20180978</t>
  </si>
  <si>
    <t>181747</t>
  </si>
  <si>
    <t>韦林锋</t>
  </si>
  <si>
    <t>20180676</t>
  </si>
  <si>
    <t>181748</t>
  </si>
  <si>
    <t>韦文健</t>
  </si>
  <si>
    <t>20180657</t>
  </si>
  <si>
    <t>181749</t>
  </si>
  <si>
    <t>卫楚雯</t>
  </si>
  <si>
    <t>20181022</t>
  </si>
  <si>
    <t>181750</t>
  </si>
  <si>
    <t>吴炜彬</t>
  </si>
  <si>
    <t>20180163</t>
  </si>
  <si>
    <t>181751</t>
  </si>
  <si>
    <t>20181062</t>
  </si>
  <si>
    <t>181752</t>
  </si>
  <si>
    <t>许文惠</t>
  </si>
  <si>
    <t>20180515</t>
  </si>
  <si>
    <t>181753</t>
  </si>
  <si>
    <t>20181065</t>
  </si>
  <si>
    <t>181754</t>
  </si>
  <si>
    <t>严诗敏</t>
  </si>
  <si>
    <t>20180724</t>
  </si>
  <si>
    <t>181755</t>
  </si>
  <si>
    <t>叶锦璁</t>
  </si>
  <si>
    <t>20180659</t>
  </si>
  <si>
    <t>181756</t>
  </si>
  <si>
    <t>朱昭雅</t>
  </si>
  <si>
    <t>181757</t>
  </si>
  <si>
    <t>王嘉宇</t>
  </si>
  <si>
    <t>20180029</t>
  </si>
  <si>
    <t>181801</t>
  </si>
  <si>
    <t>20180487</t>
  </si>
  <si>
    <t>181802</t>
  </si>
  <si>
    <t>20180787</t>
  </si>
  <si>
    <t>181803</t>
  </si>
  <si>
    <t>陈柏莹</t>
  </si>
  <si>
    <t>20180477</t>
  </si>
  <si>
    <t>181805</t>
  </si>
  <si>
    <t>20180283</t>
  </si>
  <si>
    <t>181806</t>
  </si>
  <si>
    <t>陈泽彬</t>
  </si>
  <si>
    <t>20180809</t>
  </si>
  <si>
    <t>181807</t>
  </si>
  <si>
    <t>陈紫宜</t>
  </si>
  <si>
    <t>20180797</t>
  </si>
  <si>
    <t>181808</t>
  </si>
  <si>
    <t>邓宇婷</t>
  </si>
  <si>
    <t>20180804</t>
  </si>
  <si>
    <t>181809</t>
  </si>
  <si>
    <t>20180976</t>
  </si>
  <si>
    <t>181810</t>
  </si>
  <si>
    <t>20180238</t>
  </si>
  <si>
    <t>181811</t>
  </si>
  <si>
    <t>20180942</t>
  </si>
  <si>
    <t>181812</t>
  </si>
  <si>
    <t>胡乐谦</t>
  </si>
  <si>
    <t>20180469</t>
  </si>
  <si>
    <t>181813</t>
  </si>
  <si>
    <t>黄安妮</t>
  </si>
  <si>
    <t>20180129</t>
  </si>
  <si>
    <t>181814</t>
  </si>
  <si>
    <t>20180840</t>
  </si>
  <si>
    <t>181815</t>
  </si>
  <si>
    <t>20180947</t>
  </si>
  <si>
    <t>黄欣桐</t>
  </si>
  <si>
    <t>20180061</t>
  </si>
  <si>
    <t>181817</t>
  </si>
  <si>
    <t>20180274</t>
  </si>
  <si>
    <t>181818</t>
  </si>
  <si>
    <t>20180055</t>
  </si>
  <si>
    <t>181819</t>
  </si>
  <si>
    <t>黄子宸</t>
  </si>
  <si>
    <t>20180123</t>
  </si>
  <si>
    <t>181820</t>
  </si>
  <si>
    <t>20180786</t>
  </si>
  <si>
    <t>181821</t>
  </si>
  <si>
    <t>20180552</t>
  </si>
  <si>
    <t>181822</t>
  </si>
  <si>
    <t>20180301</t>
  </si>
  <si>
    <t>181823</t>
  </si>
  <si>
    <t>20180554</t>
  </si>
  <si>
    <t>181824</t>
  </si>
  <si>
    <t>20180124</t>
  </si>
  <si>
    <t>181825</t>
  </si>
  <si>
    <t>20180626</t>
  </si>
  <si>
    <t>181826</t>
  </si>
  <si>
    <t>20181046</t>
  </si>
  <si>
    <t>181827</t>
  </si>
  <si>
    <t>20180766</t>
  </si>
  <si>
    <t>181828</t>
  </si>
  <si>
    <t>20180861</t>
  </si>
  <si>
    <t>181829</t>
  </si>
  <si>
    <t>20180325</t>
  </si>
  <si>
    <t>181830</t>
  </si>
  <si>
    <t>20180335</t>
  </si>
  <si>
    <t>181831</t>
  </si>
  <si>
    <t>20180537</t>
  </si>
  <si>
    <t>181832</t>
  </si>
  <si>
    <t>刘木兰</t>
  </si>
  <si>
    <t>20180716</t>
  </si>
  <si>
    <t>181833</t>
  </si>
  <si>
    <t>20180393</t>
  </si>
  <si>
    <t>181834</t>
  </si>
  <si>
    <t>聂丽婷</t>
  </si>
  <si>
    <t>20180346</t>
  </si>
  <si>
    <t>181835</t>
  </si>
  <si>
    <t>20180893</t>
  </si>
  <si>
    <t>181836</t>
  </si>
  <si>
    <t>20180431</t>
  </si>
  <si>
    <t>181837</t>
  </si>
  <si>
    <t>20180798</t>
  </si>
  <si>
    <t>181838</t>
  </si>
  <si>
    <t>区可儿</t>
  </si>
  <si>
    <t>20180226</t>
  </si>
  <si>
    <t>181839</t>
  </si>
  <si>
    <t>20180852</t>
  </si>
  <si>
    <t>181840</t>
  </si>
  <si>
    <t>20180876</t>
  </si>
  <si>
    <t>石天伟</t>
  </si>
  <si>
    <t>20180030</t>
  </si>
  <si>
    <t>181842</t>
  </si>
  <si>
    <t>20180892</t>
  </si>
  <si>
    <t>20180084</t>
  </si>
  <si>
    <t>吴冰</t>
  </si>
  <si>
    <t>20180172</t>
  </si>
  <si>
    <t>20180164</t>
  </si>
  <si>
    <t>20180850</t>
  </si>
  <si>
    <t>20180438</t>
  </si>
  <si>
    <t>20180364</t>
  </si>
  <si>
    <t>20180024</t>
  </si>
  <si>
    <t>20180683</t>
  </si>
  <si>
    <t>20180916</t>
  </si>
  <si>
    <t>20180355</t>
  </si>
  <si>
    <t>20180088</t>
  </si>
  <si>
    <t>181901</t>
  </si>
  <si>
    <t>蔡冬梅</t>
  </si>
  <si>
    <t>20180645</t>
  </si>
  <si>
    <t>181902</t>
  </si>
  <si>
    <t>陈嘉欣</t>
  </si>
  <si>
    <t>20181012</t>
  </si>
  <si>
    <t>181903</t>
  </si>
  <si>
    <t>陈钰媚</t>
  </si>
  <si>
    <t>20180328</t>
  </si>
  <si>
    <t>181904</t>
  </si>
  <si>
    <t>邓嘉欣</t>
  </si>
  <si>
    <t>20180936</t>
  </si>
  <si>
    <t>181905</t>
  </si>
  <si>
    <t>方韵</t>
  </si>
  <si>
    <t>20180293</t>
  </si>
  <si>
    <t>181906</t>
  </si>
  <si>
    <t>贺细晴</t>
  </si>
  <si>
    <t>20180631</t>
  </si>
  <si>
    <t>181907</t>
  </si>
  <si>
    <t>黄洁兰</t>
  </si>
  <si>
    <t>20180099</t>
  </si>
  <si>
    <t>181908</t>
  </si>
  <si>
    <t>20180664</t>
  </si>
  <si>
    <t>181909</t>
  </si>
  <si>
    <t>黄梓婕</t>
  </si>
  <si>
    <t>20180901</t>
  </si>
  <si>
    <t>181910</t>
  </si>
  <si>
    <t>20180502</t>
  </si>
  <si>
    <t>181911</t>
  </si>
  <si>
    <t>20180240</t>
  </si>
  <si>
    <t>181912</t>
  </si>
  <si>
    <t>李淼馨</t>
  </si>
  <si>
    <t>20180630</t>
  </si>
  <si>
    <t>181913</t>
  </si>
  <si>
    <t>20180290</t>
  </si>
  <si>
    <t>181914</t>
  </si>
  <si>
    <t>梁露之</t>
  </si>
  <si>
    <t>20180591</t>
  </si>
  <si>
    <t>181915</t>
  </si>
  <si>
    <t>林叶芊芊</t>
  </si>
  <si>
    <t>20180538</t>
  </si>
  <si>
    <t>181916</t>
  </si>
  <si>
    <t>龙鈺弘</t>
  </si>
  <si>
    <t>20180885</t>
  </si>
  <si>
    <t>181917</t>
  </si>
  <si>
    <t>陆晓川</t>
  </si>
  <si>
    <t>20180334</t>
  </si>
  <si>
    <t>181918</t>
  </si>
  <si>
    <t>罗俊慧</t>
  </si>
  <si>
    <t>20181028</t>
  </si>
  <si>
    <t>181919</t>
  </si>
  <si>
    <t>麦研</t>
  </si>
  <si>
    <t>20180609</t>
  </si>
  <si>
    <t>181920</t>
  </si>
  <si>
    <t>毛婉婷</t>
  </si>
  <si>
    <t>20180721</t>
  </si>
  <si>
    <t>181921</t>
  </si>
  <si>
    <t>潘蕾羽</t>
  </si>
  <si>
    <t>20180041</t>
  </si>
  <si>
    <t>181922</t>
  </si>
  <si>
    <t>苏品桥</t>
  </si>
  <si>
    <t>20180193</t>
  </si>
  <si>
    <t>181923</t>
  </si>
  <si>
    <t>覃肖静</t>
  </si>
  <si>
    <t>181924</t>
  </si>
  <si>
    <t>20180941</t>
  </si>
  <si>
    <t>181925</t>
  </si>
  <si>
    <t>涂雅淇</t>
  </si>
  <si>
    <t>20180697</t>
  </si>
  <si>
    <t>181926</t>
  </si>
  <si>
    <t>文思然</t>
  </si>
  <si>
    <t>20180912</t>
  </si>
  <si>
    <t>181927</t>
  </si>
  <si>
    <t>20180578</t>
  </si>
  <si>
    <t>181928</t>
  </si>
  <si>
    <t>谢熺樑</t>
  </si>
  <si>
    <t>20180730</t>
  </si>
  <si>
    <t>181929</t>
  </si>
  <si>
    <t>禤云鹤</t>
  </si>
  <si>
    <t>20180170</t>
  </si>
  <si>
    <t>181930</t>
  </si>
  <si>
    <t>20180701</t>
  </si>
  <si>
    <t>181931</t>
  </si>
  <si>
    <t>20180736</t>
  </si>
  <si>
    <t>181932</t>
  </si>
  <si>
    <t>郑钧予</t>
  </si>
  <si>
    <t>20180762</t>
  </si>
  <si>
    <t>181933</t>
  </si>
  <si>
    <t>20180742</t>
  </si>
  <si>
    <t>181934</t>
  </si>
  <si>
    <t>邹金杏</t>
  </si>
  <si>
    <t>20180966</t>
  </si>
  <si>
    <t>182001</t>
  </si>
  <si>
    <t>岑思</t>
  </si>
  <si>
    <t>20180317</t>
  </si>
  <si>
    <t>182002</t>
  </si>
  <si>
    <t>曾颖</t>
  </si>
  <si>
    <t>20180337</t>
  </si>
  <si>
    <t>182003</t>
  </si>
  <si>
    <t>20180327</t>
  </si>
  <si>
    <t>182004</t>
  </si>
  <si>
    <t>陈柳霞</t>
  </si>
  <si>
    <t>20180546</t>
  </si>
  <si>
    <t>182006</t>
  </si>
  <si>
    <t>陈熙婷</t>
  </si>
  <si>
    <t>20180747</t>
  </si>
  <si>
    <t>182007</t>
  </si>
  <si>
    <t>邓茜</t>
  </si>
  <si>
    <t>20180973</t>
  </si>
  <si>
    <t>182008</t>
  </si>
  <si>
    <t>何璇</t>
  </si>
  <si>
    <t>20180382</t>
  </si>
  <si>
    <t>182009</t>
  </si>
  <si>
    <t>何阳娇</t>
  </si>
  <si>
    <t>20180919</t>
  </si>
  <si>
    <t>182011</t>
  </si>
  <si>
    <t>黄珍华</t>
  </si>
  <si>
    <t>20180824</t>
  </si>
  <si>
    <t>182012</t>
  </si>
  <si>
    <t>黄卓幸</t>
  </si>
  <si>
    <t>20180342</t>
  </si>
  <si>
    <t>182013</t>
  </si>
  <si>
    <t>孔锦梅</t>
  </si>
  <si>
    <t>20180749</t>
  </si>
  <si>
    <t>182014</t>
  </si>
  <si>
    <t>李欣宜</t>
  </si>
  <si>
    <t>20180995</t>
  </si>
  <si>
    <t>182015</t>
  </si>
  <si>
    <t>梁静</t>
  </si>
  <si>
    <t>20180608</t>
  </si>
  <si>
    <t>182016</t>
  </si>
  <si>
    <t>柳莹</t>
  </si>
  <si>
    <t>20180408</t>
  </si>
  <si>
    <t>182017</t>
  </si>
  <si>
    <t>莫格玲</t>
  </si>
  <si>
    <t>20180988</t>
  </si>
  <si>
    <t>182018</t>
  </si>
  <si>
    <t>20180660</t>
  </si>
  <si>
    <t>182019</t>
  </si>
  <si>
    <t>20180891</t>
  </si>
  <si>
    <t>182020</t>
  </si>
  <si>
    <t>20180788</t>
  </si>
  <si>
    <t>182021</t>
  </si>
  <si>
    <t>欧阳盈</t>
  </si>
  <si>
    <t>20180930</t>
  </si>
  <si>
    <t>182022</t>
  </si>
  <si>
    <t>20180073</t>
  </si>
  <si>
    <t>182023</t>
  </si>
  <si>
    <t>区烨静</t>
  </si>
  <si>
    <t>20180854</t>
  </si>
  <si>
    <t>182024</t>
  </si>
  <si>
    <t>20180961</t>
  </si>
  <si>
    <t>182025</t>
  </si>
  <si>
    <t>20180186</t>
  </si>
  <si>
    <t>182026</t>
  </si>
  <si>
    <t>覃浩婷</t>
  </si>
  <si>
    <t>20180987</t>
  </si>
  <si>
    <t>182027</t>
  </si>
  <si>
    <t>20180568</t>
  </si>
  <si>
    <t>182028</t>
  </si>
  <si>
    <t>20180627</t>
  </si>
  <si>
    <t>182029</t>
  </si>
  <si>
    <t>吴永龙</t>
  </si>
  <si>
    <t>20180378</t>
  </si>
  <si>
    <t>182030</t>
  </si>
  <si>
    <t>冼锦秀</t>
  </si>
  <si>
    <t>20180906</t>
  </si>
  <si>
    <t>182031</t>
  </si>
  <si>
    <t>20180741</t>
  </si>
  <si>
    <t>182032</t>
  </si>
  <si>
    <t>张珊珊</t>
  </si>
  <si>
    <t>20180663</t>
  </si>
  <si>
    <t>182033</t>
  </si>
  <si>
    <t>张瑜卓</t>
  </si>
  <si>
    <t>20180926</t>
  </si>
  <si>
    <t>182034</t>
  </si>
  <si>
    <t>钟钰莹</t>
  </si>
  <si>
    <t>20180429</t>
  </si>
  <si>
    <t>182035</t>
  </si>
  <si>
    <t>周婉怡</t>
  </si>
  <si>
    <t>20180917</t>
  </si>
  <si>
    <t>潘韦童欣</t>
  </si>
  <si>
    <t>理科</t>
  </si>
  <si>
    <t>文科</t>
  </si>
  <si>
    <t>科目</t>
    <phoneticPr fontId="2" type="noConversion"/>
  </si>
  <si>
    <t>语文
/
150</t>
    <phoneticPr fontId="2" type="noConversion"/>
  </si>
  <si>
    <t>任课教师</t>
    <phoneticPr fontId="2" type="noConversion"/>
  </si>
  <si>
    <t>平均分</t>
  </si>
  <si>
    <t>各班名次</t>
    <phoneticPr fontId="2" type="noConversion"/>
  </si>
  <si>
    <t>优秀率</t>
  </si>
  <si>
    <t>及格率</t>
  </si>
  <si>
    <t>及格率名次</t>
    <phoneticPr fontId="2" type="noConversion"/>
  </si>
  <si>
    <t>数学
/
150</t>
    <phoneticPr fontId="2" type="noConversion"/>
  </si>
  <si>
    <t>英语
/
150</t>
    <phoneticPr fontId="2" type="noConversion"/>
  </si>
  <si>
    <t>总分平均分</t>
    <phoneticPr fontId="2" type="noConversion"/>
  </si>
  <si>
    <t>总分排名</t>
    <phoneticPr fontId="2" type="noConversion"/>
  </si>
  <si>
    <t>数学</t>
  </si>
  <si>
    <t>物理</t>
  </si>
  <si>
    <t>生物</t>
  </si>
  <si>
    <t>人数</t>
  </si>
  <si>
    <t>政治</t>
    <phoneticPr fontId="2" type="noConversion"/>
  </si>
  <si>
    <t>历史</t>
    <phoneticPr fontId="2" type="noConversion"/>
  </si>
  <si>
    <t>地理</t>
    <phoneticPr fontId="2" type="noConversion"/>
  </si>
  <si>
    <t>一本</t>
    <phoneticPr fontId="2" type="noConversion"/>
  </si>
  <si>
    <t>二本</t>
    <phoneticPr fontId="2" type="noConversion"/>
  </si>
  <si>
    <t>理科</t>
    <phoneticPr fontId="2" type="noConversion"/>
  </si>
  <si>
    <t>文科</t>
    <phoneticPr fontId="2" type="noConversion"/>
  </si>
  <si>
    <t>生物100/地理100</t>
    <phoneticPr fontId="2" type="noConversion"/>
  </si>
  <si>
    <t>一本</t>
    <phoneticPr fontId="2" type="noConversion"/>
  </si>
  <si>
    <t>二本</t>
    <phoneticPr fontId="2" type="noConversion"/>
  </si>
  <si>
    <t>文科总分</t>
    <phoneticPr fontId="2" type="noConversion"/>
  </si>
  <si>
    <t>理科总分</t>
    <phoneticPr fontId="2" type="noConversion"/>
  </si>
  <si>
    <t>年级排名</t>
  </si>
  <si>
    <t>莫简</t>
  </si>
  <si>
    <t>181357</t>
  </si>
  <si>
    <t>黄凌康</t>
  </si>
  <si>
    <t>181257</t>
  </si>
  <si>
    <t>182010</t>
  </si>
  <si>
    <t>182005</t>
  </si>
  <si>
    <t>陈丽帆</t>
  </si>
  <si>
    <t>总分进退</t>
  </si>
  <si>
    <t>数学</t>
    <phoneticPr fontId="1" type="noConversion"/>
  </si>
  <si>
    <t>理科进步前300名</t>
    <phoneticPr fontId="1" type="noConversion"/>
  </si>
  <si>
    <t>文科进步前30名</t>
    <phoneticPr fontId="1" type="noConversion"/>
  </si>
  <si>
    <t>陈培锴</t>
  </si>
  <si>
    <t>181457</t>
  </si>
  <si>
    <t>181657</t>
  </si>
  <si>
    <t>182036</t>
  </si>
  <si>
    <t>李品宏</t>
  </si>
  <si>
    <t>谭新雨</t>
  </si>
  <si>
    <t>伍家余</t>
  </si>
  <si>
    <t>麦立俊</t>
  </si>
  <si>
    <t>黄建皓</t>
  </si>
  <si>
    <t>叶桓廷</t>
  </si>
  <si>
    <t>黎鹿源</t>
  </si>
  <si>
    <t>邓凯铧</t>
  </si>
  <si>
    <t>车安琪</t>
  </si>
  <si>
    <t>化学</t>
    <phoneticPr fontId="1" type="noConversion"/>
  </si>
  <si>
    <t>总分</t>
    <phoneticPr fontId="1" type="noConversion"/>
  </si>
  <si>
    <t>180243</t>
  </si>
  <si>
    <t>181008</t>
  </si>
  <si>
    <t>181017</t>
  </si>
  <si>
    <t>181804</t>
  </si>
  <si>
    <t>181841</t>
  </si>
  <si>
    <t>校排</t>
    <phoneticPr fontId="2" type="noConversion"/>
  </si>
  <si>
    <t>理科总分前100名、单科前10名</t>
    <phoneticPr fontId="2" type="noConversion"/>
  </si>
  <si>
    <t>文科总分前50名、单科前10名</t>
    <phoneticPr fontId="2" type="noConversion"/>
  </si>
  <si>
    <t>180952</t>
  </si>
  <si>
    <t>于湙鑫</t>
  </si>
  <si>
    <t>180951</t>
  </si>
  <si>
    <t>180557</t>
  </si>
  <si>
    <t>182040</t>
  </si>
  <si>
    <t>182037</t>
  </si>
  <si>
    <t>182038</t>
  </si>
  <si>
    <t>181938</t>
  </si>
  <si>
    <t>182044</t>
  </si>
  <si>
    <t>姚昕劼</t>
  </si>
  <si>
    <t>182039</t>
  </si>
  <si>
    <t>182043</t>
  </si>
  <si>
    <t>181944</t>
  </si>
  <si>
    <t>181936</t>
  </si>
  <si>
    <t>181941</t>
  </si>
  <si>
    <t>182045</t>
  </si>
  <si>
    <t>181939</t>
  </si>
  <si>
    <t>182042</t>
  </si>
  <si>
    <t>182041</t>
  </si>
  <si>
    <t>181943</t>
  </si>
  <si>
    <t>181940</t>
  </si>
  <si>
    <t>181942</t>
  </si>
  <si>
    <t>181937</t>
  </si>
  <si>
    <t>181935</t>
  </si>
  <si>
    <t>唐楚艺</t>
  </si>
  <si>
    <t>一本</t>
    <phoneticPr fontId="2" type="noConversion"/>
  </si>
  <si>
    <t>二本</t>
    <phoneticPr fontId="2" type="noConversion"/>
  </si>
  <si>
    <t>一本完成情况</t>
    <phoneticPr fontId="2" type="noConversion"/>
  </si>
  <si>
    <t/>
  </si>
  <si>
    <t>学号</t>
  </si>
  <si>
    <t>总分</t>
  </si>
  <si>
    <t>分数</t>
  </si>
  <si>
    <t>吴钎瑜</t>
  </si>
  <si>
    <t>181816</t>
  </si>
  <si>
    <t>181946</t>
  </si>
  <si>
    <t>181945</t>
  </si>
  <si>
    <t>182046</t>
  </si>
  <si>
    <t>地理</t>
    <phoneticPr fontId="1" type="noConversion"/>
  </si>
  <si>
    <t>数学</t>
    <phoneticPr fontId="1" type="noConversion"/>
  </si>
  <si>
    <t>一本完成情况</t>
  </si>
  <si>
    <t>赵莹</t>
  </si>
  <si>
    <t>陈柳燕</t>
  </si>
  <si>
    <t>陈小燕</t>
  </si>
  <si>
    <t>地理</t>
  </si>
  <si>
    <t>罗澍臣</t>
  </si>
  <si>
    <t xml:space="preserve"> </t>
  </si>
  <si>
    <t>182047</t>
  </si>
  <si>
    <t>181947</t>
  </si>
  <si>
    <t>180143</t>
  </si>
  <si>
    <t>英语</t>
    <phoneticPr fontId="1" type="noConversion"/>
  </si>
  <si>
    <t>历史</t>
    <phoneticPr fontId="1" type="noConversion"/>
  </si>
  <si>
    <t>第2学期</t>
  </si>
  <si>
    <t>学生账号</t>
  </si>
  <si>
    <t>班</t>
  </si>
  <si>
    <t>语文期评</t>
  </si>
  <si>
    <t>语文学分</t>
  </si>
  <si>
    <t>180150</t>
  </si>
  <si>
    <t>180213</t>
  </si>
  <si>
    <t>20180271</t>
  </si>
  <si>
    <t>180523</t>
  </si>
  <si>
    <t>李欣静</t>
  </si>
  <si>
    <t>180705</t>
  </si>
  <si>
    <t>180802</t>
  </si>
  <si>
    <t>180925</t>
  </si>
  <si>
    <t>181012</t>
  </si>
  <si>
    <t>181152</t>
  </si>
  <si>
    <t>181410</t>
  </si>
  <si>
    <t>181417</t>
  </si>
  <si>
    <t>181549</t>
  </si>
  <si>
    <t>181607</t>
  </si>
  <si>
    <t>181737</t>
  </si>
  <si>
    <t>数学期评</t>
  </si>
  <si>
    <t>数学学分</t>
  </si>
  <si>
    <t>英语期评</t>
  </si>
  <si>
    <t>英语学分</t>
  </si>
  <si>
    <t>物理期评</t>
  </si>
  <si>
    <t>化学期评</t>
  </si>
  <si>
    <t>化学学分</t>
  </si>
  <si>
    <t>物理学分</t>
    <phoneticPr fontId="1" type="noConversion"/>
  </si>
  <si>
    <t>生物期评</t>
  </si>
  <si>
    <t>生物学分</t>
  </si>
  <si>
    <t>政治期评</t>
  </si>
  <si>
    <t>政治学分</t>
  </si>
  <si>
    <t>历史期评</t>
  </si>
  <si>
    <t>历史学分</t>
  </si>
  <si>
    <t>音乐期评</t>
  </si>
  <si>
    <t>美术期评</t>
  </si>
  <si>
    <t>美术学分</t>
  </si>
  <si>
    <t>音乐学分</t>
    <phoneticPr fontId="1" type="noConversion"/>
  </si>
  <si>
    <t>书法期评</t>
  </si>
  <si>
    <t>书法学分</t>
  </si>
  <si>
    <t>信息技术期评</t>
  </si>
  <si>
    <t>信息技术学分</t>
  </si>
  <si>
    <t>心理期评</t>
  </si>
  <si>
    <t>心理学分</t>
  </si>
  <si>
    <t>体育期评</t>
  </si>
  <si>
    <t>体育学分</t>
  </si>
  <si>
    <t>缺考</t>
  </si>
  <si>
    <t>转学</t>
  </si>
  <si>
    <t>地理期评</t>
  </si>
  <si>
    <t>地理学分</t>
  </si>
  <si>
    <t>周莉</t>
  </si>
  <si>
    <t>韩洁莹</t>
  </si>
  <si>
    <t>何晓虹</t>
  </si>
  <si>
    <t>吕韵</t>
  </si>
  <si>
    <t>罗仲威</t>
  </si>
  <si>
    <t>姚明霞</t>
  </si>
  <si>
    <t>夏琼妮</t>
  </si>
  <si>
    <t>邓惠方</t>
  </si>
  <si>
    <t>梁彩玲</t>
  </si>
  <si>
    <t>王东海</t>
  </si>
  <si>
    <t>龙辛夷</t>
  </si>
  <si>
    <t>区炜</t>
  </si>
  <si>
    <t>彭宝娟</t>
  </si>
  <si>
    <t>苏昊</t>
  </si>
  <si>
    <t>张立丽</t>
  </si>
  <si>
    <t>谭远森</t>
  </si>
  <si>
    <t>杨春兰</t>
  </si>
  <si>
    <t>彭乾</t>
  </si>
  <si>
    <t>陈珍妮</t>
  </si>
  <si>
    <t>廖建华</t>
  </si>
  <si>
    <t>王建莉</t>
  </si>
  <si>
    <t>左荣梅</t>
  </si>
  <si>
    <t>胡英华</t>
  </si>
  <si>
    <t>李泉波</t>
  </si>
  <si>
    <t>叶彦灵</t>
  </si>
  <si>
    <t>徐天德</t>
  </si>
  <si>
    <t>陈丽文</t>
  </si>
  <si>
    <t>许如晓</t>
  </si>
  <si>
    <t>陈东</t>
  </si>
  <si>
    <t>何忠林</t>
  </si>
  <si>
    <t>卢珊</t>
  </si>
  <si>
    <t>钟海妮</t>
  </si>
  <si>
    <t>杨君妮</t>
  </si>
  <si>
    <t>崔影杏</t>
  </si>
  <si>
    <t>苏 雁</t>
  </si>
  <si>
    <t>罗旭东</t>
  </si>
  <si>
    <t>杨镇泽</t>
  </si>
  <si>
    <t>卢珏颖</t>
  </si>
  <si>
    <t>周刚</t>
  </si>
  <si>
    <t>林惠贞</t>
  </si>
  <si>
    <t>刘欢</t>
  </si>
  <si>
    <t>安然</t>
  </si>
  <si>
    <t>梁彩源</t>
  </si>
  <si>
    <t>邱裕玲</t>
  </si>
  <si>
    <t>李泳杏</t>
  </si>
  <si>
    <t>彭 励</t>
  </si>
  <si>
    <t>林鑫鑫</t>
  </si>
  <si>
    <t>胡兴艳</t>
  </si>
  <si>
    <t>冯舒雯</t>
  </si>
  <si>
    <t>马德信</t>
  </si>
  <si>
    <t>黄惠芝</t>
  </si>
  <si>
    <t>姜嘉丽</t>
  </si>
  <si>
    <t>杨伟勇</t>
  </si>
  <si>
    <t>庞海容</t>
  </si>
  <si>
    <t>黎瑜莹</t>
  </si>
  <si>
    <t>欧漫宇</t>
  </si>
  <si>
    <t>张丽华</t>
  </si>
  <si>
    <t>杨逢云</t>
  </si>
  <si>
    <t>陈欣宁</t>
  </si>
  <si>
    <t>黎彦宏</t>
  </si>
  <si>
    <t>霍民瑶</t>
  </si>
  <si>
    <t>陈  媛</t>
  </si>
  <si>
    <t>张诚杰</t>
  </si>
  <si>
    <t>游婉婷</t>
  </si>
  <si>
    <t>赵汝生</t>
  </si>
  <si>
    <t>学生成绩理科</t>
  </si>
  <si>
    <t>文理类型</t>
  </si>
  <si>
    <t>班名</t>
  </si>
  <si>
    <t>级名</t>
  </si>
  <si>
    <t>181052</t>
  </si>
  <si>
    <t>学生成绩文科</t>
  </si>
  <si>
    <t>数学文</t>
  </si>
  <si>
    <t>181843</t>
  </si>
  <si>
    <t>梁浩翰</t>
  </si>
  <si>
    <t>181844</t>
  </si>
  <si>
    <t>181845</t>
  </si>
  <si>
    <t>181846</t>
  </si>
  <si>
    <t>化学100/历史100</t>
    <phoneticPr fontId="2" type="noConversion"/>
  </si>
  <si>
    <t>科目</t>
  </si>
  <si>
    <t>物理/政治</t>
  </si>
  <si>
    <t>化学/历史</t>
  </si>
  <si>
    <t>生物/地理</t>
  </si>
  <si>
    <t>月考总分</t>
  </si>
  <si>
    <t>班级排名</t>
  </si>
  <si>
    <t>新学号</t>
  </si>
  <si>
    <t>新班</t>
  </si>
  <si>
    <t>缺考</t>
    <phoneticPr fontId="1" type="noConversion"/>
  </si>
  <si>
    <t xml:space="preserve">            分数线
 指标</t>
    <phoneticPr fontId="2" type="noConversion"/>
  </si>
  <si>
    <t xml:space="preserve">           分数线
 指标</t>
    <phoneticPr fontId="2" type="noConversion"/>
  </si>
  <si>
    <t>任课老师</t>
    <phoneticPr fontId="2" type="noConversion"/>
  </si>
  <si>
    <t>高二年级1801-1820班段考（3）统计表            20191125</t>
    <phoneticPr fontId="2" type="noConversion"/>
  </si>
  <si>
    <t>段考总分</t>
    <phoneticPr fontId="1" type="noConversion"/>
  </si>
  <si>
    <t>高二年级1801-1820班段考（3）成绩表            20191125</t>
    <phoneticPr fontId="2" type="noConversion"/>
  </si>
  <si>
    <t>政治理</t>
  </si>
  <si>
    <t>地理理</t>
  </si>
  <si>
    <t>历史理</t>
  </si>
  <si>
    <t>物理文</t>
  </si>
  <si>
    <t>化学文</t>
  </si>
  <si>
    <t>生物文</t>
  </si>
  <si>
    <t>物理110/政治100</t>
    <phoneticPr fontId="2" type="noConversion"/>
  </si>
  <si>
    <t>政治（理）/物理（文）</t>
    <phoneticPr fontId="1" type="noConversion"/>
  </si>
  <si>
    <t>历史（理）/化学（文）</t>
    <phoneticPr fontId="1" type="noConversion"/>
  </si>
  <si>
    <t>地理（理）/生物（文）</t>
    <phoneticPr fontId="1" type="noConversion"/>
  </si>
  <si>
    <t>1802班</t>
    <phoneticPr fontId="1" type="noConversion"/>
  </si>
  <si>
    <t>1804班</t>
    <phoneticPr fontId="1" type="noConversion"/>
  </si>
  <si>
    <t>1808班</t>
    <phoneticPr fontId="1" type="noConversion"/>
  </si>
  <si>
    <t>1820班</t>
    <phoneticPr fontId="1" type="noConversion"/>
  </si>
  <si>
    <t>1806班</t>
    <phoneticPr fontId="1" type="noConversion"/>
  </si>
  <si>
    <t>1819班</t>
    <phoneticPr fontId="1" type="noConversion"/>
  </si>
  <si>
    <t>段考总分</t>
  </si>
  <si>
    <t>物理</t>
    <phoneticPr fontId="1" type="noConversion"/>
  </si>
  <si>
    <t>化学</t>
    <phoneticPr fontId="1" type="noConversion"/>
  </si>
  <si>
    <t>生物</t>
    <phoneticPr fontId="1" type="noConversion"/>
  </si>
  <si>
    <t>政治</t>
    <phoneticPr fontId="1" type="noConversion"/>
  </si>
  <si>
    <t>历史</t>
    <phoneticPr fontId="1" type="noConversion"/>
  </si>
  <si>
    <t>地理</t>
    <phoneticPr fontId="1" type="noConversion"/>
  </si>
  <si>
    <t>语文单排</t>
    <phoneticPr fontId="1" type="noConversion"/>
  </si>
  <si>
    <t>数学单排</t>
    <phoneticPr fontId="1" type="noConversion"/>
  </si>
  <si>
    <t>英语单排</t>
    <phoneticPr fontId="1" type="noConversion"/>
  </si>
  <si>
    <t>物理单排</t>
    <phoneticPr fontId="1" type="noConversion"/>
  </si>
  <si>
    <t>化学单排</t>
    <phoneticPr fontId="1" type="noConversion"/>
  </si>
  <si>
    <t>生物单排</t>
    <phoneticPr fontId="1" type="noConversion"/>
  </si>
  <si>
    <t>政治单排</t>
    <phoneticPr fontId="1" type="noConversion"/>
  </si>
  <si>
    <t>历史单排</t>
    <phoneticPr fontId="1" type="noConversion"/>
  </si>
  <si>
    <t>地理单排</t>
    <phoneticPr fontId="1" type="noConversion"/>
  </si>
  <si>
    <t>生物</t>
    <phoneticPr fontId="1" type="noConversion"/>
  </si>
  <si>
    <r>
      <t xml:space="preserve">高二年级1801-1820班上学期段考光荣榜     </t>
    </r>
    <r>
      <rPr>
        <b/>
        <sz val="11"/>
        <rFont val="等线"/>
        <family val="3"/>
        <charset val="134"/>
        <scheme val="minor"/>
      </rPr>
      <t>20191125</t>
    </r>
    <phoneticPr fontId="2" type="noConversion"/>
  </si>
  <si>
    <r>
      <t>理科前5</t>
    </r>
    <r>
      <rPr>
        <sz val="12"/>
        <color indexed="10"/>
        <rFont val="等线"/>
        <family val="3"/>
        <charset val="134"/>
        <scheme val="minor"/>
      </rPr>
      <t>0名，前100名各班人数</t>
    </r>
    <phoneticPr fontId="2" type="noConversion"/>
  </si>
  <si>
    <t>缺考情况</t>
    <phoneticPr fontId="2" type="noConversion"/>
  </si>
  <si>
    <t>彭钧健</t>
    <phoneticPr fontId="1" type="noConversion"/>
  </si>
  <si>
    <t>魏炬华</t>
    <phoneticPr fontId="1" type="noConversion"/>
  </si>
  <si>
    <t>林小琪、魏炬华</t>
    <phoneticPr fontId="2" type="noConversion"/>
  </si>
  <si>
    <t>曾婷慧</t>
    <phoneticPr fontId="1" type="noConversion"/>
  </si>
  <si>
    <t>杨钰良</t>
    <phoneticPr fontId="1" type="noConversion"/>
  </si>
  <si>
    <t>曾婷慧、杨钰良</t>
    <phoneticPr fontId="2" type="noConversion"/>
  </si>
  <si>
    <t>曾颖</t>
    <phoneticPr fontId="1" type="noConversion"/>
  </si>
  <si>
    <t>李逸菲</t>
    <phoneticPr fontId="1" type="noConversion"/>
  </si>
  <si>
    <t>麦研</t>
    <phoneticPr fontId="1" type="noConversion"/>
  </si>
  <si>
    <r>
      <t>高二年级段考（3）成绩贡献值    20191126</t>
    </r>
    <r>
      <rPr>
        <b/>
        <sz val="12"/>
        <color rgb="FFFF0000"/>
        <rFont val="宋体"/>
        <family val="3"/>
        <charset val="134"/>
      </rPr>
      <t>（红色标注的一本指标是已经减去缺考的一本学生）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</si>
</sst>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_ ;[Red]\-0\ "/>
    <numFmt numFmtId="177" formatCode="0.00_);[Red]\(0.00\)"/>
    <numFmt numFmtId="178" formatCode="0_);[Red]\(0\)"/>
    <numFmt numFmtId="179" formatCode="0.00_ "/>
    <numFmt numFmtId="180" formatCode="0_ "/>
  </numFmts>
  <fonts count="2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0"/>
      <color indexed="8"/>
      <name val="Arial"/>
      <family val="2"/>
    </font>
    <font>
      <b/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theme="1"/>
      <name val="等线"/>
      <family val="2"/>
      <scheme val="minor"/>
    </font>
    <font>
      <b/>
      <sz val="16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indexed="1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/>
      <diagonal style="medium">
        <color indexed="64"/>
      </diagonal>
    </border>
    <border diagonalDown="1">
      <left/>
      <right/>
      <top style="medium">
        <color indexed="64"/>
      </top>
      <bottom/>
      <diagonal style="medium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medium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medium">
        <color indexed="64"/>
      </diagonal>
    </border>
    <border diagonalDown="1">
      <left/>
      <right/>
      <top/>
      <bottom style="medium">
        <color indexed="64"/>
      </bottom>
      <diagonal style="medium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medium">
        <color indexed="64"/>
      </diagonal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225"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3" fillId="0" borderId="2" xfId="1" applyBorder="1" applyAlignment="1">
      <alignment horizontal="center"/>
    </xf>
    <xf numFmtId="0" fontId="3" fillId="0" borderId="0" xfId="1">
      <alignment vertical="center"/>
    </xf>
    <xf numFmtId="176" fontId="3" fillId="0" borderId="0" xfId="1" applyNumberFormat="1">
      <alignment vertical="center"/>
    </xf>
    <xf numFmtId="0" fontId="3" fillId="0" borderId="3" xfId="1" applyBorder="1" applyAlignment="1">
      <alignment horizontal="center"/>
    </xf>
    <xf numFmtId="176" fontId="3" fillId="0" borderId="10" xfId="1" applyNumberFormat="1" applyBorder="1" applyAlignment="1">
      <alignment horizontal="center" vertical="center"/>
    </xf>
    <xf numFmtId="0" fontId="3" fillId="0" borderId="19" xfId="1" applyBorder="1" applyAlignment="1">
      <alignment horizontal="center" vertical="center"/>
    </xf>
    <xf numFmtId="0" fontId="3" fillId="0" borderId="20" xfId="1" applyBorder="1" applyAlignment="1">
      <alignment horizontal="center" vertical="center"/>
    </xf>
    <xf numFmtId="0" fontId="3" fillId="0" borderId="22" xfId="1" applyBorder="1" applyAlignment="1">
      <alignment horizontal="center" vertical="center"/>
    </xf>
    <xf numFmtId="0" fontId="3" fillId="0" borderId="16" xfId="1" applyBorder="1" applyAlignment="1">
      <alignment horizontal="center" vertical="center"/>
    </xf>
    <xf numFmtId="0" fontId="3" fillId="0" borderId="28" xfId="1" applyBorder="1" applyAlignment="1">
      <alignment horizontal="center" vertical="center"/>
    </xf>
    <xf numFmtId="0" fontId="3" fillId="0" borderId="7" xfId="1" applyBorder="1" applyAlignment="1">
      <alignment horizontal="center"/>
    </xf>
    <xf numFmtId="0" fontId="3" fillId="0" borderId="26" xfId="1" applyBorder="1" applyAlignment="1">
      <alignment horizontal="center" vertical="center"/>
    </xf>
    <xf numFmtId="0" fontId="3" fillId="0" borderId="14" xfId="1" applyBorder="1" applyAlignment="1">
      <alignment horizontal="center"/>
    </xf>
    <xf numFmtId="176" fontId="3" fillId="0" borderId="27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/>
    </xf>
    <xf numFmtId="178" fontId="4" fillId="0" borderId="2" xfId="0" applyNumberFormat="1" applyFont="1" applyBorder="1" applyAlignment="1">
      <alignment horizontal="center" vertical="center"/>
    </xf>
    <xf numFmtId="10" fontId="4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36" xfId="1" applyBorder="1" applyAlignment="1">
      <alignment horizontal="center" vertical="center"/>
    </xf>
    <xf numFmtId="0" fontId="3" fillId="0" borderId="34" xfId="1" applyBorder="1" applyAlignment="1">
      <alignment horizontal="center" vertical="center"/>
    </xf>
    <xf numFmtId="176" fontId="3" fillId="0" borderId="6" xfId="1" applyNumberFormat="1" applyBorder="1" applyAlignment="1">
      <alignment horizontal="center" vertical="center"/>
    </xf>
    <xf numFmtId="176" fontId="3" fillId="0" borderId="9" xfId="1" applyNumberFormat="1" applyBorder="1" applyAlignment="1">
      <alignment horizontal="center" vertical="center"/>
    </xf>
    <xf numFmtId="176" fontId="3" fillId="0" borderId="34" xfId="1" applyNumberFormat="1" applyBorder="1" applyAlignment="1">
      <alignment horizontal="center" vertical="center"/>
    </xf>
    <xf numFmtId="0" fontId="3" fillId="0" borderId="33" xfId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0" borderId="1" xfId="1" applyNumberFormat="1" applyBorder="1" applyAlignment="1">
      <alignment horizontal="center" vertical="center"/>
    </xf>
    <xf numFmtId="176" fontId="3" fillId="0" borderId="37" xfId="1" applyNumberFormat="1" applyBorder="1" applyAlignment="1">
      <alignment horizontal="center" vertical="center"/>
    </xf>
    <xf numFmtId="0" fontId="3" fillId="0" borderId="31" xfId="1" applyBorder="1" applyAlignment="1">
      <alignment horizontal="center"/>
    </xf>
    <xf numFmtId="0" fontId="3" fillId="0" borderId="4" xfId="1" applyBorder="1" applyAlignment="1">
      <alignment horizontal="center"/>
    </xf>
    <xf numFmtId="0" fontId="3" fillId="0" borderId="8" xfId="1" applyBorder="1" applyAlignment="1">
      <alignment horizontal="center"/>
    </xf>
    <xf numFmtId="0" fontId="3" fillId="0" borderId="33" xfId="1" applyBorder="1" applyAlignment="1">
      <alignment horizontal="center"/>
    </xf>
    <xf numFmtId="0" fontId="7" fillId="0" borderId="19" xfId="1" applyFont="1" applyBorder="1" applyAlignment="1">
      <alignment horizontal="center" vertical="center"/>
    </xf>
    <xf numFmtId="0" fontId="7" fillId="0" borderId="30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/>
    </xf>
    <xf numFmtId="0" fontId="7" fillId="0" borderId="23" xfId="1" applyFont="1" applyBorder="1" applyAlignment="1">
      <alignment horizontal="center"/>
    </xf>
    <xf numFmtId="0" fontId="7" fillId="0" borderId="16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0" borderId="28" xfId="1" applyFont="1" applyBorder="1" applyAlignment="1">
      <alignment horizontal="center"/>
    </xf>
    <xf numFmtId="0" fontId="7" fillId="0" borderId="29" xfId="1" applyFont="1" applyBorder="1" applyAlignment="1">
      <alignment horizontal="center"/>
    </xf>
    <xf numFmtId="0" fontId="8" fillId="0" borderId="19" xfId="1" applyFont="1" applyBorder="1" applyAlignment="1">
      <alignment horizontal="center"/>
    </xf>
    <xf numFmtId="0" fontId="8" fillId="0" borderId="21" xfId="1" applyFont="1" applyBorder="1" applyAlignment="1">
      <alignment horizontal="center"/>
    </xf>
    <xf numFmtId="0" fontId="7" fillId="0" borderId="34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7" fillId="0" borderId="7" xfId="1" applyFont="1" applyBorder="1" applyAlignment="1">
      <alignment horizontal="center"/>
    </xf>
    <xf numFmtId="0" fontId="8" fillId="0" borderId="27" xfId="1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176" fontId="3" fillId="2" borderId="22" xfId="1" applyNumberFormat="1" applyFill="1" applyBorder="1" applyAlignment="1">
      <alignment horizontal="center" vertical="center"/>
    </xf>
    <xf numFmtId="176" fontId="3" fillId="2" borderId="1" xfId="1" applyNumberFormat="1" applyFill="1" applyBorder="1" applyAlignment="1">
      <alignment horizontal="center" vertical="center"/>
    </xf>
    <xf numFmtId="176" fontId="3" fillId="2" borderId="23" xfId="1" applyNumberFormat="1" applyFill="1" applyBorder="1" applyAlignment="1">
      <alignment horizontal="center" vertical="center"/>
    </xf>
    <xf numFmtId="176" fontId="3" fillId="2" borderId="16" xfId="1" applyNumberFormat="1" applyFill="1" applyBorder="1" applyAlignment="1">
      <alignment horizontal="center" vertical="center"/>
    </xf>
    <xf numFmtId="176" fontId="3" fillId="2" borderId="17" xfId="1" applyNumberFormat="1" applyFill="1" applyBorder="1" applyAlignment="1">
      <alignment horizontal="center" vertical="center"/>
    </xf>
    <xf numFmtId="176" fontId="3" fillId="2" borderId="28" xfId="1" applyNumberFormat="1" applyFill="1" applyBorder="1" applyAlignment="1">
      <alignment horizontal="center" vertical="center"/>
    </xf>
    <xf numFmtId="176" fontId="3" fillId="2" borderId="29" xfId="1" applyNumberFormat="1" applyFill="1" applyBorder="1" applyAlignment="1">
      <alignment horizontal="center" vertical="center"/>
    </xf>
    <xf numFmtId="176" fontId="3" fillId="2" borderId="19" xfId="1" applyNumberFormat="1" applyFill="1" applyBorder="1" applyAlignment="1">
      <alignment horizontal="center" vertical="center"/>
    </xf>
    <xf numFmtId="176" fontId="3" fillId="2" borderId="25" xfId="1" applyNumberFormat="1" applyFill="1" applyBorder="1" applyAlignment="1">
      <alignment horizontal="center" vertical="center"/>
    </xf>
    <xf numFmtId="176" fontId="3" fillId="2" borderId="21" xfId="1" applyNumberFormat="1" applyFill="1" applyBorder="1" applyAlignment="1">
      <alignment horizontal="center" vertical="center"/>
    </xf>
    <xf numFmtId="0" fontId="3" fillId="2" borderId="32" xfId="1" applyFill="1" applyBorder="1" applyAlignment="1">
      <alignment horizontal="center" vertical="center"/>
    </xf>
    <xf numFmtId="0" fontId="3" fillId="2" borderId="35" xfId="1" applyFill="1" applyBorder="1" applyAlignment="1">
      <alignment horizontal="center" vertical="center"/>
    </xf>
    <xf numFmtId="176" fontId="3" fillId="2" borderId="26" xfId="1" applyNumberFormat="1" applyFill="1" applyBorder="1" applyAlignment="1">
      <alignment horizontal="center" vertical="center"/>
    </xf>
    <xf numFmtId="176" fontId="3" fillId="2" borderId="37" xfId="1" applyNumberFormat="1" applyFill="1" applyBorder="1" applyAlignment="1">
      <alignment horizontal="center" vertical="center"/>
    </xf>
    <xf numFmtId="176" fontId="3" fillId="2" borderId="15" xfId="1" applyNumberFormat="1" applyFill="1" applyBorder="1" applyAlignment="1">
      <alignment horizontal="center" vertical="center"/>
    </xf>
    <xf numFmtId="0" fontId="7" fillId="2" borderId="19" xfId="1" applyNumberFormat="1" applyFont="1" applyFill="1" applyBorder="1" applyAlignment="1">
      <alignment horizontal="center" vertical="center"/>
    </xf>
    <xf numFmtId="0" fontId="7" fillId="2" borderId="21" xfId="1" applyNumberFormat="1" applyFont="1" applyFill="1" applyBorder="1" applyAlignment="1">
      <alignment horizontal="center" vertical="center" wrapText="1"/>
    </xf>
    <xf numFmtId="0" fontId="7" fillId="0" borderId="34" xfId="1" applyNumberFormat="1" applyFont="1" applyBorder="1" applyAlignment="1">
      <alignment horizontal="center" vertical="center" wrapText="1"/>
    </xf>
    <xf numFmtId="0" fontId="7" fillId="2" borderId="19" xfId="1" applyNumberFormat="1" applyFont="1" applyFill="1" applyBorder="1" applyAlignment="1">
      <alignment horizontal="center" vertical="center" wrapText="1"/>
    </xf>
    <xf numFmtId="0" fontId="3" fillId="0" borderId="2" xfId="0" applyNumberFormat="1" applyFont="1" applyBorder="1" applyAlignment="1">
      <alignment horizontal="center" vertical="center" wrapText="1"/>
    </xf>
    <xf numFmtId="0" fontId="3" fillId="0" borderId="2" xfId="0" applyNumberFormat="1" applyFont="1" applyBorder="1" applyAlignment="1">
      <alignment horizontal="center" vertical="center"/>
    </xf>
    <xf numFmtId="0" fontId="3" fillId="0" borderId="2" xfId="0" applyNumberFormat="1" applyFont="1" applyBorder="1" applyAlignment="1">
      <alignment horizontal="center"/>
    </xf>
    <xf numFmtId="0" fontId="3" fillId="0" borderId="2" xfId="0" applyNumberFormat="1" applyFont="1" applyBorder="1" applyAlignment="1" applyProtection="1">
      <alignment horizontal="center" vertical="top"/>
      <protection locked="0"/>
    </xf>
    <xf numFmtId="0" fontId="3" fillId="0" borderId="0" xfId="0" applyNumberFormat="1" applyFont="1" applyAlignment="1">
      <alignment horizontal="center" vertical="center"/>
    </xf>
    <xf numFmtId="0" fontId="3" fillId="2" borderId="19" xfId="1" applyFill="1" applyBorder="1" applyAlignment="1">
      <alignment horizontal="center" vertical="center"/>
    </xf>
    <xf numFmtId="0" fontId="3" fillId="2" borderId="21" xfId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80" fontId="0" fillId="0" borderId="0" xfId="0" applyNumberFormat="1" applyAlignment="1">
      <alignment horizontal="center" vertical="center" wrapText="1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wrapText="1"/>
    </xf>
    <xf numFmtId="176" fontId="3" fillId="2" borderId="25" xfId="1" applyNumberFormat="1" applyFill="1" applyBorder="1" applyAlignment="1">
      <alignment horizontal="center" vertical="center"/>
    </xf>
    <xf numFmtId="176" fontId="3" fillId="2" borderId="30" xfId="1" applyNumberFormat="1" applyFill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2" borderId="19" xfId="1" applyNumberFormat="1" applyFill="1" applyBorder="1" applyAlignment="1">
      <alignment horizontal="center" vertical="center"/>
    </xf>
    <xf numFmtId="176" fontId="3" fillId="2" borderId="21" xfId="1" applyNumberFormat="1" applyFill="1" applyBorder="1" applyAlignment="1">
      <alignment horizontal="center" vertical="center"/>
    </xf>
    <xf numFmtId="0" fontId="3" fillId="2" borderId="19" xfId="1" applyFill="1" applyBorder="1" applyAlignment="1">
      <alignment horizontal="center" vertical="center"/>
    </xf>
    <xf numFmtId="0" fontId="3" fillId="2" borderId="21" xfId="1" applyFill="1" applyBorder="1" applyAlignment="1">
      <alignment horizontal="center" vertical="center"/>
    </xf>
    <xf numFmtId="0" fontId="9" fillId="3" borderId="47" xfId="0" applyFont="1" applyFill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 vertical="center"/>
    </xf>
    <xf numFmtId="176" fontId="11" fillId="2" borderId="11" xfId="0" applyNumberFormat="1" applyFont="1" applyFill="1" applyBorder="1" applyAlignment="1">
      <alignment horizontal="center"/>
    </xf>
    <xf numFmtId="176" fontId="11" fillId="2" borderId="38" xfId="0" applyNumberFormat="1" applyFont="1" applyFill="1" applyBorder="1" applyAlignment="1">
      <alignment horizontal="center"/>
    </xf>
    <xf numFmtId="176" fontId="11" fillId="2" borderId="13" xfId="0" applyNumberFormat="1" applyFont="1" applyFill="1" applyBorder="1" applyAlignment="1">
      <alignment horizontal="center"/>
    </xf>
    <xf numFmtId="176" fontId="11" fillId="0" borderId="18" xfId="0" applyNumberFormat="1" applyFont="1" applyBorder="1" applyAlignment="1">
      <alignment horizontal="center"/>
    </xf>
    <xf numFmtId="176" fontId="11" fillId="0" borderId="38" xfId="0" applyNumberFormat="1" applyFont="1" applyBorder="1" applyAlignment="1">
      <alignment horizontal="center"/>
    </xf>
    <xf numFmtId="0" fontId="12" fillId="0" borderId="0" xfId="0" applyFont="1"/>
    <xf numFmtId="176" fontId="3" fillId="2" borderId="53" xfId="1" applyNumberFormat="1" applyFill="1" applyBorder="1" applyAlignment="1">
      <alignment horizontal="center" vertical="center"/>
    </xf>
    <xf numFmtId="176" fontId="11" fillId="2" borderId="54" xfId="0" applyNumberFormat="1" applyFont="1" applyFill="1" applyBorder="1" applyAlignment="1">
      <alignment horizontal="center"/>
    </xf>
    <xf numFmtId="0" fontId="7" fillId="0" borderId="19" xfId="1" applyNumberFormat="1" applyFont="1" applyBorder="1" applyAlignment="1">
      <alignment horizontal="center" vertical="center" wrapText="1"/>
    </xf>
    <xf numFmtId="176" fontId="3" fillId="0" borderId="22" xfId="1" applyNumberFormat="1" applyBorder="1" applyAlignment="1">
      <alignment horizontal="center" vertical="center"/>
    </xf>
    <xf numFmtId="176" fontId="3" fillId="0" borderId="16" xfId="1" applyNumberFormat="1" applyBorder="1" applyAlignment="1">
      <alignment horizontal="center" vertical="center"/>
    </xf>
    <xf numFmtId="176" fontId="3" fillId="0" borderId="28" xfId="1" applyNumberFormat="1" applyBorder="1" applyAlignment="1">
      <alignment horizontal="center" vertical="center"/>
    </xf>
    <xf numFmtId="176" fontId="3" fillId="0" borderId="19" xfId="1" applyNumberFormat="1" applyBorder="1" applyAlignment="1">
      <alignment horizontal="center" vertical="center"/>
    </xf>
    <xf numFmtId="176" fontId="3" fillId="0" borderId="30" xfId="1" applyNumberFormat="1" applyBorder="1" applyAlignment="1">
      <alignment horizontal="center" vertical="center"/>
    </xf>
    <xf numFmtId="176" fontId="3" fillId="2" borderId="31" xfId="1" applyNumberFormat="1" applyFill="1" applyBorder="1" applyAlignment="1">
      <alignment horizontal="center" vertical="center"/>
    </xf>
    <xf numFmtId="176" fontId="3" fillId="2" borderId="4" xfId="1" applyNumberFormat="1" applyFill="1" applyBorder="1" applyAlignment="1">
      <alignment horizontal="center" vertical="center"/>
    </xf>
    <xf numFmtId="176" fontId="3" fillId="2" borderId="8" xfId="1" applyNumberFormat="1" applyFill="1" applyBorder="1" applyAlignment="1">
      <alignment horizontal="center" vertical="center"/>
    </xf>
    <xf numFmtId="176" fontId="3" fillId="2" borderId="33" xfId="1" applyNumberFormat="1" applyFill="1" applyBorder="1" applyAlignment="1">
      <alignment horizontal="center" vertical="center"/>
    </xf>
    <xf numFmtId="0" fontId="7" fillId="0" borderId="20" xfId="1" applyNumberFormat="1" applyFont="1" applyBorder="1" applyAlignment="1">
      <alignment horizontal="center" vertical="center" wrapText="1"/>
    </xf>
    <xf numFmtId="176" fontId="3" fillId="0" borderId="3" xfId="1" applyNumberFormat="1" applyBorder="1" applyAlignment="1">
      <alignment horizontal="center" vertical="center"/>
    </xf>
    <xf numFmtId="176" fontId="3" fillId="0" borderId="2" xfId="1" applyNumberFormat="1" applyBorder="1" applyAlignment="1">
      <alignment horizontal="center" vertical="center"/>
    </xf>
    <xf numFmtId="176" fontId="3" fillId="0" borderId="7" xfId="1" applyNumberFormat="1" applyBorder="1" applyAlignment="1">
      <alignment horizontal="center" vertical="center"/>
    </xf>
    <xf numFmtId="176" fontId="3" fillId="0" borderId="20" xfId="1" applyNumberFormat="1" applyBorder="1" applyAlignment="1">
      <alignment horizontal="center" vertical="center"/>
    </xf>
    <xf numFmtId="0" fontId="3" fillId="0" borderId="40" xfId="1" applyBorder="1" applyAlignment="1">
      <alignment horizontal="center" vertical="center"/>
    </xf>
    <xf numFmtId="176" fontId="3" fillId="0" borderId="14" xfId="1" applyNumberFormat="1" applyBorder="1" applyAlignment="1">
      <alignment horizontal="center" vertical="center"/>
    </xf>
    <xf numFmtId="176" fontId="11" fillId="0" borderId="12" xfId="0" applyNumberFormat="1" applyFont="1" applyBorder="1" applyAlignment="1">
      <alignment horizontal="center"/>
    </xf>
    <xf numFmtId="0" fontId="7" fillId="0" borderId="52" xfId="1" applyNumberFormat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 wrapText="1"/>
    </xf>
    <xf numFmtId="176" fontId="3" fillId="2" borderId="24" xfId="1" applyNumberForma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49" fontId="19" fillId="0" borderId="2" xfId="0" applyNumberFormat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176" fontId="17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wrapText="1"/>
    </xf>
    <xf numFmtId="0" fontId="17" fillId="0" borderId="0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49" fontId="19" fillId="0" borderId="0" xfId="0" applyNumberFormat="1" applyFont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177" fontId="20" fillId="0" borderId="2" xfId="0" applyNumberFormat="1" applyFont="1" applyBorder="1" applyAlignment="1">
      <alignment horizontal="center" vertical="center"/>
    </xf>
    <xf numFmtId="177" fontId="19" fillId="0" borderId="2" xfId="0" applyNumberFormat="1" applyFont="1" applyBorder="1" applyAlignment="1">
      <alignment horizontal="center" vertical="center"/>
    </xf>
    <xf numFmtId="177" fontId="17" fillId="0" borderId="2" xfId="0" applyNumberFormat="1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176" fontId="3" fillId="2" borderId="58" xfId="1" applyNumberFormat="1" applyFill="1" applyBorder="1" applyAlignment="1">
      <alignment horizontal="center" vertical="center"/>
    </xf>
    <xf numFmtId="176" fontId="11" fillId="2" borderId="59" xfId="0" applyNumberFormat="1" applyFont="1" applyFill="1" applyBorder="1" applyAlignment="1">
      <alignment horizontal="center"/>
    </xf>
    <xf numFmtId="0" fontId="21" fillId="0" borderId="0" xfId="0" applyFont="1"/>
    <xf numFmtId="0" fontId="17" fillId="4" borderId="2" xfId="0" applyFont="1" applyFill="1" applyBorder="1" applyAlignment="1">
      <alignment horizontal="left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9" fillId="3" borderId="47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17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2" fontId="4" fillId="0" borderId="2" xfId="0" applyNumberFormat="1" applyFont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 wrapText="1"/>
    </xf>
    <xf numFmtId="0" fontId="3" fillId="0" borderId="24" xfId="1" applyBorder="1" applyAlignment="1">
      <alignment horizontal="center" vertical="center"/>
    </xf>
    <xf numFmtId="0" fontId="3" fillId="0" borderId="25" xfId="1" applyBorder="1" applyAlignment="1">
      <alignment horizontal="center" vertical="center"/>
    </xf>
    <xf numFmtId="0" fontId="3" fillId="0" borderId="30" xfId="1" applyBorder="1" applyAlignment="1">
      <alignment horizontal="center" vertical="center"/>
    </xf>
    <xf numFmtId="0" fontId="3" fillId="2" borderId="55" xfId="1" applyFill="1" applyBorder="1" applyAlignment="1">
      <alignment horizontal="center" vertical="center"/>
    </xf>
    <xf numFmtId="0" fontId="3" fillId="2" borderId="56" xfId="1" applyFill="1" applyBorder="1" applyAlignment="1">
      <alignment horizontal="center" vertical="center"/>
    </xf>
    <xf numFmtId="0" fontId="3" fillId="0" borderId="49" xfId="1" applyBorder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4" fillId="0" borderId="39" xfId="1" applyNumberFormat="1" applyFont="1" applyBorder="1" applyAlignment="1">
      <alignment horizontal="center" vertical="center" wrapText="1"/>
    </xf>
    <xf numFmtId="0" fontId="4" fillId="0" borderId="40" xfId="1" applyNumberFormat="1" applyFont="1" applyBorder="1" applyAlignment="1">
      <alignment horizontal="center" vertical="center" wrapText="1"/>
    </xf>
    <xf numFmtId="0" fontId="3" fillId="0" borderId="41" xfId="1" applyBorder="1" applyAlignment="1">
      <alignment horizontal="left" vertical="center" wrapText="1"/>
    </xf>
    <xf numFmtId="0" fontId="3" fillId="0" borderId="42" xfId="1" applyBorder="1" applyAlignment="1">
      <alignment horizontal="left" vertical="center" wrapText="1"/>
    </xf>
    <xf numFmtId="0" fontId="3" fillId="0" borderId="43" xfId="1" applyBorder="1" applyAlignment="1">
      <alignment horizontal="left" vertical="center" wrapText="1"/>
    </xf>
    <xf numFmtId="0" fontId="3" fillId="0" borderId="44" xfId="1" applyBorder="1" applyAlignment="1">
      <alignment horizontal="left" vertical="center" wrapText="1"/>
    </xf>
    <xf numFmtId="0" fontId="3" fillId="0" borderId="45" xfId="1" applyBorder="1" applyAlignment="1">
      <alignment horizontal="left" vertical="center" wrapText="1"/>
    </xf>
    <xf numFmtId="0" fontId="3" fillId="0" borderId="46" xfId="1" applyBorder="1" applyAlignment="1">
      <alignment horizontal="left" vertical="center" wrapText="1"/>
    </xf>
    <xf numFmtId="0" fontId="4" fillId="2" borderId="39" xfId="1" applyNumberFormat="1" applyFont="1" applyFill="1" applyBorder="1" applyAlignment="1">
      <alignment horizontal="center" vertical="center" wrapText="1"/>
    </xf>
    <xf numFmtId="0" fontId="4" fillId="2" borderId="40" xfId="1" applyNumberFormat="1" applyFont="1" applyFill="1" applyBorder="1" applyAlignment="1">
      <alignment horizontal="center" vertical="center" wrapText="1"/>
    </xf>
    <xf numFmtId="0" fontId="4" fillId="0" borderId="57" xfId="1" applyNumberFormat="1" applyFont="1" applyBorder="1" applyAlignment="1">
      <alignment horizontal="center" vertical="center" wrapText="1"/>
    </xf>
    <xf numFmtId="0" fontId="7" fillId="2" borderId="24" xfId="1" applyFont="1" applyFill="1" applyBorder="1" applyAlignment="1">
      <alignment horizontal="center" vertical="center"/>
    </xf>
    <xf numFmtId="0" fontId="7" fillId="2" borderId="25" xfId="1" applyFont="1" applyFill="1" applyBorder="1" applyAlignment="1">
      <alignment horizontal="center" vertical="center"/>
    </xf>
    <xf numFmtId="0" fontId="7" fillId="2" borderId="30" xfId="1" applyFont="1" applyFill="1" applyBorder="1" applyAlignment="1">
      <alignment horizontal="center" vertical="center"/>
    </xf>
    <xf numFmtId="0" fontId="3" fillId="2" borderId="24" xfId="1" applyFill="1" applyBorder="1" applyAlignment="1">
      <alignment horizontal="center" vertical="center"/>
    </xf>
    <xf numFmtId="0" fontId="3" fillId="2" borderId="25" xfId="1" applyFill="1" applyBorder="1" applyAlignment="1">
      <alignment horizontal="center" vertical="center"/>
    </xf>
    <xf numFmtId="0" fontId="3" fillId="2" borderId="30" xfId="1" applyFill="1" applyBorder="1" applyAlignment="1">
      <alignment horizontal="center" vertical="center"/>
    </xf>
    <xf numFmtId="0" fontId="7" fillId="2" borderId="56" xfId="1" applyNumberFormat="1" applyFont="1" applyFill="1" applyBorder="1" applyAlignment="1">
      <alignment horizontal="center" vertical="center" wrapText="1"/>
    </xf>
    <xf numFmtId="0" fontId="7" fillId="2" borderId="0" xfId="1" applyNumberFormat="1" applyFont="1" applyFill="1" applyBorder="1" applyAlignment="1">
      <alignment horizontal="center" vertical="center" wrapText="1"/>
    </xf>
    <xf numFmtId="176" fontId="7" fillId="2" borderId="24" xfId="1" applyNumberFormat="1" applyFont="1" applyFill="1" applyBorder="1" applyAlignment="1">
      <alignment horizontal="center" vertical="center"/>
    </xf>
    <xf numFmtId="176" fontId="7" fillId="2" borderId="25" xfId="1" applyNumberFormat="1" applyFont="1" applyFill="1" applyBorder="1" applyAlignment="1">
      <alignment horizontal="center" vertical="center"/>
    </xf>
    <xf numFmtId="176" fontId="7" fillId="2" borderId="30" xfId="1" applyNumberFormat="1" applyFont="1" applyFill="1" applyBorder="1" applyAlignment="1">
      <alignment horizontal="center" vertical="center"/>
    </xf>
    <xf numFmtId="176" fontId="3" fillId="2" borderId="55" xfId="1" applyNumberFormat="1" applyFill="1" applyBorder="1" applyAlignment="1">
      <alignment horizontal="center" vertical="center"/>
    </xf>
    <xf numFmtId="176" fontId="3" fillId="2" borderId="56" xfId="1" applyNumberFormat="1" applyFill="1" applyBorder="1" applyAlignment="1">
      <alignment horizontal="center" vertical="center"/>
    </xf>
    <xf numFmtId="0" fontId="7" fillId="0" borderId="50" xfId="1" applyNumberFormat="1" applyFont="1" applyBorder="1" applyAlignment="1">
      <alignment horizontal="center" vertical="center" wrapText="1"/>
    </xf>
    <xf numFmtId="0" fontId="7" fillId="0" borderId="51" xfId="1" applyNumberFormat="1" applyFont="1" applyBorder="1" applyAlignment="1">
      <alignment horizontal="center" vertical="center" wrapText="1"/>
    </xf>
    <xf numFmtId="0" fontId="7" fillId="2" borderId="50" xfId="1" applyNumberFormat="1" applyFont="1" applyFill="1" applyBorder="1" applyAlignment="1">
      <alignment horizontal="center" vertical="center" wrapText="1"/>
    </xf>
    <xf numFmtId="0" fontId="7" fillId="2" borderId="51" xfId="1" applyNumberFormat="1" applyFont="1" applyFill="1" applyBorder="1" applyAlignment="1">
      <alignment horizontal="center" vertical="center" wrapText="1"/>
    </xf>
    <xf numFmtId="0" fontId="7" fillId="2" borderId="48" xfId="1" applyNumberFormat="1" applyFont="1" applyFill="1" applyBorder="1" applyAlignment="1">
      <alignment horizontal="center" vertical="center" wrapText="1"/>
    </xf>
    <xf numFmtId="176" fontId="3" fillId="0" borderId="24" xfId="1" applyNumberFormat="1" applyBorder="1" applyAlignment="1">
      <alignment horizontal="center" vertical="center"/>
    </xf>
    <xf numFmtId="176" fontId="3" fillId="0" borderId="25" xfId="1" applyNumberFormat="1" applyBorder="1" applyAlignment="1">
      <alignment horizontal="center" vertical="center"/>
    </xf>
    <xf numFmtId="176" fontId="3" fillId="0" borderId="30" xfId="1" applyNumberFormat="1" applyBorder="1" applyAlignment="1">
      <alignment horizontal="center" vertical="center"/>
    </xf>
    <xf numFmtId="176" fontId="3" fillId="2" borderId="24" xfId="1" applyNumberFormat="1" applyFill="1" applyBorder="1" applyAlignment="1">
      <alignment horizontal="center" vertical="center"/>
    </xf>
    <xf numFmtId="176" fontId="3" fillId="2" borderId="25" xfId="1" applyNumberFormat="1" applyFill="1" applyBorder="1" applyAlignment="1">
      <alignment horizontal="center" vertical="center"/>
    </xf>
    <xf numFmtId="176" fontId="3" fillId="2" borderId="30" xfId="1" applyNumberFormat="1" applyFill="1" applyBorder="1" applyAlignment="1">
      <alignment horizontal="center" vertical="center"/>
    </xf>
    <xf numFmtId="0" fontId="8" fillId="0" borderId="16" xfId="1" applyFont="1" applyBorder="1" applyAlignment="1">
      <alignment horizontal="center"/>
    </xf>
  </cellXfs>
  <cellStyles count="2">
    <cellStyle name="常规" xfId="0" builtinId="0"/>
    <cellStyle name="常规 8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5"/>
  <sheetViews>
    <sheetView workbookViewId="0">
      <selection activeCell="H26" sqref="H26"/>
    </sheetView>
  </sheetViews>
  <sheetFormatPr defaultRowHeight="14.25"/>
  <cols>
    <col min="1" max="1" width="7.375" style="141" customWidth="1"/>
    <col min="2" max="2" width="9.875" style="141" customWidth="1"/>
    <col min="3" max="3" width="8" style="141" customWidth="1"/>
    <col min="4" max="4" width="6.375" style="141" customWidth="1"/>
    <col min="5" max="5" width="3.125" style="141" customWidth="1"/>
    <col min="6" max="6" width="5.5" style="141" bestFit="1" customWidth="1"/>
    <col min="7" max="7" width="11.625" style="141" bestFit="1" customWidth="1"/>
    <col min="8" max="8" width="12.625" style="141" customWidth="1"/>
    <col min="9" max="9" width="6.125" style="141" customWidth="1"/>
    <col min="10" max="10" width="2.75" style="141" customWidth="1"/>
    <col min="11" max="11" width="5.5" style="141" bestFit="1" customWidth="1"/>
    <col min="12" max="12" width="9" style="141" bestFit="1" customWidth="1"/>
    <col min="13" max="13" width="6.5" style="141" bestFit="1" customWidth="1"/>
    <col min="14" max="14" width="7.875" style="141" customWidth="1"/>
    <col min="15" max="15" width="2.625" style="141" customWidth="1"/>
    <col min="16" max="16" width="7.375" style="141" customWidth="1"/>
    <col min="17" max="17" width="9" style="141" customWidth="1"/>
    <col min="18" max="18" width="6.5" style="141" bestFit="1" customWidth="1"/>
    <col min="19" max="19" width="5.25" style="141" bestFit="1" customWidth="1"/>
    <col min="20" max="20" width="2.125" style="141" customWidth="1"/>
    <col min="21" max="21" width="6.75" style="141" customWidth="1"/>
    <col min="22" max="22" width="8.375" style="141" customWidth="1"/>
    <col min="23" max="23" width="6.5" style="141" bestFit="1" customWidth="1"/>
    <col min="24" max="24" width="5.25" style="141" bestFit="1" customWidth="1"/>
    <col min="25" max="25" width="3.125" style="141" customWidth="1"/>
    <col min="26" max="26" width="6.375" style="141" customWidth="1"/>
    <col min="27" max="27" width="8.25" style="141" customWidth="1"/>
    <col min="28" max="29" width="5.25" style="141" bestFit="1" customWidth="1"/>
    <col min="30" max="30" width="3.25" style="141" customWidth="1"/>
    <col min="31" max="31" width="7.5" style="141" customWidth="1"/>
    <col min="32" max="32" width="9.375" style="141" customWidth="1"/>
    <col min="33" max="33" width="6.5" style="141" bestFit="1" customWidth="1"/>
    <col min="34" max="34" width="9" style="141" bestFit="1" customWidth="1"/>
    <col min="35" max="35" width="9.375" style="141" customWidth="1"/>
    <col min="36" max="36" width="3.375" style="141" customWidth="1"/>
    <col min="37" max="37" width="5.5" style="141" bestFit="1" customWidth="1"/>
    <col min="38" max="38" width="9" style="141"/>
    <col min="39" max="39" width="8.5" style="141" customWidth="1"/>
    <col min="40" max="256" width="9" style="141"/>
    <col min="257" max="257" width="7.375" style="141" customWidth="1"/>
    <col min="258" max="258" width="9.875" style="141" customWidth="1"/>
    <col min="259" max="259" width="8" style="141" customWidth="1"/>
    <col min="260" max="260" width="6.375" style="141" customWidth="1"/>
    <col min="261" max="261" width="5.875" style="141" customWidth="1"/>
    <col min="262" max="262" width="8.5" style="141" customWidth="1"/>
    <col min="263" max="263" width="13.125" style="141" customWidth="1"/>
    <col min="264" max="264" width="12.875" style="141" customWidth="1"/>
    <col min="265" max="265" width="8.75" style="141" customWidth="1"/>
    <col min="266" max="266" width="5.125" style="141" customWidth="1"/>
    <col min="267" max="269" width="8.5" style="141" customWidth="1"/>
    <col min="270" max="270" width="8.25" style="141" customWidth="1"/>
    <col min="271" max="272" width="6.25" style="141" customWidth="1"/>
    <col min="273" max="274" width="8.125" style="141" customWidth="1"/>
    <col min="275" max="275" width="6.25" style="141" customWidth="1"/>
    <col min="276" max="276" width="3.25" style="141" customWidth="1"/>
    <col min="277" max="277" width="6.25" style="141" customWidth="1"/>
    <col min="278" max="278" width="9.875" style="141" customWidth="1"/>
    <col min="279" max="280" width="6.25" style="141" customWidth="1"/>
    <col min="281" max="281" width="3.875" style="141" customWidth="1"/>
    <col min="282" max="282" width="7.625" style="141" customWidth="1"/>
    <col min="283" max="283" width="8.5" style="141" customWidth="1"/>
    <col min="284" max="284" width="7.25" style="141" customWidth="1"/>
    <col min="285" max="285" width="6.75" style="141" customWidth="1"/>
    <col min="286" max="287" width="9" style="141"/>
    <col min="288" max="288" width="13.375" style="141" customWidth="1"/>
    <col min="289" max="289" width="14.75" style="141" customWidth="1"/>
    <col min="290" max="512" width="9" style="141"/>
    <col min="513" max="513" width="7.375" style="141" customWidth="1"/>
    <col min="514" max="514" width="9.875" style="141" customWidth="1"/>
    <col min="515" max="515" width="8" style="141" customWidth="1"/>
    <col min="516" max="516" width="6.375" style="141" customWidth="1"/>
    <col min="517" max="517" width="5.875" style="141" customWidth="1"/>
    <col min="518" max="518" width="8.5" style="141" customWidth="1"/>
    <col min="519" max="519" width="13.125" style="141" customWidth="1"/>
    <col min="520" max="520" width="12.875" style="141" customWidth="1"/>
    <col min="521" max="521" width="8.75" style="141" customWidth="1"/>
    <col min="522" max="522" width="5.125" style="141" customWidth="1"/>
    <col min="523" max="525" width="8.5" style="141" customWidth="1"/>
    <col min="526" max="526" width="8.25" style="141" customWidth="1"/>
    <col min="527" max="528" width="6.25" style="141" customWidth="1"/>
    <col min="529" max="530" width="8.125" style="141" customWidth="1"/>
    <col min="531" max="531" width="6.25" style="141" customWidth="1"/>
    <col min="532" max="532" width="3.25" style="141" customWidth="1"/>
    <col min="533" max="533" width="6.25" style="141" customWidth="1"/>
    <col min="534" max="534" width="9.875" style="141" customWidth="1"/>
    <col min="535" max="536" width="6.25" style="141" customWidth="1"/>
    <col min="537" max="537" width="3.875" style="141" customWidth="1"/>
    <col min="538" max="538" width="7.625" style="141" customWidth="1"/>
    <col min="539" max="539" width="8.5" style="141" customWidth="1"/>
    <col min="540" max="540" width="7.25" style="141" customWidth="1"/>
    <col min="541" max="541" width="6.75" style="141" customWidth="1"/>
    <col min="542" max="543" width="9" style="141"/>
    <col min="544" max="544" width="13.375" style="141" customWidth="1"/>
    <col min="545" max="545" width="14.75" style="141" customWidth="1"/>
    <col min="546" max="768" width="9" style="141"/>
    <col min="769" max="769" width="7.375" style="141" customWidth="1"/>
    <col min="770" max="770" width="9.875" style="141" customWidth="1"/>
    <col min="771" max="771" width="8" style="141" customWidth="1"/>
    <col min="772" max="772" width="6.375" style="141" customWidth="1"/>
    <col min="773" max="773" width="5.875" style="141" customWidth="1"/>
    <col min="774" max="774" width="8.5" style="141" customWidth="1"/>
    <col min="775" max="775" width="13.125" style="141" customWidth="1"/>
    <col min="776" max="776" width="12.875" style="141" customWidth="1"/>
    <col min="777" max="777" width="8.75" style="141" customWidth="1"/>
    <col min="778" max="778" width="5.125" style="141" customWidth="1"/>
    <col min="779" max="781" width="8.5" style="141" customWidth="1"/>
    <col min="782" max="782" width="8.25" style="141" customWidth="1"/>
    <col min="783" max="784" width="6.25" style="141" customWidth="1"/>
    <col min="785" max="786" width="8.125" style="141" customWidth="1"/>
    <col min="787" max="787" width="6.25" style="141" customWidth="1"/>
    <col min="788" max="788" width="3.25" style="141" customWidth="1"/>
    <col min="789" max="789" width="6.25" style="141" customWidth="1"/>
    <col min="790" max="790" width="9.875" style="141" customWidth="1"/>
    <col min="791" max="792" width="6.25" style="141" customWidth="1"/>
    <col min="793" max="793" width="3.875" style="141" customWidth="1"/>
    <col min="794" max="794" width="7.625" style="141" customWidth="1"/>
    <col min="795" max="795" width="8.5" style="141" customWidth="1"/>
    <col min="796" max="796" width="7.25" style="141" customWidth="1"/>
    <col min="797" max="797" width="6.75" style="141" customWidth="1"/>
    <col min="798" max="799" width="9" style="141"/>
    <col min="800" max="800" width="13.375" style="141" customWidth="1"/>
    <col min="801" max="801" width="14.75" style="141" customWidth="1"/>
    <col min="802" max="1024" width="9" style="141"/>
    <col min="1025" max="1025" width="7.375" style="141" customWidth="1"/>
    <col min="1026" max="1026" width="9.875" style="141" customWidth="1"/>
    <col min="1027" max="1027" width="8" style="141" customWidth="1"/>
    <col min="1028" max="1028" width="6.375" style="141" customWidth="1"/>
    <col min="1029" max="1029" width="5.875" style="141" customWidth="1"/>
    <col min="1030" max="1030" width="8.5" style="141" customWidth="1"/>
    <col min="1031" max="1031" width="13.125" style="141" customWidth="1"/>
    <col min="1032" max="1032" width="12.875" style="141" customWidth="1"/>
    <col min="1033" max="1033" width="8.75" style="141" customWidth="1"/>
    <col min="1034" max="1034" width="5.125" style="141" customWidth="1"/>
    <col min="1035" max="1037" width="8.5" style="141" customWidth="1"/>
    <col min="1038" max="1038" width="8.25" style="141" customWidth="1"/>
    <col min="1039" max="1040" width="6.25" style="141" customWidth="1"/>
    <col min="1041" max="1042" width="8.125" style="141" customWidth="1"/>
    <col min="1043" max="1043" width="6.25" style="141" customWidth="1"/>
    <col min="1044" max="1044" width="3.25" style="141" customWidth="1"/>
    <col min="1045" max="1045" width="6.25" style="141" customWidth="1"/>
    <col min="1046" max="1046" width="9.875" style="141" customWidth="1"/>
    <col min="1047" max="1048" width="6.25" style="141" customWidth="1"/>
    <col min="1049" max="1049" width="3.875" style="141" customWidth="1"/>
    <col min="1050" max="1050" width="7.625" style="141" customWidth="1"/>
    <col min="1051" max="1051" width="8.5" style="141" customWidth="1"/>
    <col min="1052" max="1052" width="7.25" style="141" customWidth="1"/>
    <col min="1053" max="1053" width="6.75" style="141" customWidth="1"/>
    <col min="1054" max="1055" width="9" style="141"/>
    <col min="1056" max="1056" width="13.375" style="141" customWidth="1"/>
    <col min="1057" max="1057" width="14.75" style="141" customWidth="1"/>
    <col min="1058" max="1280" width="9" style="141"/>
    <col min="1281" max="1281" width="7.375" style="141" customWidth="1"/>
    <col min="1282" max="1282" width="9.875" style="141" customWidth="1"/>
    <col min="1283" max="1283" width="8" style="141" customWidth="1"/>
    <col min="1284" max="1284" width="6.375" style="141" customWidth="1"/>
    <col min="1285" max="1285" width="5.875" style="141" customWidth="1"/>
    <col min="1286" max="1286" width="8.5" style="141" customWidth="1"/>
    <col min="1287" max="1287" width="13.125" style="141" customWidth="1"/>
    <col min="1288" max="1288" width="12.875" style="141" customWidth="1"/>
    <col min="1289" max="1289" width="8.75" style="141" customWidth="1"/>
    <col min="1290" max="1290" width="5.125" style="141" customWidth="1"/>
    <col min="1291" max="1293" width="8.5" style="141" customWidth="1"/>
    <col min="1294" max="1294" width="8.25" style="141" customWidth="1"/>
    <col min="1295" max="1296" width="6.25" style="141" customWidth="1"/>
    <col min="1297" max="1298" width="8.125" style="141" customWidth="1"/>
    <col min="1299" max="1299" width="6.25" style="141" customWidth="1"/>
    <col min="1300" max="1300" width="3.25" style="141" customWidth="1"/>
    <col min="1301" max="1301" width="6.25" style="141" customWidth="1"/>
    <col min="1302" max="1302" width="9.875" style="141" customWidth="1"/>
    <col min="1303" max="1304" width="6.25" style="141" customWidth="1"/>
    <col min="1305" max="1305" width="3.875" style="141" customWidth="1"/>
    <col min="1306" max="1306" width="7.625" style="141" customWidth="1"/>
    <col min="1307" max="1307" width="8.5" style="141" customWidth="1"/>
    <col min="1308" max="1308" width="7.25" style="141" customWidth="1"/>
    <col min="1309" max="1309" width="6.75" style="141" customWidth="1"/>
    <col min="1310" max="1311" width="9" style="141"/>
    <col min="1312" max="1312" width="13.375" style="141" customWidth="1"/>
    <col min="1313" max="1313" width="14.75" style="141" customWidth="1"/>
    <col min="1314" max="1536" width="9" style="141"/>
    <col min="1537" max="1537" width="7.375" style="141" customWidth="1"/>
    <col min="1538" max="1538" width="9.875" style="141" customWidth="1"/>
    <col min="1539" max="1539" width="8" style="141" customWidth="1"/>
    <col min="1540" max="1540" width="6.375" style="141" customWidth="1"/>
    <col min="1541" max="1541" width="5.875" style="141" customWidth="1"/>
    <col min="1542" max="1542" width="8.5" style="141" customWidth="1"/>
    <col min="1543" max="1543" width="13.125" style="141" customWidth="1"/>
    <col min="1544" max="1544" width="12.875" style="141" customWidth="1"/>
    <col min="1545" max="1545" width="8.75" style="141" customWidth="1"/>
    <col min="1546" max="1546" width="5.125" style="141" customWidth="1"/>
    <col min="1547" max="1549" width="8.5" style="141" customWidth="1"/>
    <col min="1550" max="1550" width="8.25" style="141" customWidth="1"/>
    <col min="1551" max="1552" width="6.25" style="141" customWidth="1"/>
    <col min="1553" max="1554" width="8.125" style="141" customWidth="1"/>
    <col min="1555" max="1555" width="6.25" style="141" customWidth="1"/>
    <col min="1556" max="1556" width="3.25" style="141" customWidth="1"/>
    <col min="1557" max="1557" width="6.25" style="141" customWidth="1"/>
    <col min="1558" max="1558" width="9.875" style="141" customWidth="1"/>
    <col min="1559" max="1560" width="6.25" style="141" customWidth="1"/>
    <col min="1561" max="1561" width="3.875" style="141" customWidth="1"/>
    <col min="1562" max="1562" width="7.625" style="141" customWidth="1"/>
    <col min="1563" max="1563" width="8.5" style="141" customWidth="1"/>
    <col min="1564" max="1564" width="7.25" style="141" customWidth="1"/>
    <col min="1565" max="1565" width="6.75" style="141" customWidth="1"/>
    <col min="1566" max="1567" width="9" style="141"/>
    <col min="1568" max="1568" width="13.375" style="141" customWidth="1"/>
    <col min="1569" max="1569" width="14.75" style="141" customWidth="1"/>
    <col min="1570" max="1792" width="9" style="141"/>
    <col min="1793" max="1793" width="7.375" style="141" customWidth="1"/>
    <col min="1794" max="1794" width="9.875" style="141" customWidth="1"/>
    <col min="1795" max="1795" width="8" style="141" customWidth="1"/>
    <col min="1796" max="1796" width="6.375" style="141" customWidth="1"/>
    <col min="1797" max="1797" width="5.875" style="141" customWidth="1"/>
    <col min="1798" max="1798" width="8.5" style="141" customWidth="1"/>
    <col min="1799" max="1799" width="13.125" style="141" customWidth="1"/>
    <col min="1800" max="1800" width="12.875" style="141" customWidth="1"/>
    <col min="1801" max="1801" width="8.75" style="141" customWidth="1"/>
    <col min="1802" max="1802" width="5.125" style="141" customWidth="1"/>
    <col min="1803" max="1805" width="8.5" style="141" customWidth="1"/>
    <col min="1806" max="1806" width="8.25" style="141" customWidth="1"/>
    <col min="1807" max="1808" width="6.25" style="141" customWidth="1"/>
    <col min="1809" max="1810" width="8.125" style="141" customWidth="1"/>
    <col min="1811" max="1811" width="6.25" style="141" customWidth="1"/>
    <col min="1812" max="1812" width="3.25" style="141" customWidth="1"/>
    <col min="1813" max="1813" width="6.25" style="141" customWidth="1"/>
    <col min="1814" max="1814" width="9.875" style="141" customWidth="1"/>
    <col min="1815" max="1816" width="6.25" style="141" customWidth="1"/>
    <col min="1817" max="1817" width="3.875" style="141" customWidth="1"/>
    <col min="1818" max="1818" width="7.625" style="141" customWidth="1"/>
    <col min="1819" max="1819" width="8.5" style="141" customWidth="1"/>
    <col min="1820" max="1820" width="7.25" style="141" customWidth="1"/>
    <col min="1821" max="1821" width="6.75" style="141" customWidth="1"/>
    <col min="1822" max="1823" width="9" style="141"/>
    <col min="1824" max="1824" width="13.375" style="141" customWidth="1"/>
    <col min="1825" max="1825" width="14.75" style="141" customWidth="1"/>
    <col min="1826" max="2048" width="9" style="141"/>
    <col min="2049" max="2049" width="7.375" style="141" customWidth="1"/>
    <col min="2050" max="2050" width="9.875" style="141" customWidth="1"/>
    <col min="2051" max="2051" width="8" style="141" customWidth="1"/>
    <col min="2052" max="2052" width="6.375" style="141" customWidth="1"/>
    <col min="2053" max="2053" width="5.875" style="141" customWidth="1"/>
    <col min="2054" max="2054" width="8.5" style="141" customWidth="1"/>
    <col min="2055" max="2055" width="13.125" style="141" customWidth="1"/>
    <col min="2056" max="2056" width="12.875" style="141" customWidth="1"/>
    <col min="2057" max="2057" width="8.75" style="141" customWidth="1"/>
    <col min="2058" max="2058" width="5.125" style="141" customWidth="1"/>
    <col min="2059" max="2061" width="8.5" style="141" customWidth="1"/>
    <col min="2062" max="2062" width="8.25" style="141" customWidth="1"/>
    <col min="2063" max="2064" width="6.25" style="141" customWidth="1"/>
    <col min="2065" max="2066" width="8.125" style="141" customWidth="1"/>
    <col min="2067" max="2067" width="6.25" style="141" customWidth="1"/>
    <col min="2068" max="2068" width="3.25" style="141" customWidth="1"/>
    <col min="2069" max="2069" width="6.25" style="141" customWidth="1"/>
    <col min="2070" max="2070" width="9.875" style="141" customWidth="1"/>
    <col min="2071" max="2072" width="6.25" style="141" customWidth="1"/>
    <col min="2073" max="2073" width="3.875" style="141" customWidth="1"/>
    <col min="2074" max="2074" width="7.625" style="141" customWidth="1"/>
    <col min="2075" max="2075" width="8.5" style="141" customWidth="1"/>
    <col min="2076" max="2076" width="7.25" style="141" customWidth="1"/>
    <col min="2077" max="2077" width="6.75" style="141" customWidth="1"/>
    <col min="2078" max="2079" width="9" style="141"/>
    <col min="2080" max="2080" width="13.375" style="141" customWidth="1"/>
    <col min="2081" max="2081" width="14.75" style="141" customWidth="1"/>
    <col min="2082" max="2304" width="9" style="141"/>
    <col min="2305" max="2305" width="7.375" style="141" customWidth="1"/>
    <col min="2306" max="2306" width="9.875" style="141" customWidth="1"/>
    <col min="2307" max="2307" width="8" style="141" customWidth="1"/>
    <col min="2308" max="2308" width="6.375" style="141" customWidth="1"/>
    <col min="2309" max="2309" width="5.875" style="141" customWidth="1"/>
    <col min="2310" max="2310" width="8.5" style="141" customWidth="1"/>
    <col min="2311" max="2311" width="13.125" style="141" customWidth="1"/>
    <col min="2312" max="2312" width="12.875" style="141" customWidth="1"/>
    <col min="2313" max="2313" width="8.75" style="141" customWidth="1"/>
    <col min="2314" max="2314" width="5.125" style="141" customWidth="1"/>
    <col min="2315" max="2317" width="8.5" style="141" customWidth="1"/>
    <col min="2318" max="2318" width="8.25" style="141" customWidth="1"/>
    <col min="2319" max="2320" width="6.25" style="141" customWidth="1"/>
    <col min="2321" max="2322" width="8.125" style="141" customWidth="1"/>
    <col min="2323" max="2323" width="6.25" style="141" customWidth="1"/>
    <col min="2324" max="2324" width="3.25" style="141" customWidth="1"/>
    <col min="2325" max="2325" width="6.25" style="141" customWidth="1"/>
    <col min="2326" max="2326" width="9.875" style="141" customWidth="1"/>
    <col min="2327" max="2328" width="6.25" style="141" customWidth="1"/>
    <col min="2329" max="2329" width="3.875" style="141" customWidth="1"/>
    <col min="2330" max="2330" width="7.625" style="141" customWidth="1"/>
    <col min="2331" max="2331" width="8.5" style="141" customWidth="1"/>
    <col min="2332" max="2332" width="7.25" style="141" customWidth="1"/>
    <col min="2333" max="2333" width="6.75" style="141" customWidth="1"/>
    <col min="2334" max="2335" width="9" style="141"/>
    <col min="2336" max="2336" width="13.375" style="141" customWidth="1"/>
    <col min="2337" max="2337" width="14.75" style="141" customWidth="1"/>
    <col min="2338" max="2560" width="9" style="141"/>
    <col min="2561" max="2561" width="7.375" style="141" customWidth="1"/>
    <col min="2562" max="2562" width="9.875" style="141" customWidth="1"/>
    <col min="2563" max="2563" width="8" style="141" customWidth="1"/>
    <col min="2564" max="2564" width="6.375" style="141" customWidth="1"/>
    <col min="2565" max="2565" width="5.875" style="141" customWidth="1"/>
    <col min="2566" max="2566" width="8.5" style="141" customWidth="1"/>
    <col min="2567" max="2567" width="13.125" style="141" customWidth="1"/>
    <col min="2568" max="2568" width="12.875" style="141" customWidth="1"/>
    <col min="2569" max="2569" width="8.75" style="141" customWidth="1"/>
    <col min="2570" max="2570" width="5.125" style="141" customWidth="1"/>
    <col min="2571" max="2573" width="8.5" style="141" customWidth="1"/>
    <col min="2574" max="2574" width="8.25" style="141" customWidth="1"/>
    <col min="2575" max="2576" width="6.25" style="141" customWidth="1"/>
    <col min="2577" max="2578" width="8.125" style="141" customWidth="1"/>
    <col min="2579" max="2579" width="6.25" style="141" customWidth="1"/>
    <col min="2580" max="2580" width="3.25" style="141" customWidth="1"/>
    <col min="2581" max="2581" width="6.25" style="141" customWidth="1"/>
    <col min="2582" max="2582" width="9.875" style="141" customWidth="1"/>
    <col min="2583" max="2584" width="6.25" style="141" customWidth="1"/>
    <col min="2585" max="2585" width="3.875" style="141" customWidth="1"/>
    <col min="2586" max="2586" width="7.625" style="141" customWidth="1"/>
    <col min="2587" max="2587" width="8.5" style="141" customWidth="1"/>
    <col min="2588" max="2588" width="7.25" style="141" customWidth="1"/>
    <col min="2589" max="2589" width="6.75" style="141" customWidth="1"/>
    <col min="2590" max="2591" width="9" style="141"/>
    <col min="2592" max="2592" width="13.375" style="141" customWidth="1"/>
    <col min="2593" max="2593" width="14.75" style="141" customWidth="1"/>
    <col min="2594" max="2816" width="9" style="141"/>
    <col min="2817" max="2817" width="7.375" style="141" customWidth="1"/>
    <col min="2818" max="2818" width="9.875" style="141" customWidth="1"/>
    <col min="2819" max="2819" width="8" style="141" customWidth="1"/>
    <col min="2820" max="2820" width="6.375" style="141" customWidth="1"/>
    <col min="2821" max="2821" width="5.875" style="141" customWidth="1"/>
    <col min="2822" max="2822" width="8.5" style="141" customWidth="1"/>
    <col min="2823" max="2823" width="13.125" style="141" customWidth="1"/>
    <col min="2824" max="2824" width="12.875" style="141" customWidth="1"/>
    <col min="2825" max="2825" width="8.75" style="141" customWidth="1"/>
    <col min="2826" max="2826" width="5.125" style="141" customWidth="1"/>
    <col min="2827" max="2829" width="8.5" style="141" customWidth="1"/>
    <col min="2830" max="2830" width="8.25" style="141" customWidth="1"/>
    <col min="2831" max="2832" width="6.25" style="141" customWidth="1"/>
    <col min="2833" max="2834" width="8.125" style="141" customWidth="1"/>
    <col min="2835" max="2835" width="6.25" style="141" customWidth="1"/>
    <col min="2836" max="2836" width="3.25" style="141" customWidth="1"/>
    <col min="2837" max="2837" width="6.25" style="141" customWidth="1"/>
    <col min="2838" max="2838" width="9.875" style="141" customWidth="1"/>
    <col min="2839" max="2840" width="6.25" style="141" customWidth="1"/>
    <col min="2841" max="2841" width="3.875" style="141" customWidth="1"/>
    <col min="2842" max="2842" width="7.625" style="141" customWidth="1"/>
    <col min="2843" max="2843" width="8.5" style="141" customWidth="1"/>
    <col min="2844" max="2844" width="7.25" style="141" customWidth="1"/>
    <col min="2845" max="2845" width="6.75" style="141" customWidth="1"/>
    <col min="2846" max="2847" width="9" style="141"/>
    <col min="2848" max="2848" width="13.375" style="141" customWidth="1"/>
    <col min="2849" max="2849" width="14.75" style="141" customWidth="1"/>
    <col min="2850" max="3072" width="9" style="141"/>
    <col min="3073" max="3073" width="7.375" style="141" customWidth="1"/>
    <col min="3074" max="3074" width="9.875" style="141" customWidth="1"/>
    <col min="3075" max="3075" width="8" style="141" customWidth="1"/>
    <col min="3076" max="3076" width="6.375" style="141" customWidth="1"/>
    <col min="3077" max="3077" width="5.875" style="141" customWidth="1"/>
    <col min="3078" max="3078" width="8.5" style="141" customWidth="1"/>
    <col min="3079" max="3079" width="13.125" style="141" customWidth="1"/>
    <col min="3080" max="3080" width="12.875" style="141" customWidth="1"/>
    <col min="3081" max="3081" width="8.75" style="141" customWidth="1"/>
    <col min="3082" max="3082" width="5.125" style="141" customWidth="1"/>
    <col min="3083" max="3085" width="8.5" style="141" customWidth="1"/>
    <col min="3086" max="3086" width="8.25" style="141" customWidth="1"/>
    <col min="3087" max="3088" width="6.25" style="141" customWidth="1"/>
    <col min="3089" max="3090" width="8.125" style="141" customWidth="1"/>
    <col min="3091" max="3091" width="6.25" style="141" customWidth="1"/>
    <col min="3092" max="3092" width="3.25" style="141" customWidth="1"/>
    <col min="3093" max="3093" width="6.25" style="141" customWidth="1"/>
    <col min="3094" max="3094" width="9.875" style="141" customWidth="1"/>
    <col min="3095" max="3096" width="6.25" style="141" customWidth="1"/>
    <col min="3097" max="3097" width="3.875" style="141" customWidth="1"/>
    <col min="3098" max="3098" width="7.625" style="141" customWidth="1"/>
    <col min="3099" max="3099" width="8.5" style="141" customWidth="1"/>
    <col min="3100" max="3100" width="7.25" style="141" customWidth="1"/>
    <col min="3101" max="3101" width="6.75" style="141" customWidth="1"/>
    <col min="3102" max="3103" width="9" style="141"/>
    <col min="3104" max="3104" width="13.375" style="141" customWidth="1"/>
    <col min="3105" max="3105" width="14.75" style="141" customWidth="1"/>
    <col min="3106" max="3328" width="9" style="141"/>
    <col min="3329" max="3329" width="7.375" style="141" customWidth="1"/>
    <col min="3330" max="3330" width="9.875" style="141" customWidth="1"/>
    <col min="3331" max="3331" width="8" style="141" customWidth="1"/>
    <col min="3332" max="3332" width="6.375" style="141" customWidth="1"/>
    <col min="3333" max="3333" width="5.875" style="141" customWidth="1"/>
    <col min="3334" max="3334" width="8.5" style="141" customWidth="1"/>
    <col min="3335" max="3335" width="13.125" style="141" customWidth="1"/>
    <col min="3336" max="3336" width="12.875" style="141" customWidth="1"/>
    <col min="3337" max="3337" width="8.75" style="141" customWidth="1"/>
    <col min="3338" max="3338" width="5.125" style="141" customWidth="1"/>
    <col min="3339" max="3341" width="8.5" style="141" customWidth="1"/>
    <col min="3342" max="3342" width="8.25" style="141" customWidth="1"/>
    <col min="3343" max="3344" width="6.25" style="141" customWidth="1"/>
    <col min="3345" max="3346" width="8.125" style="141" customWidth="1"/>
    <col min="3347" max="3347" width="6.25" style="141" customWidth="1"/>
    <col min="3348" max="3348" width="3.25" style="141" customWidth="1"/>
    <col min="3349" max="3349" width="6.25" style="141" customWidth="1"/>
    <col min="3350" max="3350" width="9.875" style="141" customWidth="1"/>
    <col min="3351" max="3352" width="6.25" style="141" customWidth="1"/>
    <col min="3353" max="3353" width="3.875" style="141" customWidth="1"/>
    <col min="3354" max="3354" width="7.625" style="141" customWidth="1"/>
    <col min="3355" max="3355" width="8.5" style="141" customWidth="1"/>
    <col min="3356" max="3356" width="7.25" style="141" customWidth="1"/>
    <col min="3357" max="3357" width="6.75" style="141" customWidth="1"/>
    <col min="3358" max="3359" width="9" style="141"/>
    <col min="3360" max="3360" width="13.375" style="141" customWidth="1"/>
    <col min="3361" max="3361" width="14.75" style="141" customWidth="1"/>
    <col min="3362" max="3584" width="9" style="141"/>
    <col min="3585" max="3585" width="7.375" style="141" customWidth="1"/>
    <col min="3586" max="3586" width="9.875" style="141" customWidth="1"/>
    <col min="3587" max="3587" width="8" style="141" customWidth="1"/>
    <col min="3588" max="3588" width="6.375" style="141" customWidth="1"/>
    <col min="3589" max="3589" width="5.875" style="141" customWidth="1"/>
    <col min="3590" max="3590" width="8.5" style="141" customWidth="1"/>
    <col min="3591" max="3591" width="13.125" style="141" customWidth="1"/>
    <col min="3592" max="3592" width="12.875" style="141" customWidth="1"/>
    <col min="3593" max="3593" width="8.75" style="141" customWidth="1"/>
    <col min="3594" max="3594" width="5.125" style="141" customWidth="1"/>
    <col min="3595" max="3597" width="8.5" style="141" customWidth="1"/>
    <col min="3598" max="3598" width="8.25" style="141" customWidth="1"/>
    <col min="3599" max="3600" width="6.25" style="141" customWidth="1"/>
    <col min="3601" max="3602" width="8.125" style="141" customWidth="1"/>
    <col min="3603" max="3603" width="6.25" style="141" customWidth="1"/>
    <col min="3604" max="3604" width="3.25" style="141" customWidth="1"/>
    <col min="3605" max="3605" width="6.25" style="141" customWidth="1"/>
    <col min="3606" max="3606" width="9.875" style="141" customWidth="1"/>
    <col min="3607" max="3608" width="6.25" style="141" customWidth="1"/>
    <col min="3609" max="3609" width="3.875" style="141" customWidth="1"/>
    <col min="3610" max="3610" width="7.625" style="141" customWidth="1"/>
    <col min="3611" max="3611" width="8.5" style="141" customWidth="1"/>
    <col min="3612" max="3612" width="7.25" style="141" customWidth="1"/>
    <col min="3613" max="3613" width="6.75" style="141" customWidth="1"/>
    <col min="3614" max="3615" width="9" style="141"/>
    <col min="3616" max="3616" width="13.375" style="141" customWidth="1"/>
    <col min="3617" max="3617" width="14.75" style="141" customWidth="1"/>
    <col min="3618" max="3840" width="9" style="141"/>
    <col min="3841" max="3841" width="7.375" style="141" customWidth="1"/>
    <col min="3842" max="3842" width="9.875" style="141" customWidth="1"/>
    <col min="3843" max="3843" width="8" style="141" customWidth="1"/>
    <col min="3844" max="3844" width="6.375" style="141" customWidth="1"/>
    <col min="3845" max="3845" width="5.875" style="141" customWidth="1"/>
    <col min="3846" max="3846" width="8.5" style="141" customWidth="1"/>
    <col min="3847" max="3847" width="13.125" style="141" customWidth="1"/>
    <col min="3848" max="3848" width="12.875" style="141" customWidth="1"/>
    <col min="3849" max="3849" width="8.75" style="141" customWidth="1"/>
    <col min="3850" max="3850" width="5.125" style="141" customWidth="1"/>
    <col min="3851" max="3853" width="8.5" style="141" customWidth="1"/>
    <col min="3854" max="3854" width="8.25" style="141" customWidth="1"/>
    <col min="3855" max="3856" width="6.25" style="141" customWidth="1"/>
    <col min="3857" max="3858" width="8.125" style="141" customWidth="1"/>
    <col min="3859" max="3859" width="6.25" style="141" customWidth="1"/>
    <col min="3860" max="3860" width="3.25" style="141" customWidth="1"/>
    <col min="3861" max="3861" width="6.25" style="141" customWidth="1"/>
    <col min="3862" max="3862" width="9.875" style="141" customWidth="1"/>
    <col min="3863" max="3864" width="6.25" style="141" customWidth="1"/>
    <col min="3865" max="3865" width="3.875" style="141" customWidth="1"/>
    <col min="3866" max="3866" width="7.625" style="141" customWidth="1"/>
    <col min="3867" max="3867" width="8.5" style="141" customWidth="1"/>
    <col min="3868" max="3868" width="7.25" style="141" customWidth="1"/>
    <col min="3869" max="3869" width="6.75" style="141" customWidth="1"/>
    <col min="3870" max="3871" width="9" style="141"/>
    <col min="3872" max="3872" width="13.375" style="141" customWidth="1"/>
    <col min="3873" max="3873" width="14.75" style="141" customWidth="1"/>
    <col min="3874" max="4096" width="9" style="141"/>
    <col min="4097" max="4097" width="7.375" style="141" customWidth="1"/>
    <col min="4098" max="4098" width="9.875" style="141" customWidth="1"/>
    <col min="4099" max="4099" width="8" style="141" customWidth="1"/>
    <col min="4100" max="4100" width="6.375" style="141" customWidth="1"/>
    <col min="4101" max="4101" width="5.875" style="141" customWidth="1"/>
    <col min="4102" max="4102" width="8.5" style="141" customWidth="1"/>
    <col min="4103" max="4103" width="13.125" style="141" customWidth="1"/>
    <col min="4104" max="4104" width="12.875" style="141" customWidth="1"/>
    <col min="4105" max="4105" width="8.75" style="141" customWidth="1"/>
    <col min="4106" max="4106" width="5.125" style="141" customWidth="1"/>
    <col min="4107" max="4109" width="8.5" style="141" customWidth="1"/>
    <col min="4110" max="4110" width="8.25" style="141" customWidth="1"/>
    <col min="4111" max="4112" width="6.25" style="141" customWidth="1"/>
    <col min="4113" max="4114" width="8.125" style="141" customWidth="1"/>
    <col min="4115" max="4115" width="6.25" style="141" customWidth="1"/>
    <col min="4116" max="4116" width="3.25" style="141" customWidth="1"/>
    <col min="4117" max="4117" width="6.25" style="141" customWidth="1"/>
    <col min="4118" max="4118" width="9.875" style="141" customWidth="1"/>
    <col min="4119" max="4120" width="6.25" style="141" customWidth="1"/>
    <col min="4121" max="4121" width="3.875" style="141" customWidth="1"/>
    <col min="4122" max="4122" width="7.625" style="141" customWidth="1"/>
    <col min="4123" max="4123" width="8.5" style="141" customWidth="1"/>
    <col min="4124" max="4124" width="7.25" style="141" customWidth="1"/>
    <col min="4125" max="4125" width="6.75" style="141" customWidth="1"/>
    <col min="4126" max="4127" width="9" style="141"/>
    <col min="4128" max="4128" width="13.375" style="141" customWidth="1"/>
    <col min="4129" max="4129" width="14.75" style="141" customWidth="1"/>
    <col min="4130" max="4352" width="9" style="141"/>
    <col min="4353" max="4353" width="7.375" style="141" customWidth="1"/>
    <col min="4354" max="4354" width="9.875" style="141" customWidth="1"/>
    <col min="4355" max="4355" width="8" style="141" customWidth="1"/>
    <col min="4356" max="4356" width="6.375" style="141" customWidth="1"/>
    <col min="4357" max="4357" width="5.875" style="141" customWidth="1"/>
    <col min="4358" max="4358" width="8.5" style="141" customWidth="1"/>
    <col min="4359" max="4359" width="13.125" style="141" customWidth="1"/>
    <col min="4360" max="4360" width="12.875" style="141" customWidth="1"/>
    <col min="4361" max="4361" width="8.75" style="141" customWidth="1"/>
    <col min="4362" max="4362" width="5.125" style="141" customWidth="1"/>
    <col min="4363" max="4365" width="8.5" style="141" customWidth="1"/>
    <col min="4366" max="4366" width="8.25" style="141" customWidth="1"/>
    <col min="4367" max="4368" width="6.25" style="141" customWidth="1"/>
    <col min="4369" max="4370" width="8.125" style="141" customWidth="1"/>
    <col min="4371" max="4371" width="6.25" style="141" customWidth="1"/>
    <col min="4372" max="4372" width="3.25" style="141" customWidth="1"/>
    <col min="4373" max="4373" width="6.25" style="141" customWidth="1"/>
    <col min="4374" max="4374" width="9.875" style="141" customWidth="1"/>
    <col min="4375" max="4376" width="6.25" style="141" customWidth="1"/>
    <col min="4377" max="4377" width="3.875" style="141" customWidth="1"/>
    <col min="4378" max="4378" width="7.625" style="141" customWidth="1"/>
    <col min="4379" max="4379" width="8.5" style="141" customWidth="1"/>
    <col min="4380" max="4380" width="7.25" style="141" customWidth="1"/>
    <col min="4381" max="4381" width="6.75" style="141" customWidth="1"/>
    <col min="4382" max="4383" width="9" style="141"/>
    <col min="4384" max="4384" width="13.375" style="141" customWidth="1"/>
    <col min="4385" max="4385" width="14.75" style="141" customWidth="1"/>
    <col min="4386" max="4608" width="9" style="141"/>
    <col min="4609" max="4609" width="7.375" style="141" customWidth="1"/>
    <col min="4610" max="4610" width="9.875" style="141" customWidth="1"/>
    <col min="4611" max="4611" width="8" style="141" customWidth="1"/>
    <col min="4612" max="4612" width="6.375" style="141" customWidth="1"/>
    <col min="4613" max="4613" width="5.875" style="141" customWidth="1"/>
    <col min="4614" max="4614" width="8.5" style="141" customWidth="1"/>
    <col min="4615" max="4615" width="13.125" style="141" customWidth="1"/>
    <col min="4616" max="4616" width="12.875" style="141" customWidth="1"/>
    <col min="4617" max="4617" width="8.75" style="141" customWidth="1"/>
    <col min="4618" max="4618" width="5.125" style="141" customWidth="1"/>
    <col min="4619" max="4621" width="8.5" style="141" customWidth="1"/>
    <col min="4622" max="4622" width="8.25" style="141" customWidth="1"/>
    <col min="4623" max="4624" width="6.25" style="141" customWidth="1"/>
    <col min="4625" max="4626" width="8.125" style="141" customWidth="1"/>
    <col min="4627" max="4627" width="6.25" style="141" customWidth="1"/>
    <col min="4628" max="4628" width="3.25" style="141" customWidth="1"/>
    <col min="4629" max="4629" width="6.25" style="141" customWidth="1"/>
    <col min="4630" max="4630" width="9.875" style="141" customWidth="1"/>
    <col min="4631" max="4632" width="6.25" style="141" customWidth="1"/>
    <col min="4633" max="4633" width="3.875" style="141" customWidth="1"/>
    <col min="4634" max="4634" width="7.625" style="141" customWidth="1"/>
    <col min="4635" max="4635" width="8.5" style="141" customWidth="1"/>
    <col min="4636" max="4636" width="7.25" style="141" customWidth="1"/>
    <col min="4637" max="4637" width="6.75" style="141" customWidth="1"/>
    <col min="4638" max="4639" width="9" style="141"/>
    <col min="4640" max="4640" width="13.375" style="141" customWidth="1"/>
    <col min="4641" max="4641" width="14.75" style="141" customWidth="1"/>
    <col min="4642" max="4864" width="9" style="141"/>
    <col min="4865" max="4865" width="7.375" style="141" customWidth="1"/>
    <col min="4866" max="4866" width="9.875" style="141" customWidth="1"/>
    <col min="4867" max="4867" width="8" style="141" customWidth="1"/>
    <col min="4868" max="4868" width="6.375" style="141" customWidth="1"/>
    <col min="4869" max="4869" width="5.875" style="141" customWidth="1"/>
    <col min="4870" max="4870" width="8.5" style="141" customWidth="1"/>
    <col min="4871" max="4871" width="13.125" style="141" customWidth="1"/>
    <col min="4872" max="4872" width="12.875" style="141" customWidth="1"/>
    <col min="4873" max="4873" width="8.75" style="141" customWidth="1"/>
    <col min="4874" max="4874" width="5.125" style="141" customWidth="1"/>
    <col min="4875" max="4877" width="8.5" style="141" customWidth="1"/>
    <col min="4878" max="4878" width="8.25" style="141" customWidth="1"/>
    <col min="4879" max="4880" width="6.25" style="141" customWidth="1"/>
    <col min="4881" max="4882" width="8.125" style="141" customWidth="1"/>
    <col min="4883" max="4883" width="6.25" style="141" customWidth="1"/>
    <col min="4884" max="4884" width="3.25" style="141" customWidth="1"/>
    <col min="4885" max="4885" width="6.25" style="141" customWidth="1"/>
    <col min="4886" max="4886" width="9.875" style="141" customWidth="1"/>
    <col min="4887" max="4888" width="6.25" style="141" customWidth="1"/>
    <col min="4889" max="4889" width="3.875" style="141" customWidth="1"/>
    <col min="4890" max="4890" width="7.625" style="141" customWidth="1"/>
    <col min="4891" max="4891" width="8.5" style="141" customWidth="1"/>
    <col min="4892" max="4892" width="7.25" style="141" customWidth="1"/>
    <col min="4893" max="4893" width="6.75" style="141" customWidth="1"/>
    <col min="4894" max="4895" width="9" style="141"/>
    <col min="4896" max="4896" width="13.375" style="141" customWidth="1"/>
    <col min="4897" max="4897" width="14.75" style="141" customWidth="1"/>
    <col min="4898" max="5120" width="9" style="141"/>
    <col min="5121" max="5121" width="7.375" style="141" customWidth="1"/>
    <col min="5122" max="5122" width="9.875" style="141" customWidth="1"/>
    <col min="5123" max="5123" width="8" style="141" customWidth="1"/>
    <col min="5124" max="5124" width="6.375" style="141" customWidth="1"/>
    <col min="5125" max="5125" width="5.875" style="141" customWidth="1"/>
    <col min="5126" max="5126" width="8.5" style="141" customWidth="1"/>
    <col min="5127" max="5127" width="13.125" style="141" customWidth="1"/>
    <col min="5128" max="5128" width="12.875" style="141" customWidth="1"/>
    <col min="5129" max="5129" width="8.75" style="141" customWidth="1"/>
    <col min="5130" max="5130" width="5.125" style="141" customWidth="1"/>
    <col min="5131" max="5133" width="8.5" style="141" customWidth="1"/>
    <col min="5134" max="5134" width="8.25" style="141" customWidth="1"/>
    <col min="5135" max="5136" width="6.25" style="141" customWidth="1"/>
    <col min="5137" max="5138" width="8.125" style="141" customWidth="1"/>
    <col min="5139" max="5139" width="6.25" style="141" customWidth="1"/>
    <col min="5140" max="5140" width="3.25" style="141" customWidth="1"/>
    <col min="5141" max="5141" width="6.25" style="141" customWidth="1"/>
    <col min="5142" max="5142" width="9.875" style="141" customWidth="1"/>
    <col min="5143" max="5144" width="6.25" style="141" customWidth="1"/>
    <col min="5145" max="5145" width="3.875" style="141" customWidth="1"/>
    <col min="5146" max="5146" width="7.625" style="141" customWidth="1"/>
    <col min="5147" max="5147" width="8.5" style="141" customWidth="1"/>
    <col min="5148" max="5148" width="7.25" style="141" customWidth="1"/>
    <col min="5149" max="5149" width="6.75" style="141" customWidth="1"/>
    <col min="5150" max="5151" width="9" style="141"/>
    <col min="5152" max="5152" width="13.375" style="141" customWidth="1"/>
    <col min="5153" max="5153" width="14.75" style="141" customWidth="1"/>
    <col min="5154" max="5376" width="9" style="141"/>
    <col min="5377" max="5377" width="7.375" style="141" customWidth="1"/>
    <col min="5378" max="5378" width="9.875" style="141" customWidth="1"/>
    <col min="5379" max="5379" width="8" style="141" customWidth="1"/>
    <col min="5380" max="5380" width="6.375" style="141" customWidth="1"/>
    <col min="5381" max="5381" width="5.875" style="141" customWidth="1"/>
    <col min="5382" max="5382" width="8.5" style="141" customWidth="1"/>
    <col min="5383" max="5383" width="13.125" style="141" customWidth="1"/>
    <col min="5384" max="5384" width="12.875" style="141" customWidth="1"/>
    <col min="5385" max="5385" width="8.75" style="141" customWidth="1"/>
    <col min="5386" max="5386" width="5.125" style="141" customWidth="1"/>
    <col min="5387" max="5389" width="8.5" style="141" customWidth="1"/>
    <col min="5390" max="5390" width="8.25" style="141" customWidth="1"/>
    <col min="5391" max="5392" width="6.25" style="141" customWidth="1"/>
    <col min="5393" max="5394" width="8.125" style="141" customWidth="1"/>
    <col min="5395" max="5395" width="6.25" style="141" customWidth="1"/>
    <col min="5396" max="5396" width="3.25" style="141" customWidth="1"/>
    <col min="5397" max="5397" width="6.25" style="141" customWidth="1"/>
    <col min="5398" max="5398" width="9.875" style="141" customWidth="1"/>
    <col min="5399" max="5400" width="6.25" style="141" customWidth="1"/>
    <col min="5401" max="5401" width="3.875" style="141" customWidth="1"/>
    <col min="5402" max="5402" width="7.625" style="141" customWidth="1"/>
    <col min="5403" max="5403" width="8.5" style="141" customWidth="1"/>
    <col min="5404" max="5404" width="7.25" style="141" customWidth="1"/>
    <col min="5405" max="5405" width="6.75" style="141" customWidth="1"/>
    <col min="5406" max="5407" width="9" style="141"/>
    <col min="5408" max="5408" width="13.375" style="141" customWidth="1"/>
    <col min="5409" max="5409" width="14.75" style="141" customWidth="1"/>
    <col min="5410" max="5632" width="9" style="141"/>
    <col min="5633" max="5633" width="7.375" style="141" customWidth="1"/>
    <col min="5634" max="5634" width="9.875" style="141" customWidth="1"/>
    <col min="5635" max="5635" width="8" style="141" customWidth="1"/>
    <col min="5636" max="5636" width="6.375" style="141" customWidth="1"/>
    <col min="5637" max="5637" width="5.875" style="141" customWidth="1"/>
    <col min="5638" max="5638" width="8.5" style="141" customWidth="1"/>
    <col min="5639" max="5639" width="13.125" style="141" customWidth="1"/>
    <col min="5640" max="5640" width="12.875" style="141" customWidth="1"/>
    <col min="5641" max="5641" width="8.75" style="141" customWidth="1"/>
    <col min="5642" max="5642" width="5.125" style="141" customWidth="1"/>
    <col min="5643" max="5645" width="8.5" style="141" customWidth="1"/>
    <col min="5646" max="5646" width="8.25" style="141" customWidth="1"/>
    <col min="5647" max="5648" width="6.25" style="141" customWidth="1"/>
    <col min="5649" max="5650" width="8.125" style="141" customWidth="1"/>
    <col min="5651" max="5651" width="6.25" style="141" customWidth="1"/>
    <col min="5652" max="5652" width="3.25" style="141" customWidth="1"/>
    <col min="5653" max="5653" width="6.25" style="141" customWidth="1"/>
    <col min="5654" max="5654" width="9.875" style="141" customWidth="1"/>
    <col min="5655" max="5656" width="6.25" style="141" customWidth="1"/>
    <col min="5657" max="5657" width="3.875" style="141" customWidth="1"/>
    <col min="5658" max="5658" width="7.625" style="141" customWidth="1"/>
    <col min="5659" max="5659" width="8.5" style="141" customWidth="1"/>
    <col min="5660" max="5660" width="7.25" style="141" customWidth="1"/>
    <col min="5661" max="5661" width="6.75" style="141" customWidth="1"/>
    <col min="5662" max="5663" width="9" style="141"/>
    <col min="5664" max="5664" width="13.375" style="141" customWidth="1"/>
    <col min="5665" max="5665" width="14.75" style="141" customWidth="1"/>
    <col min="5666" max="5888" width="9" style="141"/>
    <col min="5889" max="5889" width="7.375" style="141" customWidth="1"/>
    <col min="5890" max="5890" width="9.875" style="141" customWidth="1"/>
    <col min="5891" max="5891" width="8" style="141" customWidth="1"/>
    <col min="5892" max="5892" width="6.375" style="141" customWidth="1"/>
    <col min="5893" max="5893" width="5.875" style="141" customWidth="1"/>
    <col min="5894" max="5894" width="8.5" style="141" customWidth="1"/>
    <col min="5895" max="5895" width="13.125" style="141" customWidth="1"/>
    <col min="5896" max="5896" width="12.875" style="141" customWidth="1"/>
    <col min="5897" max="5897" width="8.75" style="141" customWidth="1"/>
    <col min="5898" max="5898" width="5.125" style="141" customWidth="1"/>
    <col min="5899" max="5901" width="8.5" style="141" customWidth="1"/>
    <col min="5902" max="5902" width="8.25" style="141" customWidth="1"/>
    <col min="5903" max="5904" width="6.25" style="141" customWidth="1"/>
    <col min="5905" max="5906" width="8.125" style="141" customWidth="1"/>
    <col min="5907" max="5907" width="6.25" style="141" customWidth="1"/>
    <col min="5908" max="5908" width="3.25" style="141" customWidth="1"/>
    <col min="5909" max="5909" width="6.25" style="141" customWidth="1"/>
    <col min="5910" max="5910" width="9.875" style="141" customWidth="1"/>
    <col min="5911" max="5912" width="6.25" style="141" customWidth="1"/>
    <col min="5913" max="5913" width="3.875" style="141" customWidth="1"/>
    <col min="5914" max="5914" width="7.625" style="141" customWidth="1"/>
    <col min="5915" max="5915" width="8.5" style="141" customWidth="1"/>
    <col min="5916" max="5916" width="7.25" style="141" customWidth="1"/>
    <col min="5917" max="5917" width="6.75" style="141" customWidth="1"/>
    <col min="5918" max="5919" width="9" style="141"/>
    <col min="5920" max="5920" width="13.375" style="141" customWidth="1"/>
    <col min="5921" max="5921" width="14.75" style="141" customWidth="1"/>
    <col min="5922" max="6144" width="9" style="141"/>
    <col min="6145" max="6145" width="7.375" style="141" customWidth="1"/>
    <col min="6146" max="6146" width="9.875" style="141" customWidth="1"/>
    <col min="6147" max="6147" width="8" style="141" customWidth="1"/>
    <col min="6148" max="6148" width="6.375" style="141" customWidth="1"/>
    <col min="6149" max="6149" width="5.875" style="141" customWidth="1"/>
    <col min="6150" max="6150" width="8.5" style="141" customWidth="1"/>
    <col min="6151" max="6151" width="13.125" style="141" customWidth="1"/>
    <col min="6152" max="6152" width="12.875" style="141" customWidth="1"/>
    <col min="6153" max="6153" width="8.75" style="141" customWidth="1"/>
    <col min="6154" max="6154" width="5.125" style="141" customWidth="1"/>
    <col min="6155" max="6157" width="8.5" style="141" customWidth="1"/>
    <col min="6158" max="6158" width="8.25" style="141" customWidth="1"/>
    <col min="6159" max="6160" width="6.25" style="141" customWidth="1"/>
    <col min="6161" max="6162" width="8.125" style="141" customWidth="1"/>
    <col min="6163" max="6163" width="6.25" style="141" customWidth="1"/>
    <col min="6164" max="6164" width="3.25" style="141" customWidth="1"/>
    <col min="6165" max="6165" width="6.25" style="141" customWidth="1"/>
    <col min="6166" max="6166" width="9.875" style="141" customWidth="1"/>
    <col min="6167" max="6168" width="6.25" style="141" customWidth="1"/>
    <col min="6169" max="6169" width="3.875" style="141" customWidth="1"/>
    <col min="6170" max="6170" width="7.625" style="141" customWidth="1"/>
    <col min="6171" max="6171" width="8.5" style="141" customWidth="1"/>
    <col min="6172" max="6172" width="7.25" style="141" customWidth="1"/>
    <col min="6173" max="6173" width="6.75" style="141" customWidth="1"/>
    <col min="6174" max="6175" width="9" style="141"/>
    <col min="6176" max="6176" width="13.375" style="141" customWidth="1"/>
    <col min="6177" max="6177" width="14.75" style="141" customWidth="1"/>
    <col min="6178" max="6400" width="9" style="141"/>
    <col min="6401" max="6401" width="7.375" style="141" customWidth="1"/>
    <col min="6402" max="6402" width="9.875" style="141" customWidth="1"/>
    <col min="6403" max="6403" width="8" style="141" customWidth="1"/>
    <col min="6404" max="6404" width="6.375" style="141" customWidth="1"/>
    <col min="6405" max="6405" width="5.875" style="141" customWidth="1"/>
    <col min="6406" max="6406" width="8.5" style="141" customWidth="1"/>
    <col min="6407" max="6407" width="13.125" style="141" customWidth="1"/>
    <col min="6408" max="6408" width="12.875" style="141" customWidth="1"/>
    <col min="6409" max="6409" width="8.75" style="141" customWidth="1"/>
    <col min="6410" max="6410" width="5.125" style="141" customWidth="1"/>
    <col min="6411" max="6413" width="8.5" style="141" customWidth="1"/>
    <col min="6414" max="6414" width="8.25" style="141" customWidth="1"/>
    <col min="6415" max="6416" width="6.25" style="141" customWidth="1"/>
    <col min="6417" max="6418" width="8.125" style="141" customWidth="1"/>
    <col min="6419" max="6419" width="6.25" style="141" customWidth="1"/>
    <col min="6420" max="6420" width="3.25" style="141" customWidth="1"/>
    <col min="6421" max="6421" width="6.25" style="141" customWidth="1"/>
    <col min="6422" max="6422" width="9.875" style="141" customWidth="1"/>
    <col min="6423" max="6424" width="6.25" style="141" customWidth="1"/>
    <col min="6425" max="6425" width="3.875" style="141" customWidth="1"/>
    <col min="6426" max="6426" width="7.625" style="141" customWidth="1"/>
    <col min="6427" max="6427" width="8.5" style="141" customWidth="1"/>
    <col min="6428" max="6428" width="7.25" style="141" customWidth="1"/>
    <col min="6429" max="6429" width="6.75" style="141" customWidth="1"/>
    <col min="6430" max="6431" width="9" style="141"/>
    <col min="6432" max="6432" width="13.375" style="141" customWidth="1"/>
    <col min="6433" max="6433" width="14.75" style="141" customWidth="1"/>
    <col min="6434" max="6656" width="9" style="141"/>
    <col min="6657" max="6657" width="7.375" style="141" customWidth="1"/>
    <col min="6658" max="6658" width="9.875" style="141" customWidth="1"/>
    <col min="6659" max="6659" width="8" style="141" customWidth="1"/>
    <col min="6660" max="6660" width="6.375" style="141" customWidth="1"/>
    <col min="6661" max="6661" width="5.875" style="141" customWidth="1"/>
    <col min="6662" max="6662" width="8.5" style="141" customWidth="1"/>
    <col min="6663" max="6663" width="13.125" style="141" customWidth="1"/>
    <col min="6664" max="6664" width="12.875" style="141" customWidth="1"/>
    <col min="6665" max="6665" width="8.75" style="141" customWidth="1"/>
    <col min="6666" max="6666" width="5.125" style="141" customWidth="1"/>
    <col min="6667" max="6669" width="8.5" style="141" customWidth="1"/>
    <col min="6670" max="6670" width="8.25" style="141" customWidth="1"/>
    <col min="6671" max="6672" width="6.25" style="141" customWidth="1"/>
    <col min="6673" max="6674" width="8.125" style="141" customWidth="1"/>
    <col min="6675" max="6675" width="6.25" style="141" customWidth="1"/>
    <col min="6676" max="6676" width="3.25" style="141" customWidth="1"/>
    <col min="6677" max="6677" width="6.25" style="141" customWidth="1"/>
    <col min="6678" max="6678" width="9.875" style="141" customWidth="1"/>
    <col min="6679" max="6680" width="6.25" style="141" customWidth="1"/>
    <col min="6681" max="6681" width="3.875" style="141" customWidth="1"/>
    <col min="6682" max="6682" width="7.625" style="141" customWidth="1"/>
    <col min="6683" max="6683" width="8.5" style="141" customWidth="1"/>
    <col min="6684" max="6684" width="7.25" style="141" customWidth="1"/>
    <col min="6685" max="6685" width="6.75" style="141" customWidth="1"/>
    <col min="6686" max="6687" width="9" style="141"/>
    <col min="6688" max="6688" width="13.375" style="141" customWidth="1"/>
    <col min="6689" max="6689" width="14.75" style="141" customWidth="1"/>
    <col min="6690" max="6912" width="9" style="141"/>
    <col min="6913" max="6913" width="7.375" style="141" customWidth="1"/>
    <col min="6914" max="6914" width="9.875" style="141" customWidth="1"/>
    <col min="6915" max="6915" width="8" style="141" customWidth="1"/>
    <col min="6916" max="6916" width="6.375" style="141" customWidth="1"/>
    <col min="6917" max="6917" width="5.875" style="141" customWidth="1"/>
    <col min="6918" max="6918" width="8.5" style="141" customWidth="1"/>
    <col min="6919" max="6919" width="13.125" style="141" customWidth="1"/>
    <col min="6920" max="6920" width="12.875" style="141" customWidth="1"/>
    <col min="6921" max="6921" width="8.75" style="141" customWidth="1"/>
    <col min="6922" max="6922" width="5.125" style="141" customWidth="1"/>
    <col min="6923" max="6925" width="8.5" style="141" customWidth="1"/>
    <col min="6926" max="6926" width="8.25" style="141" customWidth="1"/>
    <col min="6927" max="6928" width="6.25" style="141" customWidth="1"/>
    <col min="6929" max="6930" width="8.125" style="141" customWidth="1"/>
    <col min="6931" max="6931" width="6.25" style="141" customWidth="1"/>
    <col min="6932" max="6932" width="3.25" style="141" customWidth="1"/>
    <col min="6933" max="6933" width="6.25" style="141" customWidth="1"/>
    <col min="6934" max="6934" width="9.875" style="141" customWidth="1"/>
    <col min="6935" max="6936" width="6.25" style="141" customWidth="1"/>
    <col min="6937" max="6937" width="3.875" style="141" customWidth="1"/>
    <col min="6938" max="6938" width="7.625" style="141" customWidth="1"/>
    <col min="6939" max="6939" width="8.5" style="141" customWidth="1"/>
    <col min="6940" max="6940" width="7.25" style="141" customWidth="1"/>
    <col min="6941" max="6941" width="6.75" style="141" customWidth="1"/>
    <col min="6942" max="6943" width="9" style="141"/>
    <col min="6944" max="6944" width="13.375" style="141" customWidth="1"/>
    <col min="6945" max="6945" width="14.75" style="141" customWidth="1"/>
    <col min="6946" max="7168" width="9" style="141"/>
    <col min="7169" max="7169" width="7.375" style="141" customWidth="1"/>
    <col min="7170" max="7170" width="9.875" style="141" customWidth="1"/>
    <col min="7171" max="7171" width="8" style="141" customWidth="1"/>
    <col min="7172" max="7172" width="6.375" style="141" customWidth="1"/>
    <col min="7173" max="7173" width="5.875" style="141" customWidth="1"/>
    <col min="7174" max="7174" width="8.5" style="141" customWidth="1"/>
    <col min="7175" max="7175" width="13.125" style="141" customWidth="1"/>
    <col min="7176" max="7176" width="12.875" style="141" customWidth="1"/>
    <col min="7177" max="7177" width="8.75" style="141" customWidth="1"/>
    <col min="7178" max="7178" width="5.125" style="141" customWidth="1"/>
    <col min="7179" max="7181" width="8.5" style="141" customWidth="1"/>
    <col min="7182" max="7182" width="8.25" style="141" customWidth="1"/>
    <col min="7183" max="7184" width="6.25" style="141" customWidth="1"/>
    <col min="7185" max="7186" width="8.125" style="141" customWidth="1"/>
    <col min="7187" max="7187" width="6.25" style="141" customWidth="1"/>
    <col min="7188" max="7188" width="3.25" style="141" customWidth="1"/>
    <col min="7189" max="7189" width="6.25" style="141" customWidth="1"/>
    <col min="7190" max="7190" width="9.875" style="141" customWidth="1"/>
    <col min="7191" max="7192" width="6.25" style="141" customWidth="1"/>
    <col min="7193" max="7193" width="3.875" style="141" customWidth="1"/>
    <col min="7194" max="7194" width="7.625" style="141" customWidth="1"/>
    <col min="7195" max="7195" width="8.5" style="141" customWidth="1"/>
    <col min="7196" max="7196" width="7.25" style="141" customWidth="1"/>
    <col min="7197" max="7197" width="6.75" style="141" customWidth="1"/>
    <col min="7198" max="7199" width="9" style="141"/>
    <col min="7200" max="7200" width="13.375" style="141" customWidth="1"/>
    <col min="7201" max="7201" width="14.75" style="141" customWidth="1"/>
    <col min="7202" max="7424" width="9" style="141"/>
    <col min="7425" max="7425" width="7.375" style="141" customWidth="1"/>
    <col min="7426" max="7426" width="9.875" style="141" customWidth="1"/>
    <col min="7427" max="7427" width="8" style="141" customWidth="1"/>
    <col min="7428" max="7428" width="6.375" style="141" customWidth="1"/>
    <col min="7429" max="7429" width="5.875" style="141" customWidth="1"/>
    <col min="7430" max="7430" width="8.5" style="141" customWidth="1"/>
    <col min="7431" max="7431" width="13.125" style="141" customWidth="1"/>
    <col min="7432" max="7432" width="12.875" style="141" customWidth="1"/>
    <col min="7433" max="7433" width="8.75" style="141" customWidth="1"/>
    <col min="7434" max="7434" width="5.125" style="141" customWidth="1"/>
    <col min="7435" max="7437" width="8.5" style="141" customWidth="1"/>
    <col min="7438" max="7438" width="8.25" style="141" customWidth="1"/>
    <col min="7439" max="7440" width="6.25" style="141" customWidth="1"/>
    <col min="7441" max="7442" width="8.125" style="141" customWidth="1"/>
    <col min="7443" max="7443" width="6.25" style="141" customWidth="1"/>
    <col min="7444" max="7444" width="3.25" style="141" customWidth="1"/>
    <col min="7445" max="7445" width="6.25" style="141" customWidth="1"/>
    <col min="7446" max="7446" width="9.875" style="141" customWidth="1"/>
    <col min="7447" max="7448" width="6.25" style="141" customWidth="1"/>
    <col min="7449" max="7449" width="3.875" style="141" customWidth="1"/>
    <col min="7450" max="7450" width="7.625" style="141" customWidth="1"/>
    <col min="7451" max="7451" width="8.5" style="141" customWidth="1"/>
    <col min="7452" max="7452" width="7.25" style="141" customWidth="1"/>
    <col min="7453" max="7453" width="6.75" style="141" customWidth="1"/>
    <col min="7454" max="7455" width="9" style="141"/>
    <col min="7456" max="7456" width="13.375" style="141" customWidth="1"/>
    <col min="7457" max="7457" width="14.75" style="141" customWidth="1"/>
    <col min="7458" max="7680" width="9" style="141"/>
    <col min="7681" max="7681" width="7.375" style="141" customWidth="1"/>
    <col min="7682" max="7682" width="9.875" style="141" customWidth="1"/>
    <col min="7683" max="7683" width="8" style="141" customWidth="1"/>
    <col min="7684" max="7684" width="6.375" style="141" customWidth="1"/>
    <col min="7685" max="7685" width="5.875" style="141" customWidth="1"/>
    <col min="7686" max="7686" width="8.5" style="141" customWidth="1"/>
    <col min="7687" max="7687" width="13.125" style="141" customWidth="1"/>
    <col min="7688" max="7688" width="12.875" style="141" customWidth="1"/>
    <col min="7689" max="7689" width="8.75" style="141" customWidth="1"/>
    <col min="7690" max="7690" width="5.125" style="141" customWidth="1"/>
    <col min="7691" max="7693" width="8.5" style="141" customWidth="1"/>
    <col min="7694" max="7694" width="8.25" style="141" customWidth="1"/>
    <col min="7695" max="7696" width="6.25" style="141" customWidth="1"/>
    <col min="7697" max="7698" width="8.125" style="141" customWidth="1"/>
    <col min="7699" max="7699" width="6.25" style="141" customWidth="1"/>
    <col min="7700" max="7700" width="3.25" style="141" customWidth="1"/>
    <col min="7701" max="7701" width="6.25" style="141" customWidth="1"/>
    <col min="7702" max="7702" width="9.875" style="141" customWidth="1"/>
    <col min="7703" max="7704" width="6.25" style="141" customWidth="1"/>
    <col min="7705" max="7705" width="3.875" style="141" customWidth="1"/>
    <col min="7706" max="7706" width="7.625" style="141" customWidth="1"/>
    <col min="7707" max="7707" width="8.5" style="141" customWidth="1"/>
    <col min="7708" max="7708" width="7.25" style="141" customWidth="1"/>
    <col min="7709" max="7709" width="6.75" style="141" customWidth="1"/>
    <col min="7710" max="7711" width="9" style="141"/>
    <col min="7712" max="7712" width="13.375" style="141" customWidth="1"/>
    <col min="7713" max="7713" width="14.75" style="141" customWidth="1"/>
    <col min="7714" max="7936" width="9" style="141"/>
    <col min="7937" max="7937" width="7.375" style="141" customWidth="1"/>
    <col min="7938" max="7938" width="9.875" style="141" customWidth="1"/>
    <col min="7939" max="7939" width="8" style="141" customWidth="1"/>
    <col min="7940" max="7940" width="6.375" style="141" customWidth="1"/>
    <col min="7941" max="7941" width="5.875" style="141" customWidth="1"/>
    <col min="7942" max="7942" width="8.5" style="141" customWidth="1"/>
    <col min="7943" max="7943" width="13.125" style="141" customWidth="1"/>
    <col min="7944" max="7944" width="12.875" style="141" customWidth="1"/>
    <col min="7945" max="7945" width="8.75" style="141" customWidth="1"/>
    <col min="7946" max="7946" width="5.125" style="141" customWidth="1"/>
    <col min="7947" max="7949" width="8.5" style="141" customWidth="1"/>
    <col min="7950" max="7950" width="8.25" style="141" customWidth="1"/>
    <col min="7951" max="7952" width="6.25" style="141" customWidth="1"/>
    <col min="7953" max="7954" width="8.125" style="141" customWidth="1"/>
    <col min="7955" max="7955" width="6.25" style="141" customWidth="1"/>
    <col min="7956" max="7956" width="3.25" style="141" customWidth="1"/>
    <col min="7957" max="7957" width="6.25" style="141" customWidth="1"/>
    <col min="7958" max="7958" width="9.875" style="141" customWidth="1"/>
    <col min="7959" max="7960" width="6.25" style="141" customWidth="1"/>
    <col min="7961" max="7961" width="3.875" style="141" customWidth="1"/>
    <col min="7962" max="7962" width="7.625" style="141" customWidth="1"/>
    <col min="7963" max="7963" width="8.5" style="141" customWidth="1"/>
    <col min="7964" max="7964" width="7.25" style="141" customWidth="1"/>
    <col min="7965" max="7965" width="6.75" style="141" customWidth="1"/>
    <col min="7966" max="7967" width="9" style="141"/>
    <col min="7968" max="7968" width="13.375" style="141" customWidth="1"/>
    <col min="7969" max="7969" width="14.75" style="141" customWidth="1"/>
    <col min="7970" max="8192" width="9" style="141"/>
    <col min="8193" max="8193" width="7.375" style="141" customWidth="1"/>
    <col min="8194" max="8194" width="9.875" style="141" customWidth="1"/>
    <col min="8195" max="8195" width="8" style="141" customWidth="1"/>
    <col min="8196" max="8196" width="6.375" style="141" customWidth="1"/>
    <col min="8197" max="8197" width="5.875" style="141" customWidth="1"/>
    <col min="8198" max="8198" width="8.5" style="141" customWidth="1"/>
    <col min="8199" max="8199" width="13.125" style="141" customWidth="1"/>
    <col min="8200" max="8200" width="12.875" style="141" customWidth="1"/>
    <col min="8201" max="8201" width="8.75" style="141" customWidth="1"/>
    <col min="8202" max="8202" width="5.125" style="141" customWidth="1"/>
    <col min="8203" max="8205" width="8.5" style="141" customWidth="1"/>
    <col min="8206" max="8206" width="8.25" style="141" customWidth="1"/>
    <col min="8207" max="8208" width="6.25" style="141" customWidth="1"/>
    <col min="8209" max="8210" width="8.125" style="141" customWidth="1"/>
    <col min="8211" max="8211" width="6.25" style="141" customWidth="1"/>
    <col min="8212" max="8212" width="3.25" style="141" customWidth="1"/>
    <col min="8213" max="8213" width="6.25" style="141" customWidth="1"/>
    <col min="8214" max="8214" width="9.875" style="141" customWidth="1"/>
    <col min="8215" max="8216" width="6.25" style="141" customWidth="1"/>
    <col min="8217" max="8217" width="3.875" style="141" customWidth="1"/>
    <col min="8218" max="8218" width="7.625" style="141" customWidth="1"/>
    <col min="8219" max="8219" width="8.5" style="141" customWidth="1"/>
    <col min="8220" max="8220" width="7.25" style="141" customWidth="1"/>
    <col min="8221" max="8221" width="6.75" style="141" customWidth="1"/>
    <col min="8222" max="8223" width="9" style="141"/>
    <col min="8224" max="8224" width="13.375" style="141" customWidth="1"/>
    <col min="8225" max="8225" width="14.75" style="141" customWidth="1"/>
    <col min="8226" max="8448" width="9" style="141"/>
    <col min="8449" max="8449" width="7.375" style="141" customWidth="1"/>
    <col min="8450" max="8450" width="9.875" style="141" customWidth="1"/>
    <col min="8451" max="8451" width="8" style="141" customWidth="1"/>
    <col min="8452" max="8452" width="6.375" style="141" customWidth="1"/>
    <col min="8453" max="8453" width="5.875" style="141" customWidth="1"/>
    <col min="8454" max="8454" width="8.5" style="141" customWidth="1"/>
    <col min="8455" max="8455" width="13.125" style="141" customWidth="1"/>
    <col min="8456" max="8456" width="12.875" style="141" customWidth="1"/>
    <col min="8457" max="8457" width="8.75" style="141" customWidth="1"/>
    <col min="8458" max="8458" width="5.125" style="141" customWidth="1"/>
    <col min="8459" max="8461" width="8.5" style="141" customWidth="1"/>
    <col min="8462" max="8462" width="8.25" style="141" customWidth="1"/>
    <col min="8463" max="8464" width="6.25" style="141" customWidth="1"/>
    <col min="8465" max="8466" width="8.125" style="141" customWidth="1"/>
    <col min="8467" max="8467" width="6.25" style="141" customWidth="1"/>
    <col min="8468" max="8468" width="3.25" style="141" customWidth="1"/>
    <col min="8469" max="8469" width="6.25" style="141" customWidth="1"/>
    <col min="8470" max="8470" width="9.875" style="141" customWidth="1"/>
    <col min="8471" max="8472" width="6.25" style="141" customWidth="1"/>
    <col min="8473" max="8473" width="3.875" style="141" customWidth="1"/>
    <col min="8474" max="8474" width="7.625" style="141" customWidth="1"/>
    <col min="8475" max="8475" width="8.5" style="141" customWidth="1"/>
    <col min="8476" max="8476" width="7.25" style="141" customWidth="1"/>
    <col min="8477" max="8477" width="6.75" style="141" customWidth="1"/>
    <col min="8478" max="8479" width="9" style="141"/>
    <col min="8480" max="8480" width="13.375" style="141" customWidth="1"/>
    <col min="8481" max="8481" width="14.75" style="141" customWidth="1"/>
    <col min="8482" max="8704" width="9" style="141"/>
    <col min="8705" max="8705" width="7.375" style="141" customWidth="1"/>
    <col min="8706" max="8706" width="9.875" style="141" customWidth="1"/>
    <col min="8707" max="8707" width="8" style="141" customWidth="1"/>
    <col min="8708" max="8708" width="6.375" style="141" customWidth="1"/>
    <col min="8709" max="8709" width="5.875" style="141" customWidth="1"/>
    <col min="8710" max="8710" width="8.5" style="141" customWidth="1"/>
    <col min="8711" max="8711" width="13.125" style="141" customWidth="1"/>
    <col min="8712" max="8712" width="12.875" style="141" customWidth="1"/>
    <col min="8713" max="8713" width="8.75" style="141" customWidth="1"/>
    <col min="8714" max="8714" width="5.125" style="141" customWidth="1"/>
    <col min="8715" max="8717" width="8.5" style="141" customWidth="1"/>
    <col min="8718" max="8718" width="8.25" style="141" customWidth="1"/>
    <col min="8719" max="8720" width="6.25" style="141" customWidth="1"/>
    <col min="8721" max="8722" width="8.125" style="141" customWidth="1"/>
    <col min="8723" max="8723" width="6.25" style="141" customWidth="1"/>
    <col min="8724" max="8724" width="3.25" style="141" customWidth="1"/>
    <col min="8725" max="8725" width="6.25" style="141" customWidth="1"/>
    <col min="8726" max="8726" width="9.875" style="141" customWidth="1"/>
    <col min="8727" max="8728" width="6.25" style="141" customWidth="1"/>
    <col min="8729" max="8729" width="3.875" style="141" customWidth="1"/>
    <col min="8730" max="8730" width="7.625" style="141" customWidth="1"/>
    <col min="8731" max="8731" width="8.5" style="141" customWidth="1"/>
    <col min="8732" max="8732" width="7.25" style="141" customWidth="1"/>
    <col min="8733" max="8733" width="6.75" style="141" customWidth="1"/>
    <col min="8734" max="8735" width="9" style="141"/>
    <col min="8736" max="8736" width="13.375" style="141" customWidth="1"/>
    <col min="8737" max="8737" width="14.75" style="141" customWidth="1"/>
    <col min="8738" max="8960" width="9" style="141"/>
    <col min="8961" max="8961" width="7.375" style="141" customWidth="1"/>
    <col min="8962" max="8962" width="9.875" style="141" customWidth="1"/>
    <col min="8963" max="8963" width="8" style="141" customWidth="1"/>
    <col min="8964" max="8964" width="6.375" style="141" customWidth="1"/>
    <col min="8965" max="8965" width="5.875" style="141" customWidth="1"/>
    <col min="8966" max="8966" width="8.5" style="141" customWidth="1"/>
    <col min="8967" max="8967" width="13.125" style="141" customWidth="1"/>
    <col min="8968" max="8968" width="12.875" style="141" customWidth="1"/>
    <col min="8969" max="8969" width="8.75" style="141" customWidth="1"/>
    <col min="8970" max="8970" width="5.125" style="141" customWidth="1"/>
    <col min="8971" max="8973" width="8.5" style="141" customWidth="1"/>
    <col min="8974" max="8974" width="8.25" style="141" customWidth="1"/>
    <col min="8975" max="8976" width="6.25" style="141" customWidth="1"/>
    <col min="8977" max="8978" width="8.125" style="141" customWidth="1"/>
    <col min="8979" max="8979" width="6.25" style="141" customWidth="1"/>
    <col min="8980" max="8980" width="3.25" style="141" customWidth="1"/>
    <col min="8981" max="8981" width="6.25" style="141" customWidth="1"/>
    <col min="8982" max="8982" width="9.875" style="141" customWidth="1"/>
    <col min="8983" max="8984" width="6.25" style="141" customWidth="1"/>
    <col min="8985" max="8985" width="3.875" style="141" customWidth="1"/>
    <col min="8986" max="8986" width="7.625" style="141" customWidth="1"/>
    <col min="8987" max="8987" width="8.5" style="141" customWidth="1"/>
    <col min="8988" max="8988" width="7.25" style="141" customWidth="1"/>
    <col min="8989" max="8989" width="6.75" style="141" customWidth="1"/>
    <col min="8990" max="8991" width="9" style="141"/>
    <col min="8992" max="8992" width="13.375" style="141" customWidth="1"/>
    <col min="8993" max="8993" width="14.75" style="141" customWidth="1"/>
    <col min="8994" max="9216" width="9" style="141"/>
    <col min="9217" max="9217" width="7.375" style="141" customWidth="1"/>
    <col min="9218" max="9218" width="9.875" style="141" customWidth="1"/>
    <col min="9219" max="9219" width="8" style="141" customWidth="1"/>
    <col min="9220" max="9220" width="6.375" style="141" customWidth="1"/>
    <col min="9221" max="9221" width="5.875" style="141" customWidth="1"/>
    <col min="9222" max="9222" width="8.5" style="141" customWidth="1"/>
    <col min="9223" max="9223" width="13.125" style="141" customWidth="1"/>
    <col min="9224" max="9224" width="12.875" style="141" customWidth="1"/>
    <col min="9225" max="9225" width="8.75" style="141" customWidth="1"/>
    <col min="9226" max="9226" width="5.125" style="141" customWidth="1"/>
    <col min="9227" max="9229" width="8.5" style="141" customWidth="1"/>
    <col min="9230" max="9230" width="8.25" style="141" customWidth="1"/>
    <col min="9231" max="9232" width="6.25" style="141" customWidth="1"/>
    <col min="9233" max="9234" width="8.125" style="141" customWidth="1"/>
    <col min="9235" max="9235" width="6.25" style="141" customWidth="1"/>
    <col min="9236" max="9236" width="3.25" style="141" customWidth="1"/>
    <col min="9237" max="9237" width="6.25" style="141" customWidth="1"/>
    <col min="9238" max="9238" width="9.875" style="141" customWidth="1"/>
    <col min="9239" max="9240" width="6.25" style="141" customWidth="1"/>
    <col min="9241" max="9241" width="3.875" style="141" customWidth="1"/>
    <col min="9242" max="9242" width="7.625" style="141" customWidth="1"/>
    <col min="9243" max="9243" width="8.5" style="141" customWidth="1"/>
    <col min="9244" max="9244" width="7.25" style="141" customWidth="1"/>
    <col min="9245" max="9245" width="6.75" style="141" customWidth="1"/>
    <col min="9246" max="9247" width="9" style="141"/>
    <col min="9248" max="9248" width="13.375" style="141" customWidth="1"/>
    <col min="9249" max="9249" width="14.75" style="141" customWidth="1"/>
    <col min="9250" max="9472" width="9" style="141"/>
    <col min="9473" max="9473" width="7.375" style="141" customWidth="1"/>
    <col min="9474" max="9474" width="9.875" style="141" customWidth="1"/>
    <col min="9475" max="9475" width="8" style="141" customWidth="1"/>
    <col min="9476" max="9476" width="6.375" style="141" customWidth="1"/>
    <col min="9477" max="9477" width="5.875" style="141" customWidth="1"/>
    <col min="9478" max="9478" width="8.5" style="141" customWidth="1"/>
    <col min="9479" max="9479" width="13.125" style="141" customWidth="1"/>
    <col min="9480" max="9480" width="12.875" style="141" customWidth="1"/>
    <col min="9481" max="9481" width="8.75" style="141" customWidth="1"/>
    <col min="9482" max="9482" width="5.125" style="141" customWidth="1"/>
    <col min="9483" max="9485" width="8.5" style="141" customWidth="1"/>
    <col min="9486" max="9486" width="8.25" style="141" customWidth="1"/>
    <col min="9487" max="9488" width="6.25" style="141" customWidth="1"/>
    <col min="9489" max="9490" width="8.125" style="141" customWidth="1"/>
    <col min="9491" max="9491" width="6.25" style="141" customWidth="1"/>
    <col min="9492" max="9492" width="3.25" style="141" customWidth="1"/>
    <col min="9493" max="9493" width="6.25" style="141" customWidth="1"/>
    <col min="9494" max="9494" width="9.875" style="141" customWidth="1"/>
    <col min="9495" max="9496" width="6.25" style="141" customWidth="1"/>
    <col min="9497" max="9497" width="3.875" style="141" customWidth="1"/>
    <col min="9498" max="9498" width="7.625" style="141" customWidth="1"/>
    <col min="9499" max="9499" width="8.5" style="141" customWidth="1"/>
    <col min="9500" max="9500" width="7.25" style="141" customWidth="1"/>
    <col min="9501" max="9501" width="6.75" style="141" customWidth="1"/>
    <col min="9502" max="9503" width="9" style="141"/>
    <col min="9504" max="9504" width="13.375" style="141" customWidth="1"/>
    <col min="9505" max="9505" width="14.75" style="141" customWidth="1"/>
    <col min="9506" max="9728" width="9" style="141"/>
    <col min="9729" max="9729" width="7.375" style="141" customWidth="1"/>
    <col min="9730" max="9730" width="9.875" style="141" customWidth="1"/>
    <col min="9731" max="9731" width="8" style="141" customWidth="1"/>
    <col min="9732" max="9732" width="6.375" style="141" customWidth="1"/>
    <col min="9733" max="9733" width="5.875" style="141" customWidth="1"/>
    <col min="9734" max="9734" width="8.5" style="141" customWidth="1"/>
    <col min="9735" max="9735" width="13.125" style="141" customWidth="1"/>
    <col min="9736" max="9736" width="12.875" style="141" customWidth="1"/>
    <col min="9737" max="9737" width="8.75" style="141" customWidth="1"/>
    <col min="9738" max="9738" width="5.125" style="141" customWidth="1"/>
    <col min="9739" max="9741" width="8.5" style="141" customWidth="1"/>
    <col min="9742" max="9742" width="8.25" style="141" customWidth="1"/>
    <col min="9743" max="9744" width="6.25" style="141" customWidth="1"/>
    <col min="9745" max="9746" width="8.125" style="141" customWidth="1"/>
    <col min="9747" max="9747" width="6.25" style="141" customWidth="1"/>
    <col min="9748" max="9748" width="3.25" style="141" customWidth="1"/>
    <col min="9749" max="9749" width="6.25" style="141" customWidth="1"/>
    <col min="9750" max="9750" width="9.875" style="141" customWidth="1"/>
    <col min="9751" max="9752" width="6.25" style="141" customWidth="1"/>
    <col min="9753" max="9753" width="3.875" style="141" customWidth="1"/>
    <col min="9754" max="9754" width="7.625" style="141" customWidth="1"/>
    <col min="9755" max="9755" width="8.5" style="141" customWidth="1"/>
    <col min="9756" max="9756" width="7.25" style="141" customWidth="1"/>
    <col min="9757" max="9757" width="6.75" style="141" customWidth="1"/>
    <col min="9758" max="9759" width="9" style="141"/>
    <col min="9760" max="9760" width="13.375" style="141" customWidth="1"/>
    <col min="9761" max="9761" width="14.75" style="141" customWidth="1"/>
    <col min="9762" max="9984" width="9" style="141"/>
    <col min="9985" max="9985" width="7.375" style="141" customWidth="1"/>
    <col min="9986" max="9986" width="9.875" style="141" customWidth="1"/>
    <col min="9987" max="9987" width="8" style="141" customWidth="1"/>
    <col min="9988" max="9988" width="6.375" style="141" customWidth="1"/>
    <col min="9989" max="9989" width="5.875" style="141" customWidth="1"/>
    <col min="9990" max="9990" width="8.5" style="141" customWidth="1"/>
    <col min="9991" max="9991" width="13.125" style="141" customWidth="1"/>
    <col min="9992" max="9992" width="12.875" style="141" customWidth="1"/>
    <col min="9993" max="9993" width="8.75" style="141" customWidth="1"/>
    <col min="9994" max="9994" width="5.125" style="141" customWidth="1"/>
    <col min="9995" max="9997" width="8.5" style="141" customWidth="1"/>
    <col min="9998" max="9998" width="8.25" style="141" customWidth="1"/>
    <col min="9999" max="10000" width="6.25" style="141" customWidth="1"/>
    <col min="10001" max="10002" width="8.125" style="141" customWidth="1"/>
    <col min="10003" max="10003" width="6.25" style="141" customWidth="1"/>
    <col min="10004" max="10004" width="3.25" style="141" customWidth="1"/>
    <col min="10005" max="10005" width="6.25" style="141" customWidth="1"/>
    <col min="10006" max="10006" width="9.875" style="141" customWidth="1"/>
    <col min="10007" max="10008" width="6.25" style="141" customWidth="1"/>
    <col min="10009" max="10009" width="3.875" style="141" customWidth="1"/>
    <col min="10010" max="10010" width="7.625" style="141" customWidth="1"/>
    <col min="10011" max="10011" width="8.5" style="141" customWidth="1"/>
    <col min="10012" max="10012" width="7.25" style="141" customWidth="1"/>
    <col min="10013" max="10013" width="6.75" style="141" customWidth="1"/>
    <col min="10014" max="10015" width="9" style="141"/>
    <col min="10016" max="10016" width="13.375" style="141" customWidth="1"/>
    <col min="10017" max="10017" width="14.75" style="141" customWidth="1"/>
    <col min="10018" max="10240" width="9" style="141"/>
    <col min="10241" max="10241" width="7.375" style="141" customWidth="1"/>
    <col min="10242" max="10242" width="9.875" style="141" customWidth="1"/>
    <col min="10243" max="10243" width="8" style="141" customWidth="1"/>
    <col min="10244" max="10244" width="6.375" style="141" customWidth="1"/>
    <col min="10245" max="10245" width="5.875" style="141" customWidth="1"/>
    <col min="10246" max="10246" width="8.5" style="141" customWidth="1"/>
    <col min="10247" max="10247" width="13.125" style="141" customWidth="1"/>
    <col min="10248" max="10248" width="12.875" style="141" customWidth="1"/>
    <col min="10249" max="10249" width="8.75" style="141" customWidth="1"/>
    <col min="10250" max="10250" width="5.125" style="141" customWidth="1"/>
    <col min="10251" max="10253" width="8.5" style="141" customWidth="1"/>
    <col min="10254" max="10254" width="8.25" style="141" customWidth="1"/>
    <col min="10255" max="10256" width="6.25" style="141" customWidth="1"/>
    <col min="10257" max="10258" width="8.125" style="141" customWidth="1"/>
    <col min="10259" max="10259" width="6.25" style="141" customWidth="1"/>
    <col min="10260" max="10260" width="3.25" style="141" customWidth="1"/>
    <col min="10261" max="10261" width="6.25" style="141" customWidth="1"/>
    <col min="10262" max="10262" width="9.875" style="141" customWidth="1"/>
    <col min="10263" max="10264" width="6.25" style="141" customWidth="1"/>
    <col min="10265" max="10265" width="3.875" style="141" customWidth="1"/>
    <col min="10266" max="10266" width="7.625" style="141" customWidth="1"/>
    <col min="10267" max="10267" width="8.5" style="141" customWidth="1"/>
    <col min="10268" max="10268" width="7.25" style="141" customWidth="1"/>
    <col min="10269" max="10269" width="6.75" style="141" customWidth="1"/>
    <col min="10270" max="10271" width="9" style="141"/>
    <col min="10272" max="10272" width="13.375" style="141" customWidth="1"/>
    <col min="10273" max="10273" width="14.75" style="141" customWidth="1"/>
    <col min="10274" max="10496" width="9" style="141"/>
    <col min="10497" max="10497" width="7.375" style="141" customWidth="1"/>
    <col min="10498" max="10498" width="9.875" style="141" customWidth="1"/>
    <col min="10499" max="10499" width="8" style="141" customWidth="1"/>
    <col min="10500" max="10500" width="6.375" style="141" customWidth="1"/>
    <col min="10501" max="10501" width="5.875" style="141" customWidth="1"/>
    <col min="10502" max="10502" width="8.5" style="141" customWidth="1"/>
    <col min="10503" max="10503" width="13.125" style="141" customWidth="1"/>
    <col min="10504" max="10504" width="12.875" style="141" customWidth="1"/>
    <col min="10505" max="10505" width="8.75" style="141" customWidth="1"/>
    <col min="10506" max="10506" width="5.125" style="141" customWidth="1"/>
    <col min="10507" max="10509" width="8.5" style="141" customWidth="1"/>
    <col min="10510" max="10510" width="8.25" style="141" customWidth="1"/>
    <col min="10511" max="10512" width="6.25" style="141" customWidth="1"/>
    <col min="10513" max="10514" width="8.125" style="141" customWidth="1"/>
    <col min="10515" max="10515" width="6.25" style="141" customWidth="1"/>
    <col min="10516" max="10516" width="3.25" style="141" customWidth="1"/>
    <col min="10517" max="10517" width="6.25" style="141" customWidth="1"/>
    <col min="10518" max="10518" width="9.875" style="141" customWidth="1"/>
    <col min="10519" max="10520" width="6.25" style="141" customWidth="1"/>
    <col min="10521" max="10521" width="3.875" style="141" customWidth="1"/>
    <col min="10522" max="10522" width="7.625" style="141" customWidth="1"/>
    <col min="10523" max="10523" width="8.5" style="141" customWidth="1"/>
    <col min="10524" max="10524" width="7.25" style="141" customWidth="1"/>
    <col min="10525" max="10525" width="6.75" style="141" customWidth="1"/>
    <col min="10526" max="10527" width="9" style="141"/>
    <col min="10528" max="10528" width="13.375" style="141" customWidth="1"/>
    <col min="10529" max="10529" width="14.75" style="141" customWidth="1"/>
    <col min="10530" max="10752" width="9" style="141"/>
    <col min="10753" max="10753" width="7.375" style="141" customWidth="1"/>
    <col min="10754" max="10754" width="9.875" style="141" customWidth="1"/>
    <col min="10755" max="10755" width="8" style="141" customWidth="1"/>
    <col min="10756" max="10756" width="6.375" style="141" customWidth="1"/>
    <col min="10757" max="10757" width="5.875" style="141" customWidth="1"/>
    <col min="10758" max="10758" width="8.5" style="141" customWidth="1"/>
    <col min="10759" max="10759" width="13.125" style="141" customWidth="1"/>
    <col min="10760" max="10760" width="12.875" style="141" customWidth="1"/>
    <col min="10761" max="10761" width="8.75" style="141" customWidth="1"/>
    <col min="10762" max="10762" width="5.125" style="141" customWidth="1"/>
    <col min="10763" max="10765" width="8.5" style="141" customWidth="1"/>
    <col min="10766" max="10766" width="8.25" style="141" customWidth="1"/>
    <col min="10767" max="10768" width="6.25" style="141" customWidth="1"/>
    <col min="10769" max="10770" width="8.125" style="141" customWidth="1"/>
    <col min="10771" max="10771" width="6.25" style="141" customWidth="1"/>
    <col min="10772" max="10772" width="3.25" style="141" customWidth="1"/>
    <col min="10773" max="10773" width="6.25" style="141" customWidth="1"/>
    <col min="10774" max="10774" width="9.875" style="141" customWidth="1"/>
    <col min="10775" max="10776" width="6.25" style="141" customWidth="1"/>
    <col min="10777" max="10777" width="3.875" style="141" customWidth="1"/>
    <col min="10778" max="10778" width="7.625" style="141" customWidth="1"/>
    <col min="10779" max="10779" width="8.5" style="141" customWidth="1"/>
    <col min="10780" max="10780" width="7.25" style="141" customWidth="1"/>
    <col min="10781" max="10781" width="6.75" style="141" customWidth="1"/>
    <col min="10782" max="10783" width="9" style="141"/>
    <col min="10784" max="10784" width="13.375" style="141" customWidth="1"/>
    <col min="10785" max="10785" width="14.75" style="141" customWidth="1"/>
    <col min="10786" max="11008" width="9" style="141"/>
    <col min="11009" max="11009" width="7.375" style="141" customWidth="1"/>
    <col min="11010" max="11010" width="9.875" style="141" customWidth="1"/>
    <col min="11011" max="11011" width="8" style="141" customWidth="1"/>
    <col min="11012" max="11012" width="6.375" style="141" customWidth="1"/>
    <col min="11013" max="11013" width="5.875" style="141" customWidth="1"/>
    <col min="11014" max="11014" width="8.5" style="141" customWidth="1"/>
    <col min="11015" max="11015" width="13.125" style="141" customWidth="1"/>
    <col min="11016" max="11016" width="12.875" style="141" customWidth="1"/>
    <col min="11017" max="11017" width="8.75" style="141" customWidth="1"/>
    <col min="11018" max="11018" width="5.125" style="141" customWidth="1"/>
    <col min="11019" max="11021" width="8.5" style="141" customWidth="1"/>
    <col min="11022" max="11022" width="8.25" style="141" customWidth="1"/>
    <col min="11023" max="11024" width="6.25" style="141" customWidth="1"/>
    <col min="11025" max="11026" width="8.125" style="141" customWidth="1"/>
    <col min="11027" max="11027" width="6.25" style="141" customWidth="1"/>
    <col min="11028" max="11028" width="3.25" style="141" customWidth="1"/>
    <col min="11029" max="11029" width="6.25" style="141" customWidth="1"/>
    <col min="11030" max="11030" width="9.875" style="141" customWidth="1"/>
    <col min="11031" max="11032" width="6.25" style="141" customWidth="1"/>
    <col min="11033" max="11033" width="3.875" style="141" customWidth="1"/>
    <col min="11034" max="11034" width="7.625" style="141" customWidth="1"/>
    <col min="11035" max="11035" width="8.5" style="141" customWidth="1"/>
    <col min="11036" max="11036" width="7.25" style="141" customWidth="1"/>
    <col min="11037" max="11037" width="6.75" style="141" customWidth="1"/>
    <col min="11038" max="11039" width="9" style="141"/>
    <col min="11040" max="11040" width="13.375" style="141" customWidth="1"/>
    <col min="11041" max="11041" width="14.75" style="141" customWidth="1"/>
    <col min="11042" max="11264" width="9" style="141"/>
    <col min="11265" max="11265" width="7.375" style="141" customWidth="1"/>
    <col min="11266" max="11266" width="9.875" style="141" customWidth="1"/>
    <col min="11267" max="11267" width="8" style="141" customWidth="1"/>
    <col min="11268" max="11268" width="6.375" style="141" customWidth="1"/>
    <col min="11269" max="11269" width="5.875" style="141" customWidth="1"/>
    <col min="11270" max="11270" width="8.5" style="141" customWidth="1"/>
    <col min="11271" max="11271" width="13.125" style="141" customWidth="1"/>
    <col min="11272" max="11272" width="12.875" style="141" customWidth="1"/>
    <col min="11273" max="11273" width="8.75" style="141" customWidth="1"/>
    <col min="11274" max="11274" width="5.125" style="141" customWidth="1"/>
    <col min="11275" max="11277" width="8.5" style="141" customWidth="1"/>
    <col min="11278" max="11278" width="8.25" style="141" customWidth="1"/>
    <col min="11279" max="11280" width="6.25" style="141" customWidth="1"/>
    <col min="11281" max="11282" width="8.125" style="141" customWidth="1"/>
    <col min="11283" max="11283" width="6.25" style="141" customWidth="1"/>
    <col min="11284" max="11284" width="3.25" style="141" customWidth="1"/>
    <col min="11285" max="11285" width="6.25" style="141" customWidth="1"/>
    <col min="11286" max="11286" width="9.875" style="141" customWidth="1"/>
    <col min="11287" max="11288" width="6.25" style="141" customWidth="1"/>
    <col min="11289" max="11289" width="3.875" style="141" customWidth="1"/>
    <col min="11290" max="11290" width="7.625" style="141" customWidth="1"/>
    <col min="11291" max="11291" width="8.5" style="141" customWidth="1"/>
    <col min="11292" max="11292" width="7.25" style="141" customWidth="1"/>
    <col min="11293" max="11293" width="6.75" style="141" customWidth="1"/>
    <col min="11294" max="11295" width="9" style="141"/>
    <col min="11296" max="11296" width="13.375" style="141" customWidth="1"/>
    <col min="11297" max="11297" width="14.75" style="141" customWidth="1"/>
    <col min="11298" max="11520" width="9" style="141"/>
    <col min="11521" max="11521" width="7.375" style="141" customWidth="1"/>
    <col min="11522" max="11522" width="9.875" style="141" customWidth="1"/>
    <col min="11523" max="11523" width="8" style="141" customWidth="1"/>
    <col min="11524" max="11524" width="6.375" style="141" customWidth="1"/>
    <col min="11525" max="11525" width="5.875" style="141" customWidth="1"/>
    <col min="11526" max="11526" width="8.5" style="141" customWidth="1"/>
    <col min="11527" max="11527" width="13.125" style="141" customWidth="1"/>
    <col min="11528" max="11528" width="12.875" style="141" customWidth="1"/>
    <col min="11529" max="11529" width="8.75" style="141" customWidth="1"/>
    <col min="11530" max="11530" width="5.125" style="141" customWidth="1"/>
    <col min="11531" max="11533" width="8.5" style="141" customWidth="1"/>
    <col min="11534" max="11534" width="8.25" style="141" customWidth="1"/>
    <col min="11535" max="11536" width="6.25" style="141" customWidth="1"/>
    <col min="11537" max="11538" width="8.125" style="141" customWidth="1"/>
    <col min="11539" max="11539" width="6.25" style="141" customWidth="1"/>
    <col min="11540" max="11540" width="3.25" style="141" customWidth="1"/>
    <col min="11541" max="11541" width="6.25" style="141" customWidth="1"/>
    <col min="11542" max="11542" width="9.875" style="141" customWidth="1"/>
    <col min="11543" max="11544" width="6.25" style="141" customWidth="1"/>
    <col min="11545" max="11545" width="3.875" style="141" customWidth="1"/>
    <col min="11546" max="11546" width="7.625" style="141" customWidth="1"/>
    <col min="11547" max="11547" width="8.5" style="141" customWidth="1"/>
    <col min="11548" max="11548" width="7.25" style="141" customWidth="1"/>
    <col min="11549" max="11549" width="6.75" style="141" customWidth="1"/>
    <col min="11550" max="11551" width="9" style="141"/>
    <col min="11552" max="11552" width="13.375" style="141" customWidth="1"/>
    <col min="11553" max="11553" width="14.75" style="141" customWidth="1"/>
    <col min="11554" max="11776" width="9" style="141"/>
    <col min="11777" max="11777" width="7.375" style="141" customWidth="1"/>
    <col min="11778" max="11778" width="9.875" style="141" customWidth="1"/>
    <col min="11779" max="11779" width="8" style="141" customWidth="1"/>
    <col min="11780" max="11780" width="6.375" style="141" customWidth="1"/>
    <col min="11781" max="11781" width="5.875" style="141" customWidth="1"/>
    <col min="11782" max="11782" width="8.5" style="141" customWidth="1"/>
    <col min="11783" max="11783" width="13.125" style="141" customWidth="1"/>
    <col min="11784" max="11784" width="12.875" style="141" customWidth="1"/>
    <col min="11785" max="11785" width="8.75" style="141" customWidth="1"/>
    <col min="11786" max="11786" width="5.125" style="141" customWidth="1"/>
    <col min="11787" max="11789" width="8.5" style="141" customWidth="1"/>
    <col min="11790" max="11790" width="8.25" style="141" customWidth="1"/>
    <col min="11791" max="11792" width="6.25" style="141" customWidth="1"/>
    <col min="11793" max="11794" width="8.125" style="141" customWidth="1"/>
    <col min="11795" max="11795" width="6.25" style="141" customWidth="1"/>
    <col min="11796" max="11796" width="3.25" style="141" customWidth="1"/>
    <col min="11797" max="11797" width="6.25" style="141" customWidth="1"/>
    <col min="11798" max="11798" width="9.875" style="141" customWidth="1"/>
    <col min="11799" max="11800" width="6.25" style="141" customWidth="1"/>
    <col min="11801" max="11801" width="3.875" style="141" customWidth="1"/>
    <col min="11802" max="11802" width="7.625" style="141" customWidth="1"/>
    <col min="11803" max="11803" width="8.5" style="141" customWidth="1"/>
    <col min="11804" max="11804" width="7.25" style="141" customWidth="1"/>
    <col min="11805" max="11805" width="6.75" style="141" customWidth="1"/>
    <col min="11806" max="11807" width="9" style="141"/>
    <col min="11808" max="11808" width="13.375" style="141" customWidth="1"/>
    <col min="11809" max="11809" width="14.75" style="141" customWidth="1"/>
    <col min="11810" max="12032" width="9" style="141"/>
    <col min="12033" max="12033" width="7.375" style="141" customWidth="1"/>
    <col min="12034" max="12034" width="9.875" style="141" customWidth="1"/>
    <col min="12035" max="12035" width="8" style="141" customWidth="1"/>
    <col min="12036" max="12036" width="6.375" style="141" customWidth="1"/>
    <col min="12037" max="12037" width="5.875" style="141" customWidth="1"/>
    <col min="12038" max="12038" width="8.5" style="141" customWidth="1"/>
    <col min="12039" max="12039" width="13.125" style="141" customWidth="1"/>
    <col min="12040" max="12040" width="12.875" style="141" customWidth="1"/>
    <col min="12041" max="12041" width="8.75" style="141" customWidth="1"/>
    <col min="12042" max="12042" width="5.125" style="141" customWidth="1"/>
    <col min="12043" max="12045" width="8.5" style="141" customWidth="1"/>
    <col min="12046" max="12046" width="8.25" style="141" customWidth="1"/>
    <col min="12047" max="12048" width="6.25" style="141" customWidth="1"/>
    <col min="12049" max="12050" width="8.125" style="141" customWidth="1"/>
    <col min="12051" max="12051" width="6.25" style="141" customWidth="1"/>
    <col min="12052" max="12052" width="3.25" style="141" customWidth="1"/>
    <col min="12053" max="12053" width="6.25" style="141" customWidth="1"/>
    <col min="12054" max="12054" width="9.875" style="141" customWidth="1"/>
    <col min="12055" max="12056" width="6.25" style="141" customWidth="1"/>
    <col min="12057" max="12057" width="3.875" style="141" customWidth="1"/>
    <col min="12058" max="12058" width="7.625" style="141" customWidth="1"/>
    <col min="12059" max="12059" width="8.5" style="141" customWidth="1"/>
    <col min="12060" max="12060" width="7.25" style="141" customWidth="1"/>
    <col min="12061" max="12061" width="6.75" style="141" customWidth="1"/>
    <col min="12062" max="12063" width="9" style="141"/>
    <col min="12064" max="12064" width="13.375" style="141" customWidth="1"/>
    <col min="12065" max="12065" width="14.75" style="141" customWidth="1"/>
    <col min="12066" max="12288" width="9" style="141"/>
    <col min="12289" max="12289" width="7.375" style="141" customWidth="1"/>
    <col min="12290" max="12290" width="9.875" style="141" customWidth="1"/>
    <col min="12291" max="12291" width="8" style="141" customWidth="1"/>
    <col min="12292" max="12292" width="6.375" style="141" customWidth="1"/>
    <col min="12293" max="12293" width="5.875" style="141" customWidth="1"/>
    <col min="12294" max="12294" width="8.5" style="141" customWidth="1"/>
    <col min="12295" max="12295" width="13.125" style="141" customWidth="1"/>
    <col min="12296" max="12296" width="12.875" style="141" customWidth="1"/>
    <col min="12297" max="12297" width="8.75" style="141" customWidth="1"/>
    <col min="12298" max="12298" width="5.125" style="141" customWidth="1"/>
    <col min="12299" max="12301" width="8.5" style="141" customWidth="1"/>
    <col min="12302" max="12302" width="8.25" style="141" customWidth="1"/>
    <col min="12303" max="12304" width="6.25" style="141" customWidth="1"/>
    <col min="12305" max="12306" width="8.125" style="141" customWidth="1"/>
    <col min="12307" max="12307" width="6.25" style="141" customWidth="1"/>
    <col min="12308" max="12308" width="3.25" style="141" customWidth="1"/>
    <col min="12309" max="12309" width="6.25" style="141" customWidth="1"/>
    <col min="12310" max="12310" width="9.875" style="141" customWidth="1"/>
    <col min="12311" max="12312" width="6.25" style="141" customWidth="1"/>
    <col min="12313" max="12313" width="3.875" style="141" customWidth="1"/>
    <col min="12314" max="12314" width="7.625" style="141" customWidth="1"/>
    <col min="12315" max="12315" width="8.5" style="141" customWidth="1"/>
    <col min="12316" max="12316" width="7.25" style="141" customWidth="1"/>
    <col min="12317" max="12317" width="6.75" style="141" customWidth="1"/>
    <col min="12318" max="12319" width="9" style="141"/>
    <col min="12320" max="12320" width="13.375" style="141" customWidth="1"/>
    <col min="12321" max="12321" width="14.75" style="141" customWidth="1"/>
    <col min="12322" max="12544" width="9" style="141"/>
    <col min="12545" max="12545" width="7.375" style="141" customWidth="1"/>
    <col min="12546" max="12546" width="9.875" style="141" customWidth="1"/>
    <col min="12547" max="12547" width="8" style="141" customWidth="1"/>
    <col min="12548" max="12548" width="6.375" style="141" customWidth="1"/>
    <col min="12549" max="12549" width="5.875" style="141" customWidth="1"/>
    <col min="12550" max="12550" width="8.5" style="141" customWidth="1"/>
    <col min="12551" max="12551" width="13.125" style="141" customWidth="1"/>
    <col min="12552" max="12552" width="12.875" style="141" customWidth="1"/>
    <col min="12553" max="12553" width="8.75" style="141" customWidth="1"/>
    <col min="12554" max="12554" width="5.125" style="141" customWidth="1"/>
    <col min="12555" max="12557" width="8.5" style="141" customWidth="1"/>
    <col min="12558" max="12558" width="8.25" style="141" customWidth="1"/>
    <col min="12559" max="12560" width="6.25" style="141" customWidth="1"/>
    <col min="12561" max="12562" width="8.125" style="141" customWidth="1"/>
    <col min="12563" max="12563" width="6.25" style="141" customWidth="1"/>
    <col min="12564" max="12564" width="3.25" style="141" customWidth="1"/>
    <col min="12565" max="12565" width="6.25" style="141" customWidth="1"/>
    <col min="12566" max="12566" width="9.875" style="141" customWidth="1"/>
    <col min="12567" max="12568" width="6.25" style="141" customWidth="1"/>
    <col min="12569" max="12569" width="3.875" style="141" customWidth="1"/>
    <col min="12570" max="12570" width="7.625" style="141" customWidth="1"/>
    <col min="12571" max="12571" width="8.5" style="141" customWidth="1"/>
    <col min="12572" max="12572" width="7.25" style="141" customWidth="1"/>
    <col min="12573" max="12573" width="6.75" style="141" customWidth="1"/>
    <col min="12574" max="12575" width="9" style="141"/>
    <col min="12576" max="12576" width="13.375" style="141" customWidth="1"/>
    <col min="12577" max="12577" width="14.75" style="141" customWidth="1"/>
    <col min="12578" max="12800" width="9" style="141"/>
    <col min="12801" max="12801" width="7.375" style="141" customWidth="1"/>
    <col min="12802" max="12802" width="9.875" style="141" customWidth="1"/>
    <col min="12803" max="12803" width="8" style="141" customWidth="1"/>
    <col min="12804" max="12804" width="6.375" style="141" customWidth="1"/>
    <col min="12805" max="12805" width="5.875" style="141" customWidth="1"/>
    <col min="12806" max="12806" width="8.5" style="141" customWidth="1"/>
    <col min="12807" max="12807" width="13.125" style="141" customWidth="1"/>
    <col min="12808" max="12808" width="12.875" style="141" customWidth="1"/>
    <col min="12809" max="12809" width="8.75" style="141" customWidth="1"/>
    <col min="12810" max="12810" width="5.125" style="141" customWidth="1"/>
    <col min="12811" max="12813" width="8.5" style="141" customWidth="1"/>
    <col min="12814" max="12814" width="8.25" style="141" customWidth="1"/>
    <col min="12815" max="12816" width="6.25" style="141" customWidth="1"/>
    <col min="12817" max="12818" width="8.125" style="141" customWidth="1"/>
    <col min="12819" max="12819" width="6.25" style="141" customWidth="1"/>
    <col min="12820" max="12820" width="3.25" style="141" customWidth="1"/>
    <col min="12821" max="12821" width="6.25" style="141" customWidth="1"/>
    <col min="12822" max="12822" width="9.875" style="141" customWidth="1"/>
    <col min="12823" max="12824" width="6.25" style="141" customWidth="1"/>
    <col min="12825" max="12825" width="3.875" style="141" customWidth="1"/>
    <col min="12826" max="12826" width="7.625" style="141" customWidth="1"/>
    <col min="12827" max="12827" width="8.5" style="141" customWidth="1"/>
    <col min="12828" max="12828" width="7.25" style="141" customWidth="1"/>
    <col min="12829" max="12829" width="6.75" style="141" customWidth="1"/>
    <col min="12830" max="12831" width="9" style="141"/>
    <col min="12832" max="12832" width="13.375" style="141" customWidth="1"/>
    <col min="12833" max="12833" width="14.75" style="141" customWidth="1"/>
    <col min="12834" max="13056" width="9" style="141"/>
    <col min="13057" max="13057" width="7.375" style="141" customWidth="1"/>
    <col min="13058" max="13058" width="9.875" style="141" customWidth="1"/>
    <col min="13059" max="13059" width="8" style="141" customWidth="1"/>
    <col min="13060" max="13060" width="6.375" style="141" customWidth="1"/>
    <col min="13061" max="13061" width="5.875" style="141" customWidth="1"/>
    <col min="13062" max="13062" width="8.5" style="141" customWidth="1"/>
    <col min="13063" max="13063" width="13.125" style="141" customWidth="1"/>
    <col min="13064" max="13064" width="12.875" style="141" customWidth="1"/>
    <col min="13065" max="13065" width="8.75" style="141" customWidth="1"/>
    <col min="13066" max="13066" width="5.125" style="141" customWidth="1"/>
    <col min="13067" max="13069" width="8.5" style="141" customWidth="1"/>
    <col min="13070" max="13070" width="8.25" style="141" customWidth="1"/>
    <col min="13071" max="13072" width="6.25" style="141" customWidth="1"/>
    <col min="13073" max="13074" width="8.125" style="141" customWidth="1"/>
    <col min="13075" max="13075" width="6.25" style="141" customWidth="1"/>
    <col min="13076" max="13076" width="3.25" style="141" customWidth="1"/>
    <col min="13077" max="13077" width="6.25" style="141" customWidth="1"/>
    <col min="13078" max="13078" width="9.875" style="141" customWidth="1"/>
    <col min="13079" max="13080" width="6.25" style="141" customWidth="1"/>
    <col min="13081" max="13081" width="3.875" style="141" customWidth="1"/>
    <col min="13082" max="13082" width="7.625" style="141" customWidth="1"/>
    <col min="13083" max="13083" width="8.5" style="141" customWidth="1"/>
    <col min="13084" max="13084" width="7.25" style="141" customWidth="1"/>
    <col min="13085" max="13085" width="6.75" style="141" customWidth="1"/>
    <col min="13086" max="13087" width="9" style="141"/>
    <col min="13088" max="13088" width="13.375" style="141" customWidth="1"/>
    <col min="13089" max="13089" width="14.75" style="141" customWidth="1"/>
    <col min="13090" max="13312" width="9" style="141"/>
    <col min="13313" max="13313" width="7.375" style="141" customWidth="1"/>
    <col min="13314" max="13314" width="9.875" style="141" customWidth="1"/>
    <col min="13315" max="13315" width="8" style="141" customWidth="1"/>
    <col min="13316" max="13316" width="6.375" style="141" customWidth="1"/>
    <col min="13317" max="13317" width="5.875" style="141" customWidth="1"/>
    <col min="13318" max="13318" width="8.5" style="141" customWidth="1"/>
    <col min="13319" max="13319" width="13.125" style="141" customWidth="1"/>
    <col min="13320" max="13320" width="12.875" style="141" customWidth="1"/>
    <col min="13321" max="13321" width="8.75" style="141" customWidth="1"/>
    <col min="13322" max="13322" width="5.125" style="141" customWidth="1"/>
    <col min="13323" max="13325" width="8.5" style="141" customWidth="1"/>
    <col min="13326" max="13326" width="8.25" style="141" customWidth="1"/>
    <col min="13327" max="13328" width="6.25" style="141" customWidth="1"/>
    <col min="13329" max="13330" width="8.125" style="141" customWidth="1"/>
    <col min="13331" max="13331" width="6.25" style="141" customWidth="1"/>
    <col min="13332" max="13332" width="3.25" style="141" customWidth="1"/>
    <col min="13333" max="13333" width="6.25" style="141" customWidth="1"/>
    <col min="13334" max="13334" width="9.875" style="141" customWidth="1"/>
    <col min="13335" max="13336" width="6.25" style="141" customWidth="1"/>
    <col min="13337" max="13337" width="3.875" style="141" customWidth="1"/>
    <col min="13338" max="13338" width="7.625" style="141" customWidth="1"/>
    <col min="13339" max="13339" width="8.5" style="141" customWidth="1"/>
    <col min="13340" max="13340" width="7.25" style="141" customWidth="1"/>
    <col min="13341" max="13341" width="6.75" style="141" customWidth="1"/>
    <col min="13342" max="13343" width="9" style="141"/>
    <col min="13344" max="13344" width="13.375" style="141" customWidth="1"/>
    <col min="13345" max="13345" width="14.75" style="141" customWidth="1"/>
    <col min="13346" max="13568" width="9" style="141"/>
    <col min="13569" max="13569" width="7.375" style="141" customWidth="1"/>
    <col min="13570" max="13570" width="9.875" style="141" customWidth="1"/>
    <col min="13571" max="13571" width="8" style="141" customWidth="1"/>
    <col min="13572" max="13572" width="6.375" style="141" customWidth="1"/>
    <col min="13573" max="13573" width="5.875" style="141" customWidth="1"/>
    <col min="13574" max="13574" width="8.5" style="141" customWidth="1"/>
    <col min="13575" max="13575" width="13.125" style="141" customWidth="1"/>
    <col min="13576" max="13576" width="12.875" style="141" customWidth="1"/>
    <col min="13577" max="13577" width="8.75" style="141" customWidth="1"/>
    <col min="13578" max="13578" width="5.125" style="141" customWidth="1"/>
    <col min="13579" max="13581" width="8.5" style="141" customWidth="1"/>
    <col min="13582" max="13582" width="8.25" style="141" customWidth="1"/>
    <col min="13583" max="13584" width="6.25" style="141" customWidth="1"/>
    <col min="13585" max="13586" width="8.125" style="141" customWidth="1"/>
    <col min="13587" max="13587" width="6.25" style="141" customWidth="1"/>
    <col min="13588" max="13588" width="3.25" style="141" customWidth="1"/>
    <col min="13589" max="13589" width="6.25" style="141" customWidth="1"/>
    <col min="13590" max="13590" width="9.875" style="141" customWidth="1"/>
    <col min="13591" max="13592" width="6.25" style="141" customWidth="1"/>
    <col min="13593" max="13593" width="3.875" style="141" customWidth="1"/>
    <col min="13594" max="13594" width="7.625" style="141" customWidth="1"/>
    <col min="13595" max="13595" width="8.5" style="141" customWidth="1"/>
    <col min="13596" max="13596" width="7.25" style="141" customWidth="1"/>
    <col min="13597" max="13597" width="6.75" style="141" customWidth="1"/>
    <col min="13598" max="13599" width="9" style="141"/>
    <col min="13600" max="13600" width="13.375" style="141" customWidth="1"/>
    <col min="13601" max="13601" width="14.75" style="141" customWidth="1"/>
    <col min="13602" max="13824" width="9" style="141"/>
    <col min="13825" max="13825" width="7.375" style="141" customWidth="1"/>
    <col min="13826" max="13826" width="9.875" style="141" customWidth="1"/>
    <col min="13827" max="13827" width="8" style="141" customWidth="1"/>
    <col min="13828" max="13828" width="6.375" style="141" customWidth="1"/>
    <col min="13829" max="13829" width="5.875" style="141" customWidth="1"/>
    <col min="13830" max="13830" width="8.5" style="141" customWidth="1"/>
    <col min="13831" max="13831" width="13.125" style="141" customWidth="1"/>
    <col min="13832" max="13832" width="12.875" style="141" customWidth="1"/>
    <col min="13833" max="13833" width="8.75" style="141" customWidth="1"/>
    <col min="13834" max="13834" width="5.125" style="141" customWidth="1"/>
    <col min="13835" max="13837" width="8.5" style="141" customWidth="1"/>
    <col min="13838" max="13838" width="8.25" style="141" customWidth="1"/>
    <col min="13839" max="13840" width="6.25" style="141" customWidth="1"/>
    <col min="13841" max="13842" width="8.125" style="141" customWidth="1"/>
    <col min="13843" max="13843" width="6.25" style="141" customWidth="1"/>
    <col min="13844" max="13844" width="3.25" style="141" customWidth="1"/>
    <col min="13845" max="13845" width="6.25" style="141" customWidth="1"/>
    <col min="13846" max="13846" width="9.875" style="141" customWidth="1"/>
    <col min="13847" max="13848" width="6.25" style="141" customWidth="1"/>
    <col min="13849" max="13849" width="3.875" style="141" customWidth="1"/>
    <col min="13850" max="13850" width="7.625" style="141" customWidth="1"/>
    <col min="13851" max="13851" width="8.5" style="141" customWidth="1"/>
    <col min="13852" max="13852" width="7.25" style="141" customWidth="1"/>
    <col min="13853" max="13853" width="6.75" style="141" customWidth="1"/>
    <col min="13854" max="13855" width="9" style="141"/>
    <col min="13856" max="13856" width="13.375" style="141" customWidth="1"/>
    <col min="13857" max="13857" width="14.75" style="141" customWidth="1"/>
    <col min="13858" max="14080" width="9" style="141"/>
    <col min="14081" max="14081" width="7.375" style="141" customWidth="1"/>
    <col min="14082" max="14082" width="9.875" style="141" customWidth="1"/>
    <col min="14083" max="14083" width="8" style="141" customWidth="1"/>
    <col min="14084" max="14084" width="6.375" style="141" customWidth="1"/>
    <col min="14085" max="14085" width="5.875" style="141" customWidth="1"/>
    <col min="14086" max="14086" width="8.5" style="141" customWidth="1"/>
    <col min="14087" max="14087" width="13.125" style="141" customWidth="1"/>
    <col min="14088" max="14088" width="12.875" style="141" customWidth="1"/>
    <col min="14089" max="14089" width="8.75" style="141" customWidth="1"/>
    <col min="14090" max="14090" width="5.125" style="141" customWidth="1"/>
    <col min="14091" max="14093" width="8.5" style="141" customWidth="1"/>
    <col min="14094" max="14094" width="8.25" style="141" customWidth="1"/>
    <col min="14095" max="14096" width="6.25" style="141" customWidth="1"/>
    <col min="14097" max="14098" width="8.125" style="141" customWidth="1"/>
    <col min="14099" max="14099" width="6.25" style="141" customWidth="1"/>
    <col min="14100" max="14100" width="3.25" style="141" customWidth="1"/>
    <col min="14101" max="14101" width="6.25" style="141" customWidth="1"/>
    <col min="14102" max="14102" width="9.875" style="141" customWidth="1"/>
    <col min="14103" max="14104" width="6.25" style="141" customWidth="1"/>
    <col min="14105" max="14105" width="3.875" style="141" customWidth="1"/>
    <col min="14106" max="14106" width="7.625" style="141" customWidth="1"/>
    <col min="14107" max="14107" width="8.5" style="141" customWidth="1"/>
    <col min="14108" max="14108" width="7.25" style="141" customWidth="1"/>
    <col min="14109" max="14109" width="6.75" style="141" customWidth="1"/>
    <col min="14110" max="14111" width="9" style="141"/>
    <col min="14112" max="14112" width="13.375" style="141" customWidth="1"/>
    <col min="14113" max="14113" width="14.75" style="141" customWidth="1"/>
    <col min="14114" max="14336" width="9" style="141"/>
    <col min="14337" max="14337" width="7.375" style="141" customWidth="1"/>
    <col min="14338" max="14338" width="9.875" style="141" customWidth="1"/>
    <col min="14339" max="14339" width="8" style="141" customWidth="1"/>
    <col min="14340" max="14340" width="6.375" style="141" customWidth="1"/>
    <col min="14341" max="14341" width="5.875" style="141" customWidth="1"/>
    <col min="14342" max="14342" width="8.5" style="141" customWidth="1"/>
    <col min="14343" max="14343" width="13.125" style="141" customWidth="1"/>
    <col min="14344" max="14344" width="12.875" style="141" customWidth="1"/>
    <col min="14345" max="14345" width="8.75" style="141" customWidth="1"/>
    <col min="14346" max="14346" width="5.125" style="141" customWidth="1"/>
    <col min="14347" max="14349" width="8.5" style="141" customWidth="1"/>
    <col min="14350" max="14350" width="8.25" style="141" customWidth="1"/>
    <col min="14351" max="14352" width="6.25" style="141" customWidth="1"/>
    <col min="14353" max="14354" width="8.125" style="141" customWidth="1"/>
    <col min="14355" max="14355" width="6.25" style="141" customWidth="1"/>
    <col min="14356" max="14356" width="3.25" style="141" customWidth="1"/>
    <col min="14357" max="14357" width="6.25" style="141" customWidth="1"/>
    <col min="14358" max="14358" width="9.875" style="141" customWidth="1"/>
    <col min="14359" max="14360" width="6.25" style="141" customWidth="1"/>
    <col min="14361" max="14361" width="3.875" style="141" customWidth="1"/>
    <col min="14362" max="14362" width="7.625" style="141" customWidth="1"/>
    <col min="14363" max="14363" width="8.5" style="141" customWidth="1"/>
    <col min="14364" max="14364" width="7.25" style="141" customWidth="1"/>
    <col min="14365" max="14365" width="6.75" style="141" customWidth="1"/>
    <col min="14366" max="14367" width="9" style="141"/>
    <col min="14368" max="14368" width="13.375" style="141" customWidth="1"/>
    <col min="14369" max="14369" width="14.75" style="141" customWidth="1"/>
    <col min="14370" max="14592" width="9" style="141"/>
    <col min="14593" max="14593" width="7.375" style="141" customWidth="1"/>
    <col min="14594" max="14594" width="9.875" style="141" customWidth="1"/>
    <col min="14595" max="14595" width="8" style="141" customWidth="1"/>
    <col min="14596" max="14596" width="6.375" style="141" customWidth="1"/>
    <col min="14597" max="14597" width="5.875" style="141" customWidth="1"/>
    <col min="14598" max="14598" width="8.5" style="141" customWidth="1"/>
    <col min="14599" max="14599" width="13.125" style="141" customWidth="1"/>
    <col min="14600" max="14600" width="12.875" style="141" customWidth="1"/>
    <col min="14601" max="14601" width="8.75" style="141" customWidth="1"/>
    <col min="14602" max="14602" width="5.125" style="141" customWidth="1"/>
    <col min="14603" max="14605" width="8.5" style="141" customWidth="1"/>
    <col min="14606" max="14606" width="8.25" style="141" customWidth="1"/>
    <col min="14607" max="14608" width="6.25" style="141" customWidth="1"/>
    <col min="14609" max="14610" width="8.125" style="141" customWidth="1"/>
    <col min="14611" max="14611" width="6.25" style="141" customWidth="1"/>
    <col min="14612" max="14612" width="3.25" style="141" customWidth="1"/>
    <col min="14613" max="14613" width="6.25" style="141" customWidth="1"/>
    <col min="14614" max="14614" width="9.875" style="141" customWidth="1"/>
    <col min="14615" max="14616" width="6.25" style="141" customWidth="1"/>
    <col min="14617" max="14617" width="3.875" style="141" customWidth="1"/>
    <col min="14618" max="14618" width="7.625" style="141" customWidth="1"/>
    <col min="14619" max="14619" width="8.5" style="141" customWidth="1"/>
    <col min="14620" max="14620" width="7.25" style="141" customWidth="1"/>
    <col min="14621" max="14621" width="6.75" style="141" customWidth="1"/>
    <col min="14622" max="14623" width="9" style="141"/>
    <col min="14624" max="14624" width="13.375" style="141" customWidth="1"/>
    <col min="14625" max="14625" width="14.75" style="141" customWidth="1"/>
    <col min="14626" max="14848" width="9" style="141"/>
    <col min="14849" max="14849" width="7.375" style="141" customWidth="1"/>
    <col min="14850" max="14850" width="9.875" style="141" customWidth="1"/>
    <col min="14851" max="14851" width="8" style="141" customWidth="1"/>
    <col min="14852" max="14852" width="6.375" style="141" customWidth="1"/>
    <col min="14853" max="14853" width="5.875" style="141" customWidth="1"/>
    <col min="14854" max="14854" width="8.5" style="141" customWidth="1"/>
    <col min="14855" max="14855" width="13.125" style="141" customWidth="1"/>
    <col min="14856" max="14856" width="12.875" style="141" customWidth="1"/>
    <col min="14857" max="14857" width="8.75" style="141" customWidth="1"/>
    <col min="14858" max="14858" width="5.125" style="141" customWidth="1"/>
    <col min="14859" max="14861" width="8.5" style="141" customWidth="1"/>
    <col min="14862" max="14862" width="8.25" style="141" customWidth="1"/>
    <col min="14863" max="14864" width="6.25" style="141" customWidth="1"/>
    <col min="14865" max="14866" width="8.125" style="141" customWidth="1"/>
    <col min="14867" max="14867" width="6.25" style="141" customWidth="1"/>
    <col min="14868" max="14868" width="3.25" style="141" customWidth="1"/>
    <col min="14869" max="14869" width="6.25" style="141" customWidth="1"/>
    <col min="14870" max="14870" width="9.875" style="141" customWidth="1"/>
    <col min="14871" max="14872" width="6.25" style="141" customWidth="1"/>
    <col min="14873" max="14873" width="3.875" style="141" customWidth="1"/>
    <col min="14874" max="14874" width="7.625" style="141" customWidth="1"/>
    <col min="14875" max="14875" width="8.5" style="141" customWidth="1"/>
    <col min="14876" max="14876" width="7.25" style="141" customWidth="1"/>
    <col min="14877" max="14877" width="6.75" style="141" customWidth="1"/>
    <col min="14878" max="14879" width="9" style="141"/>
    <col min="14880" max="14880" width="13.375" style="141" customWidth="1"/>
    <col min="14881" max="14881" width="14.75" style="141" customWidth="1"/>
    <col min="14882" max="15104" width="9" style="141"/>
    <col min="15105" max="15105" width="7.375" style="141" customWidth="1"/>
    <col min="15106" max="15106" width="9.875" style="141" customWidth="1"/>
    <col min="15107" max="15107" width="8" style="141" customWidth="1"/>
    <col min="15108" max="15108" width="6.375" style="141" customWidth="1"/>
    <col min="15109" max="15109" width="5.875" style="141" customWidth="1"/>
    <col min="15110" max="15110" width="8.5" style="141" customWidth="1"/>
    <col min="15111" max="15111" width="13.125" style="141" customWidth="1"/>
    <col min="15112" max="15112" width="12.875" style="141" customWidth="1"/>
    <col min="15113" max="15113" width="8.75" style="141" customWidth="1"/>
    <col min="15114" max="15114" width="5.125" style="141" customWidth="1"/>
    <col min="15115" max="15117" width="8.5" style="141" customWidth="1"/>
    <col min="15118" max="15118" width="8.25" style="141" customWidth="1"/>
    <col min="15119" max="15120" width="6.25" style="141" customWidth="1"/>
    <col min="15121" max="15122" width="8.125" style="141" customWidth="1"/>
    <col min="15123" max="15123" width="6.25" style="141" customWidth="1"/>
    <col min="15124" max="15124" width="3.25" style="141" customWidth="1"/>
    <col min="15125" max="15125" width="6.25" style="141" customWidth="1"/>
    <col min="15126" max="15126" width="9.875" style="141" customWidth="1"/>
    <col min="15127" max="15128" width="6.25" style="141" customWidth="1"/>
    <col min="15129" max="15129" width="3.875" style="141" customWidth="1"/>
    <col min="15130" max="15130" width="7.625" style="141" customWidth="1"/>
    <col min="15131" max="15131" width="8.5" style="141" customWidth="1"/>
    <col min="15132" max="15132" width="7.25" style="141" customWidth="1"/>
    <col min="15133" max="15133" width="6.75" style="141" customWidth="1"/>
    <col min="15134" max="15135" width="9" style="141"/>
    <col min="15136" max="15136" width="13.375" style="141" customWidth="1"/>
    <col min="15137" max="15137" width="14.75" style="141" customWidth="1"/>
    <col min="15138" max="15360" width="9" style="141"/>
    <col min="15361" max="15361" width="7.375" style="141" customWidth="1"/>
    <col min="15362" max="15362" width="9.875" style="141" customWidth="1"/>
    <col min="15363" max="15363" width="8" style="141" customWidth="1"/>
    <col min="15364" max="15364" width="6.375" style="141" customWidth="1"/>
    <col min="15365" max="15365" width="5.875" style="141" customWidth="1"/>
    <col min="15366" max="15366" width="8.5" style="141" customWidth="1"/>
    <col min="15367" max="15367" width="13.125" style="141" customWidth="1"/>
    <col min="15368" max="15368" width="12.875" style="141" customWidth="1"/>
    <col min="15369" max="15369" width="8.75" style="141" customWidth="1"/>
    <col min="15370" max="15370" width="5.125" style="141" customWidth="1"/>
    <col min="15371" max="15373" width="8.5" style="141" customWidth="1"/>
    <col min="15374" max="15374" width="8.25" style="141" customWidth="1"/>
    <col min="15375" max="15376" width="6.25" style="141" customWidth="1"/>
    <col min="15377" max="15378" width="8.125" style="141" customWidth="1"/>
    <col min="15379" max="15379" width="6.25" style="141" customWidth="1"/>
    <col min="15380" max="15380" width="3.25" style="141" customWidth="1"/>
    <col min="15381" max="15381" width="6.25" style="141" customWidth="1"/>
    <col min="15382" max="15382" width="9.875" style="141" customWidth="1"/>
    <col min="15383" max="15384" width="6.25" style="141" customWidth="1"/>
    <col min="15385" max="15385" width="3.875" style="141" customWidth="1"/>
    <col min="15386" max="15386" width="7.625" style="141" customWidth="1"/>
    <col min="15387" max="15387" width="8.5" style="141" customWidth="1"/>
    <col min="15388" max="15388" width="7.25" style="141" customWidth="1"/>
    <col min="15389" max="15389" width="6.75" style="141" customWidth="1"/>
    <col min="15390" max="15391" width="9" style="141"/>
    <col min="15392" max="15392" width="13.375" style="141" customWidth="1"/>
    <col min="15393" max="15393" width="14.75" style="141" customWidth="1"/>
    <col min="15394" max="15616" width="9" style="141"/>
    <col min="15617" max="15617" width="7.375" style="141" customWidth="1"/>
    <col min="15618" max="15618" width="9.875" style="141" customWidth="1"/>
    <col min="15619" max="15619" width="8" style="141" customWidth="1"/>
    <col min="15620" max="15620" width="6.375" style="141" customWidth="1"/>
    <col min="15621" max="15621" width="5.875" style="141" customWidth="1"/>
    <col min="15622" max="15622" width="8.5" style="141" customWidth="1"/>
    <col min="15623" max="15623" width="13.125" style="141" customWidth="1"/>
    <col min="15624" max="15624" width="12.875" style="141" customWidth="1"/>
    <col min="15625" max="15625" width="8.75" style="141" customWidth="1"/>
    <col min="15626" max="15626" width="5.125" style="141" customWidth="1"/>
    <col min="15627" max="15629" width="8.5" style="141" customWidth="1"/>
    <col min="15630" max="15630" width="8.25" style="141" customWidth="1"/>
    <col min="15631" max="15632" width="6.25" style="141" customWidth="1"/>
    <col min="15633" max="15634" width="8.125" style="141" customWidth="1"/>
    <col min="15635" max="15635" width="6.25" style="141" customWidth="1"/>
    <col min="15636" max="15636" width="3.25" style="141" customWidth="1"/>
    <col min="15637" max="15637" width="6.25" style="141" customWidth="1"/>
    <col min="15638" max="15638" width="9.875" style="141" customWidth="1"/>
    <col min="15639" max="15640" width="6.25" style="141" customWidth="1"/>
    <col min="15641" max="15641" width="3.875" style="141" customWidth="1"/>
    <col min="15642" max="15642" width="7.625" style="141" customWidth="1"/>
    <col min="15643" max="15643" width="8.5" style="141" customWidth="1"/>
    <col min="15644" max="15644" width="7.25" style="141" customWidth="1"/>
    <col min="15645" max="15645" width="6.75" style="141" customWidth="1"/>
    <col min="15646" max="15647" width="9" style="141"/>
    <col min="15648" max="15648" width="13.375" style="141" customWidth="1"/>
    <col min="15649" max="15649" width="14.75" style="141" customWidth="1"/>
    <col min="15650" max="15872" width="9" style="141"/>
    <col min="15873" max="15873" width="7.375" style="141" customWidth="1"/>
    <col min="15874" max="15874" width="9.875" style="141" customWidth="1"/>
    <col min="15875" max="15875" width="8" style="141" customWidth="1"/>
    <col min="15876" max="15876" width="6.375" style="141" customWidth="1"/>
    <col min="15877" max="15877" width="5.875" style="141" customWidth="1"/>
    <col min="15878" max="15878" width="8.5" style="141" customWidth="1"/>
    <col min="15879" max="15879" width="13.125" style="141" customWidth="1"/>
    <col min="15880" max="15880" width="12.875" style="141" customWidth="1"/>
    <col min="15881" max="15881" width="8.75" style="141" customWidth="1"/>
    <col min="15882" max="15882" width="5.125" style="141" customWidth="1"/>
    <col min="15883" max="15885" width="8.5" style="141" customWidth="1"/>
    <col min="15886" max="15886" width="8.25" style="141" customWidth="1"/>
    <col min="15887" max="15888" width="6.25" style="141" customWidth="1"/>
    <col min="15889" max="15890" width="8.125" style="141" customWidth="1"/>
    <col min="15891" max="15891" width="6.25" style="141" customWidth="1"/>
    <col min="15892" max="15892" width="3.25" style="141" customWidth="1"/>
    <col min="15893" max="15893" width="6.25" style="141" customWidth="1"/>
    <col min="15894" max="15894" width="9.875" style="141" customWidth="1"/>
    <col min="15895" max="15896" width="6.25" style="141" customWidth="1"/>
    <col min="15897" max="15897" width="3.875" style="141" customWidth="1"/>
    <col min="15898" max="15898" width="7.625" style="141" customWidth="1"/>
    <col min="15899" max="15899" width="8.5" style="141" customWidth="1"/>
    <col min="15900" max="15900" width="7.25" style="141" customWidth="1"/>
    <col min="15901" max="15901" width="6.75" style="141" customWidth="1"/>
    <col min="15902" max="15903" width="9" style="141"/>
    <col min="15904" max="15904" width="13.375" style="141" customWidth="1"/>
    <col min="15905" max="15905" width="14.75" style="141" customWidth="1"/>
    <col min="15906" max="16128" width="9" style="141"/>
    <col min="16129" max="16129" width="7.375" style="141" customWidth="1"/>
    <col min="16130" max="16130" width="9.875" style="141" customWidth="1"/>
    <col min="16131" max="16131" width="8" style="141" customWidth="1"/>
    <col min="16132" max="16132" width="6.375" style="141" customWidth="1"/>
    <col min="16133" max="16133" width="5.875" style="141" customWidth="1"/>
    <col min="16134" max="16134" width="8.5" style="141" customWidth="1"/>
    <col min="16135" max="16135" width="13.125" style="141" customWidth="1"/>
    <col min="16136" max="16136" width="12.875" style="141" customWidth="1"/>
    <col min="16137" max="16137" width="8.75" style="141" customWidth="1"/>
    <col min="16138" max="16138" width="5.125" style="141" customWidth="1"/>
    <col min="16139" max="16141" width="8.5" style="141" customWidth="1"/>
    <col min="16142" max="16142" width="8.25" style="141" customWidth="1"/>
    <col min="16143" max="16144" width="6.25" style="141" customWidth="1"/>
    <col min="16145" max="16146" width="8.125" style="141" customWidth="1"/>
    <col min="16147" max="16147" width="6.25" style="141" customWidth="1"/>
    <col min="16148" max="16148" width="3.25" style="141" customWidth="1"/>
    <col min="16149" max="16149" width="6.25" style="141" customWidth="1"/>
    <col min="16150" max="16150" width="9.875" style="141" customWidth="1"/>
    <col min="16151" max="16152" width="6.25" style="141" customWidth="1"/>
    <col min="16153" max="16153" width="3.875" style="141" customWidth="1"/>
    <col min="16154" max="16154" width="7.625" style="141" customWidth="1"/>
    <col min="16155" max="16155" width="8.5" style="141" customWidth="1"/>
    <col min="16156" max="16156" width="7.25" style="141" customWidth="1"/>
    <col min="16157" max="16157" width="6.75" style="141" customWidth="1"/>
    <col min="16158" max="16159" width="9" style="141"/>
    <col min="16160" max="16160" width="13.375" style="141" customWidth="1"/>
    <col min="16161" max="16161" width="14.75" style="141" customWidth="1"/>
    <col min="16162" max="16384" width="9" style="141"/>
  </cols>
  <sheetData>
    <row r="1" spans="1:41" ht="24.75" customHeight="1">
      <c r="A1" s="170" t="s">
        <v>3490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spans="1:41" s="142" customFormat="1" ht="15.75" customHeight="1">
      <c r="A2" s="173" t="s">
        <v>3261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P2" s="173" t="s">
        <v>3262</v>
      </c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E2" s="172" t="s">
        <v>3238</v>
      </c>
      <c r="AF2" s="172"/>
      <c r="AG2" s="172"/>
      <c r="AH2" s="172"/>
      <c r="AI2" s="172"/>
    </row>
    <row r="3" spans="1:41" s="142" customFormat="1" ht="15.75">
      <c r="A3" s="143" t="s">
        <v>0</v>
      </c>
      <c r="B3" s="143" t="s">
        <v>1</v>
      </c>
      <c r="C3" s="143" t="s">
        <v>2</v>
      </c>
      <c r="D3" s="144" t="s">
        <v>3260</v>
      </c>
      <c r="F3" s="143" t="s">
        <v>0</v>
      </c>
      <c r="G3" s="143" t="s">
        <v>1</v>
      </c>
      <c r="H3" s="143" t="s">
        <v>3</v>
      </c>
      <c r="I3" s="144" t="s">
        <v>3260</v>
      </c>
      <c r="K3" s="143" t="s">
        <v>0</v>
      </c>
      <c r="L3" s="143" t="s">
        <v>1</v>
      </c>
      <c r="M3" s="145" t="s">
        <v>4</v>
      </c>
      <c r="N3" s="144" t="s">
        <v>3260</v>
      </c>
      <c r="P3" s="143" t="s">
        <v>0</v>
      </c>
      <c r="Q3" s="146" t="s">
        <v>1</v>
      </c>
      <c r="R3" s="146" t="s">
        <v>2</v>
      </c>
      <c r="S3" s="147" t="s">
        <v>3260</v>
      </c>
      <c r="U3" s="148" t="s">
        <v>5</v>
      </c>
      <c r="V3" s="148" t="s">
        <v>1</v>
      </c>
      <c r="W3" s="146" t="s">
        <v>3</v>
      </c>
      <c r="X3" s="147" t="s">
        <v>3260</v>
      </c>
      <c r="Z3" s="148" t="s">
        <v>5</v>
      </c>
      <c r="AA3" s="148" t="s">
        <v>1</v>
      </c>
      <c r="AB3" s="146" t="s">
        <v>6</v>
      </c>
      <c r="AC3" s="147" t="s">
        <v>3260</v>
      </c>
      <c r="AE3" s="142" t="s">
        <v>5</v>
      </c>
      <c r="AF3" s="142" t="s">
        <v>1</v>
      </c>
      <c r="AG3" s="142" t="s">
        <v>3254</v>
      </c>
      <c r="AH3" s="142" t="s">
        <v>3228</v>
      </c>
      <c r="AI3" s="149" t="s">
        <v>3236</v>
      </c>
    </row>
    <row r="4" spans="1:41" s="142" customFormat="1" ht="15.75">
      <c r="A4" s="142" t="s">
        <v>10</v>
      </c>
      <c r="B4" s="142" t="s">
        <v>86</v>
      </c>
      <c r="C4" s="150">
        <v>651</v>
      </c>
      <c r="D4" s="142">
        <v>1</v>
      </c>
      <c r="F4" s="142" t="s">
        <v>9</v>
      </c>
      <c r="G4" s="142" t="s">
        <v>1057</v>
      </c>
      <c r="H4" s="142">
        <v>130</v>
      </c>
      <c r="I4" s="142">
        <v>1</v>
      </c>
      <c r="K4" s="142" t="s">
        <v>10</v>
      </c>
      <c r="L4" s="142" t="s">
        <v>87</v>
      </c>
      <c r="M4" s="149">
        <v>110</v>
      </c>
      <c r="N4" s="149">
        <v>1</v>
      </c>
      <c r="P4" s="149" t="s">
        <v>12</v>
      </c>
      <c r="Q4" s="142" t="s">
        <v>13</v>
      </c>
      <c r="R4" s="149">
        <v>637</v>
      </c>
      <c r="S4" s="151">
        <v>1</v>
      </c>
      <c r="U4" s="149" t="s">
        <v>12</v>
      </c>
      <c r="V4" s="142" t="s">
        <v>13</v>
      </c>
      <c r="W4" s="142">
        <v>123</v>
      </c>
      <c r="X4" s="149">
        <v>1</v>
      </c>
      <c r="Z4" s="149" t="s">
        <v>12</v>
      </c>
      <c r="AA4" s="142" t="s">
        <v>14</v>
      </c>
      <c r="AB4" s="149">
        <v>89</v>
      </c>
      <c r="AC4" s="149">
        <v>1</v>
      </c>
      <c r="AE4" s="142" t="s">
        <v>49</v>
      </c>
      <c r="AF4" s="142" t="s">
        <v>2741</v>
      </c>
      <c r="AG4" s="142">
        <v>517.5</v>
      </c>
      <c r="AH4" s="142">
        <v>176</v>
      </c>
      <c r="AI4" s="149">
        <v>529</v>
      </c>
      <c r="AK4" s="149"/>
      <c r="AM4" s="149"/>
      <c r="AN4" s="149"/>
      <c r="AO4" s="149"/>
    </row>
    <row r="5" spans="1:41" s="142" customFormat="1" ht="15.75">
      <c r="A5" s="142" t="s">
        <v>10</v>
      </c>
      <c r="B5" s="142" t="s">
        <v>11</v>
      </c>
      <c r="C5" s="150">
        <v>642</v>
      </c>
      <c r="D5" s="142">
        <v>2</v>
      </c>
      <c r="F5" s="142" t="s">
        <v>10</v>
      </c>
      <c r="G5" s="142" t="s">
        <v>80</v>
      </c>
      <c r="H5" s="142">
        <v>127</v>
      </c>
      <c r="I5" s="142">
        <v>2</v>
      </c>
      <c r="K5" s="142" t="s">
        <v>10</v>
      </c>
      <c r="L5" s="142" t="s">
        <v>77</v>
      </c>
      <c r="M5" s="149">
        <v>109</v>
      </c>
      <c r="N5" s="149">
        <v>2</v>
      </c>
      <c r="P5" s="149" t="s">
        <v>12</v>
      </c>
      <c r="Q5" s="142" t="s">
        <v>15</v>
      </c>
      <c r="R5" s="149">
        <v>622.5</v>
      </c>
      <c r="S5" s="151">
        <v>2</v>
      </c>
      <c r="U5" s="149" t="s">
        <v>52</v>
      </c>
      <c r="V5" s="142" t="s">
        <v>2994</v>
      </c>
      <c r="W5" s="142">
        <v>123</v>
      </c>
      <c r="X5" s="149">
        <v>1</v>
      </c>
      <c r="Z5" s="149" t="s">
        <v>12</v>
      </c>
      <c r="AA5" s="142" t="s">
        <v>13</v>
      </c>
      <c r="AB5" s="149">
        <v>82</v>
      </c>
      <c r="AC5" s="149">
        <v>2</v>
      </c>
      <c r="AE5" s="142" t="s">
        <v>73</v>
      </c>
      <c r="AF5" s="142" t="s">
        <v>2139</v>
      </c>
      <c r="AG5" s="142">
        <v>494.5</v>
      </c>
      <c r="AH5" s="142">
        <v>269</v>
      </c>
      <c r="AI5" s="149">
        <v>405</v>
      </c>
      <c r="AK5" s="149"/>
      <c r="AM5" s="149"/>
      <c r="AN5" s="149"/>
      <c r="AO5" s="149"/>
    </row>
    <row r="6" spans="1:41" s="142" customFormat="1" ht="15.75">
      <c r="A6" s="142" t="s">
        <v>10</v>
      </c>
      <c r="B6" s="142" t="s">
        <v>181</v>
      </c>
      <c r="C6" s="150">
        <v>637.5</v>
      </c>
      <c r="D6" s="142">
        <v>3</v>
      </c>
      <c r="F6" s="142" t="s">
        <v>49</v>
      </c>
      <c r="G6" s="142" t="s">
        <v>2672</v>
      </c>
      <c r="H6" s="142">
        <v>125</v>
      </c>
      <c r="I6" s="142">
        <v>3</v>
      </c>
      <c r="K6" s="142" t="s">
        <v>10</v>
      </c>
      <c r="L6" s="142" t="s">
        <v>61</v>
      </c>
      <c r="M6" s="149">
        <v>109</v>
      </c>
      <c r="N6" s="149">
        <v>2</v>
      </c>
      <c r="P6" s="149" t="s">
        <v>12</v>
      </c>
      <c r="Q6" s="142" t="s">
        <v>94</v>
      </c>
      <c r="R6" s="149">
        <v>601</v>
      </c>
      <c r="S6" s="151">
        <v>3</v>
      </c>
      <c r="U6" s="149" t="s">
        <v>12</v>
      </c>
      <c r="V6" s="142" t="s">
        <v>94</v>
      </c>
      <c r="W6" s="142">
        <v>122</v>
      </c>
      <c r="X6" s="149">
        <v>3</v>
      </c>
      <c r="Z6" s="149" t="s">
        <v>52</v>
      </c>
      <c r="AA6" s="142" t="s">
        <v>71</v>
      </c>
      <c r="AB6" s="149">
        <v>82</v>
      </c>
      <c r="AC6" s="149">
        <v>2</v>
      </c>
      <c r="AE6" s="142" t="s">
        <v>17</v>
      </c>
      <c r="AF6" s="142" t="s">
        <v>594</v>
      </c>
      <c r="AG6" s="142">
        <v>510.5</v>
      </c>
      <c r="AH6" s="142">
        <v>203</v>
      </c>
      <c r="AI6" s="149">
        <v>399</v>
      </c>
      <c r="AK6" s="149"/>
      <c r="AM6" s="149"/>
      <c r="AN6" s="149"/>
      <c r="AO6" s="149"/>
    </row>
    <row r="7" spans="1:41" s="142" customFormat="1" ht="15.75">
      <c r="A7" s="142" t="s">
        <v>10</v>
      </c>
      <c r="B7" s="142" t="s">
        <v>74</v>
      </c>
      <c r="C7" s="150">
        <v>634.5</v>
      </c>
      <c r="D7" s="142">
        <v>4</v>
      </c>
      <c r="F7" s="142" t="s">
        <v>60</v>
      </c>
      <c r="G7" s="142" t="s">
        <v>1024</v>
      </c>
      <c r="H7" s="142">
        <v>124</v>
      </c>
      <c r="I7" s="142">
        <v>4</v>
      </c>
      <c r="K7" s="142" t="s">
        <v>10</v>
      </c>
      <c r="L7" s="142" t="s">
        <v>74</v>
      </c>
      <c r="M7" s="149">
        <v>108</v>
      </c>
      <c r="N7" s="149">
        <v>4</v>
      </c>
      <c r="P7" s="149" t="s">
        <v>12</v>
      </c>
      <c r="Q7" s="142" t="s">
        <v>24</v>
      </c>
      <c r="R7" s="149">
        <v>594.5</v>
      </c>
      <c r="S7" s="151">
        <v>4</v>
      </c>
      <c r="U7" s="149" t="s">
        <v>12</v>
      </c>
      <c r="V7" s="142" t="s">
        <v>37</v>
      </c>
      <c r="W7" s="142">
        <v>121</v>
      </c>
      <c r="X7" s="149">
        <v>4</v>
      </c>
      <c r="Z7" s="149" t="s">
        <v>12</v>
      </c>
      <c r="AA7" s="142" t="s">
        <v>51</v>
      </c>
      <c r="AB7" s="149">
        <v>81</v>
      </c>
      <c r="AC7" s="149">
        <v>4</v>
      </c>
      <c r="AE7" s="142" t="s">
        <v>117</v>
      </c>
      <c r="AF7" s="142" t="s">
        <v>737</v>
      </c>
      <c r="AG7" s="142">
        <v>478.5</v>
      </c>
      <c r="AH7" s="142">
        <v>348</v>
      </c>
      <c r="AI7" s="149">
        <v>347</v>
      </c>
      <c r="AK7" s="149"/>
      <c r="AM7" s="149"/>
      <c r="AN7" s="149"/>
      <c r="AO7" s="149"/>
    </row>
    <row r="8" spans="1:41" s="142" customFormat="1" ht="15.75">
      <c r="A8" s="142" t="s">
        <v>10</v>
      </c>
      <c r="B8" s="142" t="s">
        <v>23</v>
      </c>
      <c r="C8" s="150">
        <v>632.5</v>
      </c>
      <c r="D8" s="142">
        <v>5</v>
      </c>
      <c r="F8" s="142" t="s">
        <v>54</v>
      </c>
      <c r="G8" s="142" t="s">
        <v>1238</v>
      </c>
      <c r="H8" s="142">
        <v>124</v>
      </c>
      <c r="I8" s="142">
        <v>4</v>
      </c>
      <c r="K8" s="142" t="s">
        <v>10</v>
      </c>
      <c r="L8" s="142" t="s">
        <v>20</v>
      </c>
      <c r="M8" s="149">
        <v>108</v>
      </c>
      <c r="N8" s="149">
        <v>4</v>
      </c>
      <c r="P8" s="149" t="s">
        <v>12</v>
      </c>
      <c r="Q8" s="142" t="s">
        <v>51</v>
      </c>
      <c r="R8" s="149">
        <v>593.5</v>
      </c>
      <c r="S8" s="151">
        <v>5</v>
      </c>
      <c r="U8" s="149" t="s">
        <v>12</v>
      </c>
      <c r="V8" s="142" t="s">
        <v>24</v>
      </c>
      <c r="W8" s="142">
        <v>121</v>
      </c>
      <c r="X8" s="149">
        <v>4</v>
      </c>
      <c r="Z8" s="149" t="s">
        <v>12</v>
      </c>
      <c r="AA8" s="142" t="s">
        <v>116</v>
      </c>
      <c r="AB8" s="149">
        <v>81</v>
      </c>
      <c r="AC8" s="149">
        <v>4</v>
      </c>
      <c r="AE8" s="142" t="s">
        <v>54</v>
      </c>
      <c r="AF8" s="142" t="s">
        <v>1354</v>
      </c>
      <c r="AG8" s="142">
        <v>468</v>
      </c>
      <c r="AH8" s="142">
        <v>405</v>
      </c>
      <c r="AI8" s="149">
        <v>338</v>
      </c>
      <c r="AK8" s="149"/>
      <c r="AM8" s="149"/>
      <c r="AN8" s="149"/>
      <c r="AO8" s="149"/>
    </row>
    <row r="9" spans="1:41" s="142" customFormat="1" ht="15.75">
      <c r="A9" s="142" t="s">
        <v>10</v>
      </c>
      <c r="B9" s="142" t="s">
        <v>16</v>
      </c>
      <c r="C9" s="150">
        <v>626</v>
      </c>
      <c r="D9" s="142">
        <v>6</v>
      </c>
      <c r="F9" s="142" t="s">
        <v>73</v>
      </c>
      <c r="G9" s="142" t="s">
        <v>198</v>
      </c>
      <c r="H9" s="142">
        <v>124</v>
      </c>
      <c r="I9" s="142">
        <v>4</v>
      </c>
      <c r="K9" s="142" t="s">
        <v>10</v>
      </c>
      <c r="L9" s="142" t="s">
        <v>85</v>
      </c>
      <c r="M9" s="149">
        <v>108</v>
      </c>
      <c r="N9" s="149">
        <v>4</v>
      </c>
      <c r="P9" s="149" t="s">
        <v>52</v>
      </c>
      <c r="Q9" s="142" t="s">
        <v>3437</v>
      </c>
      <c r="R9" s="149">
        <v>586.5</v>
      </c>
      <c r="S9" s="151">
        <v>6</v>
      </c>
      <c r="U9" s="149" t="s">
        <v>12</v>
      </c>
      <c r="V9" s="142" t="s">
        <v>99</v>
      </c>
      <c r="W9" s="142">
        <v>120</v>
      </c>
      <c r="X9" s="149">
        <v>6</v>
      </c>
      <c r="Z9" s="149" t="s">
        <v>12</v>
      </c>
      <c r="AA9" s="142" t="s">
        <v>95</v>
      </c>
      <c r="AB9" s="149">
        <v>81</v>
      </c>
      <c r="AC9" s="149">
        <v>4</v>
      </c>
      <c r="AE9" s="142" t="s">
        <v>60</v>
      </c>
      <c r="AF9" s="142" t="s">
        <v>985</v>
      </c>
      <c r="AG9" s="142">
        <v>527.5</v>
      </c>
      <c r="AH9" s="142">
        <v>139</v>
      </c>
      <c r="AI9" s="149">
        <v>319</v>
      </c>
      <c r="AK9" s="149"/>
      <c r="AM9" s="149"/>
      <c r="AN9" s="149"/>
      <c r="AO9" s="149"/>
    </row>
    <row r="10" spans="1:41" s="142" customFormat="1" ht="15.75">
      <c r="A10" s="142" t="s">
        <v>10</v>
      </c>
      <c r="B10" s="142" t="s">
        <v>87</v>
      </c>
      <c r="C10" s="150">
        <v>619.5</v>
      </c>
      <c r="D10" s="142">
        <v>7</v>
      </c>
      <c r="F10" s="142" t="s">
        <v>28</v>
      </c>
      <c r="G10" s="142" t="s">
        <v>289</v>
      </c>
      <c r="H10" s="142">
        <v>124</v>
      </c>
      <c r="I10" s="142">
        <v>4</v>
      </c>
      <c r="K10" s="142" t="s">
        <v>7</v>
      </c>
      <c r="L10" s="142" t="s">
        <v>1648</v>
      </c>
      <c r="M10" s="149">
        <v>105</v>
      </c>
      <c r="N10" s="149">
        <v>7</v>
      </c>
      <c r="P10" s="149" t="s">
        <v>12</v>
      </c>
      <c r="Q10" s="142" t="s">
        <v>130</v>
      </c>
      <c r="R10" s="149">
        <v>582.5</v>
      </c>
      <c r="S10" s="151">
        <v>7</v>
      </c>
      <c r="U10" s="149" t="s">
        <v>12</v>
      </c>
      <c r="V10" s="142" t="s">
        <v>95</v>
      </c>
      <c r="W10" s="142">
        <v>120</v>
      </c>
      <c r="X10" s="149">
        <v>6</v>
      </c>
      <c r="Z10" s="149" t="s">
        <v>12</v>
      </c>
      <c r="AA10" s="142" t="s">
        <v>64</v>
      </c>
      <c r="AB10" s="149">
        <v>80</v>
      </c>
      <c r="AC10" s="149">
        <v>7</v>
      </c>
      <c r="AE10" s="142" t="s">
        <v>131</v>
      </c>
      <c r="AF10" s="142" t="s">
        <v>2537</v>
      </c>
      <c r="AG10" s="142">
        <v>449.5</v>
      </c>
      <c r="AH10" s="142">
        <v>516</v>
      </c>
      <c r="AI10" s="149">
        <v>316</v>
      </c>
      <c r="AK10" s="149"/>
      <c r="AM10" s="149"/>
      <c r="AN10" s="149"/>
      <c r="AO10" s="149"/>
    </row>
    <row r="11" spans="1:41" s="142" customFormat="1" ht="15.75">
      <c r="A11" s="142" t="s">
        <v>10</v>
      </c>
      <c r="B11" s="142" t="s">
        <v>61</v>
      </c>
      <c r="C11" s="150">
        <v>618.5</v>
      </c>
      <c r="D11" s="142">
        <v>8</v>
      </c>
      <c r="F11" s="142" t="s">
        <v>73</v>
      </c>
      <c r="G11" s="142" t="s">
        <v>2169</v>
      </c>
      <c r="H11" s="142">
        <v>124</v>
      </c>
      <c r="I11" s="142">
        <v>4</v>
      </c>
      <c r="K11" s="142" t="s">
        <v>131</v>
      </c>
      <c r="L11" s="142" t="s">
        <v>2575</v>
      </c>
      <c r="M11" s="149">
        <v>105</v>
      </c>
      <c r="N11" s="149">
        <v>7</v>
      </c>
      <c r="P11" s="149" t="s">
        <v>12</v>
      </c>
      <c r="Q11" s="142" t="s">
        <v>79</v>
      </c>
      <c r="R11" s="149">
        <v>581.5</v>
      </c>
      <c r="S11" s="151">
        <v>8</v>
      </c>
      <c r="U11" s="149" t="s">
        <v>12</v>
      </c>
      <c r="V11" s="142" t="s">
        <v>51</v>
      </c>
      <c r="W11" s="142">
        <v>119</v>
      </c>
      <c r="X11" s="149">
        <v>8</v>
      </c>
      <c r="Z11" s="149" t="s">
        <v>12</v>
      </c>
      <c r="AA11" s="142" t="s">
        <v>15</v>
      </c>
      <c r="AB11" s="149">
        <v>80</v>
      </c>
      <c r="AC11" s="149">
        <v>7</v>
      </c>
      <c r="AE11" s="142" t="s">
        <v>38</v>
      </c>
      <c r="AF11" s="142" t="s">
        <v>2880</v>
      </c>
      <c r="AG11" s="142">
        <v>453.5</v>
      </c>
      <c r="AH11" s="142">
        <v>491</v>
      </c>
      <c r="AI11" s="149">
        <v>315</v>
      </c>
      <c r="AK11" s="149"/>
      <c r="AM11" s="149"/>
      <c r="AN11" s="149"/>
      <c r="AO11" s="149"/>
    </row>
    <row r="12" spans="1:41" s="142" customFormat="1" ht="15.75">
      <c r="A12" s="142" t="s">
        <v>10</v>
      </c>
      <c r="B12" s="142" t="s">
        <v>20</v>
      </c>
      <c r="C12" s="150">
        <v>618</v>
      </c>
      <c r="D12" s="142">
        <v>9</v>
      </c>
      <c r="F12" s="142" t="s">
        <v>19</v>
      </c>
      <c r="G12" s="142" t="s">
        <v>459</v>
      </c>
      <c r="H12" s="142">
        <v>124</v>
      </c>
      <c r="I12" s="142">
        <v>4</v>
      </c>
      <c r="K12" s="142" t="s">
        <v>10</v>
      </c>
      <c r="L12" s="142" t="s">
        <v>3264</v>
      </c>
      <c r="M12" s="142">
        <v>103</v>
      </c>
      <c r="N12" s="142">
        <v>9</v>
      </c>
      <c r="P12" s="149" t="s">
        <v>12</v>
      </c>
      <c r="Q12" s="142" t="s">
        <v>36</v>
      </c>
      <c r="R12" s="149">
        <v>580</v>
      </c>
      <c r="S12" s="151">
        <v>9</v>
      </c>
      <c r="U12" s="142" t="s">
        <v>12</v>
      </c>
      <c r="V12" s="142" t="s">
        <v>41</v>
      </c>
      <c r="W12" s="142">
        <v>119</v>
      </c>
      <c r="X12" s="149">
        <v>8</v>
      </c>
      <c r="Z12" s="142" t="s">
        <v>12</v>
      </c>
      <c r="AA12" s="142" t="s">
        <v>127</v>
      </c>
      <c r="AB12" s="142">
        <v>79</v>
      </c>
      <c r="AC12" s="142">
        <v>9</v>
      </c>
      <c r="AE12" s="142" t="s">
        <v>28</v>
      </c>
      <c r="AF12" s="142" t="s">
        <v>233</v>
      </c>
      <c r="AG12" s="142">
        <v>501</v>
      </c>
      <c r="AH12" s="142">
        <v>241</v>
      </c>
      <c r="AI12" s="149">
        <v>306</v>
      </c>
      <c r="AK12" s="149"/>
      <c r="AM12" s="149"/>
      <c r="AN12" s="149"/>
      <c r="AO12" s="149"/>
    </row>
    <row r="13" spans="1:41" s="142" customFormat="1" ht="15.75">
      <c r="A13" s="142" t="s">
        <v>10</v>
      </c>
      <c r="B13" s="142" t="s">
        <v>67</v>
      </c>
      <c r="C13" s="150">
        <v>613.5</v>
      </c>
      <c r="D13" s="142">
        <v>10</v>
      </c>
      <c r="F13" s="142" t="s">
        <v>109</v>
      </c>
      <c r="G13" s="142" t="s">
        <v>2090</v>
      </c>
      <c r="H13" s="142">
        <v>123</v>
      </c>
      <c r="I13" s="142">
        <v>10</v>
      </c>
      <c r="K13" s="142" t="s">
        <v>38</v>
      </c>
      <c r="L13" s="142" t="s">
        <v>141</v>
      </c>
      <c r="M13" s="149">
        <v>103</v>
      </c>
      <c r="N13" s="149">
        <v>9</v>
      </c>
      <c r="P13" s="149" t="s">
        <v>12</v>
      </c>
      <c r="Q13" s="142" t="s">
        <v>58</v>
      </c>
      <c r="R13" s="149">
        <v>579.5</v>
      </c>
      <c r="S13" s="151">
        <v>10</v>
      </c>
      <c r="U13" s="149" t="s">
        <v>12</v>
      </c>
      <c r="V13" s="142" t="s">
        <v>14</v>
      </c>
      <c r="W13" s="142">
        <v>118</v>
      </c>
      <c r="X13" s="149">
        <v>10</v>
      </c>
      <c r="Z13" s="149" t="s">
        <v>12</v>
      </c>
      <c r="AA13" s="142" t="s">
        <v>21</v>
      </c>
      <c r="AB13" s="149">
        <v>79</v>
      </c>
      <c r="AC13" s="149">
        <v>9</v>
      </c>
      <c r="AE13" s="142" t="s">
        <v>38</v>
      </c>
      <c r="AF13" s="142" t="s">
        <v>2795</v>
      </c>
      <c r="AG13" s="142">
        <v>526</v>
      </c>
      <c r="AH13" s="142">
        <v>146</v>
      </c>
      <c r="AI13" s="149">
        <v>305</v>
      </c>
      <c r="AK13" s="149"/>
      <c r="AM13" s="149"/>
      <c r="AN13" s="149"/>
      <c r="AO13" s="149"/>
    </row>
    <row r="14" spans="1:41" s="142" customFormat="1" ht="15.75">
      <c r="A14" s="142" t="s">
        <v>10</v>
      </c>
      <c r="B14" s="142" t="s">
        <v>29</v>
      </c>
      <c r="C14" s="150">
        <v>611.5</v>
      </c>
      <c r="D14" s="142">
        <v>11</v>
      </c>
      <c r="F14" s="142" t="s">
        <v>34</v>
      </c>
      <c r="G14" s="142" t="s">
        <v>1850</v>
      </c>
      <c r="H14" s="142">
        <v>123</v>
      </c>
      <c r="I14" s="142">
        <v>10</v>
      </c>
      <c r="K14" s="142" t="s">
        <v>73</v>
      </c>
      <c r="L14" s="142" t="s">
        <v>2136</v>
      </c>
      <c r="M14" s="149">
        <v>103</v>
      </c>
      <c r="N14" s="149">
        <v>9</v>
      </c>
      <c r="P14" s="149" t="s">
        <v>12</v>
      </c>
      <c r="Q14" s="142" t="s">
        <v>14</v>
      </c>
      <c r="R14" s="149">
        <v>573.5</v>
      </c>
      <c r="S14" s="151">
        <v>11</v>
      </c>
      <c r="U14" s="149" t="s">
        <v>12</v>
      </c>
      <c r="V14" s="142" t="s">
        <v>130</v>
      </c>
      <c r="W14" s="142">
        <v>118</v>
      </c>
      <c r="X14" s="149">
        <v>10</v>
      </c>
      <c r="Z14" s="149" t="s">
        <v>12</v>
      </c>
      <c r="AA14" s="142" t="s">
        <v>66</v>
      </c>
      <c r="AB14" s="149">
        <v>79</v>
      </c>
      <c r="AC14" s="149">
        <v>9</v>
      </c>
      <c r="AI14" s="149"/>
      <c r="AK14" s="149"/>
      <c r="AM14" s="149"/>
      <c r="AN14" s="149"/>
      <c r="AO14" s="149"/>
    </row>
    <row r="15" spans="1:41" s="142" customFormat="1" ht="15.75">
      <c r="A15" s="142" t="s">
        <v>10</v>
      </c>
      <c r="B15" s="142" t="s">
        <v>47</v>
      </c>
      <c r="C15" s="150">
        <v>609</v>
      </c>
      <c r="D15" s="142">
        <v>12</v>
      </c>
      <c r="P15" s="149" t="s">
        <v>12</v>
      </c>
      <c r="Q15" s="142" t="s">
        <v>66</v>
      </c>
      <c r="R15" s="149">
        <v>571.5</v>
      </c>
      <c r="S15" s="151">
        <v>12</v>
      </c>
      <c r="U15" s="152" t="s">
        <v>25</v>
      </c>
      <c r="V15" s="152" t="s">
        <v>151</v>
      </c>
      <c r="W15" s="153">
        <v>118</v>
      </c>
      <c r="X15" s="154">
        <v>10</v>
      </c>
      <c r="Z15" s="149" t="s">
        <v>12</v>
      </c>
      <c r="AA15" s="142" t="s">
        <v>24</v>
      </c>
      <c r="AB15" s="149">
        <v>79</v>
      </c>
      <c r="AC15" s="149">
        <v>9</v>
      </c>
      <c r="AI15" s="149"/>
      <c r="AK15" s="149"/>
      <c r="AM15" s="149"/>
      <c r="AN15" s="149"/>
      <c r="AO15" s="149"/>
    </row>
    <row r="16" spans="1:41" s="142" customFormat="1" ht="15.75">
      <c r="A16" s="142" t="s">
        <v>10</v>
      </c>
      <c r="B16" s="142" t="s">
        <v>72</v>
      </c>
      <c r="C16" s="150">
        <v>609</v>
      </c>
      <c r="D16" s="142">
        <v>12</v>
      </c>
      <c r="M16" s="149"/>
      <c r="N16" s="149"/>
      <c r="P16" s="149" t="s">
        <v>12</v>
      </c>
      <c r="Q16" s="142" t="s">
        <v>90</v>
      </c>
      <c r="R16" s="149">
        <v>568.5</v>
      </c>
      <c r="S16" s="151">
        <v>13</v>
      </c>
      <c r="Z16" s="142" t="s">
        <v>12</v>
      </c>
      <c r="AA16" s="142" t="s">
        <v>120</v>
      </c>
      <c r="AB16" s="142">
        <v>79</v>
      </c>
      <c r="AC16" s="142">
        <v>9</v>
      </c>
      <c r="AI16" s="149"/>
      <c r="AK16" s="149"/>
      <c r="AM16" s="149"/>
      <c r="AN16" s="149"/>
      <c r="AO16" s="149"/>
    </row>
    <row r="17" spans="1:41" s="142" customFormat="1" ht="15.75">
      <c r="A17" s="142" t="s">
        <v>10</v>
      </c>
      <c r="B17" s="142" t="s">
        <v>178</v>
      </c>
      <c r="C17" s="150">
        <v>608</v>
      </c>
      <c r="D17" s="142">
        <v>14</v>
      </c>
      <c r="M17" s="149"/>
      <c r="N17" s="149"/>
      <c r="P17" s="149" t="s">
        <v>12</v>
      </c>
      <c r="Q17" s="142" t="s">
        <v>64</v>
      </c>
      <c r="R17" s="149">
        <v>566</v>
      </c>
      <c r="S17" s="151">
        <v>14</v>
      </c>
      <c r="Z17" s="152" t="s">
        <v>12</v>
      </c>
      <c r="AA17" s="152" t="s">
        <v>130</v>
      </c>
      <c r="AB17" s="155">
        <v>79</v>
      </c>
      <c r="AC17" s="154">
        <v>9</v>
      </c>
      <c r="AI17" s="149"/>
      <c r="AK17" s="149"/>
      <c r="AM17" s="149"/>
      <c r="AN17" s="149"/>
      <c r="AO17" s="149"/>
    </row>
    <row r="18" spans="1:41" s="142" customFormat="1" ht="15.75">
      <c r="A18" s="142" t="s">
        <v>10</v>
      </c>
      <c r="B18" s="142" t="s">
        <v>159</v>
      </c>
      <c r="C18" s="150">
        <v>607.5</v>
      </c>
      <c r="D18" s="142">
        <v>15</v>
      </c>
      <c r="F18" s="148" t="s">
        <v>5</v>
      </c>
      <c r="G18" s="148" t="s">
        <v>1</v>
      </c>
      <c r="H18" s="146" t="s">
        <v>3237</v>
      </c>
      <c r="I18" s="147" t="s">
        <v>3260</v>
      </c>
      <c r="K18" s="148" t="s">
        <v>5</v>
      </c>
      <c r="L18" s="148" t="s">
        <v>1</v>
      </c>
      <c r="M18" s="148" t="s">
        <v>3253</v>
      </c>
      <c r="N18" s="147" t="s">
        <v>3260</v>
      </c>
      <c r="P18" s="149" t="s">
        <v>12</v>
      </c>
      <c r="Q18" s="142" t="s">
        <v>92</v>
      </c>
      <c r="R18" s="149">
        <v>564</v>
      </c>
      <c r="S18" s="151">
        <v>15</v>
      </c>
      <c r="U18" s="149"/>
      <c r="W18" s="149"/>
      <c r="X18" s="149"/>
      <c r="Z18" s="149" t="s">
        <v>25</v>
      </c>
      <c r="AA18" s="142" t="s">
        <v>3005</v>
      </c>
      <c r="AB18" s="149">
        <v>79</v>
      </c>
      <c r="AC18" s="149">
        <v>9</v>
      </c>
      <c r="AI18" s="149"/>
      <c r="AK18" s="149"/>
      <c r="AM18" s="149"/>
      <c r="AN18" s="149"/>
      <c r="AO18" s="149"/>
    </row>
    <row r="19" spans="1:41" s="142" customFormat="1" ht="15.75">
      <c r="A19" s="142" t="s">
        <v>10</v>
      </c>
      <c r="B19" s="142" t="s">
        <v>91</v>
      </c>
      <c r="C19" s="150">
        <v>607</v>
      </c>
      <c r="D19" s="142">
        <v>16</v>
      </c>
      <c r="F19" s="142" t="s">
        <v>10</v>
      </c>
      <c r="G19" s="142" t="s">
        <v>87</v>
      </c>
      <c r="H19" s="142">
        <v>144</v>
      </c>
      <c r="I19" s="142">
        <v>1</v>
      </c>
      <c r="K19" s="142" t="s">
        <v>10</v>
      </c>
      <c r="L19" s="142" t="s">
        <v>11</v>
      </c>
      <c r="M19" s="142">
        <v>96</v>
      </c>
      <c r="N19" s="142">
        <v>1</v>
      </c>
      <c r="P19" s="149" t="s">
        <v>12</v>
      </c>
      <c r="Q19" s="142" t="s">
        <v>100</v>
      </c>
      <c r="R19" s="149">
        <v>563</v>
      </c>
      <c r="S19" s="151">
        <v>16</v>
      </c>
      <c r="U19" s="148" t="s">
        <v>5</v>
      </c>
      <c r="V19" s="148" t="s">
        <v>1</v>
      </c>
      <c r="W19" s="146" t="s">
        <v>3301</v>
      </c>
      <c r="X19" s="147" t="s">
        <v>3260</v>
      </c>
      <c r="AE19" s="172" t="s">
        <v>3239</v>
      </c>
      <c r="AF19" s="172"/>
      <c r="AG19" s="172"/>
      <c r="AH19" s="172"/>
      <c r="AI19" s="172"/>
    </row>
    <row r="20" spans="1:41" s="142" customFormat="1" ht="15.75">
      <c r="A20" s="142" t="s">
        <v>10</v>
      </c>
      <c r="B20" s="142" t="s">
        <v>77</v>
      </c>
      <c r="C20" s="150">
        <v>601</v>
      </c>
      <c r="D20" s="142">
        <v>17</v>
      </c>
      <c r="F20" s="142" t="s">
        <v>10</v>
      </c>
      <c r="G20" s="142" t="s">
        <v>23</v>
      </c>
      <c r="H20" s="142">
        <v>144</v>
      </c>
      <c r="I20" s="142">
        <v>1</v>
      </c>
      <c r="K20" s="142" t="s">
        <v>10</v>
      </c>
      <c r="L20" s="142" t="s">
        <v>82</v>
      </c>
      <c r="M20" s="149">
        <v>92</v>
      </c>
      <c r="N20" s="149">
        <v>2</v>
      </c>
      <c r="P20" s="149" t="s">
        <v>12</v>
      </c>
      <c r="Q20" s="142" t="s">
        <v>2925</v>
      </c>
      <c r="R20" s="149">
        <v>560</v>
      </c>
      <c r="S20" s="151">
        <v>17</v>
      </c>
      <c r="U20" s="142" t="s">
        <v>12</v>
      </c>
      <c r="V20" s="142" t="s">
        <v>13</v>
      </c>
      <c r="W20" s="142">
        <v>134</v>
      </c>
      <c r="X20" s="142">
        <v>1</v>
      </c>
      <c r="Z20" s="148" t="s">
        <v>5</v>
      </c>
      <c r="AA20" s="148" t="s">
        <v>1</v>
      </c>
      <c r="AB20" s="146" t="s">
        <v>3313</v>
      </c>
      <c r="AC20" s="147" t="s">
        <v>3260</v>
      </c>
      <c r="AE20" s="142" t="s">
        <v>5</v>
      </c>
      <c r="AF20" s="142" t="s">
        <v>1</v>
      </c>
      <c r="AG20" s="156" t="s">
        <v>3254</v>
      </c>
      <c r="AH20" s="149" t="s">
        <v>3228</v>
      </c>
      <c r="AI20" s="142" t="s">
        <v>3236</v>
      </c>
    </row>
    <row r="21" spans="1:41" s="142" customFormat="1" ht="15.75">
      <c r="A21" s="142" t="s">
        <v>9</v>
      </c>
      <c r="B21" s="142" t="s">
        <v>1578</v>
      </c>
      <c r="C21" s="150">
        <v>601</v>
      </c>
      <c r="D21" s="142">
        <v>17</v>
      </c>
      <c r="F21" s="142" t="s">
        <v>10</v>
      </c>
      <c r="G21" s="142" t="s">
        <v>181</v>
      </c>
      <c r="H21" s="142">
        <v>139</v>
      </c>
      <c r="I21" s="142">
        <v>3</v>
      </c>
      <c r="K21" s="142" t="s">
        <v>10</v>
      </c>
      <c r="L21" s="142" t="s">
        <v>113</v>
      </c>
      <c r="M21" s="149">
        <v>91</v>
      </c>
      <c r="N21" s="149">
        <v>3</v>
      </c>
      <c r="P21" s="149" t="s">
        <v>12</v>
      </c>
      <c r="Q21" s="142" t="s">
        <v>102</v>
      </c>
      <c r="R21" s="149">
        <v>559.5</v>
      </c>
      <c r="S21" s="151">
        <v>18</v>
      </c>
      <c r="U21" s="142" t="s">
        <v>12</v>
      </c>
      <c r="V21" s="142" t="s">
        <v>92</v>
      </c>
      <c r="W21" s="142">
        <v>133</v>
      </c>
      <c r="X21" s="142">
        <v>2</v>
      </c>
      <c r="Z21" s="142" t="s">
        <v>12</v>
      </c>
      <c r="AA21" s="142" t="s">
        <v>94</v>
      </c>
      <c r="AB21" s="142">
        <v>89</v>
      </c>
      <c r="AC21" s="142">
        <v>1</v>
      </c>
      <c r="AE21" s="142" t="s">
        <v>52</v>
      </c>
      <c r="AF21" s="142" t="s">
        <v>3076</v>
      </c>
      <c r="AG21" s="142">
        <v>484</v>
      </c>
      <c r="AH21" s="142">
        <v>66</v>
      </c>
      <c r="AI21" s="149">
        <v>49</v>
      </c>
    </row>
    <row r="22" spans="1:41" s="142" customFormat="1" ht="15.75">
      <c r="A22" s="142" t="s">
        <v>10</v>
      </c>
      <c r="B22" s="142" t="s">
        <v>108</v>
      </c>
      <c r="C22" s="150">
        <v>599.5</v>
      </c>
      <c r="D22" s="142">
        <v>19</v>
      </c>
      <c r="F22" s="142" t="s">
        <v>10</v>
      </c>
      <c r="G22" s="142" t="s">
        <v>74</v>
      </c>
      <c r="H22" s="142">
        <v>136</v>
      </c>
      <c r="I22" s="142">
        <v>4</v>
      </c>
      <c r="K22" s="142" t="s">
        <v>10</v>
      </c>
      <c r="L22" s="142" t="s">
        <v>16</v>
      </c>
      <c r="M22" s="142">
        <v>91</v>
      </c>
      <c r="N22" s="142">
        <v>3</v>
      </c>
      <c r="P22" s="149" t="s">
        <v>12</v>
      </c>
      <c r="Q22" s="142" t="s">
        <v>21</v>
      </c>
      <c r="R22" s="149">
        <v>556</v>
      </c>
      <c r="S22" s="151">
        <v>19</v>
      </c>
      <c r="U22" s="142" t="s">
        <v>12</v>
      </c>
      <c r="V22" s="142" t="s">
        <v>24</v>
      </c>
      <c r="W22" s="142">
        <v>132</v>
      </c>
      <c r="X22" s="142">
        <v>3</v>
      </c>
      <c r="Z22" s="142" t="s">
        <v>12</v>
      </c>
      <c r="AA22" s="142" t="s">
        <v>13</v>
      </c>
      <c r="AB22" s="142">
        <v>87</v>
      </c>
      <c r="AC22" s="142">
        <v>2</v>
      </c>
      <c r="AE22" s="142" t="s">
        <v>25</v>
      </c>
      <c r="AF22" s="142" t="s">
        <v>3235</v>
      </c>
      <c r="AG22" s="142">
        <v>496.5</v>
      </c>
      <c r="AH22" s="149">
        <v>53</v>
      </c>
      <c r="AI22" s="149">
        <v>48</v>
      </c>
    </row>
    <row r="23" spans="1:41" s="142" customFormat="1" ht="15.75">
      <c r="A23" s="142" t="s">
        <v>10</v>
      </c>
      <c r="B23" s="142" t="s">
        <v>113</v>
      </c>
      <c r="C23" s="150">
        <v>596.5</v>
      </c>
      <c r="D23" s="142">
        <v>20</v>
      </c>
      <c r="F23" s="142" t="s">
        <v>10</v>
      </c>
      <c r="G23" s="142" t="s">
        <v>159</v>
      </c>
      <c r="H23" s="142">
        <v>132</v>
      </c>
      <c r="I23" s="142">
        <v>5</v>
      </c>
      <c r="K23" s="142" t="s">
        <v>54</v>
      </c>
      <c r="L23" s="142" t="s">
        <v>1272</v>
      </c>
      <c r="M23" s="149">
        <v>90</v>
      </c>
      <c r="N23" s="149">
        <v>5</v>
      </c>
      <c r="P23" s="149" t="s">
        <v>12</v>
      </c>
      <c r="Q23" s="142" t="s">
        <v>99</v>
      </c>
      <c r="R23" s="149">
        <v>555.5</v>
      </c>
      <c r="S23" s="151">
        <v>20</v>
      </c>
      <c r="U23" s="142" t="s">
        <v>52</v>
      </c>
      <c r="V23" s="142" t="s">
        <v>3437</v>
      </c>
      <c r="W23" s="142">
        <v>129</v>
      </c>
      <c r="X23" s="142">
        <v>4</v>
      </c>
      <c r="Z23" s="149" t="s">
        <v>12</v>
      </c>
      <c r="AA23" s="142" t="s">
        <v>100</v>
      </c>
      <c r="AB23" s="149">
        <v>87</v>
      </c>
      <c r="AC23" s="149">
        <v>2</v>
      </c>
      <c r="AE23" s="142" t="s">
        <v>25</v>
      </c>
      <c r="AF23" s="142" t="s">
        <v>2937</v>
      </c>
      <c r="AG23" s="142">
        <v>478.5</v>
      </c>
      <c r="AH23" s="149">
        <v>73</v>
      </c>
      <c r="AI23" s="149">
        <v>38</v>
      </c>
    </row>
    <row r="24" spans="1:41" s="142" customFormat="1" ht="15.75">
      <c r="A24" s="142" t="s">
        <v>10</v>
      </c>
      <c r="B24" s="142" t="s">
        <v>115</v>
      </c>
      <c r="C24" s="150">
        <v>593</v>
      </c>
      <c r="D24" s="142">
        <v>21</v>
      </c>
      <c r="F24" s="142" t="s">
        <v>10</v>
      </c>
      <c r="G24" s="142" t="s">
        <v>78</v>
      </c>
      <c r="H24" s="142">
        <v>131</v>
      </c>
      <c r="I24" s="142">
        <v>6</v>
      </c>
      <c r="K24" s="142" t="s">
        <v>9</v>
      </c>
      <c r="L24" s="142" t="s">
        <v>1611</v>
      </c>
      <c r="M24" s="149">
        <v>90</v>
      </c>
      <c r="N24" s="149">
        <v>5</v>
      </c>
      <c r="P24" s="149" t="s">
        <v>12</v>
      </c>
      <c r="Q24" s="142" t="s">
        <v>84</v>
      </c>
      <c r="R24" s="149">
        <v>552.5</v>
      </c>
      <c r="S24" s="151">
        <v>21</v>
      </c>
      <c r="U24" s="142" t="s">
        <v>12</v>
      </c>
      <c r="V24" s="142" t="s">
        <v>164</v>
      </c>
      <c r="W24" s="142">
        <v>129</v>
      </c>
      <c r="X24" s="142">
        <v>4</v>
      </c>
      <c r="Z24" s="149" t="s">
        <v>12</v>
      </c>
      <c r="AA24" s="142" t="s">
        <v>79</v>
      </c>
      <c r="AB24" s="149">
        <v>87</v>
      </c>
      <c r="AC24" s="149">
        <v>2</v>
      </c>
      <c r="AE24" s="142" t="s">
        <v>52</v>
      </c>
      <c r="AF24" s="142" t="s">
        <v>53</v>
      </c>
      <c r="AG24" s="142">
        <v>485</v>
      </c>
      <c r="AH24" s="149">
        <v>65</v>
      </c>
      <c r="AI24" s="149">
        <v>33</v>
      </c>
    </row>
    <row r="25" spans="1:41" s="142" customFormat="1" ht="15.75">
      <c r="A25" s="142" t="s">
        <v>10</v>
      </c>
      <c r="B25" s="142" t="s">
        <v>48</v>
      </c>
      <c r="C25" s="150">
        <v>591</v>
      </c>
      <c r="D25" s="142">
        <v>22</v>
      </c>
      <c r="F25" s="142" t="s">
        <v>10</v>
      </c>
      <c r="G25" s="142" t="s">
        <v>86</v>
      </c>
      <c r="H25" s="142">
        <v>130</v>
      </c>
      <c r="I25" s="142">
        <v>7</v>
      </c>
      <c r="K25" s="142" t="s">
        <v>9</v>
      </c>
      <c r="L25" s="142" t="s">
        <v>191</v>
      </c>
      <c r="M25" s="149">
        <v>90</v>
      </c>
      <c r="N25" s="149">
        <v>5</v>
      </c>
      <c r="P25" s="142" t="s">
        <v>12</v>
      </c>
      <c r="Q25" s="142" t="s">
        <v>164</v>
      </c>
      <c r="R25" s="142">
        <v>551.5</v>
      </c>
      <c r="S25" s="151">
        <v>22</v>
      </c>
      <c r="U25" s="149" t="s">
        <v>12</v>
      </c>
      <c r="V25" s="142" t="s">
        <v>41</v>
      </c>
      <c r="W25" s="149">
        <v>129</v>
      </c>
      <c r="X25" s="149">
        <v>4</v>
      </c>
      <c r="Z25" s="149" t="s">
        <v>12</v>
      </c>
      <c r="AA25" s="142" t="s">
        <v>24</v>
      </c>
      <c r="AB25" s="149">
        <v>84</v>
      </c>
      <c r="AC25" s="149">
        <v>5</v>
      </c>
      <c r="AE25" s="142" t="s">
        <v>25</v>
      </c>
      <c r="AF25" s="142" t="s">
        <v>2356</v>
      </c>
      <c r="AG25" s="142">
        <v>524</v>
      </c>
      <c r="AH25" s="149">
        <v>39</v>
      </c>
      <c r="AI25" s="149">
        <v>30</v>
      </c>
    </row>
    <row r="26" spans="1:41" s="142" customFormat="1" ht="15.75">
      <c r="A26" s="142" t="s">
        <v>9</v>
      </c>
      <c r="B26" s="142" t="s">
        <v>884</v>
      </c>
      <c r="C26" s="150">
        <v>591</v>
      </c>
      <c r="D26" s="142">
        <v>22</v>
      </c>
      <c r="F26" s="142" t="s">
        <v>17</v>
      </c>
      <c r="G26" s="142" t="s">
        <v>40</v>
      </c>
      <c r="H26" s="142">
        <v>129</v>
      </c>
      <c r="I26" s="142">
        <v>8</v>
      </c>
      <c r="K26" s="142" t="s">
        <v>10</v>
      </c>
      <c r="L26" s="142" t="s">
        <v>61</v>
      </c>
      <c r="M26" s="142">
        <v>89</v>
      </c>
      <c r="N26" s="142">
        <v>8</v>
      </c>
      <c r="P26" s="142" t="s">
        <v>12</v>
      </c>
      <c r="Q26" s="142" t="s">
        <v>95</v>
      </c>
      <c r="R26" s="142">
        <v>551.5</v>
      </c>
      <c r="S26" s="151">
        <v>22</v>
      </c>
      <c r="U26" s="149" t="s">
        <v>12</v>
      </c>
      <c r="V26" s="142" t="s">
        <v>58</v>
      </c>
      <c r="W26" s="149">
        <v>124</v>
      </c>
      <c r="X26" s="149">
        <v>7</v>
      </c>
      <c r="Z26" s="149" t="s">
        <v>12</v>
      </c>
      <c r="AA26" s="142" t="s">
        <v>95</v>
      </c>
      <c r="AB26" s="149">
        <v>82</v>
      </c>
      <c r="AC26" s="149">
        <v>6</v>
      </c>
      <c r="AH26" s="149"/>
      <c r="AI26" s="149"/>
    </row>
    <row r="27" spans="1:41" s="142" customFormat="1" ht="15.75">
      <c r="A27" s="142" t="s">
        <v>9</v>
      </c>
      <c r="B27" s="142" t="s">
        <v>1057</v>
      </c>
      <c r="C27" s="150">
        <v>591</v>
      </c>
      <c r="D27" s="142">
        <v>22</v>
      </c>
      <c r="F27" s="142" t="s">
        <v>68</v>
      </c>
      <c r="G27" s="142" t="s">
        <v>69</v>
      </c>
      <c r="H27" s="149">
        <v>128</v>
      </c>
      <c r="I27" s="149">
        <v>9</v>
      </c>
      <c r="K27" s="142" t="s">
        <v>38</v>
      </c>
      <c r="L27" s="142" t="s">
        <v>141</v>
      </c>
      <c r="M27" s="156">
        <v>89</v>
      </c>
      <c r="N27" s="149">
        <v>8</v>
      </c>
      <c r="P27" s="142" t="s">
        <v>12</v>
      </c>
      <c r="Q27" s="142" t="s">
        <v>37</v>
      </c>
      <c r="R27" s="142">
        <v>548.5</v>
      </c>
      <c r="S27" s="151">
        <v>24</v>
      </c>
      <c r="U27" s="149" t="s">
        <v>12</v>
      </c>
      <c r="V27" s="142" t="s">
        <v>66</v>
      </c>
      <c r="W27" s="149">
        <v>124</v>
      </c>
      <c r="X27" s="149">
        <v>7</v>
      </c>
      <c r="Z27" s="149" t="s">
        <v>12</v>
      </c>
      <c r="AA27" s="142" t="s">
        <v>64</v>
      </c>
      <c r="AB27" s="149">
        <v>81</v>
      </c>
      <c r="AC27" s="149">
        <v>7</v>
      </c>
      <c r="AH27" s="149"/>
      <c r="AI27" s="149"/>
    </row>
    <row r="28" spans="1:41" s="142" customFormat="1" ht="15.75">
      <c r="A28" s="142" t="s">
        <v>38</v>
      </c>
      <c r="B28" s="142" t="s">
        <v>141</v>
      </c>
      <c r="C28" s="150">
        <v>590</v>
      </c>
      <c r="D28" s="142">
        <v>25</v>
      </c>
      <c r="F28" s="142" t="s">
        <v>10</v>
      </c>
      <c r="G28" s="142" t="s">
        <v>29</v>
      </c>
      <c r="H28" s="149">
        <v>126</v>
      </c>
      <c r="I28" s="149">
        <v>10</v>
      </c>
      <c r="K28" s="142" t="s">
        <v>10</v>
      </c>
      <c r="L28" s="142" t="s">
        <v>67</v>
      </c>
      <c r="M28" s="149">
        <v>89</v>
      </c>
      <c r="N28" s="149">
        <v>8</v>
      </c>
      <c r="P28" s="142" t="s">
        <v>25</v>
      </c>
      <c r="Q28" s="142" t="s">
        <v>408</v>
      </c>
      <c r="R28" s="142">
        <v>547.5</v>
      </c>
      <c r="S28" s="151">
        <v>25</v>
      </c>
      <c r="U28" s="149" t="s">
        <v>12</v>
      </c>
      <c r="V28" s="142" t="s">
        <v>130</v>
      </c>
      <c r="W28" s="149">
        <v>123</v>
      </c>
      <c r="X28" s="149">
        <v>9</v>
      </c>
      <c r="Z28" s="149" t="s">
        <v>12</v>
      </c>
      <c r="AA28" s="142" t="s">
        <v>15</v>
      </c>
      <c r="AB28" s="149">
        <v>81</v>
      </c>
      <c r="AC28" s="149">
        <v>7</v>
      </c>
      <c r="AH28" s="149"/>
      <c r="AI28" s="149"/>
    </row>
    <row r="29" spans="1:41" s="142" customFormat="1" ht="15.75">
      <c r="A29" s="142" t="s">
        <v>10</v>
      </c>
      <c r="B29" s="142" t="s">
        <v>57</v>
      </c>
      <c r="C29" s="150">
        <v>589.5</v>
      </c>
      <c r="D29" s="142">
        <v>26</v>
      </c>
      <c r="H29" s="149"/>
      <c r="I29" s="149"/>
      <c r="K29" s="142" t="s">
        <v>9</v>
      </c>
      <c r="L29" s="142" t="s">
        <v>1578</v>
      </c>
      <c r="M29" s="142">
        <v>89</v>
      </c>
      <c r="N29" s="142">
        <v>8</v>
      </c>
      <c r="P29" s="142" t="s">
        <v>12</v>
      </c>
      <c r="Q29" s="142" t="s">
        <v>127</v>
      </c>
      <c r="R29" s="142">
        <v>545.5</v>
      </c>
      <c r="S29" s="151">
        <v>26</v>
      </c>
      <c r="U29" s="149" t="s">
        <v>12</v>
      </c>
      <c r="V29" s="142" t="s">
        <v>116</v>
      </c>
      <c r="W29" s="149">
        <v>123</v>
      </c>
      <c r="X29" s="149">
        <v>9</v>
      </c>
      <c r="Z29" s="149" t="s">
        <v>12</v>
      </c>
      <c r="AA29" s="142" t="s">
        <v>37</v>
      </c>
      <c r="AB29" s="149">
        <v>81</v>
      </c>
      <c r="AC29" s="149">
        <v>7</v>
      </c>
      <c r="AH29" s="149"/>
      <c r="AI29" s="149"/>
    </row>
    <row r="30" spans="1:41" s="142" customFormat="1" ht="15.75">
      <c r="A30" s="142" t="s">
        <v>10</v>
      </c>
      <c r="B30" s="142" t="s">
        <v>106</v>
      </c>
      <c r="C30" s="150">
        <v>588</v>
      </c>
      <c r="D30" s="142">
        <v>27</v>
      </c>
      <c r="F30" s="148" t="s">
        <v>5</v>
      </c>
      <c r="G30" s="148" t="s">
        <v>1</v>
      </c>
      <c r="H30" s="148" t="s">
        <v>3312</v>
      </c>
      <c r="I30" s="147" t="s">
        <v>3260</v>
      </c>
      <c r="K30" s="152" t="s">
        <v>10</v>
      </c>
      <c r="L30" s="152" t="s">
        <v>72</v>
      </c>
      <c r="M30" s="152">
        <v>89</v>
      </c>
      <c r="N30" s="154">
        <v>8</v>
      </c>
      <c r="P30" s="142" t="s">
        <v>12</v>
      </c>
      <c r="Q30" s="142" t="s">
        <v>2946</v>
      </c>
      <c r="R30" s="142">
        <v>545</v>
      </c>
      <c r="S30" s="151">
        <v>27</v>
      </c>
      <c r="Z30" s="149" t="s">
        <v>12</v>
      </c>
      <c r="AA30" s="142" t="s">
        <v>2946</v>
      </c>
      <c r="AB30" s="149">
        <v>81</v>
      </c>
      <c r="AC30" s="149">
        <v>7</v>
      </c>
      <c r="AH30" s="149"/>
      <c r="AI30" s="149"/>
    </row>
    <row r="31" spans="1:41" s="142" customFormat="1" ht="15.75">
      <c r="A31" s="142" t="s">
        <v>10</v>
      </c>
      <c r="B31" s="142" t="s">
        <v>169</v>
      </c>
      <c r="C31" s="150">
        <v>585.5</v>
      </c>
      <c r="D31" s="142">
        <v>28</v>
      </c>
      <c r="F31" s="142" t="s">
        <v>10</v>
      </c>
      <c r="G31" s="142" t="s">
        <v>86</v>
      </c>
      <c r="H31" s="142">
        <v>136</v>
      </c>
      <c r="I31" s="142">
        <v>1</v>
      </c>
      <c r="K31" s="142" t="s">
        <v>10</v>
      </c>
      <c r="L31" s="142" t="s">
        <v>97</v>
      </c>
      <c r="M31" s="156">
        <v>89</v>
      </c>
      <c r="N31" s="149">
        <v>8</v>
      </c>
      <c r="P31" s="142" t="s">
        <v>12</v>
      </c>
      <c r="Q31" s="142" t="s">
        <v>70</v>
      </c>
      <c r="R31" s="142">
        <v>545</v>
      </c>
      <c r="S31" s="151">
        <v>27</v>
      </c>
      <c r="U31" s="148" t="s">
        <v>5</v>
      </c>
      <c r="V31" s="148" t="s">
        <v>1</v>
      </c>
      <c r="W31" s="146" t="s">
        <v>104</v>
      </c>
      <c r="X31" s="147" t="s">
        <v>3260</v>
      </c>
      <c r="Z31" s="155"/>
      <c r="AA31" s="152"/>
      <c r="AB31" s="155"/>
      <c r="AC31" s="155"/>
      <c r="AI31" s="149"/>
    </row>
    <row r="32" spans="1:41" s="142" customFormat="1" ht="15.75">
      <c r="A32" s="142" t="s">
        <v>9</v>
      </c>
      <c r="B32" s="142" t="s">
        <v>33</v>
      </c>
      <c r="C32" s="150">
        <v>585.5</v>
      </c>
      <c r="D32" s="142">
        <v>28</v>
      </c>
      <c r="F32" s="142" t="s">
        <v>9</v>
      </c>
      <c r="G32" s="142" t="s">
        <v>184</v>
      </c>
      <c r="H32" s="142">
        <v>133.5</v>
      </c>
      <c r="I32" s="142">
        <v>2</v>
      </c>
      <c r="K32" s="142" t="s">
        <v>9</v>
      </c>
      <c r="L32" s="142" t="s">
        <v>1664</v>
      </c>
      <c r="M32" s="142">
        <v>89</v>
      </c>
      <c r="N32" s="142">
        <v>8</v>
      </c>
      <c r="P32" s="142" t="s">
        <v>12</v>
      </c>
      <c r="Q32" s="142" t="s">
        <v>41</v>
      </c>
      <c r="R32" s="142">
        <v>544.5</v>
      </c>
      <c r="S32" s="151">
        <v>29</v>
      </c>
      <c r="U32" s="142" t="s">
        <v>12</v>
      </c>
      <c r="V32" s="142" t="s">
        <v>15</v>
      </c>
      <c r="W32" s="149">
        <v>140.5</v>
      </c>
      <c r="X32" s="149">
        <v>1</v>
      </c>
      <c r="Z32" s="149"/>
      <c r="AB32" s="149"/>
      <c r="AC32" s="149"/>
      <c r="AH32" s="149"/>
    </row>
    <row r="33" spans="1:34" s="142" customFormat="1" ht="15.75">
      <c r="A33" s="142" t="s">
        <v>9</v>
      </c>
      <c r="B33" s="142" t="s">
        <v>185</v>
      </c>
      <c r="C33" s="150">
        <v>584</v>
      </c>
      <c r="D33" s="142">
        <v>30</v>
      </c>
      <c r="F33" s="142" t="s">
        <v>38</v>
      </c>
      <c r="G33" s="142" t="s">
        <v>2880</v>
      </c>
      <c r="H33" s="142">
        <v>132.5</v>
      </c>
      <c r="I33" s="142">
        <v>3</v>
      </c>
      <c r="P33" s="142" t="s">
        <v>12</v>
      </c>
      <c r="Q33" s="142" t="s">
        <v>59</v>
      </c>
      <c r="R33" s="142">
        <v>537</v>
      </c>
      <c r="S33" s="151">
        <v>30</v>
      </c>
      <c r="U33" s="142" t="s">
        <v>12</v>
      </c>
      <c r="V33" s="142" t="s">
        <v>70</v>
      </c>
      <c r="W33" s="142">
        <v>128</v>
      </c>
      <c r="X33" s="142">
        <v>2</v>
      </c>
      <c r="Z33" s="148" t="s">
        <v>5</v>
      </c>
      <c r="AA33" s="148" t="s">
        <v>1</v>
      </c>
      <c r="AB33" s="146" t="s">
        <v>3300</v>
      </c>
      <c r="AC33" s="147" t="s">
        <v>3260</v>
      </c>
      <c r="AH33" s="149"/>
    </row>
    <row r="34" spans="1:34" s="142" customFormat="1" ht="15.75">
      <c r="A34" s="142" t="s">
        <v>10</v>
      </c>
      <c r="B34" s="142" t="s">
        <v>150</v>
      </c>
      <c r="C34" s="150">
        <v>583</v>
      </c>
      <c r="D34" s="142">
        <v>31</v>
      </c>
      <c r="F34" s="142" t="s">
        <v>19</v>
      </c>
      <c r="G34" s="142" t="s">
        <v>498</v>
      </c>
      <c r="H34" s="142">
        <v>130.5</v>
      </c>
      <c r="I34" s="142">
        <v>4</v>
      </c>
      <c r="K34" s="148" t="s">
        <v>5</v>
      </c>
      <c r="L34" s="148" t="s">
        <v>1</v>
      </c>
      <c r="M34" s="148" t="s">
        <v>3489</v>
      </c>
      <c r="N34" s="147" t="s">
        <v>3260</v>
      </c>
      <c r="P34" s="142" t="s">
        <v>12</v>
      </c>
      <c r="Q34" s="142" t="s">
        <v>46</v>
      </c>
      <c r="R34" s="142">
        <v>536.5</v>
      </c>
      <c r="S34" s="151">
        <v>31</v>
      </c>
      <c r="U34" s="142" t="s">
        <v>52</v>
      </c>
      <c r="V34" s="142" t="s">
        <v>132</v>
      </c>
      <c r="W34" s="142">
        <v>126</v>
      </c>
      <c r="X34" s="142">
        <v>3</v>
      </c>
      <c r="Z34" s="142" t="s">
        <v>12</v>
      </c>
      <c r="AA34" s="142" t="s">
        <v>15</v>
      </c>
      <c r="AB34" s="142">
        <v>92</v>
      </c>
      <c r="AC34" s="142">
        <v>1</v>
      </c>
      <c r="AH34" s="149"/>
    </row>
    <row r="35" spans="1:34" s="142" customFormat="1" ht="15.75">
      <c r="A35" s="142" t="s">
        <v>10</v>
      </c>
      <c r="B35" s="142" t="s">
        <v>121</v>
      </c>
      <c r="C35" s="150">
        <v>581.5</v>
      </c>
      <c r="D35" s="142">
        <v>32</v>
      </c>
      <c r="F35" s="142" t="s">
        <v>9</v>
      </c>
      <c r="G35" s="142" t="s">
        <v>202</v>
      </c>
      <c r="H35" s="142">
        <v>128.5</v>
      </c>
      <c r="I35" s="142">
        <v>5</v>
      </c>
      <c r="K35" s="142" t="s">
        <v>9</v>
      </c>
      <c r="L35" s="142" t="s">
        <v>1578</v>
      </c>
      <c r="M35" s="142">
        <v>97</v>
      </c>
      <c r="N35" s="142">
        <v>1</v>
      </c>
      <c r="P35" s="142" t="s">
        <v>12</v>
      </c>
      <c r="Q35" s="142" t="s">
        <v>125</v>
      </c>
      <c r="R35" s="142">
        <v>536</v>
      </c>
      <c r="S35" s="151">
        <v>32</v>
      </c>
      <c r="U35" s="149" t="s">
        <v>12</v>
      </c>
      <c r="V35" s="142" t="s">
        <v>79</v>
      </c>
      <c r="W35" s="149">
        <v>124.5</v>
      </c>
      <c r="X35" s="149">
        <v>4</v>
      </c>
      <c r="Z35" s="142" t="s">
        <v>12</v>
      </c>
      <c r="AA35" s="142" t="s">
        <v>13</v>
      </c>
      <c r="AB35" s="142">
        <v>89</v>
      </c>
      <c r="AC35" s="142">
        <v>2</v>
      </c>
      <c r="AH35" s="149"/>
    </row>
    <row r="36" spans="1:34" s="142" customFormat="1" ht="15.75">
      <c r="A36" s="142" t="s">
        <v>9</v>
      </c>
      <c r="B36" s="142" t="s">
        <v>1618</v>
      </c>
      <c r="C36" s="150">
        <v>581</v>
      </c>
      <c r="D36" s="142">
        <v>33</v>
      </c>
      <c r="F36" s="142" t="s">
        <v>9</v>
      </c>
      <c r="G36" s="142" t="s">
        <v>114</v>
      </c>
      <c r="H36" s="142">
        <v>128</v>
      </c>
      <c r="I36" s="142">
        <v>6</v>
      </c>
      <c r="K36" s="142" t="s">
        <v>10</v>
      </c>
      <c r="L36" s="142" t="s">
        <v>115</v>
      </c>
      <c r="M36" s="142">
        <v>97</v>
      </c>
      <c r="N36" s="142">
        <v>1</v>
      </c>
      <c r="P36" s="142" t="s">
        <v>12</v>
      </c>
      <c r="Q36" s="142" t="s">
        <v>116</v>
      </c>
      <c r="R36" s="142">
        <v>531.5</v>
      </c>
      <c r="S36" s="151">
        <v>33</v>
      </c>
      <c r="U36" s="149" t="s">
        <v>25</v>
      </c>
      <c r="V36" s="142" t="s">
        <v>140</v>
      </c>
      <c r="W36" s="149">
        <v>123</v>
      </c>
      <c r="X36" s="149">
        <v>5</v>
      </c>
      <c r="Z36" s="149" t="s">
        <v>12</v>
      </c>
      <c r="AA36" s="142" t="s">
        <v>125</v>
      </c>
      <c r="AB36" s="149">
        <v>85</v>
      </c>
      <c r="AC36" s="149">
        <v>3</v>
      </c>
      <c r="AH36" s="149"/>
    </row>
    <row r="37" spans="1:34" s="142" customFormat="1" ht="15.75">
      <c r="A37" s="142" t="s">
        <v>49</v>
      </c>
      <c r="B37" s="142" t="s">
        <v>105</v>
      </c>
      <c r="C37" s="150">
        <v>581</v>
      </c>
      <c r="D37" s="142">
        <v>33</v>
      </c>
      <c r="F37" s="142" t="s">
        <v>56</v>
      </c>
      <c r="G37" s="142" t="s">
        <v>1464</v>
      </c>
      <c r="H37" s="142">
        <v>127</v>
      </c>
      <c r="I37" s="142">
        <v>7</v>
      </c>
      <c r="K37" s="142" t="s">
        <v>10</v>
      </c>
      <c r="L37" s="142" t="s">
        <v>111</v>
      </c>
      <c r="M37" s="142">
        <v>96</v>
      </c>
      <c r="N37" s="142">
        <v>3</v>
      </c>
      <c r="P37" s="142" t="s">
        <v>12</v>
      </c>
      <c r="Q37" s="142" t="s">
        <v>124</v>
      </c>
      <c r="R37" s="142">
        <v>530</v>
      </c>
      <c r="S37" s="151">
        <v>34</v>
      </c>
      <c r="U37" s="149" t="s">
        <v>12</v>
      </c>
      <c r="V37" s="142" t="s">
        <v>13</v>
      </c>
      <c r="W37" s="149">
        <v>122</v>
      </c>
      <c r="X37" s="149">
        <v>6</v>
      </c>
      <c r="Z37" s="149" t="s">
        <v>52</v>
      </c>
      <c r="AA37" s="142" t="s">
        <v>3437</v>
      </c>
      <c r="AB37" s="149">
        <v>85</v>
      </c>
      <c r="AC37" s="149">
        <v>3</v>
      </c>
      <c r="AH37" s="149"/>
    </row>
    <row r="38" spans="1:34" s="142" customFormat="1" ht="15.75">
      <c r="A38" s="142" t="s">
        <v>117</v>
      </c>
      <c r="B38" s="142" t="s">
        <v>118</v>
      </c>
      <c r="C38" s="150">
        <v>580</v>
      </c>
      <c r="D38" s="142">
        <v>35</v>
      </c>
      <c r="F38" s="142" t="s">
        <v>10</v>
      </c>
      <c r="G38" s="142" t="s">
        <v>48</v>
      </c>
      <c r="H38" s="142">
        <v>126</v>
      </c>
      <c r="I38" s="142">
        <v>8</v>
      </c>
      <c r="K38" s="142" t="s">
        <v>10</v>
      </c>
      <c r="L38" s="142" t="s">
        <v>181</v>
      </c>
      <c r="M38" s="142">
        <v>95</v>
      </c>
      <c r="N38" s="142">
        <v>4</v>
      </c>
      <c r="P38" s="142" t="s">
        <v>12</v>
      </c>
      <c r="Q38" s="142" t="s">
        <v>32</v>
      </c>
      <c r="R38" s="142">
        <v>528.5</v>
      </c>
      <c r="S38" s="151">
        <v>35</v>
      </c>
      <c r="U38" s="149" t="s">
        <v>12</v>
      </c>
      <c r="V38" s="142" t="s">
        <v>94</v>
      </c>
      <c r="W38" s="149">
        <v>121</v>
      </c>
      <c r="X38" s="149">
        <v>7</v>
      </c>
      <c r="Z38" s="149" t="s">
        <v>12</v>
      </c>
      <c r="AA38" s="142" t="s">
        <v>46</v>
      </c>
      <c r="AB38" s="149">
        <v>84</v>
      </c>
      <c r="AC38" s="149">
        <v>5</v>
      </c>
      <c r="AH38" s="149"/>
    </row>
    <row r="39" spans="1:34" s="142" customFormat="1" ht="15.75">
      <c r="A39" s="142" t="s">
        <v>10</v>
      </c>
      <c r="B39" s="142" t="s">
        <v>144</v>
      </c>
      <c r="C39" s="150">
        <v>579</v>
      </c>
      <c r="D39" s="142">
        <v>36</v>
      </c>
      <c r="F39" s="142" t="s">
        <v>10</v>
      </c>
      <c r="G39" s="142" t="s">
        <v>77</v>
      </c>
      <c r="H39" s="142">
        <v>126</v>
      </c>
      <c r="I39" s="142">
        <v>8</v>
      </c>
      <c r="K39" s="142" t="s">
        <v>28</v>
      </c>
      <c r="L39" s="142" t="s">
        <v>355</v>
      </c>
      <c r="M39" s="142">
        <v>95</v>
      </c>
      <c r="N39" s="142">
        <v>4</v>
      </c>
      <c r="P39" s="142" t="s">
        <v>12</v>
      </c>
      <c r="Q39" s="142" t="s">
        <v>120</v>
      </c>
      <c r="R39" s="142">
        <v>527.5</v>
      </c>
      <c r="S39" s="151">
        <v>36</v>
      </c>
      <c r="U39" s="149" t="s">
        <v>12</v>
      </c>
      <c r="V39" s="142" t="s">
        <v>51</v>
      </c>
      <c r="W39" s="149">
        <v>120.5</v>
      </c>
      <c r="X39" s="149">
        <v>8</v>
      </c>
      <c r="Z39" s="149" t="s">
        <v>12</v>
      </c>
      <c r="AA39" s="142" t="s">
        <v>164</v>
      </c>
      <c r="AB39" s="149">
        <v>83</v>
      </c>
      <c r="AC39" s="149">
        <v>6</v>
      </c>
      <c r="AH39" s="149"/>
    </row>
    <row r="40" spans="1:34" s="142" customFormat="1" ht="15.75">
      <c r="A40" s="142" t="s">
        <v>10</v>
      </c>
      <c r="B40" s="142" t="s">
        <v>137</v>
      </c>
      <c r="C40" s="150">
        <v>577</v>
      </c>
      <c r="D40" s="142">
        <v>37</v>
      </c>
      <c r="F40" s="142" t="s">
        <v>10</v>
      </c>
      <c r="G40" s="142" t="s">
        <v>47</v>
      </c>
      <c r="H40" s="142">
        <v>125</v>
      </c>
      <c r="I40" s="142">
        <v>10</v>
      </c>
      <c r="K40" s="142" t="s">
        <v>9</v>
      </c>
      <c r="L40" s="142" t="s">
        <v>2523</v>
      </c>
      <c r="M40" s="142">
        <v>94</v>
      </c>
      <c r="N40" s="142">
        <v>6</v>
      </c>
      <c r="P40" s="142" t="s">
        <v>12</v>
      </c>
      <c r="Q40" s="142" t="s">
        <v>112</v>
      </c>
      <c r="R40" s="142">
        <v>526.5</v>
      </c>
      <c r="S40" s="151">
        <v>37</v>
      </c>
      <c r="U40" s="149" t="s">
        <v>12</v>
      </c>
      <c r="V40" s="142" t="s">
        <v>130</v>
      </c>
      <c r="W40" s="149">
        <v>120.5</v>
      </c>
      <c r="X40" s="149">
        <v>8</v>
      </c>
      <c r="Z40" s="149" t="s">
        <v>12</v>
      </c>
      <c r="AA40" s="142" t="s">
        <v>64</v>
      </c>
      <c r="AB40" s="149">
        <v>82</v>
      </c>
      <c r="AC40" s="149">
        <v>7</v>
      </c>
      <c r="AH40" s="149"/>
    </row>
    <row r="41" spans="1:34" s="142" customFormat="1" ht="15.75">
      <c r="A41" s="142" t="s">
        <v>9</v>
      </c>
      <c r="B41" s="142" t="s">
        <v>170</v>
      </c>
      <c r="C41" s="150">
        <v>576</v>
      </c>
      <c r="D41" s="142">
        <v>38</v>
      </c>
      <c r="F41" s="142" t="s">
        <v>10</v>
      </c>
      <c r="G41" s="142" t="s">
        <v>11</v>
      </c>
      <c r="H41" s="142">
        <v>125</v>
      </c>
      <c r="I41" s="142">
        <v>10</v>
      </c>
      <c r="K41" s="142" t="s">
        <v>10</v>
      </c>
      <c r="L41" s="142" t="s">
        <v>74</v>
      </c>
      <c r="M41" s="142">
        <v>94</v>
      </c>
      <c r="N41" s="142">
        <v>6</v>
      </c>
      <c r="P41" s="142" t="s">
        <v>25</v>
      </c>
      <c r="Q41" s="142" t="s">
        <v>3181</v>
      </c>
      <c r="R41" s="142">
        <v>525</v>
      </c>
      <c r="S41" s="151">
        <v>38</v>
      </c>
      <c r="U41" s="149" t="s">
        <v>12</v>
      </c>
      <c r="V41" s="142" t="s">
        <v>102</v>
      </c>
      <c r="W41" s="149">
        <v>116.5</v>
      </c>
      <c r="X41" s="149">
        <v>10</v>
      </c>
      <c r="Z41" s="149" t="s">
        <v>12</v>
      </c>
      <c r="AA41" s="142" t="s">
        <v>84</v>
      </c>
      <c r="AB41" s="149">
        <v>82</v>
      </c>
      <c r="AC41" s="149">
        <v>7</v>
      </c>
      <c r="AH41" s="149"/>
    </row>
    <row r="42" spans="1:34" s="142" customFormat="1" ht="15.75">
      <c r="A42" s="142" t="s">
        <v>10</v>
      </c>
      <c r="B42" s="142" t="s">
        <v>111</v>
      </c>
      <c r="C42" s="150">
        <v>575.5</v>
      </c>
      <c r="D42" s="142">
        <v>39</v>
      </c>
      <c r="F42" s="142" t="s">
        <v>49</v>
      </c>
      <c r="G42" s="142" t="s">
        <v>2732</v>
      </c>
      <c r="H42" s="142">
        <v>125</v>
      </c>
      <c r="I42" s="142">
        <v>10</v>
      </c>
      <c r="K42" s="142" t="s">
        <v>109</v>
      </c>
      <c r="L42" s="142" t="s">
        <v>1974</v>
      </c>
      <c r="M42" s="142">
        <v>93</v>
      </c>
      <c r="N42" s="142">
        <v>8</v>
      </c>
      <c r="P42" s="142" t="s">
        <v>25</v>
      </c>
      <c r="Q42" s="142" t="s">
        <v>2356</v>
      </c>
      <c r="R42" s="142">
        <v>524</v>
      </c>
      <c r="S42" s="151">
        <v>39</v>
      </c>
      <c r="U42" s="149"/>
      <c r="W42" s="149"/>
      <c r="X42" s="149"/>
      <c r="Z42" s="149" t="s">
        <v>12</v>
      </c>
      <c r="AA42" s="142" t="s">
        <v>124</v>
      </c>
      <c r="AB42" s="149">
        <v>80</v>
      </c>
      <c r="AC42" s="149">
        <v>9</v>
      </c>
      <c r="AH42" s="149"/>
    </row>
    <row r="43" spans="1:34" s="142" customFormat="1" ht="15.75">
      <c r="A43" s="142" t="s">
        <v>10</v>
      </c>
      <c r="B43" s="142" t="s">
        <v>82</v>
      </c>
      <c r="C43" s="150">
        <v>574</v>
      </c>
      <c r="D43" s="142">
        <v>40</v>
      </c>
      <c r="K43" s="142" t="s">
        <v>9</v>
      </c>
      <c r="L43" s="142" t="s">
        <v>1608</v>
      </c>
      <c r="M43" s="142">
        <v>93</v>
      </c>
      <c r="N43" s="142">
        <v>8</v>
      </c>
      <c r="P43" s="142" t="s">
        <v>52</v>
      </c>
      <c r="Q43" s="142" t="s">
        <v>65</v>
      </c>
      <c r="R43" s="142">
        <v>524</v>
      </c>
      <c r="S43" s="151">
        <v>39</v>
      </c>
      <c r="U43" s="149"/>
      <c r="W43" s="149"/>
      <c r="X43" s="149"/>
      <c r="Z43" s="149" t="s">
        <v>52</v>
      </c>
      <c r="AA43" s="142" t="s">
        <v>2917</v>
      </c>
      <c r="AB43" s="149">
        <v>80</v>
      </c>
      <c r="AC43" s="149">
        <v>9</v>
      </c>
      <c r="AH43" s="149"/>
    </row>
    <row r="44" spans="1:34" s="142" customFormat="1" ht="15.75">
      <c r="A44" s="142" t="s">
        <v>10</v>
      </c>
      <c r="B44" s="142" t="s">
        <v>172</v>
      </c>
      <c r="C44" s="150">
        <v>574</v>
      </c>
      <c r="D44" s="142">
        <v>40</v>
      </c>
      <c r="K44" s="142" t="s">
        <v>117</v>
      </c>
      <c r="L44" s="142" t="s">
        <v>802</v>
      </c>
      <c r="M44" s="142">
        <v>92</v>
      </c>
      <c r="N44" s="142">
        <v>10</v>
      </c>
      <c r="P44" s="142" t="s">
        <v>12</v>
      </c>
      <c r="Q44" s="142" t="s">
        <v>411</v>
      </c>
      <c r="R44" s="142">
        <v>522</v>
      </c>
      <c r="S44" s="151">
        <v>41</v>
      </c>
      <c r="U44" s="149"/>
      <c r="W44" s="149"/>
      <c r="X44" s="149"/>
      <c r="Z44" s="149"/>
      <c r="AB44" s="149"/>
      <c r="AC44" s="149"/>
      <c r="AH44" s="149"/>
    </row>
    <row r="45" spans="1:34" s="142" customFormat="1" ht="15.75">
      <c r="A45" s="142" t="s">
        <v>9</v>
      </c>
      <c r="B45" s="142" t="s">
        <v>202</v>
      </c>
      <c r="C45" s="150">
        <v>573.5</v>
      </c>
      <c r="D45" s="142">
        <v>42</v>
      </c>
      <c r="K45" s="142" t="s">
        <v>117</v>
      </c>
      <c r="L45" s="142" t="s">
        <v>737</v>
      </c>
      <c r="M45" s="142">
        <v>92</v>
      </c>
      <c r="N45" s="142">
        <v>10</v>
      </c>
      <c r="P45" s="142" t="s">
        <v>52</v>
      </c>
      <c r="Q45" s="142" t="s">
        <v>2928</v>
      </c>
      <c r="R45" s="142">
        <v>521</v>
      </c>
      <c r="S45" s="151">
        <v>42</v>
      </c>
      <c r="U45" s="149"/>
      <c r="W45" s="149"/>
      <c r="X45" s="149"/>
      <c r="AB45" s="149"/>
      <c r="AC45" s="149"/>
      <c r="AH45" s="149"/>
    </row>
    <row r="46" spans="1:34" s="142" customFormat="1" ht="15.75">
      <c r="A46" s="142" t="s">
        <v>28</v>
      </c>
      <c r="B46" s="142" t="s">
        <v>355</v>
      </c>
      <c r="C46" s="150">
        <v>572</v>
      </c>
      <c r="D46" s="142">
        <v>43</v>
      </c>
      <c r="P46" s="142" t="s">
        <v>12</v>
      </c>
      <c r="Q46" s="142" t="s">
        <v>44</v>
      </c>
      <c r="R46" s="142">
        <v>519.5</v>
      </c>
      <c r="S46" s="151">
        <v>43</v>
      </c>
      <c r="AB46" s="149"/>
      <c r="AC46" s="149"/>
      <c r="AH46" s="149"/>
    </row>
    <row r="47" spans="1:34" s="142" customFormat="1" ht="15.75">
      <c r="A47" s="142" t="s">
        <v>10</v>
      </c>
      <c r="B47" s="142" t="s">
        <v>3264</v>
      </c>
      <c r="C47" s="150">
        <v>571.5</v>
      </c>
      <c r="D47" s="142">
        <v>44</v>
      </c>
      <c r="P47" s="142" t="s">
        <v>12</v>
      </c>
      <c r="Q47" s="142" t="s">
        <v>149</v>
      </c>
      <c r="R47" s="142">
        <v>517.5</v>
      </c>
      <c r="S47" s="151">
        <v>44</v>
      </c>
      <c r="AB47" s="149"/>
      <c r="AC47" s="149"/>
      <c r="AH47" s="149"/>
    </row>
    <row r="48" spans="1:34" s="142" customFormat="1" ht="15.75">
      <c r="A48" s="142" t="s">
        <v>10</v>
      </c>
      <c r="B48" s="142" t="s">
        <v>85</v>
      </c>
      <c r="C48" s="150">
        <v>571</v>
      </c>
      <c r="D48" s="142">
        <v>45</v>
      </c>
      <c r="P48" s="142" t="s">
        <v>12</v>
      </c>
      <c r="Q48" s="142" t="s">
        <v>1653</v>
      </c>
      <c r="R48" s="142">
        <v>517</v>
      </c>
      <c r="S48" s="151">
        <v>45</v>
      </c>
      <c r="AH48" s="149"/>
    </row>
    <row r="49" spans="1:34" s="142" customFormat="1" ht="15.75">
      <c r="A49" s="142" t="s">
        <v>10</v>
      </c>
      <c r="B49" s="142" t="s">
        <v>1940</v>
      </c>
      <c r="C49" s="150">
        <v>568.5</v>
      </c>
      <c r="D49" s="142">
        <v>46</v>
      </c>
      <c r="P49" s="142" t="s">
        <v>52</v>
      </c>
      <c r="Q49" s="142" t="s">
        <v>96</v>
      </c>
      <c r="R49" s="142">
        <v>516</v>
      </c>
      <c r="S49" s="151">
        <v>46</v>
      </c>
      <c r="AH49" s="149"/>
    </row>
    <row r="50" spans="1:34" s="142" customFormat="1" ht="15.75">
      <c r="A50" s="142" t="s">
        <v>10</v>
      </c>
      <c r="B50" s="142" t="s">
        <v>165</v>
      </c>
      <c r="C50" s="150">
        <v>567</v>
      </c>
      <c r="D50" s="142">
        <v>47</v>
      </c>
      <c r="F50" s="172" t="s">
        <v>3491</v>
      </c>
      <c r="G50" s="172"/>
      <c r="H50" s="172"/>
      <c r="P50" s="142" t="s">
        <v>52</v>
      </c>
      <c r="Q50" s="142" t="s">
        <v>71</v>
      </c>
      <c r="R50" s="142">
        <v>516</v>
      </c>
      <c r="S50" s="151">
        <v>46</v>
      </c>
      <c r="AH50" s="149"/>
    </row>
    <row r="51" spans="1:34" s="142" customFormat="1" ht="15.75">
      <c r="A51" s="142" t="s">
        <v>60</v>
      </c>
      <c r="B51" s="142" t="s">
        <v>994</v>
      </c>
      <c r="C51" s="150">
        <v>566.5</v>
      </c>
      <c r="D51" s="142">
        <v>48</v>
      </c>
      <c r="F51" s="157" t="s">
        <v>153</v>
      </c>
      <c r="G51" s="157" t="s">
        <v>154</v>
      </c>
      <c r="H51" s="157" t="s">
        <v>155</v>
      </c>
      <c r="L51" s="173" t="s">
        <v>156</v>
      </c>
      <c r="M51" s="173"/>
      <c r="N51" s="173"/>
      <c r="P51" s="142" t="s">
        <v>52</v>
      </c>
      <c r="Q51" s="142" t="s">
        <v>27</v>
      </c>
      <c r="R51" s="142">
        <v>514.5</v>
      </c>
      <c r="S51" s="151">
        <v>48</v>
      </c>
      <c r="AH51" s="149"/>
    </row>
    <row r="52" spans="1:34" s="142" customFormat="1" ht="15.75">
      <c r="A52" s="142" t="s">
        <v>9</v>
      </c>
      <c r="B52" s="142" t="s">
        <v>1611</v>
      </c>
      <c r="C52" s="150">
        <v>566.5</v>
      </c>
      <c r="D52" s="142">
        <v>48</v>
      </c>
      <c r="F52" s="148" t="s">
        <v>28</v>
      </c>
      <c r="G52" s="158">
        <v>1</v>
      </c>
      <c r="H52" s="148">
        <v>1</v>
      </c>
      <c r="L52" s="148">
        <v>1</v>
      </c>
      <c r="M52" s="148">
        <v>1809</v>
      </c>
      <c r="N52" s="159">
        <v>584.56730769230774</v>
      </c>
      <c r="P52" s="142" t="s">
        <v>12</v>
      </c>
      <c r="Q52" s="142" t="s">
        <v>2922</v>
      </c>
      <c r="R52" s="142">
        <v>513.5</v>
      </c>
      <c r="S52" s="151">
        <v>49</v>
      </c>
    </row>
    <row r="53" spans="1:34" s="142" customFormat="1" ht="15.75">
      <c r="A53" s="142" t="s">
        <v>68</v>
      </c>
      <c r="B53" s="142" t="s">
        <v>186</v>
      </c>
      <c r="C53" s="150">
        <v>565</v>
      </c>
      <c r="D53" s="142">
        <v>50</v>
      </c>
      <c r="F53" s="148" t="s">
        <v>19</v>
      </c>
      <c r="G53" s="146"/>
      <c r="H53" s="148">
        <v>2</v>
      </c>
      <c r="L53" s="148">
        <v>2</v>
      </c>
      <c r="M53" s="148">
        <v>1810</v>
      </c>
      <c r="N53" s="159">
        <v>544.61</v>
      </c>
      <c r="P53" s="142" t="s">
        <v>12</v>
      </c>
      <c r="Q53" s="142" t="s">
        <v>81</v>
      </c>
      <c r="R53" s="142">
        <v>510</v>
      </c>
      <c r="S53" s="151">
        <v>50</v>
      </c>
    </row>
    <row r="54" spans="1:34" s="142" customFormat="1" ht="15.75">
      <c r="A54" s="142" t="s">
        <v>10</v>
      </c>
      <c r="B54" s="142" t="s">
        <v>80</v>
      </c>
      <c r="C54" s="142">
        <v>564.5</v>
      </c>
      <c r="D54" s="142">
        <v>51</v>
      </c>
      <c r="F54" s="148" t="s">
        <v>17</v>
      </c>
      <c r="G54" s="146"/>
      <c r="H54" s="148">
        <v>3</v>
      </c>
      <c r="L54" s="148">
        <v>3</v>
      </c>
      <c r="M54" s="148">
        <v>1803</v>
      </c>
      <c r="N54" s="160">
        <v>454.92105263157896</v>
      </c>
    </row>
    <row r="55" spans="1:34" s="142" customFormat="1" ht="15.75">
      <c r="A55" s="142" t="s">
        <v>9</v>
      </c>
      <c r="B55" s="142" t="s">
        <v>1760</v>
      </c>
      <c r="C55" s="142">
        <v>564.5</v>
      </c>
      <c r="D55" s="142">
        <v>51</v>
      </c>
      <c r="F55" s="148" t="s">
        <v>117</v>
      </c>
      <c r="G55" s="146">
        <v>1</v>
      </c>
      <c r="H55" s="148">
        <v>3</v>
      </c>
      <c r="L55" s="148">
        <v>4</v>
      </c>
      <c r="M55" s="148">
        <v>1804</v>
      </c>
      <c r="N55" s="160">
        <v>452.38888888888891</v>
      </c>
    </row>
    <row r="56" spans="1:34" s="142" customFormat="1" ht="15.75">
      <c r="A56" s="142" t="s">
        <v>10</v>
      </c>
      <c r="B56" s="142" t="s">
        <v>78</v>
      </c>
      <c r="C56" s="142">
        <v>564</v>
      </c>
      <c r="D56" s="142">
        <v>53</v>
      </c>
      <c r="F56" s="148" t="s">
        <v>60</v>
      </c>
      <c r="G56" s="146">
        <v>1</v>
      </c>
      <c r="H56" s="148">
        <v>1</v>
      </c>
      <c r="L56" s="148">
        <v>5</v>
      </c>
      <c r="M56" s="148">
        <v>1816</v>
      </c>
      <c r="N56" s="161">
        <v>451.64285714285717</v>
      </c>
    </row>
    <row r="57" spans="1:34" s="142" customFormat="1" ht="15.75">
      <c r="A57" s="142" t="s">
        <v>10</v>
      </c>
      <c r="B57" s="142" t="s">
        <v>30</v>
      </c>
      <c r="C57" s="142">
        <v>564</v>
      </c>
      <c r="D57" s="142">
        <v>53</v>
      </c>
      <c r="F57" s="148" t="s">
        <v>68</v>
      </c>
      <c r="G57" s="146">
        <v>1</v>
      </c>
      <c r="H57" s="148">
        <v>3</v>
      </c>
      <c r="L57" s="148">
        <v>6</v>
      </c>
      <c r="M57" s="148">
        <v>1812</v>
      </c>
      <c r="N57" s="148">
        <v>450.35087719298247</v>
      </c>
    </row>
    <row r="58" spans="1:34" s="142" customFormat="1" ht="15.75">
      <c r="A58" s="142" t="s">
        <v>9</v>
      </c>
      <c r="B58" s="142" t="s">
        <v>192</v>
      </c>
      <c r="C58" s="142">
        <v>564</v>
      </c>
      <c r="D58" s="142">
        <v>53</v>
      </c>
      <c r="F58" s="148" t="s">
        <v>54</v>
      </c>
      <c r="G58" s="146"/>
      <c r="H58" s="148">
        <v>1</v>
      </c>
    </row>
    <row r="59" spans="1:34" s="142" customFormat="1" ht="15.75">
      <c r="A59" s="142" t="s">
        <v>10</v>
      </c>
      <c r="B59" s="142" t="s">
        <v>42</v>
      </c>
      <c r="C59" s="142">
        <v>563.5</v>
      </c>
      <c r="D59" s="142">
        <v>56</v>
      </c>
      <c r="F59" s="148" t="s">
        <v>56</v>
      </c>
      <c r="G59" s="146"/>
      <c r="H59" s="148">
        <v>1</v>
      </c>
      <c r="L59" s="167" t="s">
        <v>167</v>
      </c>
      <c r="M59" s="168"/>
      <c r="N59" s="169"/>
    </row>
    <row r="60" spans="1:34" s="142" customFormat="1" ht="15.75">
      <c r="A60" s="142" t="s">
        <v>49</v>
      </c>
      <c r="B60" s="142" t="s">
        <v>2717</v>
      </c>
      <c r="C60" s="142">
        <v>563.5</v>
      </c>
      <c r="D60" s="142">
        <v>56</v>
      </c>
      <c r="F60" s="148" t="s">
        <v>10</v>
      </c>
      <c r="G60" s="146">
        <v>35</v>
      </c>
      <c r="H60" s="148">
        <v>49</v>
      </c>
      <c r="L60" s="148">
        <v>1</v>
      </c>
      <c r="M60" s="148">
        <v>1818</v>
      </c>
      <c r="N60" s="160">
        <v>547.64130434782612</v>
      </c>
    </row>
    <row r="61" spans="1:34" s="142" customFormat="1" ht="15.75">
      <c r="A61" s="142" t="s">
        <v>9</v>
      </c>
      <c r="B61" s="142" t="s">
        <v>611</v>
      </c>
      <c r="C61" s="142">
        <v>563</v>
      </c>
      <c r="D61" s="142">
        <v>58</v>
      </c>
      <c r="F61" s="148" t="s">
        <v>9</v>
      </c>
      <c r="G61" s="146">
        <v>9</v>
      </c>
      <c r="H61" s="148">
        <v>26</v>
      </c>
      <c r="L61" s="148">
        <v>2</v>
      </c>
      <c r="M61" s="148">
        <v>1819</v>
      </c>
      <c r="N61" s="160">
        <v>460.84444444444443</v>
      </c>
    </row>
    <row r="62" spans="1:34" s="142" customFormat="1" ht="15.75">
      <c r="A62" s="142" t="s">
        <v>9</v>
      </c>
      <c r="B62" s="142" t="s">
        <v>35</v>
      </c>
      <c r="C62" s="142">
        <v>563</v>
      </c>
      <c r="D62" s="142">
        <v>58</v>
      </c>
      <c r="F62" s="148" t="s">
        <v>34</v>
      </c>
      <c r="G62" s="146"/>
      <c r="H62" s="148"/>
    </row>
    <row r="63" spans="1:34" s="142" customFormat="1" ht="15.75">
      <c r="A63" s="142" t="s">
        <v>19</v>
      </c>
      <c r="B63" s="142" t="s">
        <v>498</v>
      </c>
      <c r="C63" s="142">
        <v>562.5</v>
      </c>
      <c r="D63" s="142">
        <v>60</v>
      </c>
      <c r="F63" s="148" t="s">
        <v>109</v>
      </c>
      <c r="G63" s="146"/>
      <c r="H63" s="148">
        <v>3</v>
      </c>
    </row>
    <row r="64" spans="1:34" s="142" customFormat="1" ht="15.75">
      <c r="A64" s="142" t="s">
        <v>49</v>
      </c>
      <c r="B64" s="142" t="s">
        <v>162</v>
      </c>
      <c r="C64" s="142">
        <v>562.5</v>
      </c>
      <c r="D64" s="142">
        <v>60</v>
      </c>
      <c r="F64" s="148" t="s">
        <v>73</v>
      </c>
      <c r="G64" s="146"/>
      <c r="H64" s="148">
        <v>1</v>
      </c>
    </row>
    <row r="65" spans="1:8" s="142" customFormat="1" ht="15.75">
      <c r="A65" s="142" t="s">
        <v>68</v>
      </c>
      <c r="B65" s="142" t="s">
        <v>1683</v>
      </c>
      <c r="C65" s="142">
        <v>562</v>
      </c>
      <c r="D65" s="142">
        <v>62</v>
      </c>
      <c r="F65" s="148" t="s">
        <v>7</v>
      </c>
      <c r="G65" s="146"/>
      <c r="H65" s="148">
        <v>1</v>
      </c>
    </row>
    <row r="66" spans="1:8" s="142" customFormat="1" ht="15.75">
      <c r="A66" s="142" t="s">
        <v>10</v>
      </c>
      <c r="B66" s="142" t="s">
        <v>195</v>
      </c>
      <c r="C66" s="142">
        <v>562</v>
      </c>
      <c r="D66" s="142">
        <v>62</v>
      </c>
      <c r="F66" s="148" t="s">
        <v>131</v>
      </c>
      <c r="G66" s="146"/>
      <c r="H66" s="148"/>
    </row>
    <row r="67" spans="1:8" s="142" customFormat="1" ht="15.75">
      <c r="A67" s="142" t="s">
        <v>9</v>
      </c>
      <c r="B67" s="142" t="s">
        <v>1608</v>
      </c>
      <c r="C67" s="142">
        <v>562</v>
      </c>
      <c r="D67" s="142">
        <v>62</v>
      </c>
      <c r="F67" s="148" t="s">
        <v>49</v>
      </c>
      <c r="G67" s="146">
        <v>1</v>
      </c>
      <c r="H67" s="148">
        <v>3</v>
      </c>
    </row>
    <row r="68" spans="1:8" s="142" customFormat="1" ht="15.75">
      <c r="A68" s="142" t="s">
        <v>68</v>
      </c>
      <c r="B68" s="142" t="s">
        <v>69</v>
      </c>
      <c r="C68" s="142">
        <v>561.5</v>
      </c>
      <c r="D68" s="142">
        <v>65</v>
      </c>
      <c r="F68" s="148" t="s">
        <v>38</v>
      </c>
      <c r="G68" s="146">
        <v>1</v>
      </c>
      <c r="H68" s="148">
        <v>2</v>
      </c>
    </row>
    <row r="69" spans="1:8" s="142" customFormat="1" ht="15.75">
      <c r="A69" s="142" t="s">
        <v>9</v>
      </c>
      <c r="B69" s="142" t="s">
        <v>207</v>
      </c>
      <c r="C69" s="142">
        <v>561.5</v>
      </c>
      <c r="D69" s="142">
        <v>65</v>
      </c>
      <c r="F69" s="157" t="s">
        <v>173</v>
      </c>
      <c r="G69" s="148">
        <f>SUM(G52:G68)</f>
        <v>50</v>
      </c>
      <c r="H69" s="148">
        <f>SUM(H52:H68)</f>
        <v>100</v>
      </c>
    </row>
    <row r="70" spans="1:8" s="142" customFormat="1" ht="15.75">
      <c r="A70" s="142" t="s">
        <v>10</v>
      </c>
      <c r="B70" s="142" t="s">
        <v>1359</v>
      </c>
      <c r="C70" s="142">
        <v>560.5</v>
      </c>
      <c r="D70" s="142">
        <v>67</v>
      </c>
    </row>
    <row r="71" spans="1:8" s="142" customFormat="1" ht="15.75">
      <c r="A71" s="142" t="s">
        <v>9</v>
      </c>
      <c r="B71" s="142" t="s">
        <v>1538</v>
      </c>
      <c r="C71" s="142">
        <v>560.5</v>
      </c>
      <c r="D71" s="142">
        <v>67</v>
      </c>
    </row>
    <row r="72" spans="1:8" s="142" customFormat="1" ht="15.75">
      <c r="A72" s="142" t="s">
        <v>7</v>
      </c>
      <c r="B72" s="142" t="s">
        <v>1648</v>
      </c>
      <c r="C72" s="142">
        <v>560.5</v>
      </c>
      <c r="D72" s="142">
        <v>67</v>
      </c>
    </row>
    <row r="73" spans="1:8" s="142" customFormat="1" ht="15.75">
      <c r="A73" s="142" t="s">
        <v>10</v>
      </c>
      <c r="B73" s="142" t="s">
        <v>175</v>
      </c>
      <c r="C73" s="142">
        <v>558.5</v>
      </c>
      <c r="D73" s="142">
        <v>70</v>
      </c>
    </row>
    <row r="74" spans="1:8" s="142" customFormat="1" ht="15.75">
      <c r="A74" s="142" t="s">
        <v>10</v>
      </c>
      <c r="B74" s="142" t="s">
        <v>3229</v>
      </c>
      <c r="C74" s="142">
        <v>558</v>
      </c>
      <c r="D74" s="142">
        <v>71</v>
      </c>
    </row>
    <row r="75" spans="1:8" s="142" customFormat="1" ht="15.75">
      <c r="A75" s="142" t="s">
        <v>38</v>
      </c>
      <c r="B75" s="142" t="s">
        <v>193</v>
      </c>
      <c r="C75" s="142">
        <v>558</v>
      </c>
      <c r="D75" s="142">
        <v>71</v>
      </c>
    </row>
    <row r="76" spans="1:8" s="142" customFormat="1" ht="15.75">
      <c r="A76" s="142" t="s">
        <v>10</v>
      </c>
      <c r="B76" s="142" t="s">
        <v>8</v>
      </c>
      <c r="C76" s="142">
        <v>557</v>
      </c>
      <c r="D76" s="142">
        <v>73</v>
      </c>
    </row>
    <row r="77" spans="1:8" s="142" customFormat="1" ht="15.75">
      <c r="A77" s="142" t="s">
        <v>10</v>
      </c>
      <c r="B77" s="142" t="s">
        <v>22</v>
      </c>
      <c r="C77" s="142">
        <v>555</v>
      </c>
      <c r="D77" s="142">
        <v>74</v>
      </c>
    </row>
    <row r="78" spans="1:8" s="142" customFormat="1" ht="15.75">
      <c r="A78" s="142" t="s">
        <v>117</v>
      </c>
      <c r="B78" s="142" t="s">
        <v>808</v>
      </c>
      <c r="C78" s="142">
        <v>554.5</v>
      </c>
      <c r="D78" s="142">
        <v>75</v>
      </c>
    </row>
    <row r="79" spans="1:8" s="142" customFormat="1" ht="15.75">
      <c r="A79" s="142" t="s">
        <v>9</v>
      </c>
      <c r="B79" s="142" t="s">
        <v>184</v>
      </c>
      <c r="C79" s="142">
        <v>554.5</v>
      </c>
      <c r="D79" s="142">
        <v>75</v>
      </c>
    </row>
    <row r="80" spans="1:8" s="142" customFormat="1" ht="15.75">
      <c r="A80" s="142" t="s">
        <v>9</v>
      </c>
      <c r="B80" s="142" t="s">
        <v>1223</v>
      </c>
      <c r="C80" s="142">
        <v>554</v>
      </c>
      <c r="D80" s="142">
        <v>77</v>
      </c>
    </row>
    <row r="81" spans="1:4" s="142" customFormat="1" ht="15.75">
      <c r="A81" s="142" t="s">
        <v>17</v>
      </c>
      <c r="B81" s="142" t="s">
        <v>40</v>
      </c>
      <c r="C81" s="142">
        <v>553.5</v>
      </c>
      <c r="D81" s="142">
        <v>78</v>
      </c>
    </row>
    <row r="82" spans="1:4" s="142" customFormat="1" ht="15.75">
      <c r="A82" s="142" t="s">
        <v>9</v>
      </c>
      <c r="B82" s="142" t="s">
        <v>191</v>
      </c>
      <c r="C82" s="142">
        <v>553</v>
      </c>
      <c r="D82" s="142">
        <v>79</v>
      </c>
    </row>
    <row r="83" spans="1:4" s="142" customFormat="1" ht="15.75">
      <c r="A83" s="142" t="s">
        <v>73</v>
      </c>
      <c r="B83" s="142" t="s">
        <v>2136</v>
      </c>
      <c r="C83" s="142">
        <v>553</v>
      </c>
      <c r="D83" s="142">
        <v>79</v>
      </c>
    </row>
    <row r="84" spans="1:4" s="142" customFormat="1" ht="15.75">
      <c r="A84" s="142" t="s">
        <v>9</v>
      </c>
      <c r="B84" s="142" t="s">
        <v>2093</v>
      </c>
      <c r="C84" s="142">
        <v>552</v>
      </c>
      <c r="D84" s="142">
        <v>81</v>
      </c>
    </row>
    <row r="85" spans="1:4" s="142" customFormat="1" ht="15.75">
      <c r="A85" s="142" t="s">
        <v>10</v>
      </c>
      <c r="B85" s="142" t="s">
        <v>97</v>
      </c>
      <c r="C85" s="142">
        <v>551</v>
      </c>
      <c r="D85" s="142">
        <v>82</v>
      </c>
    </row>
    <row r="86" spans="1:4" s="142" customFormat="1" ht="15.75">
      <c r="A86" s="142" t="s">
        <v>9</v>
      </c>
      <c r="B86" s="142" t="s">
        <v>114</v>
      </c>
      <c r="C86" s="142">
        <v>550</v>
      </c>
      <c r="D86" s="142">
        <v>83</v>
      </c>
    </row>
    <row r="87" spans="1:4" s="142" customFormat="1" ht="15.75">
      <c r="A87" s="142" t="s">
        <v>109</v>
      </c>
      <c r="B87" s="142" t="s">
        <v>1974</v>
      </c>
      <c r="C87" s="142">
        <v>550</v>
      </c>
      <c r="D87" s="142">
        <v>83</v>
      </c>
    </row>
    <row r="88" spans="1:4" s="142" customFormat="1" ht="15.75">
      <c r="A88" s="142" t="s">
        <v>17</v>
      </c>
      <c r="B88" s="142" t="s">
        <v>667</v>
      </c>
      <c r="C88" s="142">
        <v>549.5</v>
      </c>
      <c r="D88" s="142">
        <v>85</v>
      </c>
    </row>
    <row r="89" spans="1:4" s="142" customFormat="1" ht="15.75">
      <c r="A89" s="142" t="s">
        <v>17</v>
      </c>
      <c r="B89" s="142" t="s">
        <v>673</v>
      </c>
      <c r="C89" s="142">
        <v>549</v>
      </c>
      <c r="D89" s="142">
        <v>86</v>
      </c>
    </row>
    <row r="90" spans="1:4" s="142" customFormat="1" ht="15.75">
      <c r="A90" s="142" t="s">
        <v>9</v>
      </c>
      <c r="B90" s="142" t="s">
        <v>205</v>
      </c>
      <c r="C90" s="142">
        <v>549</v>
      </c>
      <c r="D90" s="142">
        <v>86</v>
      </c>
    </row>
    <row r="91" spans="1:4" s="142" customFormat="1" ht="15.75">
      <c r="A91" s="142" t="s">
        <v>9</v>
      </c>
      <c r="B91" s="142" t="s">
        <v>2726</v>
      </c>
      <c r="C91" s="142">
        <v>549</v>
      </c>
      <c r="D91" s="142">
        <v>86</v>
      </c>
    </row>
    <row r="92" spans="1:4" s="142" customFormat="1" ht="15.75">
      <c r="A92" s="142" t="s">
        <v>9</v>
      </c>
      <c r="B92" s="142" t="s">
        <v>2265</v>
      </c>
      <c r="C92" s="142">
        <v>548.5</v>
      </c>
      <c r="D92" s="142">
        <v>89</v>
      </c>
    </row>
    <row r="93" spans="1:4" s="142" customFormat="1" ht="15.75">
      <c r="A93" s="142" t="s">
        <v>10</v>
      </c>
      <c r="B93" s="142" t="s">
        <v>152</v>
      </c>
      <c r="C93" s="142">
        <v>547.5</v>
      </c>
      <c r="D93" s="142">
        <v>90</v>
      </c>
    </row>
    <row r="94" spans="1:4" s="142" customFormat="1" ht="15.75">
      <c r="A94" s="142" t="s">
        <v>9</v>
      </c>
      <c r="B94" s="142" t="s">
        <v>1771</v>
      </c>
      <c r="C94" s="142">
        <v>547.5</v>
      </c>
      <c r="D94" s="142">
        <v>90</v>
      </c>
    </row>
    <row r="95" spans="1:4" s="142" customFormat="1" ht="15.75">
      <c r="A95" s="142" t="s">
        <v>109</v>
      </c>
      <c r="B95" s="142" t="s">
        <v>110</v>
      </c>
      <c r="C95" s="142">
        <v>545.5</v>
      </c>
      <c r="D95" s="142">
        <v>92</v>
      </c>
    </row>
    <row r="96" spans="1:4" s="142" customFormat="1" ht="15.75">
      <c r="A96" s="142" t="s">
        <v>10</v>
      </c>
      <c r="B96" s="142" t="s">
        <v>160</v>
      </c>
      <c r="C96" s="142">
        <v>545</v>
      </c>
      <c r="D96" s="142">
        <v>93</v>
      </c>
    </row>
    <row r="97" spans="1:4" s="142" customFormat="1" ht="15.75">
      <c r="A97" s="142" t="s">
        <v>109</v>
      </c>
      <c r="B97" s="142" t="s">
        <v>2049</v>
      </c>
      <c r="C97" s="142">
        <v>545</v>
      </c>
      <c r="D97" s="142">
        <v>93</v>
      </c>
    </row>
    <row r="98" spans="1:4" s="142" customFormat="1" ht="15.75">
      <c r="A98" s="142" t="s">
        <v>117</v>
      </c>
      <c r="B98" s="142" t="s">
        <v>731</v>
      </c>
      <c r="C98" s="142">
        <v>544</v>
      </c>
      <c r="D98" s="142">
        <v>95</v>
      </c>
    </row>
    <row r="99" spans="1:4" s="142" customFormat="1" ht="15.75">
      <c r="A99" s="142" t="s">
        <v>54</v>
      </c>
      <c r="B99" s="142" t="s">
        <v>1336</v>
      </c>
      <c r="C99" s="142">
        <v>544</v>
      </c>
      <c r="D99" s="142">
        <v>95</v>
      </c>
    </row>
    <row r="100" spans="1:4" s="142" customFormat="1" ht="15.75">
      <c r="A100" s="142" t="s">
        <v>10</v>
      </c>
      <c r="B100" s="142" t="s">
        <v>174</v>
      </c>
      <c r="C100" s="142">
        <v>543.5</v>
      </c>
      <c r="D100" s="142">
        <v>97</v>
      </c>
    </row>
    <row r="101" spans="1:4" s="142" customFormat="1" ht="15.75">
      <c r="A101" s="142" t="s">
        <v>9</v>
      </c>
      <c r="B101" s="142" t="s">
        <v>1645</v>
      </c>
      <c r="C101" s="142">
        <v>543</v>
      </c>
      <c r="D101" s="142">
        <v>98</v>
      </c>
    </row>
    <row r="102" spans="1:4" s="142" customFormat="1" ht="15.75">
      <c r="A102" s="142" t="s">
        <v>56</v>
      </c>
      <c r="B102" s="142" t="s">
        <v>177</v>
      </c>
      <c r="C102" s="142">
        <v>541.5</v>
      </c>
      <c r="D102" s="142">
        <v>99</v>
      </c>
    </row>
    <row r="103" spans="1:4" s="142" customFormat="1" ht="15.75">
      <c r="A103" s="142" t="s">
        <v>19</v>
      </c>
      <c r="B103" s="142" t="s">
        <v>519</v>
      </c>
      <c r="C103" s="142">
        <v>541</v>
      </c>
      <c r="D103" s="142">
        <v>100</v>
      </c>
    </row>
    <row r="104" spans="1:4" s="142" customFormat="1" ht="15.75"/>
    <row r="105" spans="1:4" s="142" customFormat="1" ht="15.75"/>
  </sheetData>
  <protectedRanges>
    <protectedRange sqref="M3" name="区域1_13_1"/>
  </protectedRanges>
  <mergeCells count="8">
    <mergeCell ref="L59:N59"/>
    <mergeCell ref="A1:AA1"/>
    <mergeCell ref="AE19:AI19"/>
    <mergeCell ref="F50:H50"/>
    <mergeCell ref="A2:N2"/>
    <mergeCell ref="P2:AC2"/>
    <mergeCell ref="L51:N51"/>
    <mergeCell ref="AE2:AI2"/>
  </mergeCells>
  <phoneticPr fontId="1" type="noConversion"/>
  <pageMargins left="0.39370078740157483" right="0.39370078740157483" top="0.19685039370078741" bottom="0.15748031496062992" header="0.39370078740157483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938"/>
  <sheetViews>
    <sheetView workbookViewId="0">
      <selection activeCell="E26" sqref="E26"/>
    </sheetView>
  </sheetViews>
  <sheetFormatPr defaultRowHeight="14.25"/>
  <cols>
    <col min="1" max="35" width="7.875" customWidth="1"/>
    <col min="37" max="71" width="7.875" customWidth="1"/>
    <col min="257" max="291" width="7.875" customWidth="1"/>
    <col min="513" max="547" width="7.875" customWidth="1"/>
    <col min="769" max="803" width="7.875" customWidth="1"/>
    <col min="1025" max="1059" width="7.875" customWidth="1"/>
    <col min="1281" max="1315" width="7.875" customWidth="1"/>
    <col min="1537" max="1571" width="7.875" customWidth="1"/>
    <col min="1793" max="1827" width="7.875" customWidth="1"/>
    <col min="2049" max="2083" width="7.875" customWidth="1"/>
    <col min="2305" max="2339" width="7.875" customWidth="1"/>
    <col min="2561" max="2595" width="7.875" customWidth="1"/>
    <col min="2817" max="2851" width="7.875" customWidth="1"/>
    <col min="3073" max="3107" width="7.875" customWidth="1"/>
    <col min="3329" max="3363" width="7.875" customWidth="1"/>
    <col min="3585" max="3619" width="7.875" customWidth="1"/>
    <col min="3841" max="3875" width="7.875" customWidth="1"/>
    <col min="4097" max="4131" width="7.875" customWidth="1"/>
    <col min="4353" max="4387" width="7.875" customWidth="1"/>
    <col min="4609" max="4643" width="7.875" customWidth="1"/>
    <col min="4865" max="4899" width="7.875" customWidth="1"/>
    <col min="5121" max="5155" width="7.875" customWidth="1"/>
    <col min="5377" max="5411" width="7.875" customWidth="1"/>
    <col min="5633" max="5667" width="7.875" customWidth="1"/>
    <col min="5889" max="5923" width="7.875" customWidth="1"/>
    <col min="6145" max="6179" width="7.875" customWidth="1"/>
    <col min="6401" max="6435" width="7.875" customWidth="1"/>
    <col min="6657" max="6691" width="7.875" customWidth="1"/>
    <col min="6913" max="6947" width="7.875" customWidth="1"/>
    <col min="7169" max="7203" width="7.875" customWidth="1"/>
    <col min="7425" max="7459" width="7.875" customWidth="1"/>
    <col min="7681" max="7715" width="7.875" customWidth="1"/>
    <col min="7937" max="7971" width="7.875" customWidth="1"/>
    <col min="8193" max="8227" width="7.875" customWidth="1"/>
    <col min="8449" max="8483" width="7.875" customWidth="1"/>
    <col min="8705" max="8739" width="7.875" customWidth="1"/>
    <col min="8961" max="8995" width="7.875" customWidth="1"/>
    <col min="9217" max="9251" width="7.875" customWidth="1"/>
    <col min="9473" max="9507" width="7.875" customWidth="1"/>
    <col min="9729" max="9763" width="7.875" customWidth="1"/>
    <col min="9985" max="10019" width="7.875" customWidth="1"/>
    <col min="10241" max="10275" width="7.875" customWidth="1"/>
    <col min="10497" max="10531" width="7.875" customWidth="1"/>
    <col min="10753" max="10787" width="7.875" customWidth="1"/>
    <col min="11009" max="11043" width="7.875" customWidth="1"/>
    <col min="11265" max="11299" width="7.875" customWidth="1"/>
    <col min="11521" max="11555" width="7.875" customWidth="1"/>
    <col min="11777" max="11811" width="7.875" customWidth="1"/>
    <col min="12033" max="12067" width="7.875" customWidth="1"/>
    <col min="12289" max="12323" width="7.875" customWidth="1"/>
    <col min="12545" max="12579" width="7.875" customWidth="1"/>
    <col min="12801" max="12835" width="7.875" customWidth="1"/>
    <col min="13057" max="13091" width="7.875" customWidth="1"/>
    <col min="13313" max="13347" width="7.875" customWidth="1"/>
    <col min="13569" max="13603" width="7.875" customWidth="1"/>
    <col min="13825" max="13859" width="7.875" customWidth="1"/>
    <col min="14081" max="14115" width="7.875" customWidth="1"/>
    <col min="14337" max="14371" width="7.875" customWidth="1"/>
    <col min="14593" max="14627" width="7.875" customWidth="1"/>
    <col min="14849" max="14883" width="7.875" customWidth="1"/>
    <col min="15105" max="15139" width="7.875" customWidth="1"/>
    <col min="15361" max="15395" width="7.875" customWidth="1"/>
    <col min="15617" max="15651" width="7.875" customWidth="1"/>
    <col min="15873" max="15907" width="7.875" customWidth="1"/>
    <col min="16129" max="16163" width="7.875" customWidth="1"/>
  </cols>
  <sheetData>
    <row r="1" spans="1:71" ht="24.95" customHeight="1">
      <c r="A1" s="174" t="s">
        <v>3429</v>
      </c>
      <c r="B1" s="174" t="s">
        <v>3291</v>
      </c>
      <c r="C1" s="174" t="s">
        <v>3291</v>
      </c>
      <c r="D1" s="174" t="s">
        <v>3291</v>
      </c>
      <c r="E1" s="174" t="s">
        <v>3291</v>
      </c>
      <c r="F1" s="174" t="s">
        <v>3291</v>
      </c>
      <c r="G1" s="174" t="s">
        <v>3291</v>
      </c>
      <c r="H1" s="174" t="s">
        <v>3291</v>
      </c>
      <c r="I1" s="174" t="s">
        <v>3291</v>
      </c>
      <c r="J1" s="174" t="s">
        <v>3291</v>
      </c>
      <c r="K1" s="174" t="s">
        <v>3291</v>
      </c>
      <c r="L1" s="174" t="s">
        <v>3291</v>
      </c>
      <c r="M1" s="174" t="s">
        <v>3291</v>
      </c>
      <c r="N1" s="174" t="s">
        <v>3291</v>
      </c>
      <c r="O1" s="174" t="s">
        <v>3291</v>
      </c>
      <c r="P1" s="174" t="s">
        <v>3291</v>
      </c>
      <c r="Q1" s="174" t="s">
        <v>3291</v>
      </c>
      <c r="R1" s="174" t="s">
        <v>3291</v>
      </c>
      <c r="S1" s="174" t="s">
        <v>3291</v>
      </c>
      <c r="T1" s="174" t="s">
        <v>3291</v>
      </c>
      <c r="U1" s="174" t="s">
        <v>3291</v>
      </c>
      <c r="V1" s="174" t="s">
        <v>3291</v>
      </c>
      <c r="W1" s="174" t="s">
        <v>3291</v>
      </c>
      <c r="X1" s="174" t="s">
        <v>3291</v>
      </c>
      <c r="Y1" s="174" t="s">
        <v>3291</v>
      </c>
      <c r="Z1" s="174" t="s">
        <v>3291</v>
      </c>
      <c r="AA1" s="174" t="s">
        <v>3291</v>
      </c>
      <c r="AB1" s="174" t="s">
        <v>3291</v>
      </c>
      <c r="AC1" s="174" t="s">
        <v>3291</v>
      </c>
      <c r="AD1" s="174" t="s">
        <v>3291</v>
      </c>
      <c r="AE1" s="174" t="s">
        <v>3291</v>
      </c>
      <c r="AF1" s="174" t="s">
        <v>3291</v>
      </c>
      <c r="AG1" s="174" t="s">
        <v>3291</v>
      </c>
      <c r="AH1" s="174" t="s">
        <v>3291</v>
      </c>
      <c r="AI1" s="174" t="s">
        <v>3291</v>
      </c>
      <c r="AK1" s="174" t="s">
        <v>3434</v>
      </c>
      <c r="AL1" s="174" t="s">
        <v>3291</v>
      </c>
      <c r="AM1" s="174" t="s">
        <v>3291</v>
      </c>
      <c r="AN1" s="174" t="s">
        <v>3291</v>
      </c>
      <c r="AO1" s="174" t="s">
        <v>3291</v>
      </c>
      <c r="AP1" s="174" t="s">
        <v>3291</v>
      </c>
      <c r="AQ1" s="174" t="s">
        <v>3291</v>
      </c>
      <c r="AR1" s="174" t="s">
        <v>3291</v>
      </c>
      <c r="AS1" s="174" t="s">
        <v>3291</v>
      </c>
      <c r="AT1" s="174" t="s">
        <v>3291</v>
      </c>
      <c r="AU1" s="174" t="s">
        <v>3291</v>
      </c>
      <c r="AV1" s="174" t="s">
        <v>3291</v>
      </c>
      <c r="AW1" s="174" t="s">
        <v>3291</v>
      </c>
      <c r="AX1" s="174" t="s">
        <v>3291</v>
      </c>
      <c r="AY1" s="174" t="s">
        <v>3291</v>
      </c>
      <c r="AZ1" s="174" t="s">
        <v>3291</v>
      </c>
      <c r="BA1" s="174" t="s">
        <v>3291</v>
      </c>
      <c r="BB1" s="174" t="s">
        <v>3291</v>
      </c>
      <c r="BC1" s="174" t="s">
        <v>3291</v>
      </c>
      <c r="BD1" s="174" t="s">
        <v>3291</v>
      </c>
      <c r="BE1" s="174" t="s">
        <v>3291</v>
      </c>
      <c r="BF1" s="174" t="s">
        <v>3291</v>
      </c>
      <c r="BG1" s="174" t="s">
        <v>3291</v>
      </c>
      <c r="BH1" s="174" t="s">
        <v>3291</v>
      </c>
      <c r="BI1" s="174" t="s">
        <v>3291</v>
      </c>
      <c r="BJ1" s="174" t="s">
        <v>3291</v>
      </c>
      <c r="BK1" s="174" t="s">
        <v>3291</v>
      </c>
      <c r="BL1" s="174" t="s">
        <v>3291</v>
      </c>
      <c r="BM1" s="174" t="s">
        <v>3291</v>
      </c>
      <c r="BN1" s="174" t="s">
        <v>3291</v>
      </c>
      <c r="BO1" s="174" t="s">
        <v>3291</v>
      </c>
      <c r="BP1" s="174" t="s">
        <v>3291</v>
      </c>
      <c r="BQ1" s="174" t="s">
        <v>3291</v>
      </c>
      <c r="BR1" s="174" t="s">
        <v>3291</v>
      </c>
      <c r="BS1" s="174" t="s">
        <v>3291</v>
      </c>
    </row>
    <row r="2" spans="1:71" ht="18" customHeight="1">
      <c r="A2" s="174" t="s">
        <v>3292</v>
      </c>
      <c r="B2" s="174" t="s">
        <v>210</v>
      </c>
      <c r="C2" s="174" t="s">
        <v>1</v>
      </c>
      <c r="D2" s="174" t="s">
        <v>3430</v>
      </c>
      <c r="E2" s="174" t="s">
        <v>5</v>
      </c>
      <c r="F2" s="174" t="s">
        <v>3</v>
      </c>
      <c r="G2" s="174" t="s">
        <v>3291</v>
      </c>
      <c r="H2" s="174" t="s">
        <v>3291</v>
      </c>
      <c r="I2" s="174" t="s">
        <v>3212</v>
      </c>
      <c r="J2" s="174" t="s">
        <v>3291</v>
      </c>
      <c r="K2" s="174" t="s">
        <v>3291</v>
      </c>
      <c r="L2" s="174" t="s">
        <v>104</v>
      </c>
      <c r="M2" s="174" t="s">
        <v>3291</v>
      </c>
      <c r="N2" s="174" t="s">
        <v>3291</v>
      </c>
      <c r="O2" s="174" t="s">
        <v>3213</v>
      </c>
      <c r="P2" s="174" t="s">
        <v>3291</v>
      </c>
      <c r="Q2" s="174" t="s">
        <v>3291</v>
      </c>
      <c r="R2" s="174" t="s">
        <v>75</v>
      </c>
      <c r="S2" s="174" t="s">
        <v>3291</v>
      </c>
      <c r="T2" s="174" t="s">
        <v>3291</v>
      </c>
      <c r="U2" s="174" t="s">
        <v>3214</v>
      </c>
      <c r="V2" s="174" t="s">
        <v>3291</v>
      </c>
      <c r="W2" s="174" t="s">
        <v>3291</v>
      </c>
      <c r="X2" s="174" t="s">
        <v>3457</v>
      </c>
      <c r="Y2" s="174" t="s">
        <v>3291</v>
      </c>
      <c r="Z2" s="174" t="s">
        <v>3291</v>
      </c>
      <c r="AA2" s="174" t="s">
        <v>3458</v>
      </c>
      <c r="AB2" s="174" t="s">
        <v>3291</v>
      </c>
      <c r="AC2" s="174" t="s">
        <v>3291</v>
      </c>
      <c r="AD2" s="174" t="s">
        <v>3459</v>
      </c>
      <c r="AE2" s="174" t="s">
        <v>3291</v>
      </c>
      <c r="AF2" s="174" t="s">
        <v>3291</v>
      </c>
      <c r="AG2" s="174" t="s">
        <v>3293</v>
      </c>
      <c r="AH2" s="174" t="s">
        <v>3291</v>
      </c>
      <c r="AI2" s="174" t="s">
        <v>3291</v>
      </c>
      <c r="AK2" s="174" t="s">
        <v>3292</v>
      </c>
      <c r="AL2" s="174" t="s">
        <v>210</v>
      </c>
      <c r="AM2" s="174" t="s">
        <v>1</v>
      </c>
      <c r="AN2" s="174" t="s">
        <v>3430</v>
      </c>
      <c r="AO2" s="174" t="s">
        <v>5</v>
      </c>
      <c r="AP2" s="174" t="s">
        <v>3</v>
      </c>
      <c r="AQ2" s="174" t="s">
        <v>3291</v>
      </c>
      <c r="AR2" s="174" t="s">
        <v>3291</v>
      </c>
      <c r="AS2" s="174" t="s">
        <v>104</v>
      </c>
      <c r="AT2" s="174" t="s">
        <v>3291</v>
      </c>
      <c r="AU2" s="174" t="s">
        <v>3291</v>
      </c>
      <c r="AV2" s="174" t="s">
        <v>6</v>
      </c>
      <c r="AW2" s="174" t="s">
        <v>3291</v>
      </c>
      <c r="AX2" s="174" t="s">
        <v>3291</v>
      </c>
      <c r="AY2" s="174" t="s">
        <v>76</v>
      </c>
      <c r="AZ2" s="174" t="s">
        <v>3291</v>
      </c>
      <c r="BA2" s="174" t="s">
        <v>3291</v>
      </c>
      <c r="BB2" s="174" t="s">
        <v>3306</v>
      </c>
      <c r="BC2" s="174" t="s">
        <v>3291</v>
      </c>
      <c r="BD2" s="174" t="s">
        <v>3291</v>
      </c>
      <c r="BE2" s="174" t="s">
        <v>3435</v>
      </c>
      <c r="BF2" s="174" t="s">
        <v>3291</v>
      </c>
      <c r="BG2" s="174" t="s">
        <v>3291</v>
      </c>
      <c r="BH2" s="174" t="s">
        <v>3460</v>
      </c>
      <c r="BI2" s="174" t="s">
        <v>3291</v>
      </c>
      <c r="BJ2" s="174" t="s">
        <v>3291</v>
      </c>
      <c r="BK2" s="174" t="s">
        <v>3461</v>
      </c>
      <c r="BL2" s="174" t="s">
        <v>3291</v>
      </c>
      <c r="BM2" s="174" t="s">
        <v>3291</v>
      </c>
      <c r="BN2" s="174" t="s">
        <v>3462</v>
      </c>
      <c r="BO2" s="174" t="s">
        <v>3291</v>
      </c>
      <c r="BP2" s="174" t="s">
        <v>3291</v>
      </c>
      <c r="BQ2" s="174" t="s">
        <v>3293</v>
      </c>
      <c r="BR2" s="174" t="s">
        <v>3291</v>
      </c>
      <c r="BS2" s="174" t="s">
        <v>3291</v>
      </c>
    </row>
    <row r="3" spans="1:71" ht="18" customHeight="1">
      <c r="A3" s="174" t="s">
        <v>3291</v>
      </c>
      <c r="B3" s="174" t="s">
        <v>3291</v>
      </c>
      <c r="C3" s="174" t="s">
        <v>3291</v>
      </c>
      <c r="D3" s="174" t="s">
        <v>3291</v>
      </c>
      <c r="E3" s="174" t="s">
        <v>3291</v>
      </c>
      <c r="F3" s="106" t="s">
        <v>3294</v>
      </c>
      <c r="G3" s="106" t="s">
        <v>3431</v>
      </c>
      <c r="H3" s="106" t="s">
        <v>3432</v>
      </c>
      <c r="I3" s="106" t="s">
        <v>3294</v>
      </c>
      <c r="J3" s="106" t="s">
        <v>3431</v>
      </c>
      <c r="K3" s="106" t="s">
        <v>3432</v>
      </c>
      <c r="L3" s="106" t="s">
        <v>3294</v>
      </c>
      <c r="M3" s="106" t="s">
        <v>3431</v>
      </c>
      <c r="N3" s="106" t="s">
        <v>3432</v>
      </c>
      <c r="O3" s="106" t="s">
        <v>3294</v>
      </c>
      <c r="P3" s="106" t="s">
        <v>3431</v>
      </c>
      <c r="Q3" s="106" t="s">
        <v>3432</v>
      </c>
      <c r="R3" s="106" t="s">
        <v>3294</v>
      </c>
      <c r="S3" s="106" t="s">
        <v>3431</v>
      </c>
      <c r="T3" s="106" t="s">
        <v>3432</v>
      </c>
      <c r="U3" s="106" t="s">
        <v>3294</v>
      </c>
      <c r="V3" s="106" t="s">
        <v>3431</v>
      </c>
      <c r="W3" s="106" t="s">
        <v>3432</v>
      </c>
      <c r="X3" s="106" t="s">
        <v>3294</v>
      </c>
      <c r="Y3" s="106" t="s">
        <v>3431</v>
      </c>
      <c r="Z3" s="106" t="s">
        <v>3432</v>
      </c>
      <c r="AA3" s="106" t="s">
        <v>3294</v>
      </c>
      <c r="AB3" s="106" t="s">
        <v>3431</v>
      </c>
      <c r="AC3" s="106" t="s">
        <v>3432</v>
      </c>
      <c r="AD3" s="106" t="s">
        <v>3294</v>
      </c>
      <c r="AE3" s="106" t="s">
        <v>3431</v>
      </c>
      <c r="AF3" s="106" t="s">
        <v>3432</v>
      </c>
      <c r="AG3" s="106" t="s">
        <v>3294</v>
      </c>
      <c r="AH3" s="106" t="s">
        <v>3431</v>
      </c>
      <c r="AI3" s="106" t="s">
        <v>3432</v>
      </c>
      <c r="AK3" s="174" t="s">
        <v>3291</v>
      </c>
      <c r="AL3" s="174" t="s">
        <v>3291</v>
      </c>
      <c r="AM3" s="174" t="s">
        <v>3291</v>
      </c>
      <c r="AN3" s="174" t="s">
        <v>3291</v>
      </c>
      <c r="AO3" s="174" t="s">
        <v>3291</v>
      </c>
      <c r="AP3" s="106" t="s">
        <v>3294</v>
      </c>
      <c r="AQ3" s="106" t="s">
        <v>3431</v>
      </c>
      <c r="AR3" s="106" t="s">
        <v>3432</v>
      </c>
      <c r="AS3" s="106" t="s">
        <v>3294</v>
      </c>
      <c r="AT3" s="106" t="s">
        <v>3431</v>
      </c>
      <c r="AU3" s="106" t="s">
        <v>3432</v>
      </c>
      <c r="AV3" s="106" t="s">
        <v>3294</v>
      </c>
      <c r="AW3" s="106" t="s">
        <v>3431</v>
      </c>
      <c r="AX3" s="106" t="s">
        <v>3432</v>
      </c>
      <c r="AY3" s="106" t="s">
        <v>3294</v>
      </c>
      <c r="AZ3" s="106" t="s">
        <v>3431</v>
      </c>
      <c r="BA3" s="106" t="s">
        <v>3432</v>
      </c>
      <c r="BB3" s="106" t="s">
        <v>3294</v>
      </c>
      <c r="BC3" s="106" t="s">
        <v>3431</v>
      </c>
      <c r="BD3" s="106" t="s">
        <v>3432</v>
      </c>
      <c r="BE3" s="106" t="s">
        <v>3294</v>
      </c>
      <c r="BF3" s="106" t="s">
        <v>3431</v>
      </c>
      <c r="BG3" s="106" t="s">
        <v>3432</v>
      </c>
      <c r="BH3" s="106" t="s">
        <v>3294</v>
      </c>
      <c r="BI3" s="106" t="s">
        <v>3431</v>
      </c>
      <c r="BJ3" s="106" t="s">
        <v>3432</v>
      </c>
      <c r="BK3" s="106" t="s">
        <v>3294</v>
      </c>
      <c r="BL3" s="106" t="s">
        <v>3431</v>
      </c>
      <c r="BM3" s="106" t="s">
        <v>3432</v>
      </c>
      <c r="BN3" s="106" t="s">
        <v>3294</v>
      </c>
      <c r="BO3" s="106" t="s">
        <v>3431</v>
      </c>
      <c r="BP3" s="106" t="s">
        <v>3432</v>
      </c>
      <c r="BQ3" s="106" t="s">
        <v>3294</v>
      </c>
      <c r="BR3" s="106" t="s">
        <v>3431</v>
      </c>
      <c r="BS3" s="106" t="s">
        <v>3432</v>
      </c>
    </row>
    <row r="4" spans="1:71" ht="15" customHeight="1">
      <c r="A4" s="97" t="s">
        <v>1533</v>
      </c>
      <c r="B4" s="97" t="s">
        <v>1533</v>
      </c>
      <c r="C4" s="97" t="s">
        <v>86</v>
      </c>
      <c r="D4" s="97" t="s">
        <v>3198</v>
      </c>
      <c r="E4" s="97" t="s">
        <v>10</v>
      </c>
      <c r="F4" s="97">
        <v>116</v>
      </c>
      <c r="G4" s="97">
        <v>8</v>
      </c>
      <c r="H4" s="97">
        <v>47</v>
      </c>
      <c r="I4" s="97">
        <v>130</v>
      </c>
      <c r="J4" s="97">
        <v>7</v>
      </c>
      <c r="K4" s="97">
        <v>7</v>
      </c>
      <c r="L4" s="97">
        <v>136</v>
      </c>
      <c r="M4" s="97">
        <v>1</v>
      </c>
      <c r="N4" s="97">
        <v>1</v>
      </c>
      <c r="O4" s="97">
        <v>94</v>
      </c>
      <c r="P4" s="97">
        <v>28</v>
      </c>
      <c r="Q4" s="97">
        <v>61</v>
      </c>
      <c r="R4" s="97">
        <v>84</v>
      </c>
      <c r="S4" s="97">
        <v>13</v>
      </c>
      <c r="T4" s="97">
        <v>25</v>
      </c>
      <c r="U4" s="97">
        <v>91</v>
      </c>
      <c r="V4" s="97">
        <v>5</v>
      </c>
      <c r="W4" s="97">
        <v>12</v>
      </c>
      <c r="X4" s="97">
        <v>89</v>
      </c>
      <c r="Y4" s="97">
        <v>3</v>
      </c>
      <c r="Z4" s="97">
        <v>8</v>
      </c>
      <c r="AA4" s="97">
        <v>67</v>
      </c>
      <c r="AB4" s="97">
        <v>23</v>
      </c>
      <c r="AC4" s="97">
        <v>66</v>
      </c>
      <c r="AD4" s="97">
        <v>82</v>
      </c>
      <c r="AE4" s="97">
        <v>11</v>
      </c>
      <c r="AF4" s="97">
        <v>31</v>
      </c>
      <c r="AG4" s="97">
        <v>651</v>
      </c>
      <c r="AH4" s="97">
        <v>1</v>
      </c>
      <c r="AI4" s="97">
        <v>1</v>
      </c>
      <c r="AK4" s="97" t="s">
        <v>2996</v>
      </c>
      <c r="AL4" s="97" t="s">
        <v>2996</v>
      </c>
      <c r="AM4" s="97" t="s">
        <v>13</v>
      </c>
      <c r="AN4" s="97" t="s">
        <v>3199</v>
      </c>
      <c r="AO4" s="97" t="s">
        <v>12</v>
      </c>
      <c r="AP4" s="97">
        <v>123</v>
      </c>
      <c r="AQ4" s="97">
        <v>1</v>
      </c>
      <c r="AR4" s="97">
        <v>1</v>
      </c>
      <c r="AS4" s="97">
        <v>122</v>
      </c>
      <c r="AT4" s="97">
        <v>4</v>
      </c>
      <c r="AU4" s="97">
        <v>6</v>
      </c>
      <c r="AV4" s="97">
        <v>82</v>
      </c>
      <c r="AW4" s="97">
        <v>2</v>
      </c>
      <c r="AX4" s="97">
        <v>2</v>
      </c>
      <c r="AY4" s="97">
        <v>87</v>
      </c>
      <c r="AZ4" s="97">
        <v>2</v>
      </c>
      <c r="BA4" s="97">
        <v>2</v>
      </c>
      <c r="BB4" s="97">
        <v>89</v>
      </c>
      <c r="BC4" s="97">
        <v>2</v>
      </c>
      <c r="BD4" s="97">
        <v>2</v>
      </c>
      <c r="BE4" s="97">
        <v>134</v>
      </c>
      <c r="BF4" s="97">
        <v>1</v>
      </c>
      <c r="BG4" s="97">
        <v>1</v>
      </c>
      <c r="BH4" s="97">
        <v>48</v>
      </c>
      <c r="BI4" s="97">
        <v>14</v>
      </c>
      <c r="BJ4" s="97">
        <v>26</v>
      </c>
      <c r="BK4" s="97">
        <v>77</v>
      </c>
      <c r="BL4" s="97">
        <v>5</v>
      </c>
      <c r="BM4" s="97">
        <v>7</v>
      </c>
      <c r="BN4" s="97">
        <v>60</v>
      </c>
      <c r="BO4" s="97">
        <v>5</v>
      </c>
      <c r="BP4" s="97">
        <v>7</v>
      </c>
      <c r="BQ4" s="97">
        <v>637</v>
      </c>
      <c r="BR4" s="97">
        <v>1</v>
      </c>
      <c r="BS4" s="97">
        <v>1</v>
      </c>
    </row>
    <row r="5" spans="1:71" ht="15" customHeight="1">
      <c r="A5" s="97" t="s">
        <v>3263</v>
      </c>
      <c r="B5" s="97" t="s">
        <v>3263</v>
      </c>
      <c r="C5" s="97" t="s">
        <v>11</v>
      </c>
      <c r="D5" s="97" t="s">
        <v>3198</v>
      </c>
      <c r="E5" s="97" t="s">
        <v>10</v>
      </c>
      <c r="F5" s="97">
        <v>114</v>
      </c>
      <c r="G5" s="97">
        <v>10</v>
      </c>
      <c r="H5" s="97">
        <v>80</v>
      </c>
      <c r="I5" s="97">
        <v>115</v>
      </c>
      <c r="J5" s="97">
        <v>16</v>
      </c>
      <c r="K5" s="97">
        <v>25</v>
      </c>
      <c r="L5" s="97">
        <v>125</v>
      </c>
      <c r="M5" s="97">
        <v>4</v>
      </c>
      <c r="N5" s="97">
        <v>10</v>
      </c>
      <c r="O5" s="97">
        <v>102</v>
      </c>
      <c r="P5" s="97">
        <v>8</v>
      </c>
      <c r="Q5" s="97">
        <v>12</v>
      </c>
      <c r="R5" s="97">
        <v>96</v>
      </c>
      <c r="S5" s="97">
        <v>1</v>
      </c>
      <c r="T5" s="97">
        <v>1</v>
      </c>
      <c r="U5" s="97">
        <v>90</v>
      </c>
      <c r="V5" s="97">
        <v>10</v>
      </c>
      <c r="W5" s="97">
        <v>19</v>
      </c>
      <c r="X5" s="97">
        <v>79</v>
      </c>
      <c r="Y5" s="97">
        <v>26</v>
      </c>
      <c r="Z5" s="97">
        <v>175</v>
      </c>
      <c r="AA5" s="97">
        <v>76</v>
      </c>
      <c r="AB5" s="97">
        <v>5</v>
      </c>
      <c r="AC5" s="97">
        <v>6</v>
      </c>
      <c r="AD5" s="97">
        <v>75</v>
      </c>
      <c r="AE5" s="97">
        <v>32</v>
      </c>
      <c r="AF5" s="97">
        <v>146</v>
      </c>
      <c r="AG5" s="97">
        <v>642</v>
      </c>
      <c r="AH5" s="97">
        <v>2</v>
      </c>
      <c r="AI5" s="97">
        <v>2</v>
      </c>
      <c r="AK5" s="97" t="s">
        <v>2969</v>
      </c>
      <c r="AL5" s="97" t="s">
        <v>2969</v>
      </c>
      <c r="AM5" s="97" t="s">
        <v>15</v>
      </c>
      <c r="AN5" s="97" t="s">
        <v>3199</v>
      </c>
      <c r="AO5" s="97" t="s">
        <v>12</v>
      </c>
      <c r="AP5" s="97">
        <v>111</v>
      </c>
      <c r="AQ5" s="97">
        <v>20</v>
      </c>
      <c r="AR5" s="97">
        <v>35</v>
      </c>
      <c r="AS5" s="97">
        <v>140.5</v>
      </c>
      <c r="AT5" s="97">
        <v>1</v>
      </c>
      <c r="AU5" s="97">
        <v>1</v>
      </c>
      <c r="AV5" s="97">
        <v>80</v>
      </c>
      <c r="AW5" s="97">
        <v>6</v>
      </c>
      <c r="AX5" s="97">
        <v>7</v>
      </c>
      <c r="AY5" s="97">
        <v>81</v>
      </c>
      <c r="AZ5" s="97">
        <v>7</v>
      </c>
      <c r="BA5" s="97">
        <v>7</v>
      </c>
      <c r="BB5" s="97">
        <v>92</v>
      </c>
      <c r="BC5" s="97">
        <v>1</v>
      </c>
      <c r="BD5" s="97">
        <v>1</v>
      </c>
      <c r="BE5" s="97">
        <v>118</v>
      </c>
      <c r="BF5" s="97">
        <v>12</v>
      </c>
      <c r="BG5" s="97">
        <v>13</v>
      </c>
      <c r="BH5" s="97">
        <v>47</v>
      </c>
      <c r="BI5" s="97">
        <v>16</v>
      </c>
      <c r="BJ5" s="97">
        <v>33</v>
      </c>
      <c r="BK5" s="97">
        <v>63</v>
      </c>
      <c r="BL5" s="97">
        <v>27</v>
      </c>
      <c r="BM5" s="97">
        <v>63</v>
      </c>
      <c r="BN5" s="97">
        <v>53</v>
      </c>
      <c r="BO5" s="97">
        <v>16</v>
      </c>
      <c r="BP5" s="97">
        <v>35</v>
      </c>
      <c r="BQ5" s="97">
        <v>622.5</v>
      </c>
      <c r="BR5" s="97">
        <v>2</v>
      </c>
      <c r="BS5" s="97">
        <v>2</v>
      </c>
    </row>
    <row r="6" spans="1:71" ht="15" customHeight="1">
      <c r="A6" s="97" t="s">
        <v>1629</v>
      </c>
      <c r="B6" s="97" t="s">
        <v>1629</v>
      </c>
      <c r="C6" s="97" t="s">
        <v>181</v>
      </c>
      <c r="D6" s="97" t="s">
        <v>3198</v>
      </c>
      <c r="E6" s="97" t="s">
        <v>10</v>
      </c>
      <c r="F6" s="97">
        <v>112</v>
      </c>
      <c r="G6" s="97">
        <v>17</v>
      </c>
      <c r="H6" s="97">
        <v>114</v>
      </c>
      <c r="I6" s="97">
        <v>139</v>
      </c>
      <c r="J6" s="97">
        <v>3</v>
      </c>
      <c r="K6" s="97">
        <v>3</v>
      </c>
      <c r="L6" s="97">
        <v>110.5</v>
      </c>
      <c r="M6" s="97">
        <v>27</v>
      </c>
      <c r="N6" s="97">
        <v>102</v>
      </c>
      <c r="O6" s="97">
        <v>100</v>
      </c>
      <c r="P6" s="97">
        <v>12</v>
      </c>
      <c r="Q6" s="97">
        <v>19</v>
      </c>
      <c r="R6" s="97">
        <v>81</v>
      </c>
      <c r="S6" s="97">
        <v>19</v>
      </c>
      <c r="T6" s="97">
        <v>37</v>
      </c>
      <c r="U6" s="97">
        <v>95</v>
      </c>
      <c r="V6" s="97">
        <v>3</v>
      </c>
      <c r="W6" s="97">
        <v>4</v>
      </c>
      <c r="X6" s="97">
        <v>83</v>
      </c>
      <c r="Y6" s="97">
        <v>17</v>
      </c>
      <c r="Z6" s="97">
        <v>79</v>
      </c>
      <c r="AA6" s="97">
        <v>75</v>
      </c>
      <c r="AB6" s="97">
        <v>7</v>
      </c>
      <c r="AC6" s="97">
        <v>10</v>
      </c>
      <c r="AD6" s="97">
        <v>82</v>
      </c>
      <c r="AE6" s="97">
        <v>11</v>
      </c>
      <c r="AF6" s="97">
        <v>31</v>
      </c>
      <c r="AG6" s="97">
        <v>637.5</v>
      </c>
      <c r="AH6" s="97">
        <v>3</v>
      </c>
      <c r="AI6" s="97">
        <v>3</v>
      </c>
      <c r="AK6" s="97" t="s">
        <v>3296</v>
      </c>
      <c r="AL6" s="97" t="s">
        <v>3296</v>
      </c>
      <c r="AM6" s="97" t="s">
        <v>94</v>
      </c>
      <c r="AN6" s="97" t="s">
        <v>3199</v>
      </c>
      <c r="AO6" s="97" t="s">
        <v>12</v>
      </c>
      <c r="AP6" s="97">
        <v>122</v>
      </c>
      <c r="AQ6" s="97">
        <v>2</v>
      </c>
      <c r="AR6" s="97">
        <v>3</v>
      </c>
      <c r="AS6" s="97">
        <v>121</v>
      </c>
      <c r="AT6" s="97">
        <v>5</v>
      </c>
      <c r="AU6" s="97">
        <v>7</v>
      </c>
      <c r="AV6" s="97">
        <v>77</v>
      </c>
      <c r="AW6" s="97">
        <v>16</v>
      </c>
      <c r="AX6" s="97">
        <v>19</v>
      </c>
      <c r="AY6" s="97">
        <v>89</v>
      </c>
      <c r="AZ6" s="97">
        <v>1</v>
      </c>
      <c r="BA6" s="97">
        <v>1</v>
      </c>
      <c r="BB6" s="97">
        <v>77</v>
      </c>
      <c r="BC6" s="97">
        <v>9</v>
      </c>
      <c r="BD6" s="97">
        <v>13</v>
      </c>
      <c r="BE6" s="97">
        <v>115</v>
      </c>
      <c r="BF6" s="97">
        <v>16</v>
      </c>
      <c r="BG6" s="97">
        <v>17</v>
      </c>
      <c r="BH6" s="97">
        <v>69</v>
      </c>
      <c r="BI6" s="97">
        <v>2</v>
      </c>
      <c r="BJ6" s="97">
        <v>2</v>
      </c>
      <c r="BK6" s="97">
        <v>83</v>
      </c>
      <c r="BL6" s="97">
        <v>2</v>
      </c>
      <c r="BM6" s="97">
        <v>3</v>
      </c>
      <c r="BN6" s="97">
        <v>63</v>
      </c>
      <c r="BO6" s="97">
        <v>2</v>
      </c>
      <c r="BP6" s="97">
        <v>2</v>
      </c>
      <c r="BQ6" s="97">
        <v>601</v>
      </c>
      <c r="BR6" s="97">
        <v>3</v>
      </c>
      <c r="BS6" s="97">
        <v>3</v>
      </c>
    </row>
    <row r="7" spans="1:71" ht="15" customHeight="1">
      <c r="A7" s="97" t="s">
        <v>1613</v>
      </c>
      <c r="B7" s="97" t="s">
        <v>1613</v>
      </c>
      <c r="C7" s="97" t="s">
        <v>74</v>
      </c>
      <c r="D7" s="97" t="s">
        <v>3198</v>
      </c>
      <c r="E7" s="97" t="s">
        <v>10</v>
      </c>
      <c r="F7" s="97">
        <v>107</v>
      </c>
      <c r="G7" s="97">
        <v>29</v>
      </c>
      <c r="H7" s="97">
        <v>242</v>
      </c>
      <c r="I7" s="97">
        <v>136</v>
      </c>
      <c r="J7" s="97">
        <v>4</v>
      </c>
      <c r="K7" s="97">
        <v>4</v>
      </c>
      <c r="L7" s="97">
        <v>114.5</v>
      </c>
      <c r="M7" s="97">
        <v>20</v>
      </c>
      <c r="N7" s="97">
        <v>61</v>
      </c>
      <c r="O7" s="97">
        <v>108</v>
      </c>
      <c r="P7" s="97">
        <v>4</v>
      </c>
      <c r="Q7" s="97">
        <v>4</v>
      </c>
      <c r="R7" s="97">
        <v>75</v>
      </c>
      <c r="S7" s="97">
        <v>34</v>
      </c>
      <c r="T7" s="97">
        <v>83</v>
      </c>
      <c r="U7" s="97">
        <v>94</v>
      </c>
      <c r="V7" s="97">
        <v>4</v>
      </c>
      <c r="W7" s="97">
        <v>6</v>
      </c>
      <c r="X7" s="97">
        <v>74</v>
      </c>
      <c r="Y7" s="97">
        <v>32</v>
      </c>
      <c r="Z7" s="97">
        <v>326</v>
      </c>
      <c r="AA7" s="97">
        <v>73</v>
      </c>
      <c r="AB7" s="97">
        <v>13</v>
      </c>
      <c r="AC7" s="97">
        <v>19</v>
      </c>
      <c r="AD7" s="97">
        <v>80</v>
      </c>
      <c r="AE7" s="97">
        <v>15</v>
      </c>
      <c r="AF7" s="97">
        <v>54</v>
      </c>
      <c r="AG7" s="97">
        <v>634.5</v>
      </c>
      <c r="AH7" s="97">
        <v>4</v>
      </c>
      <c r="AI7" s="97">
        <v>4</v>
      </c>
      <c r="AK7" s="97" t="s">
        <v>2975</v>
      </c>
      <c r="AL7" s="97" t="s">
        <v>2975</v>
      </c>
      <c r="AM7" s="97" t="s">
        <v>24</v>
      </c>
      <c r="AN7" s="97" t="s">
        <v>3199</v>
      </c>
      <c r="AO7" s="97" t="s">
        <v>12</v>
      </c>
      <c r="AP7" s="97">
        <v>121</v>
      </c>
      <c r="AQ7" s="97">
        <v>3</v>
      </c>
      <c r="AR7" s="97">
        <v>4</v>
      </c>
      <c r="AS7" s="97">
        <v>104.5</v>
      </c>
      <c r="AT7" s="97">
        <v>28</v>
      </c>
      <c r="AU7" s="97">
        <v>41</v>
      </c>
      <c r="AV7" s="97">
        <v>79</v>
      </c>
      <c r="AW7" s="97">
        <v>8</v>
      </c>
      <c r="AX7" s="97">
        <v>9</v>
      </c>
      <c r="AY7" s="97">
        <v>84</v>
      </c>
      <c r="AZ7" s="97">
        <v>5</v>
      </c>
      <c r="BA7" s="97">
        <v>5</v>
      </c>
      <c r="BB7" s="97">
        <v>74</v>
      </c>
      <c r="BC7" s="97">
        <v>20</v>
      </c>
      <c r="BD7" s="97">
        <v>32</v>
      </c>
      <c r="BE7" s="97">
        <v>132</v>
      </c>
      <c r="BF7" s="97">
        <v>3</v>
      </c>
      <c r="BG7" s="97">
        <v>3</v>
      </c>
      <c r="BH7" s="97">
        <v>35</v>
      </c>
      <c r="BI7" s="97">
        <v>42</v>
      </c>
      <c r="BJ7" s="97">
        <v>109</v>
      </c>
      <c r="BK7" s="97">
        <v>69</v>
      </c>
      <c r="BL7" s="97">
        <v>14</v>
      </c>
      <c r="BM7" s="97">
        <v>26</v>
      </c>
      <c r="BN7" s="97">
        <v>55</v>
      </c>
      <c r="BO7" s="97">
        <v>9</v>
      </c>
      <c r="BP7" s="97">
        <v>22</v>
      </c>
      <c r="BQ7" s="97">
        <v>594.5</v>
      </c>
      <c r="BR7" s="97">
        <v>4</v>
      </c>
      <c r="BS7" s="97">
        <v>4</v>
      </c>
    </row>
    <row r="8" spans="1:71" ht="15" customHeight="1">
      <c r="A8" s="97" t="s">
        <v>1582</v>
      </c>
      <c r="B8" s="97" t="s">
        <v>1582</v>
      </c>
      <c r="C8" s="97" t="s">
        <v>23</v>
      </c>
      <c r="D8" s="97" t="s">
        <v>3198</v>
      </c>
      <c r="E8" s="97" t="s">
        <v>10</v>
      </c>
      <c r="F8" s="97">
        <v>104</v>
      </c>
      <c r="G8" s="97">
        <v>41</v>
      </c>
      <c r="H8" s="97">
        <v>357</v>
      </c>
      <c r="I8" s="97">
        <v>144</v>
      </c>
      <c r="J8" s="97">
        <v>1</v>
      </c>
      <c r="K8" s="97">
        <v>1</v>
      </c>
      <c r="L8" s="97">
        <v>108.5</v>
      </c>
      <c r="M8" s="97">
        <v>31</v>
      </c>
      <c r="N8" s="97">
        <v>123</v>
      </c>
      <c r="O8" s="97">
        <v>100</v>
      </c>
      <c r="P8" s="97">
        <v>12</v>
      </c>
      <c r="Q8" s="97">
        <v>19</v>
      </c>
      <c r="R8" s="97">
        <v>86</v>
      </c>
      <c r="S8" s="97">
        <v>10</v>
      </c>
      <c r="T8" s="97">
        <v>17</v>
      </c>
      <c r="U8" s="97">
        <v>90</v>
      </c>
      <c r="V8" s="97">
        <v>10</v>
      </c>
      <c r="W8" s="97">
        <v>19</v>
      </c>
      <c r="X8" s="97">
        <v>85</v>
      </c>
      <c r="Y8" s="97">
        <v>12</v>
      </c>
      <c r="Z8" s="97">
        <v>45</v>
      </c>
      <c r="AA8" s="97">
        <v>69</v>
      </c>
      <c r="AB8" s="97">
        <v>19</v>
      </c>
      <c r="AC8" s="97">
        <v>43</v>
      </c>
      <c r="AD8" s="97">
        <v>76</v>
      </c>
      <c r="AE8" s="97">
        <v>28</v>
      </c>
      <c r="AF8" s="97">
        <v>125</v>
      </c>
      <c r="AG8" s="97">
        <v>632.5</v>
      </c>
      <c r="AH8" s="97">
        <v>5</v>
      </c>
      <c r="AI8" s="97">
        <v>5</v>
      </c>
      <c r="AK8" s="97" t="s">
        <v>2912</v>
      </c>
      <c r="AL8" s="97" t="s">
        <v>2912</v>
      </c>
      <c r="AM8" s="97" t="s">
        <v>51</v>
      </c>
      <c r="AN8" s="97" t="s">
        <v>3199</v>
      </c>
      <c r="AO8" s="97" t="s">
        <v>12</v>
      </c>
      <c r="AP8" s="97">
        <v>119</v>
      </c>
      <c r="AQ8" s="97">
        <v>7</v>
      </c>
      <c r="AR8" s="97">
        <v>8</v>
      </c>
      <c r="AS8" s="97">
        <v>120.5</v>
      </c>
      <c r="AT8" s="97">
        <v>6</v>
      </c>
      <c r="AU8" s="97">
        <v>8</v>
      </c>
      <c r="AV8" s="97">
        <v>81</v>
      </c>
      <c r="AW8" s="97">
        <v>3</v>
      </c>
      <c r="AX8" s="97">
        <v>4</v>
      </c>
      <c r="AY8" s="97">
        <v>77</v>
      </c>
      <c r="AZ8" s="97">
        <v>20</v>
      </c>
      <c r="BA8" s="97">
        <v>21</v>
      </c>
      <c r="BB8" s="97">
        <v>74</v>
      </c>
      <c r="BC8" s="97">
        <v>20</v>
      </c>
      <c r="BD8" s="97">
        <v>32</v>
      </c>
      <c r="BE8" s="97">
        <v>122</v>
      </c>
      <c r="BF8" s="97">
        <v>10</v>
      </c>
      <c r="BG8" s="97">
        <v>11</v>
      </c>
      <c r="BH8" s="97">
        <v>45</v>
      </c>
      <c r="BI8" s="97">
        <v>27</v>
      </c>
      <c r="BJ8" s="97">
        <v>52</v>
      </c>
      <c r="BK8" s="97">
        <v>68</v>
      </c>
      <c r="BL8" s="97">
        <v>17</v>
      </c>
      <c r="BM8" s="97">
        <v>31</v>
      </c>
      <c r="BN8" s="97">
        <v>57</v>
      </c>
      <c r="BO8" s="97">
        <v>8</v>
      </c>
      <c r="BP8" s="97">
        <v>16</v>
      </c>
      <c r="BQ8" s="97">
        <v>593.5</v>
      </c>
      <c r="BR8" s="97">
        <v>5</v>
      </c>
      <c r="BS8" s="97">
        <v>5</v>
      </c>
    </row>
    <row r="9" spans="1:71" ht="15" customHeight="1">
      <c r="A9" s="97" t="s">
        <v>1602</v>
      </c>
      <c r="B9" s="97" t="s">
        <v>1602</v>
      </c>
      <c r="C9" s="97" t="s">
        <v>16</v>
      </c>
      <c r="D9" s="97" t="s">
        <v>3198</v>
      </c>
      <c r="E9" s="97" t="s">
        <v>10</v>
      </c>
      <c r="F9" s="97">
        <v>109</v>
      </c>
      <c r="G9" s="97">
        <v>25</v>
      </c>
      <c r="H9" s="97">
        <v>185</v>
      </c>
      <c r="I9" s="97">
        <v>118</v>
      </c>
      <c r="J9" s="97">
        <v>12</v>
      </c>
      <c r="K9" s="97">
        <v>17</v>
      </c>
      <c r="L9" s="97">
        <v>124</v>
      </c>
      <c r="M9" s="97">
        <v>6</v>
      </c>
      <c r="N9" s="97">
        <v>13</v>
      </c>
      <c r="O9" s="97">
        <v>94</v>
      </c>
      <c r="P9" s="97">
        <v>28</v>
      </c>
      <c r="Q9" s="97">
        <v>61</v>
      </c>
      <c r="R9" s="97">
        <v>91</v>
      </c>
      <c r="S9" s="97">
        <v>3</v>
      </c>
      <c r="T9" s="97">
        <v>3</v>
      </c>
      <c r="U9" s="97">
        <v>90</v>
      </c>
      <c r="V9" s="97">
        <v>10</v>
      </c>
      <c r="W9" s="97">
        <v>19</v>
      </c>
      <c r="X9" s="97">
        <v>81</v>
      </c>
      <c r="Y9" s="97">
        <v>20</v>
      </c>
      <c r="Z9" s="97">
        <v>124</v>
      </c>
      <c r="AA9" s="97">
        <v>79</v>
      </c>
      <c r="AB9" s="97">
        <v>3</v>
      </c>
      <c r="AC9" s="97">
        <v>3</v>
      </c>
      <c r="AD9" s="97">
        <v>82</v>
      </c>
      <c r="AE9" s="97">
        <v>11</v>
      </c>
      <c r="AF9" s="97">
        <v>31</v>
      </c>
      <c r="AG9" s="97">
        <v>626</v>
      </c>
      <c r="AH9" s="97">
        <v>6</v>
      </c>
      <c r="AI9" s="97">
        <v>6</v>
      </c>
      <c r="AK9" s="97" t="s">
        <v>3063</v>
      </c>
      <c r="AL9" s="97" t="s">
        <v>3063</v>
      </c>
      <c r="AM9" s="97" t="s">
        <v>3437</v>
      </c>
      <c r="AN9" s="97" t="s">
        <v>3199</v>
      </c>
      <c r="AO9" s="97" t="s">
        <v>52</v>
      </c>
      <c r="AP9" s="97">
        <v>108</v>
      </c>
      <c r="AQ9" s="97">
        <v>15</v>
      </c>
      <c r="AR9" s="97">
        <v>54</v>
      </c>
      <c r="AS9" s="97">
        <v>115.5</v>
      </c>
      <c r="AT9" s="97">
        <v>2</v>
      </c>
      <c r="AU9" s="97">
        <v>12</v>
      </c>
      <c r="AV9" s="97">
        <v>77</v>
      </c>
      <c r="AW9" s="97">
        <v>2</v>
      </c>
      <c r="AX9" s="97">
        <v>19</v>
      </c>
      <c r="AY9" s="97">
        <v>72</v>
      </c>
      <c r="AZ9" s="97">
        <v>4</v>
      </c>
      <c r="BA9" s="97">
        <v>33</v>
      </c>
      <c r="BB9" s="97">
        <v>85</v>
      </c>
      <c r="BC9" s="97">
        <v>1</v>
      </c>
      <c r="BD9" s="97">
        <v>3</v>
      </c>
      <c r="BE9" s="97">
        <v>129</v>
      </c>
      <c r="BF9" s="97">
        <v>1</v>
      </c>
      <c r="BG9" s="97">
        <v>4</v>
      </c>
      <c r="BH9" s="97">
        <v>68</v>
      </c>
      <c r="BI9" s="97">
        <v>1</v>
      </c>
      <c r="BJ9" s="97">
        <v>3</v>
      </c>
      <c r="BK9" s="97">
        <v>86</v>
      </c>
      <c r="BL9" s="97">
        <v>1</v>
      </c>
      <c r="BM9" s="97">
        <v>2</v>
      </c>
      <c r="BN9" s="97">
        <v>54</v>
      </c>
      <c r="BO9" s="97">
        <v>6</v>
      </c>
      <c r="BP9" s="97">
        <v>27</v>
      </c>
      <c r="BQ9" s="97">
        <v>586.5</v>
      </c>
      <c r="BR9" s="97">
        <v>1</v>
      </c>
      <c r="BS9" s="97">
        <v>6</v>
      </c>
    </row>
    <row r="10" spans="1:71" ht="15" customHeight="1">
      <c r="A10" s="97" t="s">
        <v>1632</v>
      </c>
      <c r="B10" s="97" t="s">
        <v>1632</v>
      </c>
      <c r="C10" s="97" t="s">
        <v>87</v>
      </c>
      <c r="D10" s="97" t="s">
        <v>3198</v>
      </c>
      <c r="E10" s="97" t="s">
        <v>10</v>
      </c>
      <c r="F10" s="97">
        <v>105</v>
      </c>
      <c r="G10" s="97">
        <v>40</v>
      </c>
      <c r="H10" s="97">
        <v>325</v>
      </c>
      <c r="I10" s="97">
        <v>144</v>
      </c>
      <c r="J10" s="97">
        <v>1</v>
      </c>
      <c r="K10" s="97">
        <v>1</v>
      </c>
      <c r="L10" s="97">
        <v>90.5</v>
      </c>
      <c r="M10" s="97">
        <v>49</v>
      </c>
      <c r="N10" s="97">
        <v>470</v>
      </c>
      <c r="O10" s="97">
        <v>110</v>
      </c>
      <c r="P10" s="97">
        <v>1</v>
      </c>
      <c r="Q10" s="97">
        <v>1</v>
      </c>
      <c r="R10" s="97">
        <v>81</v>
      </c>
      <c r="S10" s="97">
        <v>19</v>
      </c>
      <c r="T10" s="97">
        <v>37</v>
      </c>
      <c r="U10" s="97">
        <v>89</v>
      </c>
      <c r="V10" s="97">
        <v>17</v>
      </c>
      <c r="W10" s="97">
        <v>34</v>
      </c>
      <c r="X10" s="97">
        <v>83</v>
      </c>
      <c r="Y10" s="97">
        <v>17</v>
      </c>
      <c r="Z10" s="97">
        <v>79</v>
      </c>
      <c r="AA10" s="97">
        <v>56</v>
      </c>
      <c r="AB10" s="97">
        <v>50</v>
      </c>
      <c r="AC10" s="97">
        <v>352</v>
      </c>
      <c r="AD10" s="97">
        <v>72</v>
      </c>
      <c r="AE10" s="97">
        <v>39</v>
      </c>
      <c r="AF10" s="97">
        <v>256</v>
      </c>
      <c r="AG10" s="97">
        <v>619.5</v>
      </c>
      <c r="AH10" s="97">
        <v>7</v>
      </c>
      <c r="AI10" s="97">
        <v>7</v>
      </c>
      <c r="AK10" s="97" t="s">
        <v>3436</v>
      </c>
      <c r="AL10" s="97" t="s">
        <v>3436</v>
      </c>
      <c r="AM10" s="97" t="s">
        <v>130</v>
      </c>
      <c r="AN10" s="97" t="s">
        <v>3199</v>
      </c>
      <c r="AO10" s="97" t="s">
        <v>12</v>
      </c>
      <c r="AP10" s="97">
        <v>118</v>
      </c>
      <c r="AQ10" s="97">
        <v>9</v>
      </c>
      <c r="AR10" s="97">
        <v>10</v>
      </c>
      <c r="AS10" s="97">
        <v>120.5</v>
      </c>
      <c r="AT10" s="97">
        <v>6</v>
      </c>
      <c r="AU10" s="97">
        <v>8</v>
      </c>
      <c r="AV10" s="97">
        <v>79</v>
      </c>
      <c r="AW10" s="97">
        <v>8</v>
      </c>
      <c r="AX10" s="97">
        <v>9</v>
      </c>
      <c r="AY10" s="97">
        <v>69</v>
      </c>
      <c r="AZ10" s="97">
        <v>32</v>
      </c>
      <c r="BA10" s="97">
        <v>47</v>
      </c>
      <c r="BB10" s="97">
        <v>73</v>
      </c>
      <c r="BC10" s="97">
        <v>25</v>
      </c>
      <c r="BD10" s="97">
        <v>39</v>
      </c>
      <c r="BE10" s="97">
        <v>123</v>
      </c>
      <c r="BF10" s="97">
        <v>8</v>
      </c>
      <c r="BG10" s="97">
        <v>9</v>
      </c>
      <c r="BH10" s="97">
        <v>60</v>
      </c>
      <c r="BI10" s="97">
        <v>4</v>
      </c>
      <c r="BJ10" s="97">
        <v>6</v>
      </c>
      <c r="BK10" s="97">
        <v>83</v>
      </c>
      <c r="BL10" s="97">
        <v>2</v>
      </c>
      <c r="BM10" s="97">
        <v>3</v>
      </c>
      <c r="BN10" s="97">
        <v>55</v>
      </c>
      <c r="BO10" s="97">
        <v>9</v>
      </c>
      <c r="BP10" s="97">
        <v>22</v>
      </c>
      <c r="BQ10" s="97">
        <v>582.5</v>
      </c>
      <c r="BR10" s="97">
        <v>6</v>
      </c>
      <c r="BS10" s="97">
        <v>7</v>
      </c>
    </row>
    <row r="11" spans="1:71" ht="15" customHeight="1">
      <c r="A11" s="97" t="s">
        <v>1551</v>
      </c>
      <c r="B11" s="97" t="s">
        <v>1551</v>
      </c>
      <c r="C11" s="97" t="s">
        <v>61</v>
      </c>
      <c r="D11" s="97" t="s">
        <v>3198</v>
      </c>
      <c r="E11" s="97" t="s">
        <v>10</v>
      </c>
      <c r="F11" s="97">
        <v>107</v>
      </c>
      <c r="G11" s="97">
        <v>29</v>
      </c>
      <c r="H11" s="97">
        <v>242</v>
      </c>
      <c r="I11" s="97">
        <v>115</v>
      </c>
      <c r="J11" s="97">
        <v>16</v>
      </c>
      <c r="K11" s="97">
        <v>25</v>
      </c>
      <c r="L11" s="97">
        <v>108.5</v>
      </c>
      <c r="M11" s="97">
        <v>31</v>
      </c>
      <c r="N11" s="97">
        <v>123</v>
      </c>
      <c r="O11" s="97">
        <v>109</v>
      </c>
      <c r="P11" s="97">
        <v>2</v>
      </c>
      <c r="Q11" s="97">
        <v>2</v>
      </c>
      <c r="R11" s="97">
        <v>89</v>
      </c>
      <c r="S11" s="97">
        <v>5</v>
      </c>
      <c r="T11" s="97">
        <v>8</v>
      </c>
      <c r="U11" s="97">
        <v>90</v>
      </c>
      <c r="V11" s="97">
        <v>10</v>
      </c>
      <c r="W11" s="97">
        <v>19</v>
      </c>
      <c r="X11" s="97">
        <v>69</v>
      </c>
      <c r="Y11" s="97">
        <v>41</v>
      </c>
      <c r="Z11" s="97">
        <v>504</v>
      </c>
      <c r="AA11" s="97">
        <v>69</v>
      </c>
      <c r="AB11" s="97">
        <v>19</v>
      </c>
      <c r="AC11" s="97">
        <v>43</v>
      </c>
      <c r="AD11" s="97">
        <v>88</v>
      </c>
      <c r="AE11" s="97">
        <v>1</v>
      </c>
      <c r="AF11" s="97">
        <v>3</v>
      </c>
      <c r="AG11" s="97">
        <v>618.5</v>
      </c>
      <c r="AH11" s="97">
        <v>8</v>
      </c>
      <c r="AI11" s="97">
        <v>8</v>
      </c>
      <c r="AK11" s="97" t="s">
        <v>2942</v>
      </c>
      <c r="AL11" s="97" t="s">
        <v>2942</v>
      </c>
      <c r="AM11" s="97" t="s">
        <v>79</v>
      </c>
      <c r="AN11" s="97" t="s">
        <v>3199</v>
      </c>
      <c r="AO11" s="97" t="s">
        <v>12</v>
      </c>
      <c r="AP11" s="97">
        <v>108</v>
      </c>
      <c r="AQ11" s="97">
        <v>28</v>
      </c>
      <c r="AR11" s="97">
        <v>54</v>
      </c>
      <c r="AS11" s="97">
        <v>124.5</v>
      </c>
      <c r="AT11" s="97">
        <v>3</v>
      </c>
      <c r="AU11" s="97">
        <v>4</v>
      </c>
      <c r="AV11" s="97">
        <v>75</v>
      </c>
      <c r="AW11" s="97">
        <v>20</v>
      </c>
      <c r="AX11" s="97">
        <v>29</v>
      </c>
      <c r="AY11" s="97">
        <v>87</v>
      </c>
      <c r="AZ11" s="97">
        <v>2</v>
      </c>
      <c r="BA11" s="97">
        <v>2</v>
      </c>
      <c r="BB11" s="97">
        <v>73</v>
      </c>
      <c r="BC11" s="97">
        <v>25</v>
      </c>
      <c r="BD11" s="97">
        <v>39</v>
      </c>
      <c r="BE11" s="97">
        <v>114</v>
      </c>
      <c r="BF11" s="97">
        <v>17</v>
      </c>
      <c r="BG11" s="97">
        <v>18</v>
      </c>
      <c r="BH11" s="97">
        <v>59</v>
      </c>
      <c r="BI11" s="97">
        <v>5</v>
      </c>
      <c r="BJ11" s="97">
        <v>7</v>
      </c>
      <c r="BK11" s="97">
        <v>76</v>
      </c>
      <c r="BL11" s="97">
        <v>7</v>
      </c>
      <c r="BM11" s="97">
        <v>9</v>
      </c>
      <c r="BN11" s="97">
        <v>53</v>
      </c>
      <c r="BO11" s="97">
        <v>16</v>
      </c>
      <c r="BP11" s="97">
        <v>35</v>
      </c>
      <c r="BQ11" s="97">
        <v>581.5</v>
      </c>
      <c r="BR11" s="97">
        <v>7</v>
      </c>
      <c r="BS11" s="97">
        <v>8</v>
      </c>
    </row>
    <row r="12" spans="1:71" ht="15" customHeight="1">
      <c r="A12" s="97" t="s">
        <v>1572</v>
      </c>
      <c r="B12" s="97" t="s">
        <v>1572</v>
      </c>
      <c r="C12" s="97" t="s">
        <v>20</v>
      </c>
      <c r="D12" s="97" t="s">
        <v>3198</v>
      </c>
      <c r="E12" s="97" t="s">
        <v>10</v>
      </c>
      <c r="F12" s="97">
        <v>111</v>
      </c>
      <c r="G12" s="97">
        <v>19</v>
      </c>
      <c r="H12" s="97">
        <v>136</v>
      </c>
      <c r="I12" s="97">
        <v>119</v>
      </c>
      <c r="J12" s="97">
        <v>10</v>
      </c>
      <c r="K12" s="97">
        <v>14</v>
      </c>
      <c r="L12" s="97">
        <v>106</v>
      </c>
      <c r="M12" s="97">
        <v>36</v>
      </c>
      <c r="N12" s="97">
        <v>162</v>
      </c>
      <c r="O12" s="97">
        <v>108</v>
      </c>
      <c r="P12" s="97">
        <v>4</v>
      </c>
      <c r="Q12" s="97">
        <v>4</v>
      </c>
      <c r="R12" s="97">
        <v>83</v>
      </c>
      <c r="S12" s="97">
        <v>16</v>
      </c>
      <c r="T12" s="97">
        <v>30</v>
      </c>
      <c r="U12" s="97">
        <v>91</v>
      </c>
      <c r="V12" s="97">
        <v>5</v>
      </c>
      <c r="W12" s="97">
        <v>12</v>
      </c>
      <c r="X12" s="97">
        <v>73</v>
      </c>
      <c r="Y12" s="97">
        <v>34</v>
      </c>
      <c r="Z12" s="97">
        <v>359</v>
      </c>
      <c r="AA12" s="97">
        <v>71</v>
      </c>
      <c r="AB12" s="97">
        <v>17</v>
      </c>
      <c r="AC12" s="97">
        <v>32</v>
      </c>
      <c r="AD12" s="97">
        <v>61</v>
      </c>
      <c r="AE12" s="97">
        <v>50</v>
      </c>
      <c r="AF12" s="97">
        <v>703</v>
      </c>
      <c r="AG12" s="97">
        <v>618</v>
      </c>
      <c r="AH12" s="97">
        <v>9</v>
      </c>
      <c r="AI12" s="97">
        <v>9</v>
      </c>
      <c r="AK12" s="97" t="s">
        <v>2944</v>
      </c>
      <c r="AL12" s="97" t="s">
        <v>2944</v>
      </c>
      <c r="AM12" s="97" t="s">
        <v>36</v>
      </c>
      <c r="AN12" s="97" t="s">
        <v>3199</v>
      </c>
      <c r="AO12" s="97" t="s">
        <v>12</v>
      </c>
      <c r="AP12" s="97">
        <v>116</v>
      </c>
      <c r="AQ12" s="97">
        <v>12</v>
      </c>
      <c r="AR12" s="97">
        <v>17</v>
      </c>
      <c r="AS12" s="97">
        <v>116</v>
      </c>
      <c r="AT12" s="97">
        <v>9</v>
      </c>
      <c r="AU12" s="97">
        <v>11</v>
      </c>
      <c r="AV12" s="97">
        <v>76</v>
      </c>
      <c r="AW12" s="97">
        <v>19</v>
      </c>
      <c r="AX12" s="97">
        <v>23</v>
      </c>
      <c r="AY12" s="97">
        <v>80</v>
      </c>
      <c r="AZ12" s="97">
        <v>11</v>
      </c>
      <c r="BA12" s="97">
        <v>11</v>
      </c>
      <c r="BB12" s="97">
        <v>76</v>
      </c>
      <c r="BC12" s="97">
        <v>15</v>
      </c>
      <c r="BD12" s="97">
        <v>20</v>
      </c>
      <c r="BE12" s="97">
        <v>116</v>
      </c>
      <c r="BF12" s="97">
        <v>14</v>
      </c>
      <c r="BG12" s="97">
        <v>15</v>
      </c>
      <c r="BH12" s="97">
        <v>46</v>
      </c>
      <c r="BI12" s="97">
        <v>20</v>
      </c>
      <c r="BJ12" s="97">
        <v>40</v>
      </c>
      <c r="BK12" s="97">
        <v>60</v>
      </c>
      <c r="BL12" s="97">
        <v>32</v>
      </c>
      <c r="BM12" s="97">
        <v>76</v>
      </c>
      <c r="BN12" s="97">
        <v>51</v>
      </c>
      <c r="BO12" s="97">
        <v>22</v>
      </c>
      <c r="BP12" s="97">
        <v>52</v>
      </c>
      <c r="BQ12" s="97">
        <v>580</v>
      </c>
      <c r="BR12" s="97">
        <v>8</v>
      </c>
      <c r="BS12" s="97">
        <v>9</v>
      </c>
    </row>
    <row r="13" spans="1:71" ht="15" customHeight="1">
      <c r="A13" s="97" t="s">
        <v>1604</v>
      </c>
      <c r="B13" s="97" t="s">
        <v>1604</v>
      </c>
      <c r="C13" s="97" t="s">
        <v>67</v>
      </c>
      <c r="D13" s="97" t="s">
        <v>3198</v>
      </c>
      <c r="E13" s="97" t="s">
        <v>10</v>
      </c>
      <c r="F13" s="97">
        <v>107</v>
      </c>
      <c r="G13" s="97">
        <v>29</v>
      </c>
      <c r="H13" s="97">
        <v>242</v>
      </c>
      <c r="I13" s="97">
        <v>119</v>
      </c>
      <c r="J13" s="97">
        <v>10</v>
      </c>
      <c r="K13" s="97">
        <v>14</v>
      </c>
      <c r="L13" s="97">
        <v>113.5</v>
      </c>
      <c r="M13" s="97">
        <v>21</v>
      </c>
      <c r="N13" s="97">
        <v>71</v>
      </c>
      <c r="O13" s="97">
        <v>101</v>
      </c>
      <c r="P13" s="97">
        <v>10</v>
      </c>
      <c r="Q13" s="97">
        <v>16</v>
      </c>
      <c r="R13" s="97">
        <v>89</v>
      </c>
      <c r="S13" s="97">
        <v>5</v>
      </c>
      <c r="T13" s="97">
        <v>8</v>
      </c>
      <c r="U13" s="97">
        <v>84</v>
      </c>
      <c r="V13" s="97">
        <v>43</v>
      </c>
      <c r="W13" s="97">
        <v>123</v>
      </c>
      <c r="X13" s="97">
        <v>80</v>
      </c>
      <c r="Y13" s="97">
        <v>24</v>
      </c>
      <c r="Z13" s="97">
        <v>151</v>
      </c>
      <c r="AA13" s="97">
        <v>63</v>
      </c>
      <c r="AB13" s="97">
        <v>32</v>
      </c>
      <c r="AC13" s="97">
        <v>123</v>
      </c>
      <c r="AD13" s="97">
        <v>84</v>
      </c>
      <c r="AE13" s="97">
        <v>5</v>
      </c>
      <c r="AF13" s="97">
        <v>16</v>
      </c>
      <c r="AG13" s="97">
        <v>613.5</v>
      </c>
      <c r="AH13" s="97">
        <v>10</v>
      </c>
      <c r="AI13" s="97">
        <v>10</v>
      </c>
      <c r="AK13" s="97" t="s">
        <v>2936</v>
      </c>
      <c r="AL13" s="97" t="s">
        <v>2936</v>
      </c>
      <c r="AM13" s="97" t="s">
        <v>14</v>
      </c>
      <c r="AN13" s="97" t="s">
        <v>3199</v>
      </c>
      <c r="AO13" s="97" t="s">
        <v>12</v>
      </c>
      <c r="AP13" s="97">
        <v>118</v>
      </c>
      <c r="AQ13" s="97">
        <v>9</v>
      </c>
      <c r="AR13" s="97">
        <v>10</v>
      </c>
      <c r="AS13" s="97">
        <v>110.5</v>
      </c>
      <c r="AT13" s="97">
        <v>18</v>
      </c>
      <c r="AU13" s="97">
        <v>24</v>
      </c>
      <c r="AV13" s="97">
        <v>89</v>
      </c>
      <c r="AW13" s="97">
        <v>1</v>
      </c>
      <c r="AX13" s="97">
        <v>1</v>
      </c>
      <c r="AY13" s="97">
        <v>79</v>
      </c>
      <c r="AZ13" s="97">
        <v>14</v>
      </c>
      <c r="BA13" s="97">
        <v>15</v>
      </c>
      <c r="BB13" s="97">
        <v>65</v>
      </c>
      <c r="BC13" s="97">
        <v>40</v>
      </c>
      <c r="BD13" s="97">
        <v>77</v>
      </c>
      <c r="BE13" s="97">
        <v>112</v>
      </c>
      <c r="BF13" s="97">
        <v>20</v>
      </c>
      <c r="BG13" s="97">
        <v>21</v>
      </c>
      <c r="BH13" s="97">
        <v>44</v>
      </c>
      <c r="BI13" s="97">
        <v>29</v>
      </c>
      <c r="BJ13" s="97">
        <v>55</v>
      </c>
      <c r="BK13" s="97">
        <v>72</v>
      </c>
      <c r="BL13" s="97">
        <v>9</v>
      </c>
      <c r="BM13" s="97">
        <v>16</v>
      </c>
      <c r="BN13" s="97">
        <v>54</v>
      </c>
      <c r="BO13" s="97">
        <v>12</v>
      </c>
      <c r="BP13" s="97">
        <v>27</v>
      </c>
      <c r="BQ13" s="97">
        <v>573.5</v>
      </c>
      <c r="BR13" s="97">
        <v>9</v>
      </c>
      <c r="BS13" s="97">
        <v>10</v>
      </c>
    </row>
    <row r="14" spans="1:71" ht="15" customHeight="1">
      <c r="A14" s="97" t="s">
        <v>1580</v>
      </c>
      <c r="B14" s="97" t="s">
        <v>1580</v>
      </c>
      <c r="C14" s="97" t="s">
        <v>29</v>
      </c>
      <c r="D14" s="97" t="s">
        <v>3198</v>
      </c>
      <c r="E14" s="97" t="s">
        <v>10</v>
      </c>
      <c r="F14" s="97">
        <v>97</v>
      </c>
      <c r="G14" s="97">
        <v>50</v>
      </c>
      <c r="H14" s="97">
        <v>645</v>
      </c>
      <c r="I14" s="97">
        <v>126</v>
      </c>
      <c r="J14" s="97">
        <v>8</v>
      </c>
      <c r="K14" s="97">
        <v>10</v>
      </c>
      <c r="L14" s="97">
        <v>117.5</v>
      </c>
      <c r="M14" s="97">
        <v>16</v>
      </c>
      <c r="N14" s="97">
        <v>42</v>
      </c>
      <c r="O14" s="97">
        <v>97</v>
      </c>
      <c r="P14" s="97">
        <v>18</v>
      </c>
      <c r="Q14" s="97">
        <v>37</v>
      </c>
      <c r="R14" s="97">
        <v>85</v>
      </c>
      <c r="S14" s="97">
        <v>12</v>
      </c>
      <c r="T14" s="97">
        <v>23</v>
      </c>
      <c r="U14" s="97">
        <v>89</v>
      </c>
      <c r="V14" s="97">
        <v>17</v>
      </c>
      <c r="W14" s="97">
        <v>34</v>
      </c>
      <c r="X14" s="97">
        <v>80</v>
      </c>
      <c r="Y14" s="97">
        <v>24</v>
      </c>
      <c r="Z14" s="97">
        <v>151</v>
      </c>
      <c r="AA14" s="97">
        <v>72</v>
      </c>
      <c r="AB14" s="97">
        <v>15</v>
      </c>
      <c r="AC14" s="97">
        <v>25</v>
      </c>
      <c r="AD14" s="97">
        <v>87</v>
      </c>
      <c r="AE14" s="97">
        <v>2</v>
      </c>
      <c r="AF14" s="97">
        <v>6</v>
      </c>
      <c r="AG14" s="97">
        <v>611.5</v>
      </c>
      <c r="AH14" s="97">
        <v>11</v>
      </c>
      <c r="AI14" s="97">
        <v>11</v>
      </c>
      <c r="AK14" s="97" t="s">
        <v>2973</v>
      </c>
      <c r="AL14" s="97" t="s">
        <v>2973</v>
      </c>
      <c r="AM14" s="97" t="s">
        <v>66</v>
      </c>
      <c r="AN14" s="97" t="s">
        <v>3199</v>
      </c>
      <c r="AO14" s="97" t="s">
        <v>12</v>
      </c>
      <c r="AP14" s="97">
        <v>108</v>
      </c>
      <c r="AQ14" s="97">
        <v>28</v>
      </c>
      <c r="AR14" s="97">
        <v>54</v>
      </c>
      <c r="AS14" s="97">
        <v>109.5</v>
      </c>
      <c r="AT14" s="97">
        <v>22</v>
      </c>
      <c r="AU14" s="97">
        <v>28</v>
      </c>
      <c r="AV14" s="97">
        <v>79</v>
      </c>
      <c r="AW14" s="97">
        <v>8</v>
      </c>
      <c r="AX14" s="97">
        <v>9</v>
      </c>
      <c r="AY14" s="97">
        <v>77</v>
      </c>
      <c r="AZ14" s="97">
        <v>20</v>
      </c>
      <c r="BA14" s="97">
        <v>21</v>
      </c>
      <c r="BB14" s="97">
        <v>74</v>
      </c>
      <c r="BC14" s="97">
        <v>20</v>
      </c>
      <c r="BD14" s="97">
        <v>32</v>
      </c>
      <c r="BE14" s="97">
        <v>124</v>
      </c>
      <c r="BF14" s="97">
        <v>6</v>
      </c>
      <c r="BG14" s="97">
        <v>7</v>
      </c>
      <c r="BH14" s="97">
        <v>44</v>
      </c>
      <c r="BI14" s="97">
        <v>29</v>
      </c>
      <c r="BJ14" s="97">
        <v>55</v>
      </c>
      <c r="BK14" s="97">
        <v>52</v>
      </c>
      <c r="BL14" s="97">
        <v>41</v>
      </c>
      <c r="BM14" s="97">
        <v>119</v>
      </c>
      <c r="BN14" s="97">
        <v>30</v>
      </c>
      <c r="BO14" s="97">
        <v>46</v>
      </c>
      <c r="BP14" s="97">
        <v>131</v>
      </c>
      <c r="BQ14" s="97">
        <v>571.5</v>
      </c>
      <c r="BR14" s="97">
        <v>10</v>
      </c>
      <c r="BS14" s="97">
        <v>11</v>
      </c>
    </row>
    <row r="15" spans="1:71" ht="15" customHeight="1">
      <c r="A15" s="97" t="s">
        <v>1590</v>
      </c>
      <c r="B15" s="97" t="s">
        <v>1590</v>
      </c>
      <c r="C15" s="97" t="s">
        <v>72</v>
      </c>
      <c r="D15" s="97" t="s">
        <v>3198</v>
      </c>
      <c r="E15" s="97" t="s">
        <v>10</v>
      </c>
      <c r="F15" s="97">
        <v>120</v>
      </c>
      <c r="G15" s="97">
        <v>3</v>
      </c>
      <c r="H15" s="97">
        <v>21</v>
      </c>
      <c r="I15" s="97">
        <v>93</v>
      </c>
      <c r="J15" s="97">
        <v>37</v>
      </c>
      <c r="K15" s="97">
        <v>155</v>
      </c>
      <c r="L15" s="97">
        <v>124</v>
      </c>
      <c r="M15" s="97">
        <v>6</v>
      </c>
      <c r="N15" s="97">
        <v>13</v>
      </c>
      <c r="O15" s="97">
        <v>95</v>
      </c>
      <c r="P15" s="97">
        <v>24</v>
      </c>
      <c r="Q15" s="97">
        <v>50</v>
      </c>
      <c r="R15" s="97">
        <v>89</v>
      </c>
      <c r="S15" s="97">
        <v>5</v>
      </c>
      <c r="T15" s="97">
        <v>8</v>
      </c>
      <c r="U15" s="97">
        <v>88</v>
      </c>
      <c r="V15" s="97">
        <v>25</v>
      </c>
      <c r="W15" s="97">
        <v>44</v>
      </c>
      <c r="X15" s="97">
        <v>62</v>
      </c>
      <c r="Y15" s="97">
        <v>51</v>
      </c>
      <c r="Z15" s="97">
        <v>729</v>
      </c>
      <c r="AA15" s="97">
        <v>62</v>
      </c>
      <c r="AB15" s="97">
        <v>33</v>
      </c>
      <c r="AC15" s="97">
        <v>146</v>
      </c>
      <c r="AD15" s="97">
        <v>78</v>
      </c>
      <c r="AE15" s="97">
        <v>22</v>
      </c>
      <c r="AF15" s="97">
        <v>86</v>
      </c>
      <c r="AG15" s="97">
        <v>609</v>
      </c>
      <c r="AH15" s="97">
        <v>12</v>
      </c>
      <c r="AI15" s="97">
        <v>12</v>
      </c>
      <c r="AK15" s="97" t="s">
        <v>3259</v>
      </c>
      <c r="AL15" s="97" t="s">
        <v>3259</v>
      </c>
      <c r="AM15" s="97" t="s">
        <v>90</v>
      </c>
      <c r="AN15" s="97" t="s">
        <v>3199</v>
      </c>
      <c r="AO15" s="97" t="s">
        <v>12</v>
      </c>
      <c r="AP15" s="97">
        <v>109</v>
      </c>
      <c r="AQ15" s="97">
        <v>24</v>
      </c>
      <c r="AR15" s="97">
        <v>46</v>
      </c>
      <c r="AS15" s="97">
        <v>115.5</v>
      </c>
      <c r="AT15" s="97">
        <v>10</v>
      </c>
      <c r="AU15" s="97">
        <v>12</v>
      </c>
      <c r="AV15" s="97">
        <v>71</v>
      </c>
      <c r="AW15" s="97">
        <v>29</v>
      </c>
      <c r="AX15" s="97">
        <v>46</v>
      </c>
      <c r="AY15" s="97">
        <v>80</v>
      </c>
      <c r="AZ15" s="97">
        <v>11</v>
      </c>
      <c r="BA15" s="97">
        <v>11</v>
      </c>
      <c r="BB15" s="97">
        <v>77</v>
      </c>
      <c r="BC15" s="97">
        <v>9</v>
      </c>
      <c r="BD15" s="97">
        <v>13</v>
      </c>
      <c r="BE15" s="97">
        <v>116</v>
      </c>
      <c r="BF15" s="97">
        <v>14</v>
      </c>
      <c r="BG15" s="97">
        <v>15</v>
      </c>
      <c r="BH15" s="97">
        <v>47</v>
      </c>
      <c r="BI15" s="97">
        <v>16</v>
      </c>
      <c r="BJ15" s="97">
        <v>33</v>
      </c>
      <c r="BK15" s="97">
        <v>57</v>
      </c>
      <c r="BL15" s="97">
        <v>39</v>
      </c>
      <c r="BM15" s="97">
        <v>97</v>
      </c>
      <c r="BN15" s="97">
        <v>40</v>
      </c>
      <c r="BO15" s="97">
        <v>40</v>
      </c>
      <c r="BP15" s="97">
        <v>119</v>
      </c>
      <c r="BQ15" s="97">
        <v>568.5</v>
      </c>
      <c r="BR15" s="97">
        <v>11</v>
      </c>
      <c r="BS15" s="97">
        <v>12</v>
      </c>
    </row>
    <row r="16" spans="1:71" ht="15" customHeight="1">
      <c r="A16" s="97" t="s">
        <v>1566</v>
      </c>
      <c r="B16" s="97" t="s">
        <v>1566</v>
      </c>
      <c r="C16" s="97" t="s">
        <v>47</v>
      </c>
      <c r="D16" s="97" t="s">
        <v>3198</v>
      </c>
      <c r="E16" s="97" t="s">
        <v>10</v>
      </c>
      <c r="F16" s="97">
        <v>107</v>
      </c>
      <c r="G16" s="97">
        <v>29</v>
      </c>
      <c r="H16" s="97">
        <v>242</v>
      </c>
      <c r="I16" s="97">
        <v>117</v>
      </c>
      <c r="J16" s="97">
        <v>15</v>
      </c>
      <c r="K16" s="97">
        <v>21</v>
      </c>
      <c r="L16" s="97">
        <v>125</v>
      </c>
      <c r="M16" s="97">
        <v>4</v>
      </c>
      <c r="N16" s="97">
        <v>10</v>
      </c>
      <c r="O16" s="97">
        <v>93</v>
      </c>
      <c r="P16" s="97">
        <v>34</v>
      </c>
      <c r="Q16" s="97">
        <v>68</v>
      </c>
      <c r="R16" s="97">
        <v>81</v>
      </c>
      <c r="S16" s="97">
        <v>19</v>
      </c>
      <c r="T16" s="97">
        <v>37</v>
      </c>
      <c r="U16" s="97">
        <v>86</v>
      </c>
      <c r="V16" s="97">
        <v>34</v>
      </c>
      <c r="W16" s="97">
        <v>77</v>
      </c>
      <c r="X16" s="97">
        <v>66</v>
      </c>
      <c r="Y16" s="97">
        <v>46</v>
      </c>
      <c r="Z16" s="97">
        <v>604</v>
      </c>
      <c r="AA16" s="97">
        <v>62</v>
      </c>
      <c r="AB16" s="97">
        <v>33</v>
      </c>
      <c r="AC16" s="97">
        <v>146</v>
      </c>
      <c r="AD16" s="97">
        <v>62</v>
      </c>
      <c r="AE16" s="97">
        <v>49</v>
      </c>
      <c r="AF16" s="97">
        <v>672</v>
      </c>
      <c r="AG16" s="97">
        <v>609</v>
      </c>
      <c r="AH16" s="97">
        <v>12</v>
      </c>
      <c r="AI16" s="97">
        <v>12</v>
      </c>
      <c r="AK16" s="97" t="s">
        <v>2927</v>
      </c>
      <c r="AL16" s="97" t="s">
        <v>2927</v>
      </c>
      <c r="AM16" s="97" t="s">
        <v>64</v>
      </c>
      <c r="AN16" s="97" t="s">
        <v>3199</v>
      </c>
      <c r="AO16" s="97" t="s">
        <v>12</v>
      </c>
      <c r="AP16" s="97">
        <v>109</v>
      </c>
      <c r="AQ16" s="97">
        <v>24</v>
      </c>
      <c r="AR16" s="97">
        <v>46</v>
      </c>
      <c r="AS16" s="97">
        <v>114</v>
      </c>
      <c r="AT16" s="97">
        <v>13</v>
      </c>
      <c r="AU16" s="97">
        <v>17</v>
      </c>
      <c r="AV16" s="97">
        <v>80</v>
      </c>
      <c r="AW16" s="97">
        <v>6</v>
      </c>
      <c r="AX16" s="97">
        <v>7</v>
      </c>
      <c r="AY16" s="97">
        <v>81</v>
      </c>
      <c r="AZ16" s="97">
        <v>7</v>
      </c>
      <c r="BA16" s="97">
        <v>7</v>
      </c>
      <c r="BB16" s="97">
        <v>82</v>
      </c>
      <c r="BC16" s="97">
        <v>6</v>
      </c>
      <c r="BD16" s="97">
        <v>7</v>
      </c>
      <c r="BE16" s="97">
        <v>100</v>
      </c>
      <c r="BF16" s="97">
        <v>35</v>
      </c>
      <c r="BG16" s="97">
        <v>42</v>
      </c>
      <c r="BH16" s="97">
        <v>42</v>
      </c>
      <c r="BI16" s="97">
        <v>32</v>
      </c>
      <c r="BJ16" s="97">
        <v>68</v>
      </c>
      <c r="BK16" s="97">
        <v>66</v>
      </c>
      <c r="BL16" s="97">
        <v>21</v>
      </c>
      <c r="BM16" s="97">
        <v>44</v>
      </c>
      <c r="BN16" s="97">
        <v>45</v>
      </c>
      <c r="BO16" s="97">
        <v>33</v>
      </c>
      <c r="BP16" s="97">
        <v>92</v>
      </c>
      <c r="BQ16" s="97">
        <v>566</v>
      </c>
      <c r="BR16" s="97">
        <v>12</v>
      </c>
      <c r="BS16" s="97">
        <v>13</v>
      </c>
    </row>
    <row r="17" spans="1:71" ht="15" customHeight="1">
      <c r="A17" s="97" t="s">
        <v>1584</v>
      </c>
      <c r="B17" s="97" t="s">
        <v>1584</v>
      </c>
      <c r="C17" s="97" t="s">
        <v>178</v>
      </c>
      <c r="D17" s="97" t="s">
        <v>3198</v>
      </c>
      <c r="E17" s="97" t="s">
        <v>10</v>
      </c>
      <c r="F17" s="97">
        <v>121</v>
      </c>
      <c r="G17" s="97">
        <v>2</v>
      </c>
      <c r="H17" s="97">
        <v>13</v>
      </c>
      <c r="I17" s="97">
        <v>107</v>
      </c>
      <c r="J17" s="97">
        <v>23</v>
      </c>
      <c r="K17" s="97">
        <v>46</v>
      </c>
      <c r="L17" s="97">
        <v>118</v>
      </c>
      <c r="M17" s="97">
        <v>15</v>
      </c>
      <c r="N17" s="97">
        <v>40</v>
      </c>
      <c r="O17" s="97">
        <v>99</v>
      </c>
      <c r="P17" s="97">
        <v>14</v>
      </c>
      <c r="Q17" s="97">
        <v>25</v>
      </c>
      <c r="R17" s="97">
        <v>75</v>
      </c>
      <c r="S17" s="97">
        <v>34</v>
      </c>
      <c r="T17" s="97">
        <v>83</v>
      </c>
      <c r="U17" s="97">
        <v>88</v>
      </c>
      <c r="V17" s="97">
        <v>25</v>
      </c>
      <c r="W17" s="97">
        <v>44</v>
      </c>
      <c r="X17" s="97">
        <v>87</v>
      </c>
      <c r="Y17" s="97">
        <v>8</v>
      </c>
      <c r="Z17" s="97">
        <v>25</v>
      </c>
      <c r="AA17" s="97">
        <v>74</v>
      </c>
      <c r="AB17" s="97">
        <v>9</v>
      </c>
      <c r="AC17" s="97">
        <v>14</v>
      </c>
      <c r="AD17" s="97">
        <v>79</v>
      </c>
      <c r="AE17" s="97">
        <v>19</v>
      </c>
      <c r="AF17" s="97">
        <v>73</v>
      </c>
      <c r="AG17" s="97">
        <v>608</v>
      </c>
      <c r="AH17" s="97">
        <v>14</v>
      </c>
      <c r="AI17" s="97">
        <v>14</v>
      </c>
      <c r="AK17" s="97" t="s">
        <v>2950</v>
      </c>
      <c r="AL17" s="97" t="s">
        <v>2950</v>
      </c>
      <c r="AM17" s="97" t="s">
        <v>92</v>
      </c>
      <c r="AN17" s="97" t="s">
        <v>3199</v>
      </c>
      <c r="AO17" s="97" t="s">
        <v>12</v>
      </c>
      <c r="AP17" s="97">
        <v>108</v>
      </c>
      <c r="AQ17" s="97">
        <v>28</v>
      </c>
      <c r="AR17" s="97">
        <v>54</v>
      </c>
      <c r="AS17" s="97">
        <v>106</v>
      </c>
      <c r="AT17" s="97">
        <v>26</v>
      </c>
      <c r="AU17" s="97">
        <v>37</v>
      </c>
      <c r="AV17" s="97">
        <v>71</v>
      </c>
      <c r="AW17" s="97">
        <v>29</v>
      </c>
      <c r="AX17" s="97">
        <v>46</v>
      </c>
      <c r="AY17" s="97">
        <v>70</v>
      </c>
      <c r="AZ17" s="97">
        <v>31</v>
      </c>
      <c r="BA17" s="97">
        <v>44</v>
      </c>
      <c r="BB17" s="97">
        <v>76</v>
      </c>
      <c r="BC17" s="97">
        <v>15</v>
      </c>
      <c r="BD17" s="97">
        <v>20</v>
      </c>
      <c r="BE17" s="97">
        <v>133</v>
      </c>
      <c r="BF17" s="97">
        <v>2</v>
      </c>
      <c r="BG17" s="97">
        <v>2</v>
      </c>
      <c r="BH17" s="97">
        <v>38</v>
      </c>
      <c r="BI17" s="97">
        <v>40</v>
      </c>
      <c r="BJ17" s="97">
        <v>91</v>
      </c>
      <c r="BK17" s="97">
        <v>48</v>
      </c>
      <c r="BL17" s="97">
        <v>45</v>
      </c>
      <c r="BM17" s="97">
        <v>128</v>
      </c>
      <c r="BN17" s="97">
        <v>49</v>
      </c>
      <c r="BO17" s="97">
        <v>28</v>
      </c>
      <c r="BP17" s="97">
        <v>70</v>
      </c>
      <c r="BQ17" s="97">
        <v>564</v>
      </c>
      <c r="BR17" s="97">
        <v>13</v>
      </c>
      <c r="BS17" s="97">
        <v>14</v>
      </c>
    </row>
    <row r="18" spans="1:71" ht="15" customHeight="1">
      <c r="A18" s="97" t="s">
        <v>1596</v>
      </c>
      <c r="B18" s="97" t="s">
        <v>1596</v>
      </c>
      <c r="C18" s="97" t="s">
        <v>159</v>
      </c>
      <c r="D18" s="97" t="s">
        <v>3198</v>
      </c>
      <c r="E18" s="97" t="s">
        <v>10</v>
      </c>
      <c r="F18" s="97">
        <v>118</v>
      </c>
      <c r="G18" s="97">
        <v>6</v>
      </c>
      <c r="H18" s="97">
        <v>33</v>
      </c>
      <c r="I18" s="97">
        <v>132</v>
      </c>
      <c r="J18" s="97">
        <v>5</v>
      </c>
      <c r="K18" s="97">
        <v>5</v>
      </c>
      <c r="L18" s="97">
        <v>104.5</v>
      </c>
      <c r="M18" s="97">
        <v>39</v>
      </c>
      <c r="N18" s="97">
        <v>177</v>
      </c>
      <c r="O18" s="97">
        <v>85</v>
      </c>
      <c r="P18" s="97">
        <v>47</v>
      </c>
      <c r="Q18" s="97">
        <v>135</v>
      </c>
      <c r="R18" s="97">
        <v>81</v>
      </c>
      <c r="S18" s="97">
        <v>19</v>
      </c>
      <c r="T18" s="97">
        <v>37</v>
      </c>
      <c r="U18" s="97">
        <v>87</v>
      </c>
      <c r="V18" s="97">
        <v>30</v>
      </c>
      <c r="W18" s="97">
        <v>57</v>
      </c>
      <c r="X18" s="97">
        <v>90</v>
      </c>
      <c r="Y18" s="97">
        <v>1</v>
      </c>
      <c r="Z18" s="97">
        <v>4</v>
      </c>
      <c r="AA18" s="97">
        <v>65</v>
      </c>
      <c r="AB18" s="97">
        <v>28</v>
      </c>
      <c r="AC18" s="97">
        <v>89</v>
      </c>
      <c r="AD18" s="97">
        <v>78</v>
      </c>
      <c r="AE18" s="97">
        <v>22</v>
      </c>
      <c r="AF18" s="97">
        <v>86</v>
      </c>
      <c r="AG18" s="97">
        <v>607.5</v>
      </c>
      <c r="AH18" s="97">
        <v>15</v>
      </c>
      <c r="AI18" s="97">
        <v>15</v>
      </c>
      <c r="AK18" s="97" t="s">
        <v>2989</v>
      </c>
      <c r="AL18" s="97" t="s">
        <v>2989</v>
      </c>
      <c r="AM18" s="97" t="s">
        <v>100</v>
      </c>
      <c r="AN18" s="97" t="s">
        <v>3199</v>
      </c>
      <c r="AO18" s="97" t="s">
        <v>12</v>
      </c>
      <c r="AP18" s="97">
        <v>106</v>
      </c>
      <c r="AQ18" s="97">
        <v>34</v>
      </c>
      <c r="AR18" s="97">
        <v>71</v>
      </c>
      <c r="AS18" s="97">
        <v>115</v>
      </c>
      <c r="AT18" s="97">
        <v>11</v>
      </c>
      <c r="AU18" s="97">
        <v>15</v>
      </c>
      <c r="AV18" s="97">
        <v>78</v>
      </c>
      <c r="AW18" s="97">
        <v>14</v>
      </c>
      <c r="AX18" s="97">
        <v>16</v>
      </c>
      <c r="AY18" s="97">
        <v>87</v>
      </c>
      <c r="AZ18" s="97">
        <v>2</v>
      </c>
      <c r="BA18" s="97">
        <v>2</v>
      </c>
      <c r="BB18" s="97">
        <v>77</v>
      </c>
      <c r="BC18" s="97">
        <v>9</v>
      </c>
      <c r="BD18" s="97">
        <v>13</v>
      </c>
      <c r="BE18" s="97">
        <v>100</v>
      </c>
      <c r="BF18" s="97">
        <v>35</v>
      </c>
      <c r="BG18" s="97">
        <v>42</v>
      </c>
      <c r="BH18" s="97">
        <v>52</v>
      </c>
      <c r="BI18" s="97">
        <v>6</v>
      </c>
      <c r="BJ18" s="97">
        <v>12</v>
      </c>
      <c r="BK18" s="97">
        <v>79</v>
      </c>
      <c r="BL18" s="97">
        <v>4</v>
      </c>
      <c r="BM18" s="97">
        <v>5</v>
      </c>
      <c r="BN18" s="97">
        <v>54</v>
      </c>
      <c r="BO18" s="97">
        <v>12</v>
      </c>
      <c r="BP18" s="97">
        <v>27</v>
      </c>
      <c r="BQ18" s="97">
        <v>563</v>
      </c>
      <c r="BR18" s="97">
        <v>14</v>
      </c>
      <c r="BS18" s="97">
        <v>15</v>
      </c>
    </row>
    <row r="19" spans="1:71" ht="15" customHeight="1">
      <c r="A19" s="97" t="s">
        <v>1543</v>
      </c>
      <c r="B19" s="97" t="s">
        <v>1543</v>
      </c>
      <c r="C19" s="97" t="s">
        <v>91</v>
      </c>
      <c r="D19" s="97" t="s">
        <v>3198</v>
      </c>
      <c r="E19" s="97" t="s">
        <v>10</v>
      </c>
      <c r="F19" s="97">
        <v>120</v>
      </c>
      <c r="G19" s="97">
        <v>3</v>
      </c>
      <c r="H19" s="97">
        <v>21</v>
      </c>
      <c r="I19" s="97">
        <v>99</v>
      </c>
      <c r="J19" s="97">
        <v>27</v>
      </c>
      <c r="K19" s="97">
        <v>93</v>
      </c>
      <c r="L19" s="97">
        <v>123</v>
      </c>
      <c r="M19" s="97">
        <v>8</v>
      </c>
      <c r="N19" s="97">
        <v>17</v>
      </c>
      <c r="O19" s="97">
        <v>101</v>
      </c>
      <c r="P19" s="97">
        <v>10</v>
      </c>
      <c r="Q19" s="97">
        <v>16</v>
      </c>
      <c r="R19" s="97">
        <v>76</v>
      </c>
      <c r="S19" s="97">
        <v>32</v>
      </c>
      <c r="T19" s="97">
        <v>73</v>
      </c>
      <c r="U19" s="97">
        <v>88</v>
      </c>
      <c r="V19" s="97">
        <v>25</v>
      </c>
      <c r="W19" s="97">
        <v>44</v>
      </c>
      <c r="X19" s="97">
        <v>84</v>
      </c>
      <c r="Y19" s="97">
        <v>15</v>
      </c>
      <c r="Z19" s="97">
        <v>59</v>
      </c>
      <c r="AA19" s="97">
        <v>79</v>
      </c>
      <c r="AB19" s="97">
        <v>3</v>
      </c>
      <c r="AC19" s="97">
        <v>3</v>
      </c>
      <c r="AD19" s="97">
        <v>79</v>
      </c>
      <c r="AE19" s="97">
        <v>19</v>
      </c>
      <c r="AF19" s="97">
        <v>73</v>
      </c>
      <c r="AG19" s="97">
        <v>607</v>
      </c>
      <c r="AH19" s="97">
        <v>16</v>
      </c>
      <c r="AI19" s="97">
        <v>16</v>
      </c>
      <c r="AK19" s="97" t="s">
        <v>3258</v>
      </c>
      <c r="AL19" s="97" t="s">
        <v>3258</v>
      </c>
      <c r="AM19" s="97" t="s">
        <v>2925</v>
      </c>
      <c r="AN19" s="97" t="s">
        <v>3199</v>
      </c>
      <c r="AO19" s="97" t="s">
        <v>12</v>
      </c>
      <c r="AP19" s="97">
        <v>114</v>
      </c>
      <c r="AQ19" s="97">
        <v>15</v>
      </c>
      <c r="AR19" s="97">
        <v>23</v>
      </c>
      <c r="AS19" s="97">
        <v>110</v>
      </c>
      <c r="AT19" s="97">
        <v>20</v>
      </c>
      <c r="AU19" s="97">
        <v>26</v>
      </c>
      <c r="AV19" s="97">
        <v>73</v>
      </c>
      <c r="AW19" s="97">
        <v>26</v>
      </c>
      <c r="AX19" s="97">
        <v>37</v>
      </c>
      <c r="AY19" s="97">
        <v>79</v>
      </c>
      <c r="AZ19" s="97">
        <v>14</v>
      </c>
      <c r="BA19" s="97">
        <v>15</v>
      </c>
      <c r="BB19" s="97">
        <v>74</v>
      </c>
      <c r="BC19" s="97">
        <v>20</v>
      </c>
      <c r="BD19" s="97">
        <v>32</v>
      </c>
      <c r="BE19" s="97">
        <v>110</v>
      </c>
      <c r="BF19" s="97">
        <v>21</v>
      </c>
      <c r="BG19" s="97">
        <v>22</v>
      </c>
      <c r="BH19" s="97">
        <v>40</v>
      </c>
      <c r="BI19" s="97">
        <v>36</v>
      </c>
      <c r="BJ19" s="97">
        <v>79</v>
      </c>
      <c r="BK19" s="97">
        <v>49</v>
      </c>
      <c r="BL19" s="97">
        <v>43</v>
      </c>
      <c r="BM19" s="97">
        <v>126</v>
      </c>
      <c r="BN19" s="97">
        <v>41</v>
      </c>
      <c r="BO19" s="97">
        <v>38</v>
      </c>
      <c r="BP19" s="97">
        <v>115</v>
      </c>
      <c r="BQ19" s="97">
        <v>560</v>
      </c>
      <c r="BR19" s="97">
        <v>15</v>
      </c>
      <c r="BS19" s="97">
        <v>16</v>
      </c>
    </row>
    <row r="20" spans="1:71" ht="15" customHeight="1">
      <c r="A20" s="97" t="s">
        <v>1607</v>
      </c>
      <c r="B20" s="97" t="s">
        <v>1607</v>
      </c>
      <c r="C20" s="97" t="s">
        <v>77</v>
      </c>
      <c r="D20" s="97" t="s">
        <v>3198</v>
      </c>
      <c r="E20" s="97" t="s">
        <v>10</v>
      </c>
      <c r="F20" s="97">
        <v>112</v>
      </c>
      <c r="G20" s="97">
        <v>17</v>
      </c>
      <c r="H20" s="97">
        <v>114</v>
      </c>
      <c r="I20" s="97">
        <v>88</v>
      </c>
      <c r="J20" s="97">
        <v>42</v>
      </c>
      <c r="K20" s="97">
        <v>206</v>
      </c>
      <c r="L20" s="97">
        <v>126</v>
      </c>
      <c r="M20" s="97">
        <v>2</v>
      </c>
      <c r="N20" s="97">
        <v>8</v>
      </c>
      <c r="O20" s="97">
        <v>109</v>
      </c>
      <c r="P20" s="97">
        <v>2</v>
      </c>
      <c r="Q20" s="97">
        <v>2</v>
      </c>
      <c r="R20" s="97">
        <v>76</v>
      </c>
      <c r="S20" s="97">
        <v>32</v>
      </c>
      <c r="T20" s="97">
        <v>73</v>
      </c>
      <c r="U20" s="97">
        <v>90</v>
      </c>
      <c r="V20" s="97">
        <v>10</v>
      </c>
      <c r="W20" s="97">
        <v>19</v>
      </c>
      <c r="X20" s="97">
        <v>83</v>
      </c>
      <c r="Y20" s="97">
        <v>17</v>
      </c>
      <c r="Z20" s="97">
        <v>79</v>
      </c>
      <c r="AA20" s="97">
        <v>65</v>
      </c>
      <c r="AB20" s="97">
        <v>28</v>
      </c>
      <c r="AC20" s="97">
        <v>89</v>
      </c>
      <c r="AD20" s="97">
        <v>73</v>
      </c>
      <c r="AE20" s="97">
        <v>36</v>
      </c>
      <c r="AF20" s="97">
        <v>216</v>
      </c>
      <c r="AG20" s="97">
        <v>601</v>
      </c>
      <c r="AH20" s="97">
        <v>17</v>
      </c>
      <c r="AI20" s="97">
        <v>17</v>
      </c>
      <c r="AK20" s="97" t="s">
        <v>2971</v>
      </c>
      <c r="AL20" s="97" t="s">
        <v>2971</v>
      </c>
      <c r="AM20" s="97" t="s">
        <v>102</v>
      </c>
      <c r="AN20" s="97" t="s">
        <v>3199</v>
      </c>
      <c r="AO20" s="97" t="s">
        <v>12</v>
      </c>
      <c r="AP20" s="97">
        <v>115</v>
      </c>
      <c r="AQ20" s="97">
        <v>14</v>
      </c>
      <c r="AR20" s="97">
        <v>20</v>
      </c>
      <c r="AS20" s="97">
        <v>116.5</v>
      </c>
      <c r="AT20" s="97">
        <v>8</v>
      </c>
      <c r="AU20" s="97">
        <v>10</v>
      </c>
      <c r="AV20" s="97">
        <v>77</v>
      </c>
      <c r="AW20" s="97">
        <v>16</v>
      </c>
      <c r="AX20" s="97">
        <v>19</v>
      </c>
      <c r="AY20" s="97">
        <v>76</v>
      </c>
      <c r="AZ20" s="97">
        <v>24</v>
      </c>
      <c r="BA20" s="97">
        <v>25</v>
      </c>
      <c r="BB20" s="97">
        <v>74</v>
      </c>
      <c r="BC20" s="97">
        <v>20</v>
      </c>
      <c r="BD20" s="97">
        <v>32</v>
      </c>
      <c r="BE20" s="97">
        <v>101</v>
      </c>
      <c r="BF20" s="97">
        <v>32</v>
      </c>
      <c r="BG20" s="97">
        <v>38</v>
      </c>
      <c r="BH20" s="97">
        <v>46</v>
      </c>
      <c r="BI20" s="97">
        <v>20</v>
      </c>
      <c r="BJ20" s="97">
        <v>40</v>
      </c>
      <c r="BK20" s="97">
        <v>77</v>
      </c>
      <c r="BL20" s="97">
        <v>5</v>
      </c>
      <c r="BM20" s="97">
        <v>7</v>
      </c>
      <c r="BN20" s="97">
        <v>55</v>
      </c>
      <c r="BO20" s="97">
        <v>9</v>
      </c>
      <c r="BP20" s="97">
        <v>22</v>
      </c>
      <c r="BQ20" s="97">
        <v>559.5</v>
      </c>
      <c r="BR20" s="97">
        <v>16</v>
      </c>
      <c r="BS20" s="97">
        <v>17</v>
      </c>
    </row>
    <row r="21" spans="1:71" ht="15" customHeight="1">
      <c r="A21" s="97" t="s">
        <v>1702</v>
      </c>
      <c r="B21" s="97" t="s">
        <v>1702</v>
      </c>
      <c r="C21" s="97" t="s">
        <v>1578</v>
      </c>
      <c r="D21" s="97" t="s">
        <v>3198</v>
      </c>
      <c r="E21" s="97" t="s">
        <v>9</v>
      </c>
      <c r="F21" s="97">
        <v>107</v>
      </c>
      <c r="G21" s="97">
        <v>21</v>
      </c>
      <c r="H21" s="97">
        <v>242</v>
      </c>
      <c r="I21" s="97">
        <v>106</v>
      </c>
      <c r="J21" s="97">
        <v>7</v>
      </c>
      <c r="K21" s="97">
        <v>54</v>
      </c>
      <c r="L21" s="97">
        <v>104</v>
      </c>
      <c r="M21" s="97">
        <v>30</v>
      </c>
      <c r="N21" s="97">
        <v>188</v>
      </c>
      <c r="O21" s="97">
        <v>98</v>
      </c>
      <c r="P21" s="97">
        <v>4</v>
      </c>
      <c r="Q21" s="97">
        <v>34</v>
      </c>
      <c r="R21" s="97">
        <v>89</v>
      </c>
      <c r="S21" s="97">
        <v>3</v>
      </c>
      <c r="T21" s="97">
        <v>8</v>
      </c>
      <c r="U21" s="97">
        <v>97</v>
      </c>
      <c r="V21" s="97">
        <v>1</v>
      </c>
      <c r="W21" s="97">
        <v>1</v>
      </c>
      <c r="X21" s="97">
        <v>82</v>
      </c>
      <c r="Y21" s="97">
        <v>14</v>
      </c>
      <c r="Z21" s="97">
        <v>100</v>
      </c>
      <c r="AA21" s="97">
        <v>57</v>
      </c>
      <c r="AB21" s="97">
        <v>34</v>
      </c>
      <c r="AC21" s="97">
        <v>306</v>
      </c>
      <c r="AD21" s="97">
        <v>56</v>
      </c>
      <c r="AE21" s="97">
        <v>47</v>
      </c>
      <c r="AF21" s="97">
        <v>817</v>
      </c>
      <c r="AG21" s="97">
        <v>601</v>
      </c>
      <c r="AH21" s="97">
        <v>1</v>
      </c>
      <c r="AI21" s="97">
        <v>17</v>
      </c>
      <c r="AK21" s="97" t="s">
        <v>2963</v>
      </c>
      <c r="AL21" s="97" t="s">
        <v>2963</v>
      </c>
      <c r="AM21" s="97" t="s">
        <v>21</v>
      </c>
      <c r="AN21" s="97" t="s">
        <v>3199</v>
      </c>
      <c r="AO21" s="97" t="s">
        <v>12</v>
      </c>
      <c r="AP21" s="97">
        <v>105</v>
      </c>
      <c r="AQ21" s="97">
        <v>35</v>
      </c>
      <c r="AR21" s="97">
        <v>75</v>
      </c>
      <c r="AS21" s="97">
        <v>99</v>
      </c>
      <c r="AT21" s="97">
        <v>35</v>
      </c>
      <c r="AU21" s="97">
        <v>55</v>
      </c>
      <c r="AV21" s="97">
        <v>79</v>
      </c>
      <c r="AW21" s="97">
        <v>8</v>
      </c>
      <c r="AX21" s="97">
        <v>9</v>
      </c>
      <c r="AY21" s="97">
        <v>80</v>
      </c>
      <c r="AZ21" s="97">
        <v>11</v>
      </c>
      <c r="BA21" s="97">
        <v>11</v>
      </c>
      <c r="BB21" s="97">
        <v>76</v>
      </c>
      <c r="BC21" s="97">
        <v>15</v>
      </c>
      <c r="BD21" s="97">
        <v>20</v>
      </c>
      <c r="BE21" s="97">
        <v>117</v>
      </c>
      <c r="BF21" s="97">
        <v>13</v>
      </c>
      <c r="BG21" s="97">
        <v>14</v>
      </c>
      <c r="BH21" s="97">
        <v>46</v>
      </c>
      <c r="BI21" s="97">
        <v>20</v>
      </c>
      <c r="BJ21" s="97">
        <v>40</v>
      </c>
      <c r="BK21" s="97">
        <v>70</v>
      </c>
      <c r="BL21" s="97">
        <v>12</v>
      </c>
      <c r="BM21" s="97">
        <v>24</v>
      </c>
      <c r="BN21" s="97">
        <v>52</v>
      </c>
      <c r="BO21" s="97">
        <v>19</v>
      </c>
      <c r="BP21" s="97">
        <v>43</v>
      </c>
      <c r="BQ21" s="97">
        <v>556</v>
      </c>
      <c r="BR21" s="97">
        <v>17</v>
      </c>
      <c r="BS21" s="97">
        <v>18</v>
      </c>
    </row>
    <row r="22" spans="1:71" ht="15" customHeight="1">
      <c r="A22" s="97" t="s">
        <v>1529</v>
      </c>
      <c r="B22" s="97" t="s">
        <v>1529</v>
      </c>
      <c r="C22" s="97" t="s">
        <v>108</v>
      </c>
      <c r="D22" s="97" t="s">
        <v>3198</v>
      </c>
      <c r="E22" s="97" t="s">
        <v>10</v>
      </c>
      <c r="F22" s="97">
        <v>106</v>
      </c>
      <c r="G22" s="97">
        <v>36</v>
      </c>
      <c r="H22" s="97">
        <v>287</v>
      </c>
      <c r="I22" s="97">
        <v>114</v>
      </c>
      <c r="J22" s="97">
        <v>18</v>
      </c>
      <c r="K22" s="97">
        <v>28</v>
      </c>
      <c r="L22" s="97">
        <v>115.5</v>
      </c>
      <c r="M22" s="97">
        <v>18</v>
      </c>
      <c r="N22" s="97">
        <v>55</v>
      </c>
      <c r="O22" s="97">
        <v>94</v>
      </c>
      <c r="P22" s="97">
        <v>28</v>
      </c>
      <c r="Q22" s="97">
        <v>61</v>
      </c>
      <c r="R22" s="97">
        <v>84</v>
      </c>
      <c r="S22" s="97">
        <v>13</v>
      </c>
      <c r="T22" s="97">
        <v>25</v>
      </c>
      <c r="U22" s="97">
        <v>86</v>
      </c>
      <c r="V22" s="97">
        <v>34</v>
      </c>
      <c r="W22" s="97">
        <v>77</v>
      </c>
      <c r="X22" s="97">
        <v>72</v>
      </c>
      <c r="Y22" s="97">
        <v>37</v>
      </c>
      <c r="Z22" s="97">
        <v>396</v>
      </c>
      <c r="AA22" s="97">
        <v>74</v>
      </c>
      <c r="AB22" s="97">
        <v>9</v>
      </c>
      <c r="AC22" s="97">
        <v>14</v>
      </c>
      <c r="AD22" s="97">
        <v>84</v>
      </c>
      <c r="AE22" s="97">
        <v>5</v>
      </c>
      <c r="AF22" s="97">
        <v>16</v>
      </c>
      <c r="AG22" s="97">
        <v>599.5</v>
      </c>
      <c r="AH22" s="97">
        <v>18</v>
      </c>
      <c r="AI22" s="97">
        <v>19</v>
      </c>
      <c r="AK22" s="97" t="s">
        <v>2930</v>
      </c>
      <c r="AL22" s="97" t="s">
        <v>2930</v>
      </c>
      <c r="AM22" s="97" t="s">
        <v>99</v>
      </c>
      <c r="AN22" s="97" t="s">
        <v>3199</v>
      </c>
      <c r="AO22" s="97" t="s">
        <v>12</v>
      </c>
      <c r="AP22" s="97">
        <v>120</v>
      </c>
      <c r="AQ22" s="97">
        <v>5</v>
      </c>
      <c r="AR22" s="97">
        <v>6</v>
      </c>
      <c r="AS22" s="97">
        <v>95.5</v>
      </c>
      <c r="AT22" s="97">
        <v>39</v>
      </c>
      <c r="AU22" s="97">
        <v>68</v>
      </c>
      <c r="AV22" s="97">
        <v>77</v>
      </c>
      <c r="AW22" s="97">
        <v>16</v>
      </c>
      <c r="AX22" s="97">
        <v>19</v>
      </c>
      <c r="AY22" s="97">
        <v>78</v>
      </c>
      <c r="AZ22" s="97">
        <v>18</v>
      </c>
      <c r="BA22" s="97">
        <v>19</v>
      </c>
      <c r="BB22" s="97">
        <v>77</v>
      </c>
      <c r="BC22" s="97">
        <v>9</v>
      </c>
      <c r="BD22" s="97">
        <v>13</v>
      </c>
      <c r="BE22" s="97">
        <v>108</v>
      </c>
      <c r="BF22" s="97">
        <v>25</v>
      </c>
      <c r="BG22" s="97">
        <v>27</v>
      </c>
      <c r="BH22" s="97">
        <v>42</v>
      </c>
      <c r="BI22" s="97">
        <v>32</v>
      </c>
      <c r="BJ22" s="97">
        <v>68</v>
      </c>
      <c r="BK22" s="97">
        <v>69</v>
      </c>
      <c r="BL22" s="97">
        <v>14</v>
      </c>
      <c r="BM22" s="97">
        <v>26</v>
      </c>
      <c r="BN22" s="97">
        <v>43</v>
      </c>
      <c r="BO22" s="97">
        <v>34</v>
      </c>
      <c r="BP22" s="97">
        <v>102</v>
      </c>
      <c r="BQ22" s="97">
        <v>555.5</v>
      </c>
      <c r="BR22" s="97">
        <v>18</v>
      </c>
      <c r="BS22" s="97">
        <v>19</v>
      </c>
    </row>
    <row r="23" spans="1:71" ht="15" customHeight="1">
      <c r="A23" s="97" t="s">
        <v>1620</v>
      </c>
      <c r="B23" s="97" t="s">
        <v>1620</v>
      </c>
      <c r="C23" s="97" t="s">
        <v>113</v>
      </c>
      <c r="D23" s="97" t="s">
        <v>3198</v>
      </c>
      <c r="E23" s="97" t="s">
        <v>10</v>
      </c>
      <c r="F23" s="97">
        <v>110</v>
      </c>
      <c r="G23" s="97">
        <v>22</v>
      </c>
      <c r="H23" s="97">
        <v>159</v>
      </c>
      <c r="I23" s="97">
        <v>110</v>
      </c>
      <c r="J23" s="97">
        <v>21</v>
      </c>
      <c r="K23" s="97">
        <v>38</v>
      </c>
      <c r="L23" s="97">
        <v>100.5</v>
      </c>
      <c r="M23" s="97">
        <v>44</v>
      </c>
      <c r="N23" s="97">
        <v>247</v>
      </c>
      <c r="O23" s="97">
        <v>96</v>
      </c>
      <c r="P23" s="97">
        <v>21</v>
      </c>
      <c r="Q23" s="97">
        <v>43</v>
      </c>
      <c r="R23" s="97">
        <v>91</v>
      </c>
      <c r="S23" s="97">
        <v>3</v>
      </c>
      <c r="T23" s="97">
        <v>3</v>
      </c>
      <c r="U23" s="97">
        <v>89</v>
      </c>
      <c r="V23" s="97">
        <v>17</v>
      </c>
      <c r="W23" s="97">
        <v>34</v>
      </c>
      <c r="X23" s="97">
        <v>76</v>
      </c>
      <c r="Y23" s="97">
        <v>29</v>
      </c>
      <c r="Z23" s="97">
        <v>260</v>
      </c>
      <c r="AA23" s="97">
        <v>88</v>
      </c>
      <c r="AB23" s="97">
        <v>1</v>
      </c>
      <c r="AC23" s="97">
        <v>1</v>
      </c>
      <c r="AD23" s="97">
        <v>79</v>
      </c>
      <c r="AE23" s="97">
        <v>19</v>
      </c>
      <c r="AF23" s="97">
        <v>73</v>
      </c>
      <c r="AG23" s="97">
        <v>596.5</v>
      </c>
      <c r="AH23" s="97">
        <v>19</v>
      </c>
      <c r="AI23" s="97">
        <v>20</v>
      </c>
      <c r="AK23" s="97" t="s">
        <v>2939</v>
      </c>
      <c r="AL23" s="97" t="s">
        <v>2939</v>
      </c>
      <c r="AM23" s="97" t="s">
        <v>84</v>
      </c>
      <c r="AN23" s="97" t="s">
        <v>3199</v>
      </c>
      <c r="AO23" s="97" t="s">
        <v>12</v>
      </c>
      <c r="AP23" s="97">
        <v>107</v>
      </c>
      <c r="AQ23" s="97">
        <v>33</v>
      </c>
      <c r="AR23" s="97">
        <v>68</v>
      </c>
      <c r="AS23" s="97">
        <v>109.5</v>
      </c>
      <c r="AT23" s="97">
        <v>22</v>
      </c>
      <c r="AU23" s="97">
        <v>28</v>
      </c>
      <c r="AV23" s="97">
        <v>70</v>
      </c>
      <c r="AW23" s="97">
        <v>33</v>
      </c>
      <c r="AX23" s="97">
        <v>57</v>
      </c>
      <c r="AY23" s="97">
        <v>76</v>
      </c>
      <c r="AZ23" s="97">
        <v>24</v>
      </c>
      <c r="BA23" s="97">
        <v>25</v>
      </c>
      <c r="BB23" s="97">
        <v>82</v>
      </c>
      <c r="BC23" s="97">
        <v>6</v>
      </c>
      <c r="BD23" s="97">
        <v>7</v>
      </c>
      <c r="BE23" s="97">
        <v>108</v>
      </c>
      <c r="BF23" s="97">
        <v>25</v>
      </c>
      <c r="BG23" s="97">
        <v>27</v>
      </c>
      <c r="BH23" s="97">
        <v>47</v>
      </c>
      <c r="BI23" s="97">
        <v>16</v>
      </c>
      <c r="BJ23" s="97">
        <v>33</v>
      </c>
      <c r="BK23" s="97">
        <v>62</v>
      </c>
      <c r="BL23" s="97">
        <v>31</v>
      </c>
      <c r="BM23" s="97">
        <v>69</v>
      </c>
      <c r="BN23" s="97">
        <v>43</v>
      </c>
      <c r="BO23" s="97">
        <v>34</v>
      </c>
      <c r="BP23" s="97">
        <v>102</v>
      </c>
      <c r="BQ23" s="97">
        <v>552.5</v>
      </c>
      <c r="BR23" s="97">
        <v>19</v>
      </c>
      <c r="BS23" s="97">
        <v>20</v>
      </c>
    </row>
    <row r="24" spans="1:71" ht="15" customHeight="1">
      <c r="A24" s="97" t="s">
        <v>1575</v>
      </c>
      <c r="B24" s="97" t="s">
        <v>1575</v>
      </c>
      <c r="C24" s="97" t="s">
        <v>115</v>
      </c>
      <c r="D24" s="97" t="s">
        <v>3198</v>
      </c>
      <c r="E24" s="97" t="s">
        <v>10</v>
      </c>
      <c r="F24" s="97">
        <v>111</v>
      </c>
      <c r="G24" s="97">
        <v>19</v>
      </c>
      <c r="H24" s="97">
        <v>136</v>
      </c>
      <c r="I24" s="97">
        <v>114</v>
      </c>
      <c r="J24" s="97">
        <v>18</v>
      </c>
      <c r="K24" s="97">
        <v>28</v>
      </c>
      <c r="L24" s="97">
        <v>106</v>
      </c>
      <c r="M24" s="97">
        <v>36</v>
      </c>
      <c r="N24" s="97">
        <v>162</v>
      </c>
      <c r="O24" s="97">
        <v>88</v>
      </c>
      <c r="P24" s="97">
        <v>42</v>
      </c>
      <c r="Q24" s="97">
        <v>106</v>
      </c>
      <c r="R24" s="97">
        <v>77</v>
      </c>
      <c r="S24" s="97">
        <v>31</v>
      </c>
      <c r="T24" s="97">
        <v>68</v>
      </c>
      <c r="U24" s="97">
        <v>97</v>
      </c>
      <c r="V24" s="97">
        <v>1</v>
      </c>
      <c r="W24" s="97">
        <v>1</v>
      </c>
      <c r="X24" s="97">
        <v>70</v>
      </c>
      <c r="Y24" s="97">
        <v>40</v>
      </c>
      <c r="Z24" s="97">
        <v>473</v>
      </c>
      <c r="AA24" s="97">
        <v>69</v>
      </c>
      <c r="AB24" s="97">
        <v>19</v>
      </c>
      <c r="AC24" s="97">
        <v>43</v>
      </c>
      <c r="AD24" s="97">
        <v>73</v>
      </c>
      <c r="AE24" s="97">
        <v>36</v>
      </c>
      <c r="AF24" s="97">
        <v>216</v>
      </c>
      <c r="AG24" s="97">
        <v>593</v>
      </c>
      <c r="AH24" s="97">
        <v>20</v>
      </c>
      <c r="AI24" s="97">
        <v>21</v>
      </c>
      <c r="AK24" s="97" t="s">
        <v>2991</v>
      </c>
      <c r="AL24" s="97" t="s">
        <v>2991</v>
      </c>
      <c r="AM24" s="97" t="s">
        <v>164</v>
      </c>
      <c r="AN24" s="97" t="s">
        <v>3199</v>
      </c>
      <c r="AO24" s="97" t="s">
        <v>12</v>
      </c>
      <c r="AP24" s="97">
        <v>102</v>
      </c>
      <c r="AQ24" s="97">
        <v>37</v>
      </c>
      <c r="AR24" s="97">
        <v>86</v>
      </c>
      <c r="AS24" s="97">
        <v>89.5</v>
      </c>
      <c r="AT24" s="97">
        <v>41</v>
      </c>
      <c r="AU24" s="97">
        <v>85</v>
      </c>
      <c r="AV24" s="97">
        <v>71</v>
      </c>
      <c r="AW24" s="97">
        <v>29</v>
      </c>
      <c r="AX24" s="97">
        <v>46</v>
      </c>
      <c r="AY24" s="97">
        <v>77</v>
      </c>
      <c r="AZ24" s="97">
        <v>20</v>
      </c>
      <c r="BA24" s="97">
        <v>21</v>
      </c>
      <c r="BB24" s="97">
        <v>83</v>
      </c>
      <c r="BC24" s="97">
        <v>5</v>
      </c>
      <c r="BD24" s="97">
        <v>6</v>
      </c>
      <c r="BE24" s="97">
        <v>129</v>
      </c>
      <c r="BF24" s="97">
        <v>4</v>
      </c>
      <c r="BG24" s="97">
        <v>4</v>
      </c>
      <c r="BH24" s="97">
        <v>49</v>
      </c>
      <c r="BI24" s="97">
        <v>12</v>
      </c>
      <c r="BJ24" s="97">
        <v>22</v>
      </c>
      <c r="BK24" s="97">
        <v>67</v>
      </c>
      <c r="BL24" s="97">
        <v>19</v>
      </c>
      <c r="BM24" s="97">
        <v>38</v>
      </c>
      <c r="BN24" s="97">
        <v>47</v>
      </c>
      <c r="BO24" s="97">
        <v>31</v>
      </c>
      <c r="BP24" s="97">
        <v>82</v>
      </c>
      <c r="BQ24" s="97">
        <v>551.5</v>
      </c>
      <c r="BR24" s="97">
        <v>20</v>
      </c>
      <c r="BS24" s="97">
        <v>21</v>
      </c>
    </row>
    <row r="25" spans="1:71" ht="15" customHeight="1">
      <c r="A25" s="97" t="s">
        <v>1615</v>
      </c>
      <c r="B25" s="97" t="s">
        <v>1615</v>
      </c>
      <c r="C25" s="97" t="s">
        <v>48</v>
      </c>
      <c r="D25" s="97" t="s">
        <v>3198</v>
      </c>
      <c r="E25" s="97" t="s">
        <v>10</v>
      </c>
      <c r="F25" s="97">
        <v>102</v>
      </c>
      <c r="G25" s="97">
        <v>44</v>
      </c>
      <c r="H25" s="97">
        <v>442</v>
      </c>
      <c r="I25" s="97">
        <v>108</v>
      </c>
      <c r="J25" s="97">
        <v>22</v>
      </c>
      <c r="K25" s="97">
        <v>45</v>
      </c>
      <c r="L25" s="97">
        <v>126</v>
      </c>
      <c r="M25" s="97">
        <v>2</v>
      </c>
      <c r="N25" s="97">
        <v>8</v>
      </c>
      <c r="O25" s="97">
        <v>89</v>
      </c>
      <c r="P25" s="97">
        <v>40</v>
      </c>
      <c r="Q25" s="97">
        <v>97</v>
      </c>
      <c r="R25" s="97">
        <v>80</v>
      </c>
      <c r="S25" s="97">
        <v>23</v>
      </c>
      <c r="T25" s="97">
        <v>44</v>
      </c>
      <c r="U25" s="97">
        <v>86</v>
      </c>
      <c r="V25" s="97">
        <v>34</v>
      </c>
      <c r="W25" s="97">
        <v>77</v>
      </c>
      <c r="X25" s="97">
        <v>74</v>
      </c>
      <c r="Y25" s="97">
        <v>32</v>
      </c>
      <c r="Z25" s="97">
        <v>326</v>
      </c>
      <c r="AA25" s="97">
        <v>56</v>
      </c>
      <c r="AB25" s="97">
        <v>50</v>
      </c>
      <c r="AC25" s="97">
        <v>352</v>
      </c>
      <c r="AD25" s="97">
        <v>83</v>
      </c>
      <c r="AE25" s="97">
        <v>8</v>
      </c>
      <c r="AF25" s="97">
        <v>22</v>
      </c>
      <c r="AG25" s="97">
        <v>591</v>
      </c>
      <c r="AH25" s="97">
        <v>21</v>
      </c>
      <c r="AI25" s="97">
        <v>22</v>
      </c>
      <c r="AK25" s="97" t="s">
        <v>3438</v>
      </c>
      <c r="AL25" s="97" t="s">
        <v>3438</v>
      </c>
      <c r="AM25" s="97" t="s">
        <v>95</v>
      </c>
      <c r="AN25" s="97" t="s">
        <v>3199</v>
      </c>
      <c r="AO25" s="97" t="s">
        <v>12</v>
      </c>
      <c r="AP25" s="97">
        <v>120</v>
      </c>
      <c r="AQ25" s="97">
        <v>5</v>
      </c>
      <c r="AR25" s="97">
        <v>6</v>
      </c>
      <c r="AS25" s="97">
        <v>84.5</v>
      </c>
      <c r="AT25" s="97">
        <v>44</v>
      </c>
      <c r="AU25" s="97">
        <v>101</v>
      </c>
      <c r="AV25" s="97">
        <v>81</v>
      </c>
      <c r="AW25" s="97">
        <v>3</v>
      </c>
      <c r="AX25" s="97">
        <v>4</v>
      </c>
      <c r="AY25" s="97">
        <v>82</v>
      </c>
      <c r="AZ25" s="97">
        <v>6</v>
      </c>
      <c r="BA25" s="97">
        <v>6</v>
      </c>
      <c r="BB25" s="97">
        <v>70</v>
      </c>
      <c r="BC25" s="97">
        <v>29</v>
      </c>
      <c r="BD25" s="97">
        <v>50</v>
      </c>
      <c r="BE25" s="97">
        <v>114</v>
      </c>
      <c r="BF25" s="97">
        <v>17</v>
      </c>
      <c r="BG25" s="97">
        <v>18</v>
      </c>
      <c r="BH25" s="97">
        <v>39</v>
      </c>
      <c r="BI25" s="97">
        <v>39</v>
      </c>
      <c r="BJ25" s="97">
        <v>87</v>
      </c>
      <c r="BK25" s="97">
        <v>63</v>
      </c>
      <c r="BL25" s="97">
        <v>27</v>
      </c>
      <c r="BM25" s="97">
        <v>63</v>
      </c>
      <c r="BN25" s="97">
        <v>50</v>
      </c>
      <c r="BO25" s="97">
        <v>25</v>
      </c>
      <c r="BP25" s="97">
        <v>63</v>
      </c>
      <c r="BQ25" s="97">
        <v>551.5</v>
      </c>
      <c r="BR25" s="97">
        <v>20</v>
      </c>
      <c r="BS25" s="97">
        <v>21</v>
      </c>
    </row>
    <row r="26" spans="1:71" ht="15" customHeight="1">
      <c r="A26" s="97" t="s">
        <v>1650</v>
      </c>
      <c r="B26" s="97" t="s">
        <v>1650</v>
      </c>
      <c r="C26" s="97" t="s">
        <v>884</v>
      </c>
      <c r="D26" s="97" t="s">
        <v>3198</v>
      </c>
      <c r="E26" s="97" t="s">
        <v>9</v>
      </c>
      <c r="F26" s="97">
        <v>112</v>
      </c>
      <c r="G26" s="97">
        <v>10</v>
      </c>
      <c r="H26" s="97">
        <v>114</v>
      </c>
      <c r="I26" s="97">
        <v>119</v>
      </c>
      <c r="J26" s="97">
        <v>1</v>
      </c>
      <c r="K26" s="97">
        <v>14</v>
      </c>
      <c r="L26" s="97">
        <v>120</v>
      </c>
      <c r="M26" s="97">
        <v>8</v>
      </c>
      <c r="N26" s="97">
        <v>30</v>
      </c>
      <c r="O26" s="97">
        <v>80</v>
      </c>
      <c r="P26" s="97">
        <v>29</v>
      </c>
      <c r="Q26" s="97">
        <v>207</v>
      </c>
      <c r="R26" s="97">
        <v>76</v>
      </c>
      <c r="S26" s="97">
        <v>21</v>
      </c>
      <c r="T26" s="97">
        <v>73</v>
      </c>
      <c r="U26" s="97">
        <v>84</v>
      </c>
      <c r="V26" s="97">
        <v>23</v>
      </c>
      <c r="W26" s="97">
        <v>123</v>
      </c>
      <c r="X26" s="97">
        <v>84</v>
      </c>
      <c r="Y26" s="97">
        <v>8</v>
      </c>
      <c r="Z26" s="97">
        <v>59</v>
      </c>
      <c r="AA26" s="97">
        <v>62</v>
      </c>
      <c r="AB26" s="97">
        <v>26</v>
      </c>
      <c r="AC26" s="97">
        <v>146</v>
      </c>
      <c r="AD26" s="97">
        <v>74</v>
      </c>
      <c r="AE26" s="97">
        <v>21</v>
      </c>
      <c r="AF26" s="97">
        <v>174</v>
      </c>
      <c r="AG26" s="97">
        <v>591</v>
      </c>
      <c r="AH26" s="97">
        <v>2</v>
      </c>
      <c r="AI26" s="97">
        <v>22</v>
      </c>
      <c r="AK26" s="97" t="s">
        <v>2914</v>
      </c>
      <c r="AL26" s="97" t="s">
        <v>2914</v>
      </c>
      <c r="AM26" s="97" t="s">
        <v>37</v>
      </c>
      <c r="AN26" s="97" t="s">
        <v>3199</v>
      </c>
      <c r="AO26" s="97" t="s">
        <v>12</v>
      </c>
      <c r="AP26" s="97">
        <v>121</v>
      </c>
      <c r="AQ26" s="97">
        <v>3</v>
      </c>
      <c r="AR26" s="97">
        <v>4</v>
      </c>
      <c r="AS26" s="97">
        <v>100.5</v>
      </c>
      <c r="AT26" s="97">
        <v>31</v>
      </c>
      <c r="AU26" s="97">
        <v>50</v>
      </c>
      <c r="AV26" s="97">
        <v>75</v>
      </c>
      <c r="AW26" s="97">
        <v>20</v>
      </c>
      <c r="AX26" s="97">
        <v>29</v>
      </c>
      <c r="AY26" s="97">
        <v>81</v>
      </c>
      <c r="AZ26" s="97">
        <v>7</v>
      </c>
      <c r="BA26" s="97">
        <v>7</v>
      </c>
      <c r="BB26" s="97">
        <v>67</v>
      </c>
      <c r="BC26" s="97">
        <v>34</v>
      </c>
      <c r="BD26" s="97">
        <v>60</v>
      </c>
      <c r="BE26" s="97">
        <v>104</v>
      </c>
      <c r="BF26" s="97">
        <v>29</v>
      </c>
      <c r="BG26" s="97">
        <v>32</v>
      </c>
      <c r="BH26" s="97">
        <v>52</v>
      </c>
      <c r="BI26" s="97">
        <v>6</v>
      </c>
      <c r="BJ26" s="97">
        <v>12</v>
      </c>
      <c r="BK26" s="97">
        <v>71</v>
      </c>
      <c r="BL26" s="97">
        <v>10</v>
      </c>
      <c r="BM26" s="97">
        <v>19</v>
      </c>
      <c r="BN26" s="97">
        <v>49</v>
      </c>
      <c r="BO26" s="97">
        <v>28</v>
      </c>
      <c r="BP26" s="97">
        <v>70</v>
      </c>
      <c r="BQ26" s="97">
        <v>548.5</v>
      </c>
      <c r="BR26" s="97">
        <v>22</v>
      </c>
      <c r="BS26" s="97">
        <v>23</v>
      </c>
    </row>
    <row r="27" spans="1:71" ht="15" customHeight="1">
      <c r="A27" s="97" t="s">
        <v>3327</v>
      </c>
      <c r="B27" s="97" t="s">
        <v>3327</v>
      </c>
      <c r="C27" s="97" t="s">
        <v>1057</v>
      </c>
      <c r="D27" s="97" t="s">
        <v>3198</v>
      </c>
      <c r="E27" s="97" t="s">
        <v>9</v>
      </c>
      <c r="F27" s="97">
        <v>130</v>
      </c>
      <c r="G27" s="97">
        <v>1</v>
      </c>
      <c r="H27" s="97">
        <v>1</v>
      </c>
      <c r="I27" s="97">
        <v>110</v>
      </c>
      <c r="J27" s="97">
        <v>4</v>
      </c>
      <c r="K27" s="97">
        <v>38</v>
      </c>
      <c r="L27" s="97">
        <v>114</v>
      </c>
      <c r="M27" s="97">
        <v>13</v>
      </c>
      <c r="N27" s="97">
        <v>67</v>
      </c>
      <c r="O27" s="97">
        <v>91</v>
      </c>
      <c r="P27" s="97">
        <v>9</v>
      </c>
      <c r="Q27" s="97">
        <v>84</v>
      </c>
      <c r="R27" s="97">
        <v>68</v>
      </c>
      <c r="S27" s="97">
        <v>37</v>
      </c>
      <c r="T27" s="97">
        <v>165</v>
      </c>
      <c r="U27" s="97">
        <v>78</v>
      </c>
      <c r="V27" s="97">
        <v>37</v>
      </c>
      <c r="W27" s="97">
        <v>250</v>
      </c>
      <c r="X27" s="97">
        <v>72</v>
      </c>
      <c r="Y27" s="97">
        <v>39</v>
      </c>
      <c r="Z27" s="97">
        <v>396</v>
      </c>
      <c r="AA27" s="97">
        <v>62</v>
      </c>
      <c r="AB27" s="97">
        <v>26</v>
      </c>
      <c r="AC27" s="97">
        <v>146</v>
      </c>
      <c r="AD27" s="97">
        <v>73</v>
      </c>
      <c r="AE27" s="97">
        <v>25</v>
      </c>
      <c r="AF27" s="97">
        <v>216</v>
      </c>
      <c r="AG27" s="97">
        <v>591</v>
      </c>
      <c r="AH27" s="97">
        <v>2</v>
      </c>
      <c r="AI27" s="97">
        <v>22</v>
      </c>
      <c r="AK27" s="97" t="s">
        <v>3278</v>
      </c>
      <c r="AL27" s="97" t="s">
        <v>3278</v>
      </c>
      <c r="AM27" s="97" t="s">
        <v>408</v>
      </c>
      <c r="AN27" s="97" t="s">
        <v>3199</v>
      </c>
      <c r="AO27" s="97" t="s">
        <v>25</v>
      </c>
      <c r="AP27" s="97">
        <v>117</v>
      </c>
      <c r="AQ27" s="97">
        <v>2</v>
      </c>
      <c r="AR27" s="97">
        <v>13</v>
      </c>
      <c r="AS27" s="97">
        <v>97.5</v>
      </c>
      <c r="AT27" s="97">
        <v>10</v>
      </c>
      <c r="AU27" s="97">
        <v>61</v>
      </c>
      <c r="AV27" s="97">
        <v>76</v>
      </c>
      <c r="AW27" s="97">
        <v>3</v>
      </c>
      <c r="AX27" s="97">
        <v>23</v>
      </c>
      <c r="AY27" s="97">
        <v>71</v>
      </c>
      <c r="AZ27" s="97">
        <v>6</v>
      </c>
      <c r="BA27" s="97">
        <v>41</v>
      </c>
      <c r="BB27" s="97">
        <v>76</v>
      </c>
      <c r="BC27" s="97">
        <v>2</v>
      </c>
      <c r="BD27" s="97">
        <v>20</v>
      </c>
      <c r="BE27" s="97">
        <v>110</v>
      </c>
      <c r="BF27" s="97">
        <v>1</v>
      </c>
      <c r="BG27" s="97">
        <v>22</v>
      </c>
      <c r="BH27" s="97">
        <v>63</v>
      </c>
      <c r="BI27" s="97">
        <v>1</v>
      </c>
      <c r="BJ27" s="97">
        <v>5</v>
      </c>
      <c r="BK27" s="97">
        <v>74</v>
      </c>
      <c r="BL27" s="97">
        <v>2</v>
      </c>
      <c r="BM27" s="97">
        <v>13</v>
      </c>
      <c r="BN27" s="97">
        <v>58</v>
      </c>
      <c r="BO27" s="97">
        <v>3</v>
      </c>
      <c r="BP27" s="97">
        <v>11</v>
      </c>
      <c r="BQ27" s="97">
        <v>547.5</v>
      </c>
      <c r="BR27" s="97">
        <v>1</v>
      </c>
      <c r="BS27" s="97">
        <v>24</v>
      </c>
    </row>
    <row r="28" spans="1:71" ht="15" customHeight="1">
      <c r="A28" s="97" t="s">
        <v>2840</v>
      </c>
      <c r="B28" s="97" t="s">
        <v>2840</v>
      </c>
      <c r="C28" s="97" t="s">
        <v>141</v>
      </c>
      <c r="D28" s="97" t="s">
        <v>3198</v>
      </c>
      <c r="E28" s="97" t="s">
        <v>38</v>
      </c>
      <c r="F28" s="97">
        <v>102</v>
      </c>
      <c r="G28" s="97">
        <v>23</v>
      </c>
      <c r="H28" s="97">
        <v>442</v>
      </c>
      <c r="I28" s="97">
        <v>113</v>
      </c>
      <c r="J28" s="97">
        <v>1</v>
      </c>
      <c r="K28" s="97">
        <v>31</v>
      </c>
      <c r="L28" s="97">
        <v>101</v>
      </c>
      <c r="M28" s="97">
        <v>12</v>
      </c>
      <c r="N28" s="97">
        <v>234</v>
      </c>
      <c r="O28" s="97">
        <v>103</v>
      </c>
      <c r="P28" s="97">
        <v>1</v>
      </c>
      <c r="Q28" s="97">
        <v>9</v>
      </c>
      <c r="R28" s="97">
        <v>89</v>
      </c>
      <c r="S28" s="97">
        <v>1</v>
      </c>
      <c r="T28" s="97">
        <v>8</v>
      </c>
      <c r="U28" s="97">
        <v>82</v>
      </c>
      <c r="V28" s="97">
        <v>7</v>
      </c>
      <c r="W28" s="97">
        <v>166</v>
      </c>
      <c r="X28" s="97">
        <v>59</v>
      </c>
      <c r="Y28" s="97">
        <v>48</v>
      </c>
      <c r="Z28" s="97">
        <v>799</v>
      </c>
      <c r="AA28" s="97">
        <v>54</v>
      </c>
      <c r="AB28" s="97">
        <v>23</v>
      </c>
      <c r="AC28" s="97">
        <v>428</v>
      </c>
      <c r="AD28" s="97">
        <v>52</v>
      </c>
      <c r="AE28" s="97">
        <v>52</v>
      </c>
      <c r="AF28" s="97">
        <v>879</v>
      </c>
      <c r="AG28" s="97">
        <v>590</v>
      </c>
      <c r="AH28" s="97">
        <v>1</v>
      </c>
      <c r="AI28" s="97">
        <v>25</v>
      </c>
      <c r="AK28" s="97" t="s">
        <v>2955</v>
      </c>
      <c r="AL28" s="97" t="s">
        <v>2955</v>
      </c>
      <c r="AM28" s="97" t="s">
        <v>127</v>
      </c>
      <c r="AN28" s="97" t="s">
        <v>3199</v>
      </c>
      <c r="AO28" s="97" t="s">
        <v>12</v>
      </c>
      <c r="AP28" s="97">
        <v>117</v>
      </c>
      <c r="AQ28" s="97">
        <v>11</v>
      </c>
      <c r="AR28" s="97">
        <v>13</v>
      </c>
      <c r="AS28" s="97">
        <v>108.5</v>
      </c>
      <c r="AT28" s="97">
        <v>24</v>
      </c>
      <c r="AU28" s="97">
        <v>32</v>
      </c>
      <c r="AV28" s="97">
        <v>79</v>
      </c>
      <c r="AW28" s="97">
        <v>8</v>
      </c>
      <c r="AX28" s="97">
        <v>9</v>
      </c>
      <c r="AY28" s="97">
        <v>77</v>
      </c>
      <c r="AZ28" s="97">
        <v>20</v>
      </c>
      <c r="BA28" s="97">
        <v>21</v>
      </c>
      <c r="BB28" s="97">
        <v>71</v>
      </c>
      <c r="BC28" s="97">
        <v>27</v>
      </c>
      <c r="BD28" s="97">
        <v>43</v>
      </c>
      <c r="BE28" s="97">
        <v>93</v>
      </c>
      <c r="BF28" s="97">
        <v>42</v>
      </c>
      <c r="BG28" s="97">
        <v>58</v>
      </c>
      <c r="BH28" s="97">
        <v>37</v>
      </c>
      <c r="BI28" s="97">
        <v>41</v>
      </c>
      <c r="BJ28" s="97">
        <v>102</v>
      </c>
      <c r="BK28" s="97">
        <v>60</v>
      </c>
      <c r="BL28" s="97">
        <v>32</v>
      </c>
      <c r="BM28" s="97">
        <v>76</v>
      </c>
      <c r="BN28" s="97">
        <v>53</v>
      </c>
      <c r="BO28" s="97">
        <v>16</v>
      </c>
      <c r="BP28" s="97">
        <v>35</v>
      </c>
      <c r="BQ28" s="97">
        <v>545.5</v>
      </c>
      <c r="BR28" s="97">
        <v>23</v>
      </c>
      <c r="BS28" s="97">
        <v>25</v>
      </c>
    </row>
    <row r="29" spans="1:71" ht="15" customHeight="1">
      <c r="A29" s="97" t="s">
        <v>1554</v>
      </c>
      <c r="B29" s="97" t="s">
        <v>1554</v>
      </c>
      <c r="C29" s="97" t="s">
        <v>57</v>
      </c>
      <c r="D29" s="97" t="s">
        <v>3198</v>
      </c>
      <c r="E29" s="97" t="s">
        <v>10</v>
      </c>
      <c r="F29" s="97">
        <v>107</v>
      </c>
      <c r="G29" s="97">
        <v>29</v>
      </c>
      <c r="H29" s="97">
        <v>242</v>
      </c>
      <c r="I29" s="97">
        <v>118</v>
      </c>
      <c r="J29" s="97">
        <v>12</v>
      </c>
      <c r="K29" s="97">
        <v>17</v>
      </c>
      <c r="L29" s="97">
        <v>102.5</v>
      </c>
      <c r="M29" s="97">
        <v>41</v>
      </c>
      <c r="N29" s="97">
        <v>210</v>
      </c>
      <c r="O29" s="97">
        <v>97</v>
      </c>
      <c r="P29" s="97">
        <v>18</v>
      </c>
      <c r="Q29" s="97">
        <v>37</v>
      </c>
      <c r="R29" s="97">
        <v>78</v>
      </c>
      <c r="S29" s="97">
        <v>29</v>
      </c>
      <c r="T29" s="97">
        <v>61</v>
      </c>
      <c r="U29" s="97">
        <v>87</v>
      </c>
      <c r="V29" s="97">
        <v>30</v>
      </c>
      <c r="W29" s="97">
        <v>57</v>
      </c>
      <c r="X29" s="97">
        <v>77</v>
      </c>
      <c r="Y29" s="97">
        <v>28</v>
      </c>
      <c r="Z29" s="97">
        <v>240</v>
      </c>
      <c r="AA29" s="97">
        <v>72</v>
      </c>
      <c r="AB29" s="97">
        <v>15</v>
      </c>
      <c r="AC29" s="97">
        <v>25</v>
      </c>
      <c r="AD29" s="97">
        <v>74</v>
      </c>
      <c r="AE29" s="97">
        <v>33</v>
      </c>
      <c r="AF29" s="97">
        <v>174</v>
      </c>
      <c r="AG29" s="97">
        <v>589.5</v>
      </c>
      <c r="AH29" s="97">
        <v>22</v>
      </c>
      <c r="AI29" s="97">
        <v>26</v>
      </c>
      <c r="AK29" s="97" t="s">
        <v>2932</v>
      </c>
      <c r="AL29" s="97" t="s">
        <v>2932</v>
      </c>
      <c r="AM29" s="97" t="s">
        <v>70</v>
      </c>
      <c r="AN29" s="97" t="s">
        <v>3199</v>
      </c>
      <c r="AO29" s="97" t="s">
        <v>12</v>
      </c>
      <c r="AP29" s="97">
        <v>108</v>
      </c>
      <c r="AQ29" s="97">
        <v>28</v>
      </c>
      <c r="AR29" s="97">
        <v>54</v>
      </c>
      <c r="AS29" s="97">
        <v>128</v>
      </c>
      <c r="AT29" s="97">
        <v>2</v>
      </c>
      <c r="AU29" s="97">
        <v>2</v>
      </c>
      <c r="AV29" s="97">
        <v>71</v>
      </c>
      <c r="AW29" s="97">
        <v>29</v>
      </c>
      <c r="AX29" s="97">
        <v>46</v>
      </c>
      <c r="AY29" s="97">
        <v>66</v>
      </c>
      <c r="AZ29" s="97">
        <v>36</v>
      </c>
      <c r="BA29" s="97">
        <v>60</v>
      </c>
      <c r="BB29" s="97">
        <v>67</v>
      </c>
      <c r="BC29" s="97">
        <v>34</v>
      </c>
      <c r="BD29" s="97">
        <v>60</v>
      </c>
      <c r="BE29" s="97">
        <v>105</v>
      </c>
      <c r="BF29" s="97">
        <v>27</v>
      </c>
      <c r="BG29" s="97">
        <v>30</v>
      </c>
      <c r="BH29" s="97">
        <v>32</v>
      </c>
      <c r="BI29" s="97">
        <v>44</v>
      </c>
      <c r="BJ29" s="97">
        <v>118</v>
      </c>
      <c r="BK29" s="97">
        <v>42</v>
      </c>
      <c r="BL29" s="97">
        <v>46</v>
      </c>
      <c r="BM29" s="97">
        <v>133</v>
      </c>
      <c r="BN29" s="97">
        <v>32</v>
      </c>
      <c r="BO29" s="97">
        <v>45</v>
      </c>
      <c r="BP29" s="97">
        <v>130</v>
      </c>
      <c r="BQ29" s="97">
        <v>545</v>
      </c>
      <c r="BR29" s="97">
        <v>24</v>
      </c>
      <c r="BS29" s="97">
        <v>26</v>
      </c>
    </row>
    <row r="30" spans="1:71" ht="15" customHeight="1">
      <c r="A30" s="97" t="s">
        <v>1540</v>
      </c>
      <c r="B30" s="97" t="s">
        <v>1540</v>
      </c>
      <c r="C30" s="97" t="s">
        <v>106</v>
      </c>
      <c r="D30" s="97" t="s">
        <v>3198</v>
      </c>
      <c r="E30" s="97" t="s">
        <v>10</v>
      </c>
      <c r="F30" s="97">
        <v>99</v>
      </c>
      <c r="G30" s="97">
        <v>48</v>
      </c>
      <c r="H30" s="97">
        <v>571</v>
      </c>
      <c r="I30" s="97">
        <v>121</v>
      </c>
      <c r="J30" s="97">
        <v>9</v>
      </c>
      <c r="K30" s="97">
        <v>11</v>
      </c>
      <c r="L30" s="97">
        <v>109</v>
      </c>
      <c r="M30" s="97">
        <v>29</v>
      </c>
      <c r="N30" s="97">
        <v>114</v>
      </c>
      <c r="O30" s="97">
        <v>102</v>
      </c>
      <c r="P30" s="97">
        <v>8</v>
      </c>
      <c r="Q30" s="97">
        <v>12</v>
      </c>
      <c r="R30" s="97">
        <v>68</v>
      </c>
      <c r="S30" s="97">
        <v>45</v>
      </c>
      <c r="T30" s="97">
        <v>165</v>
      </c>
      <c r="U30" s="97">
        <v>89</v>
      </c>
      <c r="V30" s="97">
        <v>17</v>
      </c>
      <c r="W30" s="97">
        <v>34</v>
      </c>
      <c r="X30" s="97">
        <v>71</v>
      </c>
      <c r="Y30" s="97">
        <v>39</v>
      </c>
      <c r="Z30" s="97">
        <v>439</v>
      </c>
      <c r="AA30" s="97">
        <v>66</v>
      </c>
      <c r="AB30" s="97">
        <v>26</v>
      </c>
      <c r="AC30" s="97">
        <v>80</v>
      </c>
      <c r="AD30" s="97">
        <v>77</v>
      </c>
      <c r="AE30" s="97">
        <v>25</v>
      </c>
      <c r="AF30" s="97">
        <v>102</v>
      </c>
      <c r="AG30" s="97">
        <v>588</v>
      </c>
      <c r="AH30" s="97">
        <v>23</v>
      </c>
      <c r="AI30" s="97">
        <v>27</v>
      </c>
      <c r="AK30" s="97" t="s">
        <v>2934</v>
      </c>
      <c r="AL30" s="97" t="s">
        <v>2934</v>
      </c>
      <c r="AM30" s="97" t="s">
        <v>2946</v>
      </c>
      <c r="AN30" s="97" t="s">
        <v>3199</v>
      </c>
      <c r="AO30" s="97" t="s">
        <v>12</v>
      </c>
      <c r="AP30" s="97">
        <v>102</v>
      </c>
      <c r="AQ30" s="97">
        <v>37</v>
      </c>
      <c r="AR30" s="97">
        <v>86</v>
      </c>
      <c r="AS30" s="97">
        <v>114</v>
      </c>
      <c r="AT30" s="97">
        <v>13</v>
      </c>
      <c r="AU30" s="97">
        <v>17</v>
      </c>
      <c r="AV30" s="97">
        <v>74</v>
      </c>
      <c r="AW30" s="97">
        <v>23</v>
      </c>
      <c r="AX30" s="97">
        <v>32</v>
      </c>
      <c r="AY30" s="97">
        <v>81</v>
      </c>
      <c r="AZ30" s="97">
        <v>7</v>
      </c>
      <c r="BA30" s="97">
        <v>7</v>
      </c>
      <c r="BB30" s="97">
        <v>65</v>
      </c>
      <c r="BC30" s="97">
        <v>40</v>
      </c>
      <c r="BD30" s="97">
        <v>77</v>
      </c>
      <c r="BE30" s="97">
        <v>109</v>
      </c>
      <c r="BF30" s="97">
        <v>24</v>
      </c>
      <c r="BG30" s="97">
        <v>26</v>
      </c>
      <c r="BH30" s="97">
        <v>32</v>
      </c>
      <c r="BI30" s="97">
        <v>44</v>
      </c>
      <c r="BJ30" s="97">
        <v>118</v>
      </c>
      <c r="BK30" s="97">
        <v>65</v>
      </c>
      <c r="BL30" s="97">
        <v>23</v>
      </c>
      <c r="BM30" s="97">
        <v>53</v>
      </c>
      <c r="BN30" s="97">
        <v>37</v>
      </c>
      <c r="BO30" s="97">
        <v>44</v>
      </c>
      <c r="BP30" s="97">
        <v>124</v>
      </c>
      <c r="BQ30" s="97">
        <v>545</v>
      </c>
      <c r="BR30" s="97">
        <v>24</v>
      </c>
      <c r="BS30" s="97">
        <v>26</v>
      </c>
    </row>
    <row r="31" spans="1:71" ht="15" customHeight="1">
      <c r="A31" s="97" t="s">
        <v>1564</v>
      </c>
      <c r="B31" s="97" t="s">
        <v>1564</v>
      </c>
      <c r="C31" s="97" t="s">
        <v>169</v>
      </c>
      <c r="D31" s="97" t="s">
        <v>3198</v>
      </c>
      <c r="E31" s="97" t="s">
        <v>10</v>
      </c>
      <c r="F31" s="97">
        <v>113</v>
      </c>
      <c r="G31" s="97">
        <v>15</v>
      </c>
      <c r="H31" s="97">
        <v>95</v>
      </c>
      <c r="I31" s="97">
        <v>89</v>
      </c>
      <c r="J31" s="97">
        <v>41</v>
      </c>
      <c r="K31" s="97">
        <v>196</v>
      </c>
      <c r="L31" s="97">
        <v>118.5</v>
      </c>
      <c r="M31" s="97">
        <v>14</v>
      </c>
      <c r="N31" s="97">
        <v>36</v>
      </c>
      <c r="O31" s="97">
        <v>95</v>
      </c>
      <c r="P31" s="97">
        <v>24</v>
      </c>
      <c r="Q31" s="97">
        <v>50</v>
      </c>
      <c r="R31" s="97">
        <v>79</v>
      </c>
      <c r="S31" s="97">
        <v>26</v>
      </c>
      <c r="T31" s="97">
        <v>49</v>
      </c>
      <c r="U31" s="97">
        <v>91</v>
      </c>
      <c r="V31" s="97">
        <v>5</v>
      </c>
      <c r="W31" s="97">
        <v>12</v>
      </c>
      <c r="X31" s="97">
        <v>66</v>
      </c>
      <c r="Y31" s="97">
        <v>46</v>
      </c>
      <c r="Z31" s="97">
        <v>604</v>
      </c>
      <c r="AA31" s="97">
        <v>59</v>
      </c>
      <c r="AB31" s="97">
        <v>43</v>
      </c>
      <c r="AC31" s="97">
        <v>233</v>
      </c>
      <c r="AD31" s="97">
        <v>73</v>
      </c>
      <c r="AE31" s="97">
        <v>36</v>
      </c>
      <c r="AF31" s="97">
        <v>216</v>
      </c>
      <c r="AG31" s="97">
        <v>585.5</v>
      </c>
      <c r="AH31" s="97">
        <v>24</v>
      </c>
      <c r="AI31" s="97">
        <v>28</v>
      </c>
      <c r="AK31" s="97" t="s">
        <v>2979</v>
      </c>
      <c r="AL31" s="97" t="s">
        <v>2979</v>
      </c>
      <c r="AM31" s="97" t="s">
        <v>41</v>
      </c>
      <c r="AN31" s="97" t="s">
        <v>3199</v>
      </c>
      <c r="AO31" s="97" t="s">
        <v>12</v>
      </c>
      <c r="AP31" s="97">
        <v>119</v>
      </c>
      <c r="AQ31" s="97">
        <v>7</v>
      </c>
      <c r="AR31" s="97">
        <v>8</v>
      </c>
      <c r="AS31" s="97">
        <v>110.5</v>
      </c>
      <c r="AT31" s="97">
        <v>18</v>
      </c>
      <c r="AU31" s="97">
        <v>24</v>
      </c>
      <c r="AV31" s="97">
        <v>62</v>
      </c>
      <c r="AW31" s="97">
        <v>43</v>
      </c>
      <c r="AX31" s="97">
        <v>98</v>
      </c>
      <c r="AY31" s="97">
        <v>55</v>
      </c>
      <c r="AZ31" s="97">
        <v>46</v>
      </c>
      <c r="BA31" s="97">
        <v>116</v>
      </c>
      <c r="BB31" s="97">
        <v>69</v>
      </c>
      <c r="BC31" s="97">
        <v>30</v>
      </c>
      <c r="BD31" s="97">
        <v>54</v>
      </c>
      <c r="BE31" s="97">
        <v>129</v>
      </c>
      <c r="BF31" s="97">
        <v>4</v>
      </c>
      <c r="BG31" s="97">
        <v>4</v>
      </c>
      <c r="BH31" s="97">
        <v>45</v>
      </c>
      <c r="BI31" s="97">
        <v>27</v>
      </c>
      <c r="BJ31" s="97">
        <v>52</v>
      </c>
      <c r="BK31" s="97">
        <v>67</v>
      </c>
      <c r="BL31" s="97">
        <v>19</v>
      </c>
      <c r="BM31" s="97">
        <v>38</v>
      </c>
      <c r="BN31" s="97">
        <v>50</v>
      </c>
      <c r="BO31" s="97">
        <v>25</v>
      </c>
      <c r="BP31" s="97">
        <v>63</v>
      </c>
      <c r="BQ31" s="97">
        <v>544.5</v>
      </c>
      <c r="BR31" s="97">
        <v>26</v>
      </c>
      <c r="BS31" s="97">
        <v>28</v>
      </c>
    </row>
    <row r="32" spans="1:71" ht="15" customHeight="1">
      <c r="A32" s="97" t="s">
        <v>1658</v>
      </c>
      <c r="B32" s="97" t="s">
        <v>1658</v>
      </c>
      <c r="C32" s="97" t="s">
        <v>33</v>
      </c>
      <c r="D32" s="97" t="s">
        <v>3198</v>
      </c>
      <c r="E32" s="97" t="s">
        <v>9</v>
      </c>
      <c r="F32" s="97">
        <v>118</v>
      </c>
      <c r="G32" s="97">
        <v>4</v>
      </c>
      <c r="H32" s="97">
        <v>33</v>
      </c>
      <c r="I32" s="97">
        <v>99</v>
      </c>
      <c r="J32" s="97">
        <v>16</v>
      </c>
      <c r="K32" s="97">
        <v>93</v>
      </c>
      <c r="L32" s="97">
        <v>114.5</v>
      </c>
      <c r="M32" s="97">
        <v>12</v>
      </c>
      <c r="N32" s="97">
        <v>61</v>
      </c>
      <c r="O32" s="97">
        <v>91</v>
      </c>
      <c r="P32" s="97">
        <v>9</v>
      </c>
      <c r="Q32" s="97">
        <v>84</v>
      </c>
      <c r="R32" s="97">
        <v>81</v>
      </c>
      <c r="S32" s="97">
        <v>11</v>
      </c>
      <c r="T32" s="97">
        <v>37</v>
      </c>
      <c r="U32" s="97">
        <v>82</v>
      </c>
      <c r="V32" s="97">
        <v>27</v>
      </c>
      <c r="W32" s="97">
        <v>166</v>
      </c>
      <c r="X32" s="97">
        <v>81</v>
      </c>
      <c r="Y32" s="97">
        <v>17</v>
      </c>
      <c r="Z32" s="97">
        <v>124</v>
      </c>
      <c r="AA32" s="97">
        <v>71</v>
      </c>
      <c r="AB32" s="97">
        <v>11</v>
      </c>
      <c r="AC32" s="97">
        <v>32</v>
      </c>
      <c r="AD32" s="97">
        <v>82</v>
      </c>
      <c r="AE32" s="97">
        <v>4</v>
      </c>
      <c r="AF32" s="97">
        <v>31</v>
      </c>
      <c r="AG32" s="97">
        <v>585.5</v>
      </c>
      <c r="AH32" s="97">
        <v>4</v>
      </c>
      <c r="AI32" s="97">
        <v>28</v>
      </c>
      <c r="AK32" s="97" t="s">
        <v>2952</v>
      </c>
      <c r="AL32" s="97" t="s">
        <v>2952</v>
      </c>
      <c r="AM32" s="97" t="s">
        <v>59</v>
      </c>
      <c r="AN32" s="97" t="s">
        <v>3199</v>
      </c>
      <c r="AO32" s="97" t="s">
        <v>12</v>
      </c>
      <c r="AP32" s="97">
        <v>110</v>
      </c>
      <c r="AQ32" s="97">
        <v>21</v>
      </c>
      <c r="AR32" s="97">
        <v>39</v>
      </c>
      <c r="AS32" s="97">
        <v>111</v>
      </c>
      <c r="AT32" s="97">
        <v>17</v>
      </c>
      <c r="AU32" s="97">
        <v>21</v>
      </c>
      <c r="AV32" s="97">
        <v>67</v>
      </c>
      <c r="AW32" s="97">
        <v>39</v>
      </c>
      <c r="AX32" s="97">
        <v>74</v>
      </c>
      <c r="AY32" s="97">
        <v>72</v>
      </c>
      <c r="AZ32" s="97">
        <v>28</v>
      </c>
      <c r="BA32" s="97">
        <v>33</v>
      </c>
      <c r="BB32" s="97">
        <v>77</v>
      </c>
      <c r="BC32" s="97">
        <v>9</v>
      </c>
      <c r="BD32" s="97">
        <v>13</v>
      </c>
      <c r="BE32" s="97">
        <v>100</v>
      </c>
      <c r="BF32" s="97">
        <v>35</v>
      </c>
      <c r="BG32" s="97">
        <v>42</v>
      </c>
      <c r="BH32" s="97">
        <v>42</v>
      </c>
      <c r="BI32" s="97">
        <v>32</v>
      </c>
      <c r="BJ32" s="97">
        <v>68</v>
      </c>
      <c r="BK32" s="97">
        <v>50</v>
      </c>
      <c r="BL32" s="97">
        <v>42</v>
      </c>
      <c r="BM32" s="97">
        <v>121</v>
      </c>
      <c r="BN32" s="97">
        <v>39</v>
      </c>
      <c r="BO32" s="97">
        <v>42</v>
      </c>
      <c r="BP32" s="97">
        <v>121</v>
      </c>
      <c r="BQ32" s="97">
        <v>537</v>
      </c>
      <c r="BR32" s="97">
        <v>27</v>
      </c>
      <c r="BS32" s="97">
        <v>29</v>
      </c>
    </row>
    <row r="33" spans="1:71" ht="15" customHeight="1">
      <c r="A33" s="97" t="s">
        <v>1691</v>
      </c>
      <c r="B33" s="97" t="s">
        <v>1691</v>
      </c>
      <c r="C33" s="97" t="s">
        <v>185</v>
      </c>
      <c r="D33" s="97" t="s">
        <v>3198</v>
      </c>
      <c r="E33" s="97" t="s">
        <v>9</v>
      </c>
      <c r="F33" s="97">
        <v>108</v>
      </c>
      <c r="G33" s="97">
        <v>19</v>
      </c>
      <c r="H33" s="97">
        <v>212</v>
      </c>
      <c r="I33" s="97">
        <v>116</v>
      </c>
      <c r="J33" s="97">
        <v>2</v>
      </c>
      <c r="K33" s="97">
        <v>22</v>
      </c>
      <c r="L33" s="97">
        <v>107</v>
      </c>
      <c r="M33" s="97">
        <v>26</v>
      </c>
      <c r="N33" s="97">
        <v>148</v>
      </c>
      <c r="O33" s="97">
        <v>89</v>
      </c>
      <c r="P33" s="97">
        <v>12</v>
      </c>
      <c r="Q33" s="97">
        <v>97</v>
      </c>
      <c r="R33" s="97">
        <v>79</v>
      </c>
      <c r="S33" s="97">
        <v>13</v>
      </c>
      <c r="T33" s="97">
        <v>49</v>
      </c>
      <c r="U33" s="97">
        <v>85</v>
      </c>
      <c r="V33" s="97">
        <v>15</v>
      </c>
      <c r="W33" s="97">
        <v>96</v>
      </c>
      <c r="X33" s="97">
        <v>72</v>
      </c>
      <c r="Y33" s="97">
        <v>39</v>
      </c>
      <c r="Z33" s="97">
        <v>396</v>
      </c>
      <c r="AA33" s="97">
        <v>63</v>
      </c>
      <c r="AB33" s="97">
        <v>21</v>
      </c>
      <c r="AC33" s="97">
        <v>123</v>
      </c>
      <c r="AD33" s="97">
        <v>62</v>
      </c>
      <c r="AE33" s="97">
        <v>46</v>
      </c>
      <c r="AF33" s="97">
        <v>672</v>
      </c>
      <c r="AG33" s="97">
        <v>584</v>
      </c>
      <c r="AH33" s="97">
        <v>5</v>
      </c>
      <c r="AI33" s="97">
        <v>30</v>
      </c>
      <c r="AK33" s="97" t="s">
        <v>3002</v>
      </c>
      <c r="AL33" s="97" t="s">
        <v>3002</v>
      </c>
      <c r="AM33" s="97" t="s">
        <v>46</v>
      </c>
      <c r="AN33" s="97" t="s">
        <v>3199</v>
      </c>
      <c r="AO33" s="97" t="s">
        <v>12</v>
      </c>
      <c r="AP33" s="97">
        <v>113</v>
      </c>
      <c r="AQ33" s="97">
        <v>16</v>
      </c>
      <c r="AR33" s="97">
        <v>27</v>
      </c>
      <c r="AS33" s="97">
        <v>107.5</v>
      </c>
      <c r="AT33" s="97">
        <v>25</v>
      </c>
      <c r="AU33" s="97">
        <v>33</v>
      </c>
      <c r="AV33" s="97">
        <v>67</v>
      </c>
      <c r="AW33" s="97">
        <v>39</v>
      </c>
      <c r="AX33" s="97">
        <v>74</v>
      </c>
      <c r="AY33" s="97">
        <v>66</v>
      </c>
      <c r="AZ33" s="97">
        <v>36</v>
      </c>
      <c r="BA33" s="97">
        <v>60</v>
      </c>
      <c r="BB33" s="97">
        <v>84</v>
      </c>
      <c r="BC33" s="97">
        <v>4</v>
      </c>
      <c r="BD33" s="97">
        <v>5</v>
      </c>
      <c r="BE33" s="97">
        <v>99</v>
      </c>
      <c r="BF33" s="97">
        <v>39</v>
      </c>
      <c r="BG33" s="97">
        <v>46</v>
      </c>
      <c r="BH33" s="97">
        <v>46</v>
      </c>
      <c r="BI33" s="97">
        <v>20</v>
      </c>
      <c r="BJ33" s="97">
        <v>40</v>
      </c>
      <c r="BK33" s="97">
        <v>58</v>
      </c>
      <c r="BL33" s="97">
        <v>37</v>
      </c>
      <c r="BM33" s="97">
        <v>90</v>
      </c>
      <c r="BN33" s="97">
        <v>48</v>
      </c>
      <c r="BO33" s="97">
        <v>30</v>
      </c>
      <c r="BP33" s="97">
        <v>77</v>
      </c>
      <c r="BQ33" s="97">
        <v>536.5</v>
      </c>
      <c r="BR33" s="97">
        <v>28</v>
      </c>
      <c r="BS33" s="97">
        <v>30</v>
      </c>
    </row>
    <row r="34" spans="1:71" ht="15" customHeight="1">
      <c r="A34" s="97" t="s">
        <v>1520</v>
      </c>
      <c r="B34" s="97" t="s">
        <v>1520</v>
      </c>
      <c r="C34" s="97" t="s">
        <v>150</v>
      </c>
      <c r="D34" s="97" t="s">
        <v>3198</v>
      </c>
      <c r="E34" s="97" t="s">
        <v>10</v>
      </c>
      <c r="F34" s="97">
        <v>110</v>
      </c>
      <c r="G34" s="97">
        <v>22</v>
      </c>
      <c r="H34" s="97">
        <v>159</v>
      </c>
      <c r="I34" s="97">
        <v>99</v>
      </c>
      <c r="J34" s="97">
        <v>27</v>
      </c>
      <c r="K34" s="97">
        <v>93</v>
      </c>
      <c r="L34" s="97">
        <v>123</v>
      </c>
      <c r="M34" s="97">
        <v>8</v>
      </c>
      <c r="N34" s="97">
        <v>17</v>
      </c>
      <c r="O34" s="97">
        <v>87</v>
      </c>
      <c r="P34" s="97">
        <v>44</v>
      </c>
      <c r="Q34" s="97">
        <v>114</v>
      </c>
      <c r="R34" s="97">
        <v>84</v>
      </c>
      <c r="S34" s="97">
        <v>13</v>
      </c>
      <c r="T34" s="97">
        <v>25</v>
      </c>
      <c r="U34" s="97">
        <v>80</v>
      </c>
      <c r="V34" s="97">
        <v>46</v>
      </c>
      <c r="W34" s="97">
        <v>205</v>
      </c>
      <c r="X34" s="97">
        <v>69</v>
      </c>
      <c r="Y34" s="97">
        <v>41</v>
      </c>
      <c r="Z34" s="97">
        <v>504</v>
      </c>
      <c r="AA34" s="97">
        <v>61</v>
      </c>
      <c r="AB34" s="97">
        <v>36</v>
      </c>
      <c r="AC34" s="97">
        <v>172</v>
      </c>
      <c r="AD34" s="97">
        <v>77</v>
      </c>
      <c r="AE34" s="97">
        <v>25</v>
      </c>
      <c r="AF34" s="97">
        <v>102</v>
      </c>
      <c r="AG34" s="97">
        <v>583</v>
      </c>
      <c r="AH34" s="97">
        <v>25</v>
      </c>
      <c r="AI34" s="97">
        <v>31</v>
      </c>
      <c r="AK34" s="97" t="s">
        <v>2987</v>
      </c>
      <c r="AL34" s="97" t="s">
        <v>2987</v>
      </c>
      <c r="AM34" s="97" t="s">
        <v>125</v>
      </c>
      <c r="AN34" s="97" t="s">
        <v>3199</v>
      </c>
      <c r="AO34" s="97" t="s">
        <v>12</v>
      </c>
      <c r="AP34" s="97">
        <v>112</v>
      </c>
      <c r="AQ34" s="97">
        <v>18</v>
      </c>
      <c r="AR34" s="97">
        <v>31</v>
      </c>
      <c r="AS34" s="97">
        <v>110</v>
      </c>
      <c r="AT34" s="97">
        <v>20</v>
      </c>
      <c r="AU34" s="97">
        <v>26</v>
      </c>
      <c r="AV34" s="97">
        <v>58</v>
      </c>
      <c r="AW34" s="97">
        <v>45</v>
      </c>
      <c r="AX34" s="97">
        <v>112</v>
      </c>
      <c r="AY34" s="97">
        <v>78</v>
      </c>
      <c r="AZ34" s="97">
        <v>18</v>
      </c>
      <c r="BA34" s="97">
        <v>19</v>
      </c>
      <c r="BB34" s="97">
        <v>85</v>
      </c>
      <c r="BC34" s="97">
        <v>3</v>
      </c>
      <c r="BD34" s="97">
        <v>3</v>
      </c>
      <c r="BE34" s="97">
        <v>93</v>
      </c>
      <c r="BF34" s="97">
        <v>42</v>
      </c>
      <c r="BG34" s="97">
        <v>58</v>
      </c>
      <c r="BH34" s="97">
        <v>52</v>
      </c>
      <c r="BI34" s="97">
        <v>6</v>
      </c>
      <c r="BJ34" s="97">
        <v>12</v>
      </c>
      <c r="BK34" s="97">
        <v>49</v>
      </c>
      <c r="BL34" s="97">
        <v>43</v>
      </c>
      <c r="BM34" s="97">
        <v>126</v>
      </c>
      <c r="BN34" s="97">
        <v>40</v>
      </c>
      <c r="BO34" s="97">
        <v>40</v>
      </c>
      <c r="BP34" s="97">
        <v>119</v>
      </c>
      <c r="BQ34" s="97">
        <v>536</v>
      </c>
      <c r="BR34" s="97">
        <v>29</v>
      </c>
      <c r="BS34" s="97">
        <v>31</v>
      </c>
    </row>
    <row r="35" spans="1:71" ht="15" customHeight="1">
      <c r="A35" s="97" t="s">
        <v>1624</v>
      </c>
      <c r="B35" s="97" t="s">
        <v>1624</v>
      </c>
      <c r="C35" s="97" t="s">
        <v>121</v>
      </c>
      <c r="D35" s="97" t="s">
        <v>3198</v>
      </c>
      <c r="E35" s="97" t="s">
        <v>10</v>
      </c>
      <c r="F35" s="97">
        <v>106</v>
      </c>
      <c r="G35" s="97">
        <v>36</v>
      </c>
      <c r="H35" s="97">
        <v>287</v>
      </c>
      <c r="I35" s="97">
        <v>104</v>
      </c>
      <c r="J35" s="97">
        <v>24</v>
      </c>
      <c r="K35" s="97">
        <v>61</v>
      </c>
      <c r="L35" s="97">
        <v>110.5</v>
      </c>
      <c r="M35" s="97">
        <v>27</v>
      </c>
      <c r="N35" s="97">
        <v>102</v>
      </c>
      <c r="O35" s="97">
        <v>84</v>
      </c>
      <c r="P35" s="97">
        <v>48</v>
      </c>
      <c r="Q35" s="97">
        <v>147</v>
      </c>
      <c r="R35" s="97">
        <v>88</v>
      </c>
      <c r="S35" s="97">
        <v>9</v>
      </c>
      <c r="T35" s="97">
        <v>15</v>
      </c>
      <c r="U35" s="97">
        <v>89</v>
      </c>
      <c r="V35" s="97">
        <v>17</v>
      </c>
      <c r="W35" s="97">
        <v>34</v>
      </c>
      <c r="X35" s="97">
        <v>84</v>
      </c>
      <c r="Y35" s="97">
        <v>15</v>
      </c>
      <c r="Z35" s="97">
        <v>59</v>
      </c>
      <c r="AA35" s="97">
        <v>75</v>
      </c>
      <c r="AB35" s="97">
        <v>7</v>
      </c>
      <c r="AC35" s="97">
        <v>10</v>
      </c>
      <c r="AD35" s="97">
        <v>84</v>
      </c>
      <c r="AE35" s="97">
        <v>5</v>
      </c>
      <c r="AF35" s="97">
        <v>16</v>
      </c>
      <c r="AG35" s="97">
        <v>581.5</v>
      </c>
      <c r="AH35" s="97">
        <v>26</v>
      </c>
      <c r="AI35" s="97">
        <v>32</v>
      </c>
      <c r="AK35" s="97" t="s">
        <v>2977</v>
      </c>
      <c r="AL35" s="97" t="s">
        <v>2977</v>
      </c>
      <c r="AM35" s="97" t="s">
        <v>116</v>
      </c>
      <c r="AN35" s="97" t="s">
        <v>3199</v>
      </c>
      <c r="AO35" s="97" t="s">
        <v>12</v>
      </c>
      <c r="AP35" s="97">
        <v>109</v>
      </c>
      <c r="AQ35" s="97">
        <v>24</v>
      </c>
      <c r="AR35" s="97">
        <v>46</v>
      </c>
      <c r="AS35" s="97">
        <v>87.5</v>
      </c>
      <c r="AT35" s="97">
        <v>43</v>
      </c>
      <c r="AU35" s="97">
        <v>92</v>
      </c>
      <c r="AV35" s="97">
        <v>81</v>
      </c>
      <c r="AW35" s="97">
        <v>3</v>
      </c>
      <c r="AX35" s="97">
        <v>4</v>
      </c>
      <c r="AY35" s="97">
        <v>65</v>
      </c>
      <c r="AZ35" s="97">
        <v>39</v>
      </c>
      <c r="BA35" s="97">
        <v>69</v>
      </c>
      <c r="BB35" s="97">
        <v>66</v>
      </c>
      <c r="BC35" s="97">
        <v>37</v>
      </c>
      <c r="BD35" s="97">
        <v>67</v>
      </c>
      <c r="BE35" s="97">
        <v>123</v>
      </c>
      <c r="BF35" s="97">
        <v>8</v>
      </c>
      <c r="BG35" s="97">
        <v>9</v>
      </c>
      <c r="BH35" s="97">
        <v>46</v>
      </c>
      <c r="BI35" s="97">
        <v>20</v>
      </c>
      <c r="BJ35" s="97">
        <v>40</v>
      </c>
      <c r="BK35" s="97">
        <v>60</v>
      </c>
      <c r="BL35" s="97">
        <v>32</v>
      </c>
      <c r="BM35" s="97">
        <v>76</v>
      </c>
      <c r="BN35" s="97">
        <v>52</v>
      </c>
      <c r="BO35" s="97">
        <v>19</v>
      </c>
      <c r="BP35" s="97">
        <v>43</v>
      </c>
      <c r="BQ35" s="97">
        <v>531.5</v>
      </c>
      <c r="BR35" s="97">
        <v>30</v>
      </c>
      <c r="BS35" s="97">
        <v>32</v>
      </c>
    </row>
    <row r="36" spans="1:71" ht="15" customHeight="1">
      <c r="A36" s="97" t="s">
        <v>1750</v>
      </c>
      <c r="B36" s="97" t="s">
        <v>1750</v>
      </c>
      <c r="C36" s="97" t="s">
        <v>1618</v>
      </c>
      <c r="D36" s="97" t="s">
        <v>3198</v>
      </c>
      <c r="E36" s="97" t="s">
        <v>9</v>
      </c>
      <c r="F36" s="97">
        <v>120</v>
      </c>
      <c r="G36" s="97">
        <v>2</v>
      </c>
      <c r="H36" s="97">
        <v>21</v>
      </c>
      <c r="I36" s="97">
        <v>100</v>
      </c>
      <c r="J36" s="97">
        <v>15</v>
      </c>
      <c r="K36" s="97">
        <v>86</v>
      </c>
      <c r="L36" s="97">
        <v>109</v>
      </c>
      <c r="M36" s="97">
        <v>19</v>
      </c>
      <c r="N36" s="97">
        <v>114</v>
      </c>
      <c r="O36" s="97">
        <v>82</v>
      </c>
      <c r="P36" s="97">
        <v>22</v>
      </c>
      <c r="Q36" s="97">
        <v>174</v>
      </c>
      <c r="R36" s="97">
        <v>85</v>
      </c>
      <c r="S36" s="97">
        <v>7</v>
      </c>
      <c r="T36" s="97">
        <v>23</v>
      </c>
      <c r="U36" s="97">
        <v>85</v>
      </c>
      <c r="V36" s="97">
        <v>15</v>
      </c>
      <c r="W36" s="97">
        <v>96</v>
      </c>
      <c r="X36" s="97">
        <v>80</v>
      </c>
      <c r="Y36" s="97">
        <v>21</v>
      </c>
      <c r="Z36" s="97">
        <v>151</v>
      </c>
      <c r="AA36" s="97">
        <v>50</v>
      </c>
      <c r="AB36" s="97">
        <v>47</v>
      </c>
      <c r="AC36" s="97">
        <v>591</v>
      </c>
      <c r="AD36" s="97">
        <v>75</v>
      </c>
      <c r="AE36" s="97">
        <v>15</v>
      </c>
      <c r="AF36" s="97">
        <v>146</v>
      </c>
      <c r="AG36" s="97">
        <v>581</v>
      </c>
      <c r="AH36" s="97">
        <v>6</v>
      </c>
      <c r="AI36" s="97">
        <v>33</v>
      </c>
      <c r="AK36" s="97" t="s">
        <v>2957</v>
      </c>
      <c r="AL36" s="97" t="s">
        <v>2957</v>
      </c>
      <c r="AM36" s="97" t="s">
        <v>124</v>
      </c>
      <c r="AN36" s="97" t="s">
        <v>3199</v>
      </c>
      <c r="AO36" s="97" t="s">
        <v>12</v>
      </c>
      <c r="AP36" s="97">
        <v>100</v>
      </c>
      <c r="AQ36" s="97">
        <v>43</v>
      </c>
      <c r="AR36" s="97">
        <v>97</v>
      </c>
      <c r="AS36" s="97">
        <v>88</v>
      </c>
      <c r="AT36" s="97">
        <v>42</v>
      </c>
      <c r="AU36" s="97">
        <v>91</v>
      </c>
      <c r="AV36" s="97">
        <v>62</v>
      </c>
      <c r="AW36" s="97">
        <v>43</v>
      </c>
      <c r="AX36" s="97">
        <v>98</v>
      </c>
      <c r="AY36" s="97">
        <v>79</v>
      </c>
      <c r="AZ36" s="97">
        <v>14</v>
      </c>
      <c r="BA36" s="97">
        <v>15</v>
      </c>
      <c r="BB36" s="97">
        <v>80</v>
      </c>
      <c r="BC36" s="97">
        <v>8</v>
      </c>
      <c r="BD36" s="97">
        <v>9</v>
      </c>
      <c r="BE36" s="97">
        <v>121</v>
      </c>
      <c r="BF36" s="97">
        <v>11</v>
      </c>
      <c r="BG36" s="97">
        <v>12</v>
      </c>
      <c r="BH36" s="97">
        <v>51</v>
      </c>
      <c r="BI36" s="97">
        <v>10</v>
      </c>
      <c r="BJ36" s="97">
        <v>18</v>
      </c>
      <c r="BK36" s="97">
        <v>64</v>
      </c>
      <c r="BL36" s="97">
        <v>25</v>
      </c>
      <c r="BM36" s="97">
        <v>58</v>
      </c>
      <c r="BN36" s="97">
        <v>61</v>
      </c>
      <c r="BO36" s="97">
        <v>4</v>
      </c>
      <c r="BP36" s="97">
        <v>6</v>
      </c>
      <c r="BQ36" s="97">
        <v>530</v>
      </c>
      <c r="BR36" s="97">
        <v>31</v>
      </c>
      <c r="BS36" s="97">
        <v>33</v>
      </c>
    </row>
    <row r="37" spans="1:71" ht="15" customHeight="1">
      <c r="A37" s="97" t="s">
        <v>2628</v>
      </c>
      <c r="B37" s="97" t="s">
        <v>2628</v>
      </c>
      <c r="C37" s="97" t="s">
        <v>105</v>
      </c>
      <c r="D37" s="97" t="s">
        <v>3198</v>
      </c>
      <c r="E37" s="97" t="s">
        <v>49</v>
      </c>
      <c r="F37" s="97">
        <v>115</v>
      </c>
      <c r="G37" s="97">
        <v>4</v>
      </c>
      <c r="H37" s="97">
        <v>65</v>
      </c>
      <c r="I37" s="97">
        <v>95</v>
      </c>
      <c r="J37" s="97">
        <v>9</v>
      </c>
      <c r="K37" s="97">
        <v>128</v>
      </c>
      <c r="L37" s="97">
        <v>116</v>
      </c>
      <c r="M37" s="97">
        <v>4</v>
      </c>
      <c r="N37" s="97">
        <v>51</v>
      </c>
      <c r="O37" s="97">
        <v>84</v>
      </c>
      <c r="P37" s="97">
        <v>9</v>
      </c>
      <c r="Q37" s="97">
        <v>147</v>
      </c>
      <c r="R37" s="97">
        <v>84</v>
      </c>
      <c r="S37" s="97">
        <v>2</v>
      </c>
      <c r="T37" s="97">
        <v>25</v>
      </c>
      <c r="U37" s="97">
        <v>87</v>
      </c>
      <c r="V37" s="97">
        <v>2</v>
      </c>
      <c r="W37" s="97">
        <v>57</v>
      </c>
      <c r="X37" s="97">
        <v>66</v>
      </c>
      <c r="Y37" s="97">
        <v>22</v>
      </c>
      <c r="Z37" s="97">
        <v>604</v>
      </c>
      <c r="AA37" s="97">
        <v>61</v>
      </c>
      <c r="AB37" s="97">
        <v>9</v>
      </c>
      <c r="AC37" s="97">
        <v>172</v>
      </c>
      <c r="AD37" s="97">
        <v>80</v>
      </c>
      <c r="AE37" s="97">
        <v>3</v>
      </c>
      <c r="AF37" s="97">
        <v>54</v>
      </c>
      <c r="AG37" s="97">
        <v>581</v>
      </c>
      <c r="AH37" s="97">
        <v>1</v>
      </c>
      <c r="AI37" s="97">
        <v>33</v>
      </c>
      <c r="AK37" s="97" t="s">
        <v>2948</v>
      </c>
      <c r="AL37" s="97" t="s">
        <v>2948</v>
      </c>
      <c r="AM37" s="97" t="s">
        <v>32</v>
      </c>
      <c r="AN37" s="97" t="s">
        <v>3199</v>
      </c>
      <c r="AO37" s="97" t="s">
        <v>12</v>
      </c>
      <c r="AP37" s="97">
        <v>102</v>
      </c>
      <c r="AQ37" s="97">
        <v>37</v>
      </c>
      <c r="AR37" s="97">
        <v>86</v>
      </c>
      <c r="AS37" s="97">
        <v>114.5</v>
      </c>
      <c r="AT37" s="97">
        <v>12</v>
      </c>
      <c r="AU37" s="97">
        <v>16</v>
      </c>
      <c r="AV37" s="97">
        <v>67</v>
      </c>
      <c r="AW37" s="97">
        <v>39</v>
      </c>
      <c r="AX37" s="97">
        <v>74</v>
      </c>
      <c r="AY37" s="97">
        <v>68</v>
      </c>
      <c r="AZ37" s="97">
        <v>34</v>
      </c>
      <c r="BA37" s="97">
        <v>52</v>
      </c>
      <c r="BB37" s="97">
        <v>67</v>
      </c>
      <c r="BC37" s="97">
        <v>34</v>
      </c>
      <c r="BD37" s="97">
        <v>60</v>
      </c>
      <c r="BE37" s="97">
        <v>110</v>
      </c>
      <c r="BF37" s="97">
        <v>21</v>
      </c>
      <c r="BG37" s="97">
        <v>22</v>
      </c>
      <c r="BH37" s="97">
        <v>40</v>
      </c>
      <c r="BI37" s="97">
        <v>36</v>
      </c>
      <c r="BJ37" s="97">
        <v>79</v>
      </c>
      <c r="BK37" s="97">
        <v>63</v>
      </c>
      <c r="BL37" s="97">
        <v>27</v>
      </c>
      <c r="BM37" s="97">
        <v>63</v>
      </c>
      <c r="BN37" s="97">
        <v>43</v>
      </c>
      <c r="BO37" s="97">
        <v>34</v>
      </c>
      <c r="BP37" s="97">
        <v>102</v>
      </c>
      <c r="BQ37" s="97">
        <v>528.5</v>
      </c>
      <c r="BR37" s="97">
        <v>32</v>
      </c>
      <c r="BS37" s="97">
        <v>34</v>
      </c>
    </row>
    <row r="38" spans="1:71" ht="15" customHeight="1">
      <c r="A38" s="97" t="s">
        <v>827</v>
      </c>
      <c r="B38" s="97" t="s">
        <v>827</v>
      </c>
      <c r="C38" s="97" t="s">
        <v>118</v>
      </c>
      <c r="D38" s="97" t="s">
        <v>3198</v>
      </c>
      <c r="E38" s="97" t="s">
        <v>117</v>
      </c>
      <c r="F38" s="97">
        <v>101</v>
      </c>
      <c r="G38" s="97">
        <v>26</v>
      </c>
      <c r="H38" s="97">
        <v>481</v>
      </c>
      <c r="I38" s="97">
        <v>113</v>
      </c>
      <c r="J38" s="97">
        <v>3</v>
      </c>
      <c r="K38" s="97">
        <v>31</v>
      </c>
      <c r="L38" s="97">
        <v>110</v>
      </c>
      <c r="M38" s="97">
        <v>5</v>
      </c>
      <c r="N38" s="97">
        <v>108</v>
      </c>
      <c r="O38" s="97">
        <v>102</v>
      </c>
      <c r="P38" s="97">
        <v>1</v>
      </c>
      <c r="Q38" s="97">
        <v>12</v>
      </c>
      <c r="R38" s="97">
        <v>72</v>
      </c>
      <c r="S38" s="97">
        <v>4</v>
      </c>
      <c r="T38" s="97">
        <v>115</v>
      </c>
      <c r="U38" s="97">
        <v>82</v>
      </c>
      <c r="V38" s="97">
        <v>5</v>
      </c>
      <c r="W38" s="97">
        <v>166</v>
      </c>
      <c r="X38" s="97">
        <v>71</v>
      </c>
      <c r="Y38" s="97">
        <v>32</v>
      </c>
      <c r="Z38" s="97">
        <v>439</v>
      </c>
      <c r="AA38" s="97">
        <v>48</v>
      </c>
      <c r="AB38" s="97">
        <v>39</v>
      </c>
      <c r="AC38" s="97">
        <v>671</v>
      </c>
      <c r="AD38" s="97">
        <v>57</v>
      </c>
      <c r="AE38" s="97">
        <v>48</v>
      </c>
      <c r="AF38" s="97">
        <v>798</v>
      </c>
      <c r="AG38" s="97">
        <v>580</v>
      </c>
      <c r="AH38" s="97">
        <v>1</v>
      </c>
      <c r="AI38" s="97">
        <v>35</v>
      </c>
      <c r="AK38" s="97" t="s">
        <v>2998</v>
      </c>
      <c r="AL38" s="97" t="s">
        <v>2998</v>
      </c>
      <c r="AM38" s="97" t="s">
        <v>120</v>
      </c>
      <c r="AN38" s="97" t="s">
        <v>3199</v>
      </c>
      <c r="AO38" s="97" t="s">
        <v>12</v>
      </c>
      <c r="AP38" s="97">
        <v>99</v>
      </c>
      <c r="AQ38" s="97">
        <v>44</v>
      </c>
      <c r="AR38" s="97">
        <v>102</v>
      </c>
      <c r="AS38" s="97">
        <v>100.5</v>
      </c>
      <c r="AT38" s="97">
        <v>31</v>
      </c>
      <c r="AU38" s="97">
        <v>50</v>
      </c>
      <c r="AV38" s="97">
        <v>79</v>
      </c>
      <c r="AW38" s="97">
        <v>8</v>
      </c>
      <c r="AX38" s="97">
        <v>9</v>
      </c>
      <c r="AY38" s="97">
        <v>73</v>
      </c>
      <c r="AZ38" s="97">
        <v>27</v>
      </c>
      <c r="BA38" s="97">
        <v>30</v>
      </c>
      <c r="BB38" s="97">
        <v>76</v>
      </c>
      <c r="BC38" s="97">
        <v>15</v>
      </c>
      <c r="BD38" s="97">
        <v>20</v>
      </c>
      <c r="BE38" s="97">
        <v>100</v>
      </c>
      <c r="BF38" s="97">
        <v>35</v>
      </c>
      <c r="BG38" s="97">
        <v>42</v>
      </c>
      <c r="BH38" s="97">
        <v>47</v>
      </c>
      <c r="BI38" s="97">
        <v>16</v>
      </c>
      <c r="BJ38" s="97">
        <v>33</v>
      </c>
      <c r="BK38" s="97">
        <v>69</v>
      </c>
      <c r="BL38" s="97">
        <v>14</v>
      </c>
      <c r="BM38" s="97">
        <v>26</v>
      </c>
      <c r="BN38" s="97">
        <v>59</v>
      </c>
      <c r="BO38" s="97">
        <v>6</v>
      </c>
      <c r="BP38" s="97">
        <v>9</v>
      </c>
      <c r="BQ38" s="97">
        <v>527.5</v>
      </c>
      <c r="BR38" s="97">
        <v>33</v>
      </c>
      <c r="BS38" s="97">
        <v>35</v>
      </c>
    </row>
    <row r="39" spans="1:71" ht="15" customHeight="1">
      <c r="A39" s="97" t="s">
        <v>1588</v>
      </c>
      <c r="B39" s="97" t="s">
        <v>1588</v>
      </c>
      <c r="C39" s="97" t="s">
        <v>144</v>
      </c>
      <c r="D39" s="97" t="s">
        <v>3198</v>
      </c>
      <c r="E39" s="97" t="s">
        <v>10</v>
      </c>
      <c r="F39" s="97">
        <v>120</v>
      </c>
      <c r="G39" s="97">
        <v>3</v>
      </c>
      <c r="H39" s="97">
        <v>21</v>
      </c>
      <c r="I39" s="97">
        <v>98</v>
      </c>
      <c r="J39" s="97">
        <v>29</v>
      </c>
      <c r="K39" s="97">
        <v>103</v>
      </c>
      <c r="L39" s="97">
        <v>108</v>
      </c>
      <c r="M39" s="97">
        <v>33</v>
      </c>
      <c r="N39" s="97">
        <v>134</v>
      </c>
      <c r="O39" s="97">
        <v>88</v>
      </c>
      <c r="P39" s="97">
        <v>42</v>
      </c>
      <c r="Q39" s="97">
        <v>106</v>
      </c>
      <c r="R39" s="97">
        <v>80</v>
      </c>
      <c r="S39" s="97">
        <v>23</v>
      </c>
      <c r="T39" s="97">
        <v>44</v>
      </c>
      <c r="U39" s="97">
        <v>85</v>
      </c>
      <c r="V39" s="97">
        <v>40</v>
      </c>
      <c r="W39" s="97">
        <v>96</v>
      </c>
      <c r="X39" s="97">
        <v>88</v>
      </c>
      <c r="Y39" s="97">
        <v>5</v>
      </c>
      <c r="Z39" s="97">
        <v>15</v>
      </c>
      <c r="AA39" s="97">
        <v>61</v>
      </c>
      <c r="AB39" s="97">
        <v>36</v>
      </c>
      <c r="AC39" s="97">
        <v>172</v>
      </c>
      <c r="AD39" s="97">
        <v>80</v>
      </c>
      <c r="AE39" s="97">
        <v>15</v>
      </c>
      <c r="AF39" s="97">
        <v>54</v>
      </c>
      <c r="AG39" s="97">
        <v>579</v>
      </c>
      <c r="AH39" s="97">
        <v>27</v>
      </c>
      <c r="AI39" s="97">
        <v>36</v>
      </c>
      <c r="AK39" s="97" t="s">
        <v>2984</v>
      </c>
      <c r="AL39" s="97" t="s">
        <v>2984</v>
      </c>
      <c r="AM39" s="97" t="s">
        <v>112</v>
      </c>
      <c r="AN39" s="97" t="s">
        <v>3199</v>
      </c>
      <c r="AO39" s="97" t="s">
        <v>12</v>
      </c>
      <c r="AP39" s="97">
        <v>110</v>
      </c>
      <c r="AQ39" s="97">
        <v>21</v>
      </c>
      <c r="AR39" s="97">
        <v>39</v>
      </c>
      <c r="AS39" s="97">
        <v>111.5</v>
      </c>
      <c r="AT39" s="97">
        <v>16</v>
      </c>
      <c r="AU39" s="97">
        <v>20</v>
      </c>
      <c r="AV39" s="97">
        <v>70</v>
      </c>
      <c r="AW39" s="97">
        <v>33</v>
      </c>
      <c r="AX39" s="97">
        <v>57</v>
      </c>
      <c r="AY39" s="97">
        <v>79</v>
      </c>
      <c r="AZ39" s="97">
        <v>14</v>
      </c>
      <c r="BA39" s="97">
        <v>15</v>
      </c>
      <c r="BB39" s="97">
        <v>63</v>
      </c>
      <c r="BC39" s="97">
        <v>43</v>
      </c>
      <c r="BD39" s="97">
        <v>86</v>
      </c>
      <c r="BE39" s="97">
        <v>93</v>
      </c>
      <c r="BF39" s="97">
        <v>42</v>
      </c>
      <c r="BG39" s="97">
        <v>58</v>
      </c>
      <c r="BH39" s="97">
        <v>52</v>
      </c>
      <c r="BI39" s="97">
        <v>6</v>
      </c>
      <c r="BJ39" s="97">
        <v>12</v>
      </c>
      <c r="BK39" s="97">
        <v>65</v>
      </c>
      <c r="BL39" s="97">
        <v>23</v>
      </c>
      <c r="BM39" s="97">
        <v>53</v>
      </c>
      <c r="BN39" s="97">
        <v>50</v>
      </c>
      <c r="BO39" s="97">
        <v>25</v>
      </c>
      <c r="BP39" s="97">
        <v>63</v>
      </c>
      <c r="BQ39" s="97">
        <v>526.5</v>
      </c>
      <c r="BR39" s="97">
        <v>34</v>
      </c>
      <c r="BS39" s="97">
        <v>36</v>
      </c>
    </row>
    <row r="40" spans="1:71" ht="15" customHeight="1">
      <c r="A40" s="97" t="s">
        <v>1545</v>
      </c>
      <c r="B40" s="97" t="s">
        <v>1545</v>
      </c>
      <c r="C40" s="97" t="s">
        <v>137</v>
      </c>
      <c r="D40" s="97" t="s">
        <v>3198</v>
      </c>
      <c r="E40" s="97" t="s">
        <v>10</v>
      </c>
      <c r="F40" s="97">
        <v>108</v>
      </c>
      <c r="G40" s="97">
        <v>27</v>
      </c>
      <c r="H40" s="97">
        <v>212</v>
      </c>
      <c r="I40" s="97">
        <v>100</v>
      </c>
      <c r="J40" s="97">
        <v>26</v>
      </c>
      <c r="K40" s="97">
        <v>86</v>
      </c>
      <c r="L40" s="97">
        <v>112</v>
      </c>
      <c r="M40" s="97">
        <v>25</v>
      </c>
      <c r="N40" s="97">
        <v>88</v>
      </c>
      <c r="O40" s="97">
        <v>99</v>
      </c>
      <c r="P40" s="97">
        <v>14</v>
      </c>
      <c r="Q40" s="97">
        <v>25</v>
      </c>
      <c r="R40" s="97">
        <v>75</v>
      </c>
      <c r="S40" s="97">
        <v>34</v>
      </c>
      <c r="T40" s="97">
        <v>83</v>
      </c>
      <c r="U40" s="97">
        <v>83</v>
      </c>
      <c r="V40" s="97">
        <v>45</v>
      </c>
      <c r="W40" s="97">
        <v>145</v>
      </c>
      <c r="X40" s="97">
        <v>64</v>
      </c>
      <c r="Y40" s="97">
        <v>50</v>
      </c>
      <c r="Z40" s="97">
        <v>680</v>
      </c>
      <c r="AA40" s="97">
        <v>64</v>
      </c>
      <c r="AB40" s="97">
        <v>30</v>
      </c>
      <c r="AC40" s="97">
        <v>103</v>
      </c>
      <c r="AD40" s="97">
        <v>76</v>
      </c>
      <c r="AE40" s="97">
        <v>28</v>
      </c>
      <c r="AF40" s="97">
        <v>125</v>
      </c>
      <c r="AG40" s="97">
        <v>577</v>
      </c>
      <c r="AH40" s="97">
        <v>28</v>
      </c>
      <c r="AI40" s="97">
        <v>37</v>
      </c>
      <c r="AK40" s="97" t="s">
        <v>3180</v>
      </c>
      <c r="AL40" s="97" t="s">
        <v>3180</v>
      </c>
      <c r="AM40" s="97" t="s">
        <v>3181</v>
      </c>
      <c r="AN40" s="97" t="s">
        <v>3199</v>
      </c>
      <c r="AO40" s="97" t="s">
        <v>25</v>
      </c>
      <c r="AP40" s="97">
        <v>115</v>
      </c>
      <c r="AQ40" s="97">
        <v>4</v>
      </c>
      <c r="AR40" s="97">
        <v>20</v>
      </c>
      <c r="AS40" s="97">
        <v>104</v>
      </c>
      <c r="AT40" s="97">
        <v>5</v>
      </c>
      <c r="AU40" s="97">
        <v>42</v>
      </c>
      <c r="AV40" s="97">
        <v>68</v>
      </c>
      <c r="AW40" s="97">
        <v>20</v>
      </c>
      <c r="AX40" s="97">
        <v>70</v>
      </c>
      <c r="AY40" s="97">
        <v>68</v>
      </c>
      <c r="AZ40" s="97">
        <v>12</v>
      </c>
      <c r="BA40" s="97">
        <v>52</v>
      </c>
      <c r="BB40" s="97">
        <v>71</v>
      </c>
      <c r="BC40" s="97">
        <v>7</v>
      </c>
      <c r="BD40" s="97">
        <v>43</v>
      </c>
      <c r="BE40" s="97">
        <v>99</v>
      </c>
      <c r="BF40" s="97">
        <v>7</v>
      </c>
      <c r="BG40" s="97">
        <v>46</v>
      </c>
      <c r="BH40" s="97">
        <v>49</v>
      </c>
      <c r="BI40" s="97">
        <v>7</v>
      </c>
      <c r="BJ40" s="97">
        <v>22</v>
      </c>
      <c r="BK40" s="97">
        <v>56</v>
      </c>
      <c r="BL40" s="97">
        <v>32</v>
      </c>
      <c r="BM40" s="97">
        <v>106</v>
      </c>
      <c r="BN40" s="97">
        <v>51</v>
      </c>
      <c r="BO40" s="97">
        <v>15</v>
      </c>
      <c r="BP40" s="97">
        <v>52</v>
      </c>
      <c r="BQ40" s="97">
        <v>525</v>
      </c>
      <c r="BR40" s="97">
        <v>2</v>
      </c>
      <c r="BS40" s="97">
        <v>37</v>
      </c>
    </row>
    <row r="41" spans="1:71" ht="15" customHeight="1">
      <c r="A41" s="97" t="s">
        <v>1716</v>
      </c>
      <c r="B41" s="97" t="s">
        <v>1716</v>
      </c>
      <c r="C41" s="97" t="s">
        <v>170</v>
      </c>
      <c r="D41" s="97" t="s">
        <v>3198</v>
      </c>
      <c r="E41" s="97" t="s">
        <v>9</v>
      </c>
      <c r="F41" s="97">
        <v>107</v>
      </c>
      <c r="G41" s="97">
        <v>21</v>
      </c>
      <c r="H41" s="97">
        <v>242</v>
      </c>
      <c r="I41" s="97">
        <v>115</v>
      </c>
      <c r="J41" s="97">
        <v>3</v>
      </c>
      <c r="K41" s="97">
        <v>25</v>
      </c>
      <c r="L41" s="97">
        <v>121</v>
      </c>
      <c r="M41" s="97">
        <v>6</v>
      </c>
      <c r="N41" s="97">
        <v>23</v>
      </c>
      <c r="O41" s="97">
        <v>74</v>
      </c>
      <c r="P41" s="97">
        <v>43</v>
      </c>
      <c r="Q41" s="97">
        <v>317</v>
      </c>
      <c r="R41" s="97">
        <v>74</v>
      </c>
      <c r="S41" s="97">
        <v>26</v>
      </c>
      <c r="T41" s="97">
        <v>94</v>
      </c>
      <c r="U41" s="97">
        <v>85</v>
      </c>
      <c r="V41" s="97">
        <v>15</v>
      </c>
      <c r="W41" s="97">
        <v>96</v>
      </c>
      <c r="X41" s="97">
        <v>79</v>
      </c>
      <c r="Y41" s="97">
        <v>23</v>
      </c>
      <c r="Z41" s="97">
        <v>175</v>
      </c>
      <c r="AA41" s="97">
        <v>62</v>
      </c>
      <c r="AB41" s="97">
        <v>26</v>
      </c>
      <c r="AC41" s="97">
        <v>146</v>
      </c>
      <c r="AD41" s="97">
        <v>66</v>
      </c>
      <c r="AE41" s="97">
        <v>41</v>
      </c>
      <c r="AF41" s="97">
        <v>511</v>
      </c>
      <c r="AG41" s="97">
        <v>576</v>
      </c>
      <c r="AH41" s="97">
        <v>7</v>
      </c>
      <c r="AI41" s="97">
        <v>38</v>
      </c>
      <c r="AK41" s="97" t="s">
        <v>3183</v>
      </c>
      <c r="AL41" s="97" t="s">
        <v>3183</v>
      </c>
      <c r="AM41" s="97" t="s">
        <v>2356</v>
      </c>
      <c r="AN41" s="97" t="s">
        <v>3199</v>
      </c>
      <c r="AO41" s="97" t="s">
        <v>25</v>
      </c>
      <c r="AP41" s="97">
        <v>115</v>
      </c>
      <c r="AQ41" s="97">
        <v>4</v>
      </c>
      <c r="AR41" s="97">
        <v>20</v>
      </c>
      <c r="AS41" s="97">
        <v>111</v>
      </c>
      <c r="AT41" s="97">
        <v>2</v>
      </c>
      <c r="AU41" s="97">
        <v>21</v>
      </c>
      <c r="AV41" s="97">
        <v>76</v>
      </c>
      <c r="AW41" s="97">
        <v>3</v>
      </c>
      <c r="AX41" s="97">
        <v>23</v>
      </c>
      <c r="AY41" s="97">
        <v>52</v>
      </c>
      <c r="AZ41" s="97">
        <v>37</v>
      </c>
      <c r="BA41" s="97">
        <v>120</v>
      </c>
      <c r="BB41" s="97">
        <v>67</v>
      </c>
      <c r="BC41" s="97">
        <v>10</v>
      </c>
      <c r="BD41" s="97">
        <v>60</v>
      </c>
      <c r="BE41" s="97">
        <v>103</v>
      </c>
      <c r="BF41" s="97">
        <v>4</v>
      </c>
      <c r="BG41" s="97">
        <v>35</v>
      </c>
      <c r="BH41" s="97">
        <v>37</v>
      </c>
      <c r="BI41" s="97">
        <v>33</v>
      </c>
      <c r="BJ41" s="97">
        <v>102</v>
      </c>
      <c r="BK41" s="97">
        <v>68</v>
      </c>
      <c r="BL41" s="97">
        <v>9</v>
      </c>
      <c r="BM41" s="97">
        <v>31</v>
      </c>
      <c r="BN41" s="97">
        <v>49</v>
      </c>
      <c r="BO41" s="97">
        <v>22</v>
      </c>
      <c r="BP41" s="97">
        <v>70</v>
      </c>
      <c r="BQ41" s="97">
        <v>524</v>
      </c>
      <c r="BR41" s="97">
        <v>3</v>
      </c>
      <c r="BS41" s="97">
        <v>38</v>
      </c>
    </row>
    <row r="42" spans="1:71" ht="15" customHeight="1">
      <c r="A42" s="97" t="s">
        <v>1549</v>
      </c>
      <c r="B42" s="97" t="s">
        <v>1549</v>
      </c>
      <c r="C42" s="97" t="s">
        <v>111</v>
      </c>
      <c r="D42" s="97" t="s">
        <v>3198</v>
      </c>
      <c r="E42" s="97" t="s">
        <v>10</v>
      </c>
      <c r="F42" s="97">
        <v>96</v>
      </c>
      <c r="G42" s="97">
        <v>51</v>
      </c>
      <c r="H42" s="97">
        <v>676</v>
      </c>
      <c r="I42" s="97">
        <v>98</v>
      </c>
      <c r="J42" s="97">
        <v>29</v>
      </c>
      <c r="K42" s="97">
        <v>103</v>
      </c>
      <c r="L42" s="97">
        <v>112.5</v>
      </c>
      <c r="M42" s="97">
        <v>22</v>
      </c>
      <c r="N42" s="97">
        <v>77</v>
      </c>
      <c r="O42" s="97">
        <v>94</v>
      </c>
      <c r="P42" s="97">
        <v>28</v>
      </c>
      <c r="Q42" s="97">
        <v>61</v>
      </c>
      <c r="R42" s="97">
        <v>79</v>
      </c>
      <c r="S42" s="97">
        <v>26</v>
      </c>
      <c r="T42" s="97">
        <v>49</v>
      </c>
      <c r="U42" s="97">
        <v>96</v>
      </c>
      <c r="V42" s="97">
        <v>2</v>
      </c>
      <c r="W42" s="97">
        <v>3</v>
      </c>
      <c r="X42" s="97">
        <v>73</v>
      </c>
      <c r="Y42" s="97">
        <v>34</v>
      </c>
      <c r="Z42" s="97">
        <v>359</v>
      </c>
      <c r="AA42" s="97">
        <v>59</v>
      </c>
      <c r="AB42" s="97">
        <v>43</v>
      </c>
      <c r="AC42" s="97">
        <v>233</v>
      </c>
      <c r="AD42" s="97">
        <v>83</v>
      </c>
      <c r="AE42" s="97">
        <v>8</v>
      </c>
      <c r="AF42" s="97">
        <v>22</v>
      </c>
      <c r="AG42" s="97">
        <v>575.5</v>
      </c>
      <c r="AH42" s="97">
        <v>29</v>
      </c>
      <c r="AI42" s="97">
        <v>39</v>
      </c>
      <c r="AK42" s="97" t="s">
        <v>3277</v>
      </c>
      <c r="AL42" s="97" t="s">
        <v>3277</v>
      </c>
      <c r="AM42" s="97" t="s">
        <v>65</v>
      </c>
      <c r="AN42" s="97" t="s">
        <v>3199</v>
      </c>
      <c r="AO42" s="97" t="s">
        <v>52</v>
      </c>
      <c r="AP42" s="97">
        <v>117</v>
      </c>
      <c r="AQ42" s="97">
        <v>2</v>
      </c>
      <c r="AR42" s="97">
        <v>13</v>
      </c>
      <c r="AS42" s="97">
        <v>97</v>
      </c>
      <c r="AT42" s="97">
        <v>15</v>
      </c>
      <c r="AU42" s="97">
        <v>63</v>
      </c>
      <c r="AV42" s="97">
        <v>73</v>
      </c>
      <c r="AW42" s="97">
        <v>6</v>
      </c>
      <c r="AX42" s="97">
        <v>37</v>
      </c>
      <c r="AY42" s="97">
        <v>65</v>
      </c>
      <c r="AZ42" s="97">
        <v>12</v>
      </c>
      <c r="BA42" s="97">
        <v>69</v>
      </c>
      <c r="BB42" s="97">
        <v>77</v>
      </c>
      <c r="BC42" s="97">
        <v>4</v>
      </c>
      <c r="BD42" s="97">
        <v>13</v>
      </c>
      <c r="BE42" s="97">
        <v>95</v>
      </c>
      <c r="BF42" s="97">
        <v>5</v>
      </c>
      <c r="BG42" s="97">
        <v>56</v>
      </c>
      <c r="BH42" s="97">
        <v>47</v>
      </c>
      <c r="BI42" s="97">
        <v>9</v>
      </c>
      <c r="BJ42" s="97">
        <v>33</v>
      </c>
      <c r="BK42" s="97">
        <v>43</v>
      </c>
      <c r="BL42" s="97">
        <v>45</v>
      </c>
      <c r="BM42" s="97">
        <v>132</v>
      </c>
      <c r="BN42" s="97">
        <v>48</v>
      </c>
      <c r="BO42" s="97">
        <v>24</v>
      </c>
      <c r="BP42" s="97">
        <v>77</v>
      </c>
      <c r="BQ42" s="97">
        <v>524</v>
      </c>
      <c r="BR42" s="97">
        <v>2</v>
      </c>
      <c r="BS42" s="97">
        <v>38</v>
      </c>
    </row>
    <row r="43" spans="1:71" ht="15" customHeight="1">
      <c r="A43" s="97" t="s">
        <v>1570</v>
      </c>
      <c r="B43" s="97" t="s">
        <v>1570</v>
      </c>
      <c r="C43" s="97" t="s">
        <v>82</v>
      </c>
      <c r="D43" s="97" t="s">
        <v>3198</v>
      </c>
      <c r="E43" s="97" t="s">
        <v>10</v>
      </c>
      <c r="F43" s="97">
        <v>109</v>
      </c>
      <c r="G43" s="97">
        <v>25</v>
      </c>
      <c r="H43" s="97">
        <v>185</v>
      </c>
      <c r="I43" s="97">
        <v>98</v>
      </c>
      <c r="J43" s="97">
        <v>29</v>
      </c>
      <c r="K43" s="97">
        <v>103</v>
      </c>
      <c r="L43" s="97">
        <v>108</v>
      </c>
      <c r="M43" s="97">
        <v>33</v>
      </c>
      <c r="N43" s="97">
        <v>134</v>
      </c>
      <c r="O43" s="97">
        <v>94</v>
      </c>
      <c r="P43" s="97">
        <v>28</v>
      </c>
      <c r="Q43" s="97">
        <v>61</v>
      </c>
      <c r="R43" s="97">
        <v>92</v>
      </c>
      <c r="S43" s="97">
        <v>2</v>
      </c>
      <c r="T43" s="97">
        <v>2</v>
      </c>
      <c r="U43" s="97">
        <v>73</v>
      </c>
      <c r="V43" s="97">
        <v>52</v>
      </c>
      <c r="W43" s="97">
        <v>393</v>
      </c>
      <c r="X43" s="97">
        <v>85</v>
      </c>
      <c r="Y43" s="97">
        <v>12</v>
      </c>
      <c r="Z43" s="97">
        <v>45</v>
      </c>
      <c r="AA43" s="97">
        <v>76</v>
      </c>
      <c r="AB43" s="97">
        <v>5</v>
      </c>
      <c r="AC43" s="97">
        <v>6</v>
      </c>
      <c r="AD43" s="97">
        <v>80</v>
      </c>
      <c r="AE43" s="97">
        <v>15</v>
      </c>
      <c r="AF43" s="97">
        <v>54</v>
      </c>
      <c r="AG43" s="97">
        <v>574</v>
      </c>
      <c r="AH43" s="97">
        <v>30</v>
      </c>
      <c r="AI43" s="97">
        <v>40</v>
      </c>
      <c r="AK43" s="97" t="s">
        <v>3439</v>
      </c>
      <c r="AL43" s="97" t="s">
        <v>3439</v>
      </c>
      <c r="AM43" s="97" t="s">
        <v>411</v>
      </c>
      <c r="AN43" s="97" t="s">
        <v>3199</v>
      </c>
      <c r="AO43" s="97" t="s">
        <v>12</v>
      </c>
      <c r="AP43" s="97">
        <v>113</v>
      </c>
      <c r="AQ43" s="97">
        <v>16</v>
      </c>
      <c r="AR43" s="97">
        <v>27</v>
      </c>
      <c r="AS43" s="97">
        <v>97</v>
      </c>
      <c r="AT43" s="97">
        <v>38</v>
      </c>
      <c r="AU43" s="97">
        <v>63</v>
      </c>
      <c r="AV43" s="97">
        <v>72</v>
      </c>
      <c r="AW43" s="97">
        <v>28</v>
      </c>
      <c r="AX43" s="97">
        <v>41</v>
      </c>
      <c r="AY43" s="97">
        <v>64</v>
      </c>
      <c r="AZ43" s="97">
        <v>40</v>
      </c>
      <c r="BA43" s="97">
        <v>77</v>
      </c>
      <c r="BB43" s="97">
        <v>66</v>
      </c>
      <c r="BC43" s="97">
        <v>37</v>
      </c>
      <c r="BD43" s="97">
        <v>67</v>
      </c>
      <c r="BE43" s="97">
        <v>110</v>
      </c>
      <c r="BF43" s="97">
        <v>21</v>
      </c>
      <c r="BG43" s="97">
        <v>22</v>
      </c>
      <c r="BH43" s="97">
        <v>42</v>
      </c>
      <c r="BI43" s="97">
        <v>32</v>
      </c>
      <c r="BJ43" s="97">
        <v>68</v>
      </c>
      <c r="BK43" s="97">
        <v>58</v>
      </c>
      <c r="BL43" s="97">
        <v>37</v>
      </c>
      <c r="BM43" s="97">
        <v>90</v>
      </c>
      <c r="BN43" s="97">
        <v>51</v>
      </c>
      <c r="BO43" s="97">
        <v>22</v>
      </c>
      <c r="BP43" s="97">
        <v>52</v>
      </c>
      <c r="BQ43" s="97">
        <v>522</v>
      </c>
      <c r="BR43" s="97">
        <v>35</v>
      </c>
      <c r="BS43" s="97">
        <v>40</v>
      </c>
    </row>
    <row r="44" spans="1:71" ht="15" customHeight="1">
      <c r="A44" s="97" t="s">
        <v>3326</v>
      </c>
      <c r="B44" s="97" t="s">
        <v>3326</v>
      </c>
      <c r="C44" s="97" t="s">
        <v>172</v>
      </c>
      <c r="D44" s="97" t="s">
        <v>3198</v>
      </c>
      <c r="E44" s="97" t="s">
        <v>10</v>
      </c>
      <c r="F44" s="97">
        <v>118</v>
      </c>
      <c r="G44" s="97">
        <v>6</v>
      </c>
      <c r="H44" s="97">
        <v>33</v>
      </c>
      <c r="I44" s="97">
        <v>97</v>
      </c>
      <c r="J44" s="97">
        <v>33</v>
      </c>
      <c r="K44" s="97">
        <v>112</v>
      </c>
      <c r="L44" s="97">
        <v>115</v>
      </c>
      <c r="M44" s="97">
        <v>19</v>
      </c>
      <c r="N44" s="97">
        <v>58</v>
      </c>
      <c r="O44" s="97">
        <v>92</v>
      </c>
      <c r="P44" s="97">
        <v>35</v>
      </c>
      <c r="Q44" s="97">
        <v>74</v>
      </c>
      <c r="R44" s="97">
        <v>68</v>
      </c>
      <c r="S44" s="97">
        <v>45</v>
      </c>
      <c r="T44" s="97">
        <v>165</v>
      </c>
      <c r="U44" s="97">
        <v>84</v>
      </c>
      <c r="V44" s="97">
        <v>43</v>
      </c>
      <c r="W44" s="97">
        <v>123</v>
      </c>
      <c r="X44" s="97">
        <v>87</v>
      </c>
      <c r="Y44" s="97">
        <v>8</v>
      </c>
      <c r="Z44" s="97">
        <v>25</v>
      </c>
      <c r="AA44" s="97">
        <v>60</v>
      </c>
      <c r="AB44" s="97">
        <v>38</v>
      </c>
      <c r="AC44" s="97">
        <v>203</v>
      </c>
      <c r="AD44" s="97">
        <v>65</v>
      </c>
      <c r="AE44" s="97">
        <v>47</v>
      </c>
      <c r="AF44" s="97">
        <v>548</v>
      </c>
      <c r="AG44" s="97">
        <v>574</v>
      </c>
      <c r="AH44" s="97">
        <v>30</v>
      </c>
      <c r="AI44" s="97">
        <v>40</v>
      </c>
      <c r="AK44" s="97" t="s">
        <v>2916</v>
      </c>
      <c r="AL44" s="97" t="s">
        <v>2916</v>
      </c>
      <c r="AM44" s="97" t="s">
        <v>44</v>
      </c>
      <c r="AN44" s="97" t="s">
        <v>3199</v>
      </c>
      <c r="AO44" s="97" t="s">
        <v>12</v>
      </c>
      <c r="AP44" s="97">
        <v>109</v>
      </c>
      <c r="AQ44" s="97">
        <v>24</v>
      </c>
      <c r="AR44" s="97">
        <v>46</v>
      </c>
      <c r="AS44" s="97">
        <v>98.5</v>
      </c>
      <c r="AT44" s="97">
        <v>37</v>
      </c>
      <c r="AU44" s="97">
        <v>59</v>
      </c>
      <c r="AV44" s="97">
        <v>63</v>
      </c>
      <c r="AW44" s="97">
        <v>42</v>
      </c>
      <c r="AX44" s="97">
        <v>93</v>
      </c>
      <c r="AY44" s="97">
        <v>72</v>
      </c>
      <c r="AZ44" s="97">
        <v>28</v>
      </c>
      <c r="BA44" s="97">
        <v>33</v>
      </c>
      <c r="BB44" s="97">
        <v>75</v>
      </c>
      <c r="BC44" s="97">
        <v>19</v>
      </c>
      <c r="BD44" s="97">
        <v>29</v>
      </c>
      <c r="BE44" s="97">
        <v>102</v>
      </c>
      <c r="BF44" s="97">
        <v>31</v>
      </c>
      <c r="BG44" s="97">
        <v>37</v>
      </c>
      <c r="BH44" s="97">
        <v>68</v>
      </c>
      <c r="BI44" s="97">
        <v>3</v>
      </c>
      <c r="BJ44" s="97">
        <v>3</v>
      </c>
      <c r="BK44" s="97">
        <v>75</v>
      </c>
      <c r="BL44" s="97">
        <v>8</v>
      </c>
      <c r="BM44" s="97">
        <v>12</v>
      </c>
      <c r="BN44" s="97">
        <v>62</v>
      </c>
      <c r="BO44" s="97">
        <v>3</v>
      </c>
      <c r="BP44" s="97">
        <v>5</v>
      </c>
      <c r="BQ44" s="97">
        <v>519.5</v>
      </c>
      <c r="BR44" s="97">
        <v>36</v>
      </c>
      <c r="BS44" s="97">
        <v>41</v>
      </c>
    </row>
    <row r="45" spans="1:71" ht="15" customHeight="1">
      <c r="A45" s="97" t="s">
        <v>1725</v>
      </c>
      <c r="B45" s="97" t="s">
        <v>1725</v>
      </c>
      <c r="C45" s="97" t="s">
        <v>202</v>
      </c>
      <c r="D45" s="97" t="s">
        <v>3198</v>
      </c>
      <c r="E45" s="97" t="s">
        <v>9</v>
      </c>
      <c r="F45" s="97">
        <v>103</v>
      </c>
      <c r="G45" s="97">
        <v>34</v>
      </c>
      <c r="H45" s="97">
        <v>400</v>
      </c>
      <c r="I45" s="97">
        <v>105</v>
      </c>
      <c r="J45" s="97">
        <v>8</v>
      </c>
      <c r="K45" s="97">
        <v>57</v>
      </c>
      <c r="L45" s="97">
        <v>128.5</v>
      </c>
      <c r="M45" s="97">
        <v>2</v>
      </c>
      <c r="N45" s="97">
        <v>5</v>
      </c>
      <c r="O45" s="97">
        <v>81</v>
      </c>
      <c r="P45" s="97">
        <v>28</v>
      </c>
      <c r="Q45" s="97">
        <v>195</v>
      </c>
      <c r="R45" s="97">
        <v>67</v>
      </c>
      <c r="S45" s="97">
        <v>38</v>
      </c>
      <c r="T45" s="97">
        <v>177</v>
      </c>
      <c r="U45" s="97">
        <v>89</v>
      </c>
      <c r="V45" s="97">
        <v>7</v>
      </c>
      <c r="W45" s="97">
        <v>34</v>
      </c>
      <c r="X45" s="97">
        <v>86</v>
      </c>
      <c r="Y45" s="97">
        <v>5</v>
      </c>
      <c r="Z45" s="97">
        <v>34</v>
      </c>
      <c r="AA45" s="97">
        <v>69</v>
      </c>
      <c r="AB45" s="97">
        <v>13</v>
      </c>
      <c r="AC45" s="97">
        <v>43</v>
      </c>
      <c r="AD45" s="97">
        <v>80</v>
      </c>
      <c r="AE45" s="97">
        <v>8</v>
      </c>
      <c r="AF45" s="97">
        <v>54</v>
      </c>
      <c r="AG45" s="97">
        <v>573.5</v>
      </c>
      <c r="AH45" s="97">
        <v>8</v>
      </c>
      <c r="AI45" s="97">
        <v>42</v>
      </c>
      <c r="AK45" s="97" t="s">
        <v>2993</v>
      </c>
      <c r="AL45" s="97" t="s">
        <v>2993</v>
      </c>
      <c r="AM45" s="97" t="s">
        <v>149</v>
      </c>
      <c r="AN45" s="97" t="s">
        <v>3199</v>
      </c>
      <c r="AO45" s="97" t="s">
        <v>12</v>
      </c>
      <c r="AP45" s="97">
        <v>110</v>
      </c>
      <c r="AQ45" s="97">
        <v>21</v>
      </c>
      <c r="AR45" s="97">
        <v>39</v>
      </c>
      <c r="AS45" s="97">
        <v>91.5</v>
      </c>
      <c r="AT45" s="97">
        <v>40</v>
      </c>
      <c r="AU45" s="97">
        <v>78</v>
      </c>
      <c r="AV45" s="97">
        <v>74</v>
      </c>
      <c r="AW45" s="97">
        <v>23</v>
      </c>
      <c r="AX45" s="97">
        <v>32</v>
      </c>
      <c r="AY45" s="97">
        <v>67</v>
      </c>
      <c r="AZ45" s="97">
        <v>35</v>
      </c>
      <c r="BA45" s="97">
        <v>58</v>
      </c>
      <c r="BB45" s="97">
        <v>71</v>
      </c>
      <c r="BC45" s="97">
        <v>27</v>
      </c>
      <c r="BD45" s="97">
        <v>43</v>
      </c>
      <c r="BE45" s="97">
        <v>104</v>
      </c>
      <c r="BF45" s="97">
        <v>29</v>
      </c>
      <c r="BG45" s="97">
        <v>32</v>
      </c>
      <c r="BH45" s="97">
        <v>43</v>
      </c>
      <c r="BI45" s="97">
        <v>31</v>
      </c>
      <c r="BJ45" s="97">
        <v>60</v>
      </c>
      <c r="BK45" s="97">
        <v>64</v>
      </c>
      <c r="BL45" s="97">
        <v>25</v>
      </c>
      <c r="BM45" s="97">
        <v>58</v>
      </c>
      <c r="BN45" s="97">
        <v>54</v>
      </c>
      <c r="BO45" s="97">
        <v>12</v>
      </c>
      <c r="BP45" s="97">
        <v>27</v>
      </c>
      <c r="BQ45" s="97">
        <v>517.5</v>
      </c>
      <c r="BR45" s="97">
        <v>37</v>
      </c>
      <c r="BS45" s="97">
        <v>42</v>
      </c>
    </row>
    <row r="46" spans="1:71" ht="15" customHeight="1">
      <c r="A46" s="97" t="s">
        <v>354</v>
      </c>
      <c r="B46" s="97" t="s">
        <v>354</v>
      </c>
      <c r="C46" s="97" t="s">
        <v>355</v>
      </c>
      <c r="D46" s="97" t="s">
        <v>3198</v>
      </c>
      <c r="E46" s="97" t="s">
        <v>28</v>
      </c>
      <c r="F46" s="97">
        <v>104</v>
      </c>
      <c r="G46" s="97">
        <v>19</v>
      </c>
      <c r="H46" s="97">
        <v>357</v>
      </c>
      <c r="I46" s="97">
        <v>107</v>
      </c>
      <c r="J46" s="97">
        <v>1</v>
      </c>
      <c r="K46" s="97">
        <v>46</v>
      </c>
      <c r="L46" s="97">
        <v>105</v>
      </c>
      <c r="M46" s="97">
        <v>7</v>
      </c>
      <c r="N46" s="97">
        <v>172</v>
      </c>
      <c r="O46" s="97">
        <v>98</v>
      </c>
      <c r="P46" s="97">
        <v>1</v>
      </c>
      <c r="Q46" s="97">
        <v>34</v>
      </c>
      <c r="R46" s="97">
        <v>63</v>
      </c>
      <c r="S46" s="97">
        <v>9</v>
      </c>
      <c r="T46" s="97">
        <v>262</v>
      </c>
      <c r="U46" s="97">
        <v>95</v>
      </c>
      <c r="V46" s="97">
        <v>1</v>
      </c>
      <c r="W46" s="97">
        <v>4</v>
      </c>
      <c r="X46" s="97">
        <v>73</v>
      </c>
      <c r="Y46" s="97">
        <v>19</v>
      </c>
      <c r="Z46" s="97">
        <v>359</v>
      </c>
      <c r="AA46" s="97">
        <v>59</v>
      </c>
      <c r="AB46" s="97">
        <v>17</v>
      </c>
      <c r="AC46" s="97">
        <v>233</v>
      </c>
      <c r="AD46" s="97">
        <v>63</v>
      </c>
      <c r="AE46" s="97">
        <v>40</v>
      </c>
      <c r="AF46" s="97">
        <v>633</v>
      </c>
      <c r="AG46" s="97">
        <v>572</v>
      </c>
      <c r="AH46" s="97">
        <v>1</v>
      </c>
      <c r="AI46" s="97">
        <v>43</v>
      </c>
      <c r="AK46" s="97" t="s">
        <v>2921</v>
      </c>
      <c r="AL46" s="97" t="s">
        <v>2921</v>
      </c>
      <c r="AM46" s="97" t="s">
        <v>1653</v>
      </c>
      <c r="AN46" s="97" t="s">
        <v>3199</v>
      </c>
      <c r="AO46" s="97" t="s">
        <v>12</v>
      </c>
      <c r="AP46" s="97">
        <v>108</v>
      </c>
      <c r="AQ46" s="97">
        <v>28</v>
      </c>
      <c r="AR46" s="97">
        <v>54</v>
      </c>
      <c r="AS46" s="97">
        <v>99</v>
      </c>
      <c r="AT46" s="97">
        <v>35</v>
      </c>
      <c r="AU46" s="97">
        <v>55</v>
      </c>
      <c r="AV46" s="97">
        <v>73</v>
      </c>
      <c r="AW46" s="97">
        <v>26</v>
      </c>
      <c r="AX46" s="97">
        <v>37</v>
      </c>
      <c r="AY46" s="97">
        <v>74</v>
      </c>
      <c r="AZ46" s="97">
        <v>26</v>
      </c>
      <c r="BA46" s="97">
        <v>27</v>
      </c>
      <c r="BB46" s="97">
        <v>66</v>
      </c>
      <c r="BC46" s="97">
        <v>37</v>
      </c>
      <c r="BD46" s="97">
        <v>67</v>
      </c>
      <c r="BE46" s="97">
        <v>97</v>
      </c>
      <c r="BF46" s="97">
        <v>40</v>
      </c>
      <c r="BG46" s="97">
        <v>50</v>
      </c>
      <c r="BH46" s="97">
        <v>49</v>
      </c>
      <c r="BI46" s="97">
        <v>12</v>
      </c>
      <c r="BJ46" s="97">
        <v>22</v>
      </c>
      <c r="BK46" s="97">
        <v>71</v>
      </c>
      <c r="BL46" s="97">
        <v>10</v>
      </c>
      <c r="BM46" s="97">
        <v>19</v>
      </c>
      <c r="BN46" s="97">
        <v>52</v>
      </c>
      <c r="BO46" s="97">
        <v>19</v>
      </c>
      <c r="BP46" s="97">
        <v>43</v>
      </c>
      <c r="BQ46" s="97">
        <v>517</v>
      </c>
      <c r="BR46" s="97">
        <v>38</v>
      </c>
      <c r="BS46" s="97">
        <v>43</v>
      </c>
    </row>
    <row r="47" spans="1:71" ht="15" customHeight="1">
      <c r="A47" s="97" t="s">
        <v>3265</v>
      </c>
      <c r="B47" s="97" t="s">
        <v>3265</v>
      </c>
      <c r="C47" s="97" t="s">
        <v>3264</v>
      </c>
      <c r="D47" s="97" t="s">
        <v>3198</v>
      </c>
      <c r="E47" s="97" t="s">
        <v>10</v>
      </c>
      <c r="F47" s="97">
        <v>108</v>
      </c>
      <c r="G47" s="97">
        <v>27</v>
      </c>
      <c r="H47" s="97">
        <v>212</v>
      </c>
      <c r="I47" s="97">
        <v>96</v>
      </c>
      <c r="J47" s="97">
        <v>34</v>
      </c>
      <c r="K47" s="97">
        <v>122</v>
      </c>
      <c r="L47" s="97">
        <v>107.5</v>
      </c>
      <c r="M47" s="97">
        <v>35</v>
      </c>
      <c r="N47" s="97">
        <v>141</v>
      </c>
      <c r="O47" s="97">
        <v>103</v>
      </c>
      <c r="P47" s="97">
        <v>7</v>
      </c>
      <c r="Q47" s="97">
        <v>9</v>
      </c>
      <c r="R47" s="97">
        <v>71</v>
      </c>
      <c r="S47" s="97">
        <v>41</v>
      </c>
      <c r="T47" s="97">
        <v>123</v>
      </c>
      <c r="U47" s="97">
        <v>86</v>
      </c>
      <c r="V47" s="97">
        <v>34</v>
      </c>
      <c r="W47" s="97">
        <v>77</v>
      </c>
      <c r="X47" s="97">
        <v>89</v>
      </c>
      <c r="Y47" s="97">
        <v>3</v>
      </c>
      <c r="Z47" s="97">
        <v>8</v>
      </c>
      <c r="AA47" s="97">
        <v>64</v>
      </c>
      <c r="AB47" s="97">
        <v>30</v>
      </c>
      <c r="AC47" s="97">
        <v>103</v>
      </c>
      <c r="AD47" s="97">
        <v>76</v>
      </c>
      <c r="AE47" s="97">
        <v>28</v>
      </c>
      <c r="AF47" s="97">
        <v>125</v>
      </c>
      <c r="AG47" s="97">
        <v>571.5</v>
      </c>
      <c r="AH47" s="97">
        <v>32</v>
      </c>
      <c r="AI47" s="97">
        <v>44</v>
      </c>
      <c r="AK47" s="97" t="s">
        <v>3066</v>
      </c>
      <c r="AL47" s="97" t="s">
        <v>3066</v>
      </c>
      <c r="AM47" s="97" t="s">
        <v>96</v>
      </c>
      <c r="AN47" s="97" t="s">
        <v>3199</v>
      </c>
      <c r="AO47" s="97" t="s">
        <v>52</v>
      </c>
      <c r="AP47" s="97">
        <v>109</v>
      </c>
      <c r="AQ47" s="97">
        <v>13</v>
      </c>
      <c r="AR47" s="97">
        <v>46</v>
      </c>
      <c r="AS47" s="97">
        <v>109</v>
      </c>
      <c r="AT47" s="97">
        <v>5</v>
      </c>
      <c r="AU47" s="97">
        <v>31</v>
      </c>
      <c r="AV47" s="97">
        <v>71</v>
      </c>
      <c r="AW47" s="97">
        <v>9</v>
      </c>
      <c r="AX47" s="97">
        <v>46</v>
      </c>
      <c r="AY47" s="97">
        <v>68</v>
      </c>
      <c r="AZ47" s="97">
        <v>8</v>
      </c>
      <c r="BA47" s="97">
        <v>52</v>
      </c>
      <c r="BB47" s="97">
        <v>76</v>
      </c>
      <c r="BC47" s="97">
        <v>5</v>
      </c>
      <c r="BD47" s="97">
        <v>20</v>
      </c>
      <c r="BE47" s="97">
        <v>83</v>
      </c>
      <c r="BF47" s="97">
        <v>13</v>
      </c>
      <c r="BG47" s="97">
        <v>72</v>
      </c>
      <c r="BH47" s="97">
        <v>36</v>
      </c>
      <c r="BI47" s="97">
        <v>31</v>
      </c>
      <c r="BJ47" s="97">
        <v>105</v>
      </c>
      <c r="BK47" s="97">
        <v>55</v>
      </c>
      <c r="BL47" s="97">
        <v>37</v>
      </c>
      <c r="BM47" s="97">
        <v>110</v>
      </c>
      <c r="BN47" s="97">
        <v>49</v>
      </c>
      <c r="BO47" s="97">
        <v>22</v>
      </c>
      <c r="BP47" s="97">
        <v>70</v>
      </c>
      <c r="BQ47" s="97">
        <v>516</v>
      </c>
      <c r="BR47" s="97">
        <v>3</v>
      </c>
      <c r="BS47" s="97">
        <v>44</v>
      </c>
    </row>
    <row r="48" spans="1:71" ht="15" customHeight="1">
      <c r="A48" s="97" t="s">
        <v>1568</v>
      </c>
      <c r="B48" s="97" t="s">
        <v>1568</v>
      </c>
      <c r="C48" s="97" t="s">
        <v>85</v>
      </c>
      <c r="D48" s="97" t="s">
        <v>3198</v>
      </c>
      <c r="E48" s="97" t="s">
        <v>10</v>
      </c>
      <c r="F48" s="97">
        <v>99</v>
      </c>
      <c r="G48" s="97">
        <v>48</v>
      </c>
      <c r="H48" s="97">
        <v>571</v>
      </c>
      <c r="I48" s="97">
        <v>88</v>
      </c>
      <c r="J48" s="97">
        <v>42</v>
      </c>
      <c r="K48" s="97">
        <v>206</v>
      </c>
      <c r="L48" s="97">
        <v>104</v>
      </c>
      <c r="M48" s="97">
        <v>40</v>
      </c>
      <c r="N48" s="97">
        <v>188</v>
      </c>
      <c r="O48" s="97">
        <v>108</v>
      </c>
      <c r="P48" s="97">
        <v>4</v>
      </c>
      <c r="Q48" s="97">
        <v>4</v>
      </c>
      <c r="R48" s="97">
        <v>86</v>
      </c>
      <c r="S48" s="97">
        <v>10</v>
      </c>
      <c r="T48" s="97">
        <v>17</v>
      </c>
      <c r="U48" s="97">
        <v>86</v>
      </c>
      <c r="V48" s="97">
        <v>34</v>
      </c>
      <c r="W48" s="97">
        <v>77</v>
      </c>
      <c r="X48" s="97">
        <v>56</v>
      </c>
      <c r="Y48" s="97">
        <v>52</v>
      </c>
      <c r="Z48" s="97">
        <v>849</v>
      </c>
      <c r="AA48" s="97">
        <v>73</v>
      </c>
      <c r="AB48" s="97">
        <v>13</v>
      </c>
      <c r="AC48" s="97">
        <v>19</v>
      </c>
      <c r="AD48" s="97">
        <v>46</v>
      </c>
      <c r="AE48" s="97">
        <v>52</v>
      </c>
      <c r="AF48" s="97">
        <v>921</v>
      </c>
      <c r="AG48" s="97">
        <v>571</v>
      </c>
      <c r="AH48" s="97">
        <v>33</v>
      </c>
      <c r="AI48" s="97">
        <v>45</v>
      </c>
      <c r="AK48" s="97" t="s">
        <v>3060</v>
      </c>
      <c r="AL48" s="97" t="s">
        <v>3060</v>
      </c>
      <c r="AM48" s="97" t="s">
        <v>71</v>
      </c>
      <c r="AN48" s="97" t="s">
        <v>3199</v>
      </c>
      <c r="AO48" s="97" t="s">
        <v>52</v>
      </c>
      <c r="AP48" s="97">
        <v>111</v>
      </c>
      <c r="AQ48" s="97">
        <v>9</v>
      </c>
      <c r="AR48" s="97">
        <v>35</v>
      </c>
      <c r="AS48" s="97">
        <v>89</v>
      </c>
      <c r="AT48" s="97">
        <v>27</v>
      </c>
      <c r="AU48" s="97">
        <v>86</v>
      </c>
      <c r="AV48" s="97">
        <v>82</v>
      </c>
      <c r="AW48" s="97">
        <v>1</v>
      </c>
      <c r="AX48" s="97">
        <v>2</v>
      </c>
      <c r="AY48" s="97">
        <v>73</v>
      </c>
      <c r="AZ48" s="97">
        <v>3</v>
      </c>
      <c r="BA48" s="97">
        <v>30</v>
      </c>
      <c r="BB48" s="97">
        <v>73</v>
      </c>
      <c r="BC48" s="97">
        <v>10</v>
      </c>
      <c r="BD48" s="97">
        <v>39</v>
      </c>
      <c r="BE48" s="97">
        <v>88</v>
      </c>
      <c r="BF48" s="97">
        <v>9</v>
      </c>
      <c r="BG48" s="97">
        <v>64</v>
      </c>
      <c r="BH48" s="97">
        <v>34</v>
      </c>
      <c r="BI48" s="97">
        <v>34</v>
      </c>
      <c r="BJ48" s="97">
        <v>112</v>
      </c>
      <c r="BK48" s="97">
        <v>53</v>
      </c>
      <c r="BL48" s="97">
        <v>40</v>
      </c>
      <c r="BM48" s="97">
        <v>117</v>
      </c>
      <c r="BN48" s="97">
        <v>55</v>
      </c>
      <c r="BO48" s="97">
        <v>5</v>
      </c>
      <c r="BP48" s="97">
        <v>22</v>
      </c>
      <c r="BQ48" s="97">
        <v>516</v>
      </c>
      <c r="BR48" s="97">
        <v>3</v>
      </c>
      <c r="BS48" s="97">
        <v>44</v>
      </c>
    </row>
    <row r="49" spans="1:71" ht="15" customHeight="1">
      <c r="A49" s="97" t="s">
        <v>1522</v>
      </c>
      <c r="B49" s="97" t="s">
        <v>1522</v>
      </c>
      <c r="C49" s="97" t="s">
        <v>1940</v>
      </c>
      <c r="D49" s="97" t="s">
        <v>3198</v>
      </c>
      <c r="E49" s="97" t="s">
        <v>10</v>
      </c>
      <c r="F49" s="97">
        <v>111</v>
      </c>
      <c r="G49" s="97">
        <v>19</v>
      </c>
      <c r="H49" s="97">
        <v>136</v>
      </c>
      <c r="I49" s="97">
        <v>96</v>
      </c>
      <c r="J49" s="97">
        <v>34</v>
      </c>
      <c r="K49" s="97">
        <v>122</v>
      </c>
      <c r="L49" s="97">
        <v>92.5</v>
      </c>
      <c r="M49" s="97">
        <v>48</v>
      </c>
      <c r="N49" s="97">
        <v>414</v>
      </c>
      <c r="O49" s="97">
        <v>97</v>
      </c>
      <c r="P49" s="97">
        <v>18</v>
      </c>
      <c r="Q49" s="97">
        <v>37</v>
      </c>
      <c r="R49" s="97">
        <v>83</v>
      </c>
      <c r="S49" s="97">
        <v>16</v>
      </c>
      <c r="T49" s="97">
        <v>30</v>
      </c>
      <c r="U49" s="97">
        <v>89</v>
      </c>
      <c r="V49" s="97">
        <v>17</v>
      </c>
      <c r="W49" s="97">
        <v>34</v>
      </c>
      <c r="X49" s="97">
        <v>85</v>
      </c>
      <c r="Y49" s="97">
        <v>12</v>
      </c>
      <c r="Z49" s="97">
        <v>45</v>
      </c>
      <c r="AA49" s="97">
        <v>70</v>
      </c>
      <c r="AB49" s="97">
        <v>18</v>
      </c>
      <c r="AC49" s="97">
        <v>37</v>
      </c>
      <c r="AD49" s="97">
        <v>69</v>
      </c>
      <c r="AE49" s="97">
        <v>43</v>
      </c>
      <c r="AF49" s="97">
        <v>367</v>
      </c>
      <c r="AG49" s="97">
        <v>568.5</v>
      </c>
      <c r="AH49" s="97">
        <v>34</v>
      </c>
      <c r="AI49" s="97">
        <v>46</v>
      </c>
      <c r="AK49" s="97" t="s">
        <v>3282</v>
      </c>
      <c r="AL49" s="97" t="s">
        <v>3282</v>
      </c>
      <c r="AM49" s="97" t="s">
        <v>27</v>
      </c>
      <c r="AN49" s="97" t="s">
        <v>3199</v>
      </c>
      <c r="AO49" s="97" t="s">
        <v>52</v>
      </c>
      <c r="AP49" s="97">
        <v>113</v>
      </c>
      <c r="AQ49" s="97">
        <v>6</v>
      </c>
      <c r="AR49" s="97">
        <v>27</v>
      </c>
      <c r="AS49" s="97">
        <v>106.5</v>
      </c>
      <c r="AT49" s="97">
        <v>7</v>
      </c>
      <c r="AU49" s="97">
        <v>35</v>
      </c>
      <c r="AV49" s="97">
        <v>68</v>
      </c>
      <c r="AW49" s="97">
        <v>14</v>
      </c>
      <c r="AX49" s="97">
        <v>70</v>
      </c>
      <c r="AY49" s="97">
        <v>61</v>
      </c>
      <c r="AZ49" s="97">
        <v>21</v>
      </c>
      <c r="BA49" s="97">
        <v>89</v>
      </c>
      <c r="BB49" s="97">
        <v>71</v>
      </c>
      <c r="BC49" s="97">
        <v>11</v>
      </c>
      <c r="BD49" s="97">
        <v>43</v>
      </c>
      <c r="BE49" s="97">
        <v>95</v>
      </c>
      <c r="BF49" s="97">
        <v>5</v>
      </c>
      <c r="BG49" s="97">
        <v>56</v>
      </c>
      <c r="BH49" s="97">
        <v>43</v>
      </c>
      <c r="BI49" s="97">
        <v>14</v>
      </c>
      <c r="BJ49" s="97">
        <v>60</v>
      </c>
      <c r="BK49" s="97">
        <v>61</v>
      </c>
      <c r="BL49" s="97">
        <v>20</v>
      </c>
      <c r="BM49" s="97">
        <v>73</v>
      </c>
      <c r="BN49" s="97">
        <v>53</v>
      </c>
      <c r="BO49" s="97">
        <v>8</v>
      </c>
      <c r="BP49" s="97">
        <v>35</v>
      </c>
      <c r="BQ49" s="97">
        <v>514.5</v>
      </c>
      <c r="BR49" s="97">
        <v>5</v>
      </c>
      <c r="BS49" s="97">
        <v>46</v>
      </c>
    </row>
    <row r="50" spans="1:71" ht="15" customHeight="1">
      <c r="A50" s="97" t="s">
        <v>1561</v>
      </c>
      <c r="B50" s="97" t="s">
        <v>1561</v>
      </c>
      <c r="C50" s="97" t="s">
        <v>165</v>
      </c>
      <c r="D50" s="97" t="s">
        <v>3198</v>
      </c>
      <c r="E50" s="97" t="s">
        <v>10</v>
      </c>
      <c r="F50" s="97">
        <v>114</v>
      </c>
      <c r="G50" s="97">
        <v>10</v>
      </c>
      <c r="H50" s="97">
        <v>80</v>
      </c>
      <c r="I50" s="97">
        <v>91</v>
      </c>
      <c r="J50" s="97">
        <v>39</v>
      </c>
      <c r="K50" s="97">
        <v>176</v>
      </c>
      <c r="L50" s="97">
        <v>123</v>
      </c>
      <c r="M50" s="97">
        <v>8</v>
      </c>
      <c r="N50" s="97">
        <v>17</v>
      </c>
      <c r="O50" s="97">
        <v>92</v>
      </c>
      <c r="P50" s="97">
        <v>35</v>
      </c>
      <c r="Q50" s="97">
        <v>74</v>
      </c>
      <c r="R50" s="97">
        <v>62</v>
      </c>
      <c r="S50" s="97">
        <v>51</v>
      </c>
      <c r="T50" s="97">
        <v>277</v>
      </c>
      <c r="U50" s="97">
        <v>85</v>
      </c>
      <c r="V50" s="97">
        <v>40</v>
      </c>
      <c r="W50" s="97">
        <v>96</v>
      </c>
      <c r="X50" s="97">
        <v>68</v>
      </c>
      <c r="Y50" s="97">
        <v>43</v>
      </c>
      <c r="Z50" s="97">
        <v>541</v>
      </c>
      <c r="AA50" s="97">
        <v>56</v>
      </c>
      <c r="AB50" s="97">
        <v>50</v>
      </c>
      <c r="AC50" s="97">
        <v>352</v>
      </c>
      <c r="AD50" s="97">
        <v>66</v>
      </c>
      <c r="AE50" s="97">
        <v>45</v>
      </c>
      <c r="AF50" s="97">
        <v>511</v>
      </c>
      <c r="AG50" s="97">
        <v>567</v>
      </c>
      <c r="AH50" s="97">
        <v>35</v>
      </c>
      <c r="AI50" s="97">
        <v>47</v>
      </c>
      <c r="AK50" s="97" t="s">
        <v>2919</v>
      </c>
      <c r="AL50" s="97" t="s">
        <v>2919</v>
      </c>
      <c r="AM50" s="97" t="s">
        <v>2922</v>
      </c>
      <c r="AN50" s="97" t="s">
        <v>3199</v>
      </c>
      <c r="AO50" s="97" t="s">
        <v>12</v>
      </c>
      <c r="AP50" s="97">
        <v>102</v>
      </c>
      <c r="AQ50" s="97">
        <v>37</v>
      </c>
      <c r="AR50" s="97">
        <v>86</v>
      </c>
      <c r="AS50" s="97">
        <v>105.5</v>
      </c>
      <c r="AT50" s="97">
        <v>27</v>
      </c>
      <c r="AU50" s="97">
        <v>38</v>
      </c>
      <c r="AV50" s="97">
        <v>74</v>
      </c>
      <c r="AW50" s="97">
        <v>23</v>
      </c>
      <c r="AX50" s="97">
        <v>32</v>
      </c>
      <c r="AY50" s="97">
        <v>62</v>
      </c>
      <c r="AZ50" s="97">
        <v>43</v>
      </c>
      <c r="BA50" s="97">
        <v>85</v>
      </c>
      <c r="BB50" s="97">
        <v>69</v>
      </c>
      <c r="BC50" s="97">
        <v>30</v>
      </c>
      <c r="BD50" s="97">
        <v>54</v>
      </c>
      <c r="BE50" s="97">
        <v>101</v>
      </c>
      <c r="BF50" s="97">
        <v>32</v>
      </c>
      <c r="BG50" s="97">
        <v>38</v>
      </c>
      <c r="BH50" s="97">
        <v>35</v>
      </c>
      <c r="BI50" s="97">
        <v>42</v>
      </c>
      <c r="BJ50" s="97">
        <v>109</v>
      </c>
      <c r="BK50" s="97">
        <v>68</v>
      </c>
      <c r="BL50" s="97">
        <v>17</v>
      </c>
      <c r="BM50" s="97">
        <v>31</v>
      </c>
      <c r="BN50" s="97">
        <v>43</v>
      </c>
      <c r="BO50" s="97">
        <v>34</v>
      </c>
      <c r="BP50" s="97">
        <v>102</v>
      </c>
      <c r="BQ50" s="97">
        <v>513.5</v>
      </c>
      <c r="BR50" s="97">
        <v>39</v>
      </c>
      <c r="BS50" s="97">
        <v>47</v>
      </c>
    </row>
    <row r="51" spans="1:71" ht="15" customHeight="1">
      <c r="A51" s="97" t="s">
        <v>1747</v>
      </c>
      <c r="B51" s="97" t="s">
        <v>1747</v>
      </c>
      <c r="C51" s="97" t="s">
        <v>1611</v>
      </c>
      <c r="D51" s="97" t="s">
        <v>3198</v>
      </c>
      <c r="E51" s="97" t="s">
        <v>9</v>
      </c>
      <c r="F51" s="97">
        <v>111</v>
      </c>
      <c r="G51" s="97">
        <v>12</v>
      </c>
      <c r="H51" s="97">
        <v>136</v>
      </c>
      <c r="I51" s="97">
        <v>77</v>
      </c>
      <c r="J51" s="97">
        <v>43</v>
      </c>
      <c r="K51" s="97">
        <v>369</v>
      </c>
      <c r="L51" s="97">
        <v>123.5</v>
      </c>
      <c r="M51" s="97">
        <v>4</v>
      </c>
      <c r="N51" s="97">
        <v>15</v>
      </c>
      <c r="O51" s="97">
        <v>80</v>
      </c>
      <c r="P51" s="97">
        <v>29</v>
      </c>
      <c r="Q51" s="97">
        <v>207</v>
      </c>
      <c r="R51" s="97">
        <v>90</v>
      </c>
      <c r="S51" s="97">
        <v>1</v>
      </c>
      <c r="T51" s="97">
        <v>5</v>
      </c>
      <c r="U51" s="97">
        <v>85</v>
      </c>
      <c r="V51" s="97">
        <v>15</v>
      </c>
      <c r="W51" s="97">
        <v>96</v>
      </c>
      <c r="X51" s="97">
        <v>86</v>
      </c>
      <c r="Y51" s="97">
        <v>5</v>
      </c>
      <c r="Z51" s="97">
        <v>34</v>
      </c>
      <c r="AA51" s="97">
        <v>76</v>
      </c>
      <c r="AB51" s="97">
        <v>1</v>
      </c>
      <c r="AC51" s="97">
        <v>6</v>
      </c>
      <c r="AD51" s="97">
        <v>80</v>
      </c>
      <c r="AE51" s="97">
        <v>8</v>
      </c>
      <c r="AF51" s="97">
        <v>54</v>
      </c>
      <c r="AG51" s="97">
        <v>566.5</v>
      </c>
      <c r="AH51" s="97">
        <v>9</v>
      </c>
      <c r="AI51" s="97">
        <v>48</v>
      </c>
      <c r="AK51" s="97" t="s">
        <v>2924</v>
      </c>
      <c r="AL51" s="97" t="s">
        <v>2924</v>
      </c>
      <c r="AM51" s="97" t="s">
        <v>81</v>
      </c>
      <c r="AN51" s="97" t="s">
        <v>3199</v>
      </c>
      <c r="AO51" s="97" t="s">
        <v>12</v>
      </c>
      <c r="AP51" s="97">
        <v>112</v>
      </c>
      <c r="AQ51" s="97">
        <v>18</v>
      </c>
      <c r="AR51" s="97">
        <v>31</v>
      </c>
      <c r="AS51" s="97">
        <v>101</v>
      </c>
      <c r="AT51" s="97">
        <v>30</v>
      </c>
      <c r="AU51" s="97">
        <v>48</v>
      </c>
      <c r="AV51" s="97">
        <v>69</v>
      </c>
      <c r="AW51" s="97">
        <v>35</v>
      </c>
      <c r="AX51" s="97">
        <v>64</v>
      </c>
      <c r="AY51" s="97">
        <v>62</v>
      </c>
      <c r="AZ51" s="97">
        <v>43</v>
      </c>
      <c r="BA51" s="97">
        <v>85</v>
      </c>
      <c r="BB51" s="97">
        <v>61</v>
      </c>
      <c r="BC51" s="97">
        <v>45</v>
      </c>
      <c r="BD51" s="97">
        <v>94</v>
      </c>
      <c r="BE51" s="97">
        <v>105</v>
      </c>
      <c r="BF51" s="97">
        <v>27</v>
      </c>
      <c r="BG51" s="97">
        <v>30</v>
      </c>
      <c r="BH51" s="97">
        <v>46</v>
      </c>
      <c r="BI51" s="97">
        <v>20</v>
      </c>
      <c r="BJ51" s="97">
        <v>40</v>
      </c>
      <c r="BK51" s="97">
        <v>60</v>
      </c>
      <c r="BL51" s="97">
        <v>32</v>
      </c>
      <c r="BM51" s="97">
        <v>76</v>
      </c>
      <c r="BN51" s="97">
        <v>51</v>
      </c>
      <c r="BO51" s="97">
        <v>22</v>
      </c>
      <c r="BP51" s="97">
        <v>52</v>
      </c>
      <c r="BQ51" s="97">
        <v>510</v>
      </c>
      <c r="BR51" s="97">
        <v>40</v>
      </c>
      <c r="BS51" s="97">
        <v>48</v>
      </c>
    </row>
    <row r="52" spans="1:71" ht="15" customHeight="1">
      <c r="A52" s="97" t="s">
        <v>993</v>
      </c>
      <c r="B52" s="97" t="s">
        <v>993</v>
      </c>
      <c r="C52" s="97" t="s">
        <v>994</v>
      </c>
      <c r="D52" s="97" t="s">
        <v>3198</v>
      </c>
      <c r="E52" s="97" t="s">
        <v>60</v>
      </c>
      <c r="F52" s="97">
        <v>110</v>
      </c>
      <c r="G52" s="97">
        <v>8</v>
      </c>
      <c r="H52" s="97">
        <v>159</v>
      </c>
      <c r="I52" s="97">
        <v>99</v>
      </c>
      <c r="J52" s="97">
        <v>5</v>
      </c>
      <c r="K52" s="97">
        <v>93</v>
      </c>
      <c r="L52" s="97">
        <v>105.5</v>
      </c>
      <c r="M52" s="97">
        <v>8</v>
      </c>
      <c r="N52" s="97">
        <v>168</v>
      </c>
      <c r="O52" s="97">
        <v>96</v>
      </c>
      <c r="P52" s="97">
        <v>2</v>
      </c>
      <c r="Q52" s="97">
        <v>43</v>
      </c>
      <c r="R52" s="97">
        <v>69</v>
      </c>
      <c r="S52" s="97">
        <v>5</v>
      </c>
      <c r="T52" s="97">
        <v>152</v>
      </c>
      <c r="U52" s="97">
        <v>87</v>
      </c>
      <c r="V52" s="97">
        <v>1</v>
      </c>
      <c r="W52" s="97">
        <v>57</v>
      </c>
      <c r="X52" s="97">
        <v>62</v>
      </c>
      <c r="Y52" s="97">
        <v>43</v>
      </c>
      <c r="Z52" s="97">
        <v>729</v>
      </c>
      <c r="AA52" s="97">
        <v>67</v>
      </c>
      <c r="AB52" s="97">
        <v>2</v>
      </c>
      <c r="AC52" s="97">
        <v>66</v>
      </c>
      <c r="AD52" s="97">
        <v>71</v>
      </c>
      <c r="AE52" s="97">
        <v>14</v>
      </c>
      <c r="AF52" s="97">
        <v>290</v>
      </c>
      <c r="AG52" s="97">
        <v>566.5</v>
      </c>
      <c r="AH52" s="97">
        <v>1</v>
      </c>
      <c r="AI52" s="97">
        <v>48</v>
      </c>
      <c r="AK52" s="97" t="s">
        <v>2967</v>
      </c>
      <c r="AL52" s="97" t="s">
        <v>2967</v>
      </c>
      <c r="AM52" s="97" t="s">
        <v>2985</v>
      </c>
      <c r="AN52" s="97" t="s">
        <v>3199</v>
      </c>
      <c r="AO52" s="97" t="s">
        <v>12</v>
      </c>
      <c r="AP52" s="97">
        <v>101</v>
      </c>
      <c r="AQ52" s="97">
        <v>41</v>
      </c>
      <c r="AR52" s="97">
        <v>93</v>
      </c>
      <c r="AS52" s="97">
        <v>100.5</v>
      </c>
      <c r="AT52" s="97">
        <v>31</v>
      </c>
      <c r="AU52" s="97">
        <v>50</v>
      </c>
      <c r="AV52" s="97">
        <v>75</v>
      </c>
      <c r="AW52" s="97">
        <v>20</v>
      </c>
      <c r="AX52" s="97">
        <v>29</v>
      </c>
      <c r="AY52" s="97">
        <v>64</v>
      </c>
      <c r="AZ52" s="97">
        <v>40</v>
      </c>
      <c r="BA52" s="97">
        <v>77</v>
      </c>
      <c r="BB52" s="97">
        <v>65</v>
      </c>
      <c r="BC52" s="97">
        <v>40</v>
      </c>
      <c r="BD52" s="97">
        <v>77</v>
      </c>
      <c r="BE52" s="97">
        <v>101</v>
      </c>
      <c r="BF52" s="97">
        <v>32</v>
      </c>
      <c r="BG52" s="97">
        <v>38</v>
      </c>
      <c r="BH52" s="97">
        <v>46</v>
      </c>
      <c r="BI52" s="97">
        <v>20</v>
      </c>
      <c r="BJ52" s="97">
        <v>40</v>
      </c>
      <c r="BK52" s="97">
        <v>57</v>
      </c>
      <c r="BL52" s="97">
        <v>39</v>
      </c>
      <c r="BM52" s="97">
        <v>97</v>
      </c>
      <c r="BN52" s="97">
        <v>54</v>
      </c>
      <c r="BO52" s="97">
        <v>12</v>
      </c>
      <c r="BP52" s="97">
        <v>27</v>
      </c>
      <c r="BQ52" s="97">
        <v>506.5</v>
      </c>
      <c r="BR52" s="97">
        <v>41</v>
      </c>
      <c r="BS52" s="97">
        <v>49</v>
      </c>
    </row>
    <row r="53" spans="1:71" ht="15" customHeight="1">
      <c r="A53" s="97" t="s">
        <v>1035</v>
      </c>
      <c r="B53" s="97" t="s">
        <v>1035</v>
      </c>
      <c r="C53" s="97" t="s">
        <v>186</v>
      </c>
      <c r="D53" s="97" t="s">
        <v>3198</v>
      </c>
      <c r="E53" s="97" t="s">
        <v>68</v>
      </c>
      <c r="F53" s="97">
        <v>114</v>
      </c>
      <c r="G53" s="97">
        <v>5</v>
      </c>
      <c r="H53" s="97">
        <v>80</v>
      </c>
      <c r="I53" s="97">
        <v>99</v>
      </c>
      <c r="J53" s="97">
        <v>7</v>
      </c>
      <c r="K53" s="97">
        <v>93</v>
      </c>
      <c r="L53" s="97">
        <v>98</v>
      </c>
      <c r="M53" s="97">
        <v>13</v>
      </c>
      <c r="N53" s="97">
        <v>294</v>
      </c>
      <c r="O53" s="97">
        <v>82</v>
      </c>
      <c r="P53" s="97">
        <v>7</v>
      </c>
      <c r="Q53" s="97">
        <v>174</v>
      </c>
      <c r="R53" s="97">
        <v>86</v>
      </c>
      <c r="S53" s="97">
        <v>1</v>
      </c>
      <c r="T53" s="97">
        <v>17</v>
      </c>
      <c r="U53" s="97">
        <v>86</v>
      </c>
      <c r="V53" s="97">
        <v>3</v>
      </c>
      <c r="W53" s="97">
        <v>77</v>
      </c>
      <c r="X53" s="97">
        <v>72</v>
      </c>
      <c r="Y53" s="97">
        <v>21</v>
      </c>
      <c r="Z53" s="97">
        <v>396</v>
      </c>
      <c r="AA53" s="97">
        <v>48</v>
      </c>
      <c r="AB53" s="97">
        <v>36</v>
      </c>
      <c r="AC53" s="97">
        <v>671</v>
      </c>
      <c r="AD53" s="97">
        <v>74</v>
      </c>
      <c r="AE53" s="97">
        <v>9</v>
      </c>
      <c r="AF53" s="97">
        <v>174</v>
      </c>
      <c r="AG53" s="97">
        <v>565</v>
      </c>
      <c r="AH53" s="97">
        <v>1</v>
      </c>
      <c r="AI53" s="97">
        <v>50</v>
      </c>
      <c r="AK53" s="97" t="s">
        <v>2959</v>
      </c>
      <c r="AL53" s="97" t="s">
        <v>2959</v>
      </c>
      <c r="AM53" s="97" t="s">
        <v>88</v>
      </c>
      <c r="AN53" s="97" t="s">
        <v>3199</v>
      </c>
      <c r="AO53" s="97" t="s">
        <v>12</v>
      </c>
      <c r="AP53" s="97">
        <v>101</v>
      </c>
      <c r="AQ53" s="97">
        <v>41</v>
      </c>
      <c r="AR53" s="97">
        <v>93</v>
      </c>
      <c r="AS53" s="97">
        <v>81.5</v>
      </c>
      <c r="AT53" s="97">
        <v>45</v>
      </c>
      <c r="AU53" s="97">
        <v>111</v>
      </c>
      <c r="AV53" s="97">
        <v>69</v>
      </c>
      <c r="AW53" s="97">
        <v>35</v>
      </c>
      <c r="AX53" s="97">
        <v>64</v>
      </c>
      <c r="AY53" s="97">
        <v>66</v>
      </c>
      <c r="AZ53" s="97">
        <v>36</v>
      </c>
      <c r="BA53" s="97">
        <v>60</v>
      </c>
      <c r="BB53" s="97">
        <v>68</v>
      </c>
      <c r="BC53" s="97">
        <v>33</v>
      </c>
      <c r="BD53" s="97">
        <v>57</v>
      </c>
      <c r="BE53" s="97">
        <v>113</v>
      </c>
      <c r="BF53" s="97">
        <v>19</v>
      </c>
      <c r="BG53" s="97">
        <v>20</v>
      </c>
      <c r="BH53" s="97">
        <v>48</v>
      </c>
      <c r="BI53" s="97">
        <v>14</v>
      </c>
      <c r="BJ53" s="97">
        <v>26</v>
      </c>
      <c r="BK53" s="97">
        <v>66</v>
      </c>
      <c r="BL53" s="97">
        <v>21</v>
      </c>
      <c r="BM53" s="97">
        <v>44</v>
      </c>
      <c r="BN53" s="97">
        <v>58</v>
      </c>
      <c r="BO53" s="97">
        <v>7</v>
      </c>
      <c r="BP53" s="97">
        <v>11</v>
      </c>
      <c r="BQ53" s="97">
        <v>498.5</v>
      </c>
      <c r="BR53" s="97">
        <v>42</v>
      </c>
      <c r="BS53" s="97">
        <v>50</v>
      </c>
    </row>
    <row r="54" spans="1:71" ht="15" customHeight="1">
      <c r="A54" s="97" t="s">
        <v>1759</v>
      </c>
      <c r="B54" s="97" t="s">
        <v>1759</v>
      </c>
      <c r="C54" s="97" t="s">
        <v>1760</v>
      </c>
      <c r="D54" s="97" t="s">
        <v>3198</v>
      </c>
      <c r="E54" s="97" t="s">
        <v>9</v>
      </c>
      <c r="F54" s="97">
        <v>116</v>
      </c>
      <c r="G54" s="97">
        <v>6</v>
      </c>
      <c r="H54" s="97">
        <v>47</v>
      </c>
      <c r="I54" s="97">
        <v>105</v>
      </c>
      <c r="J54" s="97">
        <v>8</v>
      </c>
      <c r="K54" s="97">
        <v>57</v>
      </c>
      <c r="L54" s="97">
        <v>83.5</v>
      </c>
      <c r="M54" s="97">
        <v>50</v>
      </c>
      <c r="N54" s="97">
        <v>632</v>
      </c>
      <c r="O54" s="97">
        <v>100</v>
      </c>
      <c r="P54" s="97">
        <v>1</v>
      </c>
      <c r="Q54" s="97">
        <v>19</v>
      </c>
      <c r="R54" s="97">
        <v>79</v>
      </c>
      <c r="S54" s="97">
        <v>13</v>
      </c>
      <c r="T54" s="97">
        <v>49</v>
      </c>
      <c r="U54" s="97">
        <v>81</v>
      </c>
      <c r="V54" s="97">
        <v>29</v>
      </c>
      <c r="W54" s="97">
        <v>183</v>
      </c>
      <c r="X54" s="97">
        <v>73</v>
      </c>
      <c r="Y54" s="97">
        <v>36</v>
      </c>
      <c r="Z54" s="97">
        <v>359</v>
      </c>
      <c r="AA54" s="97">
        <v>38</v>
      </c>
      <c r="AB54" s="97">
        <v>50</v>
      </c>
      <c r="AC54" s="97">
        <v>905</v>
      </c>
      <c r="AD54" s="97">
        <v>74</v>
      </c>
      <c r="AE54" s="97">
        <v>21</v>
      </c>
      <c r="AF54" s="97">
        <v>174</v>
      </c>
      <c r="AG54" s="97">
        <v>564.5</v>
      </c>
      <c r="AH54" s="97">
        <v>10</v>
      </c>
      <c r="AI54" s="97">
        <v>51</v>
      </c>
      <c r="AK54" s="97" t="s">
        <v>3234</v>
      </c>
      <c r="AL54" s="97" t="s">
        <v>3234</v>
      </c>
      <c r="AM54" s="97" t="s">
        <v>3235</v>
      </c>
      <c r="AN54" s="97" t="s">
        <v>3199</v>
      </c>
      <c r="AO54" s="97" t="s">
        <v>25</v>
      </c>
      <c r="AP54" s="97">
        <v>105</v>
      </c>
      <c r="AQ54" s="97">
        <v>21</v>
      </c>
      <c r="AR54" s="97">
        <v>75</v>
      </c>
      <c r="AS54" s="97">
        <v>92.5</v>
      </c>
      <c r="AT54" s="97">
        <v>16</v>
      </c>
      <c r="AU54" s="97">
        <v>75</v>
      </c>
      <c r="AV54" s="97">
        <v>69</v>
      </c>
      <c r="AW54" s="97">
        <v>18</v>
      </c>
      <c r="AX54" s="97">
        <v>64</v>
      </c>
      <c r="AY54" s="97">
        <v>63</v>
      </c>
      <c r="AZ54" s="97">
        <v>24</v>
      </c>
      <c r="BA54" s="97">
        <v>81</v>
      </c>
      <c r="BB54" s="97">
        <v>64</v>
      </c>
      <c r="BC54" s="97">
        <v>15</v>
      </c>
      <c r="BD54" s="97">
        <v>82</v>
      </c>
      <c r="BE54" s="97">
        <v>103</v>
      </c>
      <c r="BF54" s="97">
        <v>4</v>
      </c>
      <c r="BG54" s="97">
        <v>35</v>
      </c>
      <c r="BH54" s="97">
        <v>44</v>
      </c>
      <c r="BI54" s="97">
        <v>15</v>
      </c>
      <c r="BJ54" s="97">
        <v>55</v>
      </c>
      <c r="BK54" s="97">
        <v>56</v>
      </c>
      <c r="BL54" s="97">
        <v>32</v>
      </c>
      <c r="BM54" s="97">
        <v>106</v>
      </c>
      <c r="BN54" s="97">
        <v>46</v>
      </c>
      <c r="BO54" s="97">
        <v>32</v>
      </c>
      <c r="BP54" s="97">
        <v>89</v>
      </c>
      <c r="BQ54" s="97">
        <v>496.5</v>
      </c>
      <c r="BR54" s="97">
        <v>4</v>
      </c>
      <c r="BS54" s="97">
        <v>51</v>
      </c>
    </row>
    <row r="55" spans="1:71" ht="15" customHeight="1">
      <c r="A55" s="97" t="s">
        <v>1577</v>
      </c>
      <c r="B55" s="97" t="s">
        <v>1577</v>
      </c>
      <c r="C55" s="97" t="s">
        <v>80</v>
      </c>
      <c r="D55" s="97" t="s">
        <v>3198</v>
      </c>
      <c r="E55" s="97" t="s">
        <v>10</v>
      </c>
      <c r="F55" s="97">
        <v>127</v>
      </c>
      <c r="G55" s="97">
        <v>1</v>
      </c>
      <c r="H55" s="97">
        <v>2</v>
      </c>
      <c r="I55" s="97">
        <v>78</v>
      </c>
      <c r="J55" s="97">
        <v>51</v>
      </c>
      <c r="K55" s="97">
        <v>353</v>
      </c>
      <c r="L55" s="97">
        <v>112.5</v>
      </c>
      <c r="M55" s="97">
        <v>22</v>
      </c>
      <c r="N55" s="97">
        <v>77</v>
      </c>
      <c r="O55" s="97">
        <v>92</v>
      </c>
      <c r="P55" s="97">
        <v>35</v>
      </c>
      <c r="Q55" s="97">
        <v>74</v>
      </c>
      <c r="R55" s="97">
        <v>75</v>
      </c>
      <c r="S55" s="97">
        <v>34</v>
      </c>
      <c r="T55" s="97">
        <v>83</v>
      </c>
      <c r="U55" s="97">
        <v>80</v>
      </c>
      <c r="V55" s="97">
        <v>46</v>
      </c>
      <c r="W55" s="97">
        <v>205</v>
      </c>
      <c r="X55" s="97">
        <v>90</v>
      </c>
      <c r="Y55" s="97">
        <v>1</v>
      </c>
      <c r="Z55" s="97">
        <v>4</v>
      </c>
      <c r="AA55" s="97">
        <v>58</v>
      </c>
      <c r="AB55" s="97">
        <v>48</v>
      </c>
      <c r="AC55" s="97">
        <v>278</v>
      </c>
      <c r="AD55" s="97">
        <v>69</v>
      </c>
      <c r="AE55" s="97">
        <v>43</v>
      </c>
      <c r="AF55" s="97">
        <v>367</v>
      </c>
      <c r="AG55" s="97">
        <v>564.5</v>
      </c>
      <c r="AH55" s="97">
        <v>36</v>
      </c>
      <c r="AI55" s="97">
        <v>51</v>
      </c>
      <c r="AK55" s="97" t="s">
        <v>3098</v>
      </c>
      <c r="AL55" s="97" t="s">
        <v>3098</v>
      </c>
      <c r="AM55" s="97" t="s">
        <v>2994</v>
      </c>
      <c r="AN55" s="97" t="s">
        <v>3199</v>
      </c>
      <c r="AO55" s="97" t="s">
        <v>52</v>
      </c>
      <c r="AP55" s="97">
        <v>123</v>
      </c>
      <c r="AQ55" s="97">
        <v>1</v>
      </c>
      <c r="AR55" s="97">
        <v>1</v>
      </c>
      <c r="AS55" s="97">
        <v>90.5</v>
      </c>
      <c r="AT55" s="97">
        <v>23</v>
      </c>
      <c r="AU55" s="97">
        <v>80</v>
      </c>
      <c r="AV55" s="97">
        <v>63</v>
      </c>
      <c r="AW55" s="97">
        <v>21</v>
      </c>
      <c r="AX55" s="97">
        <v>93</v>
      </c>
      <c r="AY55" s="97">
        <v>74</v>
      </c>
      <c r="AZ55" s="97">
        <v>2</v>
      </c>
      <c r="BA55" s="97">
        <v>27</v>
      </c>
      <c r="BB55" s="97">
        <v>76</v>
      </c>
      <c r="BC55" s="97">
        <v>5</v>
      </c>
      <c r="BD55" s="97">
        <v>20</v>
      </c>
      <c r="BE55" s="97">
        <v>70</v>
      </c>
      <c r="BF55" s="97">
        <v>28</v>
      </c>
      <c r="BG55" s="97">
        <v>98</v>
      </c>
      <c r="BH55" s="97">
        <v>33</v>
      </c>
      <c r="BI55" s="97">
        <v>36</v>
      </c>
      <c r="BJ55" s="97">
        <v>115</v>
      </c>
      <c r="BK55" s="97">
        <v>60</v>
      </c>
      <c r="BL55" s="97">
        <v>22</v>
      </c>
      <c r="BM55" s="97">
        <v>76</v>
      </c>
      <c r="BN55" s="97">
        <v>44</v>
      </c>
      <c r="BO55" s="97">
        <v>30</v>
      </c>
      <c r="BP55" s="97">
        <v>98</v>
      </c>
      <c r="BQ55" s="97">
        <v>496.5</v>
      </c>
      <c r="BR55" s="97">
        <v>6</v>
      </c>
      <c r="BS55" s="97">
        <v>51</v>
      </c>
    </row>
    <row r="56" spans="1:71" ht="15" customHeight="1">
      <c r="A56" s="97" t="s">
        <v>1594</v>
      </c>
      <c r="B56" s="97" t="s">
        <v>1594</v>
      </c>
      <c r="C56" s="97" t="s">
        <v>78</v>
      </c>
      <c r="D56" s="97" t="s">
        <v>3198</v>
      </c>
      <c r="E56" s="97" t="s">
        <v>10</v>
      </c>
      <c r="F56" s="97">
        <v>106</v>
      </c>
      <c r="G56" s="97">
        <v>36</v>
      </c>
      <c r="H56" s="97">
        <v>287</v>
      </c>
      <c r="I56" s="97">
        <v>131</v>
      </c>
      <c r="J56" s="97">
        <v>6</v>
      </c>
      <c r="K56" s="97">
        <v>6</v>
      </c>
      <c r="L56" s="97">
        <v>90</v>
      </c>
      <c r="M56" s="97">
        <v>50</v>
      </c>
      <c r="N56" s="97">
        <v>481</v>
      </c>
      <c r="O56" s="97">
        <v>89</v>
      </c>
      <c r="P56" s="97">
        <v>40</v>
      </c>
      <c r="Q56" s="97">
        <v>97</v>
      </c>
      <c r="R56" s="97">
        <v>70</v>
      </c>
      <c r="S56" s="97">
        <v>42</v>
      </c>
      <c r="T56" s="97">
        <v>136</v>
      </c>
      <c r="U56" s="97">
        <v>78</v>
      </c>
      <c r="V56" s="97">
        <v>49</v>
      </c>
      <c r="W56" s="97">
        <v>250</v>
      </c>
      <c r="X56" s="97">
        <v>81</v>
      </c>
      <c r="Y56" s="97">
        <v>20</v>
      </c>
      <c r="Z56" s="97">
        <v>124</v>
      </c>
      <c r="AA56" s="97">
        <v>60</v>
      </c>
      <c r="AB56" s="97">
        <v>38</v>
      </c>
      <c r="AC56" s="97">
        <v>203</v>
      </c>
      <c r="AD56" s="97">
        <v>74</v>
      </c>
      <c r="AE56" s="97">
        <v>33</v>
      </c>
      <c r="AF56" s="97">
        <v>174</v>
      </c>
      <c r="AG56" s="97">
        <v>564</v>
      </c>
      <c r="AH56" s="97">
        <v>37</v>
      </c>
      <c r="AI56" s="97">
        <v>53</v>
      </c>
      <c r="AK56" s="97" t="s">
        <v>3168</v>
      </c>
      <c r="AL56" s="97" t="s">
        <v>3168</v>
      </c>
      <c r="AM56" s="97" t="s">
        <v>163</v>
      </c>
      <c r="AN56" s="97" t="s">
        <v>3199</v>
      </c>
      <c r="AO56" s="97" t="s">
        <v>25</v>
      </c>
      <c r="AP56" s="97">
        <v>94</v>
      </c>
      <c r="AQ56" s="97">
        <v>38</v>
      </c>
      <c r="AR56" s="97">
        <v>123</v>
      </c>
      <c r="AS56" s="97">
        <v>106.5</v>
      </c>
      <c r="AT56" s="97">
        <v>4</v>
      </c>
      <c r="AU56" s="97">
        <v>35</v>
      </c>
      <c r="AV56" s="97">
        <v>66</v>
      </c>
      <c r="AW56" s="97">
        <v>24</v>
      </c>
      <c r="AX56" s="97">
        <v>79</v>
      </c>
      <c r="AY56" s="97">
        <v>73</v>
      </c>
      <c r="AZ56" s="97">
        <v>2</v>
      </c>
      <c r="BA56" s="97">
        <v>30</v>
      </c>
      <c r="BB56" s="97">
        <v>48</v>
      </c>
      <c r="BC56" s="97">
        <v>37</v>
      </c>
      <c r="BD56" s="97">
        <v>127</v>
      </c>
      <c r="BE56" s="97">
        <v>108</v>
      </c>
      <c r="BF56" s="97">
        <v>2</v>
      </c>
      <c r="BG56" s="97">
        <v>27</v>
      </c>
      <c r="BH56" s="97">
        <v>42</v>
      </c>
      <c r="BI56" s="97">
        <v>20</v>
      </c>
      <c r="BJ56" s="97">
        <v>68</v>
      </c>
      <c r="BK56" s="97">
        <v>58</v>
      </c>
      <c r="BL56" s="97">
        <v>27</v>
      </c>
      <c r="BM56" s="97">
        <v>90</v>
      </c>
      <c r="BN56" s="97">
        <v>44</v>
      </c>
      <c r="BO56" s="97">
        <v>36</v>
      </c>
      <c r="BP56" s="97">
        <v>98</v>
      </c>
      <c r="BQ56" s="97">
        <v>495.5</v>
      </c>
      <c r="BR56" s="97">
        <v>5</v>
      </c>
      <c r="BS56" s="97">
        <v>53</v>
      </c>
    </row>
    <row r="57" spans="1:71" ht="15" customHeight="1">
      <c r="A57" s="97" t="s">
        <v>1622</v>
      </c>
      <c r="B57" s="97" t="s">
        <v>1622</v>
      </c>
      <c r="C57" s="97" t="s">
        <v>30</v>
      </c>
      <c r="D57" s="97" t="s">
        <v>3198</v>
      </c>
      <c r="E57" s="97" t="s">
        <v>10</v>
      </c>
      <c r="F57" s="97">
        <v>113</v>
      </c>
      <c r="G57" s="97">
        <v>15</v>
      </c>
      <c r="H57" s="97">
        <v>95</v>
      </c>
      <c r="I57" s="97">
        <v>88</v>
      </c>
      <c r="J57" s="97">
        <v>42</v>
      </c>
      <c r="K57" s="97">
        <v>206</v>
      </c>
      <c r="L57" s="97">
        <v>109</v>
      </c>
      <c r="M57" s="97">
        <v>29</v>
      </c>
      <c r="N57" s="97">
        <v>114</v>
      </c>
      <c r="O57" s="97">
        <v>95</v>
      </c>
      <c r="P57" s="97">
        <v>24</v>
      </c>
      <c r="Q57" s="97">
        <v>50</v>
      </c>
      <c r="R57" s="97">
        <v>74</v>
      </c>
      <c r="S57" s="97">
        <v>38</v>
      </c>
      <c r="T57" s="97">
        <v>94</v>
      </c>
      <c r="U57" s="97">
        <v>85</v>
      </c>
      <c r="V57" s="97">
        <v>40</v>
      </c>
      <c r="W57" s="97">
        <v>96</v>
      </c>
      <c r="X57" s="97">
        <v>87</v>
      </c>
      <c r="Y57" s="97">
        <v>8</v>
      </c>
      <c r="Z57" s="97">
        <v>25</v>
      </c>
      <c r="AA57" s="97">
        <v>74</v>
      </c>
      <c r="AB57" s="97">
        <v>9</v>
      </c>
      <c r="AC57" s="97">
        <v>14</v>
      </c>
      <c r="AD57" s="97">
        <v>85</v>
      </c>
      <c r="AE57" s="97">
        <v>3</v>
      </c>
      <c r="AF57" s="97">
        <v>11</v>
      </c>
      <c r="AG57" s="97">
        <v>564</v>
      </c>
      <c r="AH57" s="97">
        <v>37</v>
      </c>
      <c r="AI57" s="97">
        <v>53</v>
      </c>
      <c r="AK57" s="97" t="s">
        <v>3152</v>
      </c>
      <c r="AL57" s="97" t="s">
        <v>3152</v>
      </c>
      <c r="AM57" s="97" t="s">
        <v>26</v>
      </c>
      <c r="AN57" s="97" t="s">
        <v>3199</v>
      </c>
      <c r="AO57" s="97" t="s">
        <v>25</v>
      </c>
      <c r="AP57" s="97">
        <v>108</v>
      </c>
      <c r="AQ57" s="97">
        <v>13</v>
      </c>
      <c r="AR57" s="97">
        <v>54</v>
      </c>
      <c r="AS57" s="97">
        <v>84.5</v>
      </c>
      <c r="AT57" s="97">
        <v>25</v>
      </c>
      <c r="AU57" s="97">
        <v>101</v>
      </c>
      <c r="AV57" s="97">
        <v>71</v>
      </c>
      <c r="AW57" s="97">
        <v>10</v>
      </c>
      <c r="AX57" s="97">
        <v>46</v>
      </c>
      <c r="AY57" s="97">
        <v>58</v>
      </c>
      <c r="AZ57" s="97">
        <v>33</v>
      </c>
      <c r="BA57" s="97">
        <v>106</v>
      </c>
      <c r="BB57" s="97">
        <v>71</v>
      </c>
      <c r="BC57" s="97">
        <v>7</v>
      </c>
      <c r="BD57" s="97">
        <v>43</v>
      </c>
      <c r="BE57" s="97">
        <v>101</v>
      </c>
      <c r="BF57" s="97">
        <v>6</v>
      </c>
      <c r="BG57" s="97">
        <v>38</v>
      </c>
      <c r="BH57" s="97">
        <v>30</v>
      </c>
      <c r="BI57" s="97">
        <v>41</v>
      </c>
      <c r="BJ57" s="97">
        <v>125</v>
      </c>
      <c r="BK57" s="97">
        <v>50</v>
      </c>
      <c r="BL57" s="97">
        <v>39</v>
      </c>
      <c r="BM57" s="97">
        <v>121</v>
      </c>
      <c r="BN57" s="97">
        <v>43</v>
      </c>
      <c r="BO57" s="97">
        <v>37</v>
      </c>
      <c r="BP57" s="97">
        <v>102</v>
      </c>
      <c r="BQ57" s="97">
        <v>493.5</v>
      </c>
      <c r="BR57" s="97">
        <v>6</v>
      </c>
      <c r="BS57" s="97">
        <v>54</v>
      </c>
    </row>
    <row r="58" spans="1:71" ht="15" customHeight="1">
      <c r="A58" s="97" t="s">
        <v>1739</v>
      </c>
      <c r="B58" s="97" t="s">
        <v>1739</v>
      </c>
      <c r="C58" s="97" t="s">
        <v>192</v>
      </c>
      <c r="D58" s="97" t="s">
        <v>3198</v>
      </c>
      <c r="E58" s="97" t="s">
        <v>9</v>
      </c>
      <c r="F58" s="97">
        <v>94</v>
      </c>
      <c r="G58" s="97">
        <v>46</v>
      </c>
      <c r="H58" s="97">
        <v>733</v>
      </c>
      <c r="I58" s="97">
        <v>93</v>
      </c>
      <c r="J58" s="97">
        <v>24</v>
      </c>
      <c r="K58" s="97">
        <v>155</v>
      </c>
      <c r="L58" s="97">
        <v>121</v>
      </c>
      <c r="M58" s="97">
        <v>6</v>
      </c>
      <c r="N58" s="97">
        <v>23</v>
      </c>
      <c r="O58" s="97">
        <v>92</v>
      </c>
      <c r="P58" s="97">
        <v>8</v>
      </c>
      <c r="Q58" s="97">
        <v>74</v>
      </c>
      <c r="R58" s="97">
        <v>87</v>
      </c>
      <c r="S58" s="97">
        <v>5</v>
      </c>
      <c r="T58" s="97">
        <v>16</v>
      </c>
      <c r="U58" s="97">
        <v>77</v>
      </c>
      <c r="V58" s="97">
        <v>39</v>
      </c>
      <c r="W58" s="97">
        <v>275</v>
      </c>
      <c r="X58" s="97">
        <v>81</v>
      </c>
      <c r="Y58" s="97">
        <v>17</v>
      </c>
      <c r="Z58" s="97">
        <v>124</v>
      </c>
      <c r="AA58" s="97">
        <v>53</v>
      </c>
      <c r="AB58" s="97">
        <v>42</v>
      </c>
      <c r="AC58" s="97">
        <v>470</v>
      </c>
      <c r="AD58" s="97">
        <v>66</v>
      </c>
      <c r="AE58" s="97">
        <v>41</v>
      </c>
      <c r="AF58" s="97">
        <v>511</v>
      </c>
      <c r="AG58" s="97">
        <v>564</v>
      </c>
      <c r="AH58" s="97">
        <v>11</v>
      </c>
      <c r="AI58" s="97">
        <v>53</v>
      </c>
      <c r="AK58" s="97" t="s">
        <v>3175</v>
      </c>
      <c r="AL58" s="97" t="s">
        <v>3175</v>
      </c>
      <c r="AM58" s="97" t="s">
        <v>140</v>
      </c>
      <c r="AN58" s="97" t="s">
        <v>3199</v>
      </c>
      <c r="AO58" s="97" t="s">
        <v>25</v>
      </c>
      <c r="AP58" s="97">
        <v>111</v>
      </c>
      <c r="AQ58" s="97">
        <v>8</v>
      </c>
      <c r="AR58" s="97">
        <v>35</v>
      </c>
      <c r="AS58" s="97">
        <v>123</v>
      </c>
      <c r="AT58" s="97">
        <v>1</v>
      </c>
      <c r="AU58" s="97">
        <v>5</v>
      </c>
      <c r="AV58" s="97">
        <v>65</v>
      </c>
      <c r="AW58" s="97">
        <v>25</v>
      </c>
      <c r="AX58" s="97">
        <v>81</v>
      </c>
      <c r="AY58" s="97">
        <v>69</v>
      </c>
      <c r="AZ58" s="97">
        <v>10</v>
      </c>
      <c r="BA58" s="97">
        <v>47</v>
      </c>
      <c r="BB58" s="97">
        <v>64</v>
      </c>
      <c r="BC58" s="97">
        <v>15</v>
      </c>
      <c r="BD58" s="97">
        <v>82</v>
      </c>
      <c r="BE58" s="97">
        <v>61</v>
      </c>
      <c r="BF58" s="97">
        <v>32</v>
      </c>
      <c r="BG58" s="97">
        <v>115</v>
      </c>
      <c r="BH58" s="97">
        <v>38</v>
      </c>
      <c r="BI58" s="97">
        <v>28</v>
      </c>
      <c r="BJ58" s="97">
        <v>91</v>
      </c>
      <c r="BK58" s="97">
        <v>64</v>
      </c>
      <c r="BL58" s="97">
        <v>17</v>
      </c>
      <c r="BM58" s="97">
        <v>58</v>
      </c>
      <c r="BN58" s="97">
        <v>57</v>
      </c>
      <c r="BO58" s="97">
        <v>6</v>
      </c>
      <c r="BP58" s="97">
        <v>16</v>
      </c>
      <c r="BQ58" s="97">
        <v>493</v>
      </c>
      <c r="BR58" s="97">
        <v>7</v>
      </c>
      <c r="BS58" s="97">
        <v>55</v>
      </c>
    </row>
    <row r="59" spans="1:71" ht="15" customHeight="1">
      <c r="A59" s="97" t="s">
        <v>1524</v>
      </c>
      <c r="B59" s="97" t="s">
        <v>1524</v>
      </c>
      <c r="C59" s="97" t="s">
        <v>42</v>
      </c>
      <c r="D59" s="97" t="s">
        <v>3198</v>
      </c>
      <c r="E59" s="97" t="s">
        <v>10</v>
      </c>
      <c r="F59" s="97">
        <v>110</v>
      </c>
      <c r="G59" s="97">
        <v>22</v>
      </c>
      <c r="H59" s="97">
        <v>159</v>
      </c>
      <c r="I59" s="97">
        <v>82</v>
      </c>
      <c r="J59" s="97">
        <v>48</v>
      </c>
      <c r="K59" s="97">
        <v>290</v>
      </c>
      <c r="L59" s="97">
        <v>117.5</v>
      </c>
      <c r="M59" s="97">
        <v>16</v>
      </c>
      <c r="N59" s="97">
        <v>42</v>
      </c>
      <c r="O59" s="97">
        <v>99</v>
      </c>
      <c r="P59" s="97">
        <v>14</v>
      </c>
      <c r="Q59" s="97">
        <v>25</v>
      </c>
      <c r="R59" s="97">
        <v>68</v>
      </c>
      <c r="S59" s="97">
        <v>45</v>
      </c>
      <c r="T59" s="97">
        <v>165</v>
      </c>
      <c r="U59" s="97">
        <v>87</v>
      </c>
      <c r="V59" s="97">
        <v>30</v>
      </c>
      <c r="W59" s="97">
        <v>57</v>
      </c>
      <c r="X59" s="97">
        <v>75</v>
      </c>
      <c r="Y59" s="97">
        <v>31</v>
      </c>
      <c r="Z59" s="97">
        <v>289</v>
      </c>
      <c r="AA59" s="97">
        <v>66</v>
      </c>
      <c r="AB59" s="97">
        <v>26</v>
      </c>
      <c r="AC59" s="97">
        <v>80</v>
      </c>
      <c r="AD59" s="97">
        <v>83</v>
      </c>
      <c r="AE59" s="97">
        <v>8</v>
      </c>
      <c r="AF59" s="97">
        <v>22</v>
      </c>
      <c r="AG59" s="97">
        <v>563.5</v>
      </c>
      <c r="AH59" s="97">
        <v>39</v>
      </c>
      <c r="AI59" s="97">
        <v>56</v>
      </c>
      <c r="AK59" s="97" t="s">
        <v>3140</v>
      </c>
      <c r="AL59" s="97" t="s">
        <v>3140</v>
      </c>
      <c r="AM59" s="97" t="s">
        <v>3141</v>
      </c>
      <c r="AN59" s="97" t="s">
        <v>3199</v>
      </c>
      <c r="AO59" s="97" t="s">
        <v>25</v>
      </c>
      <c r="AP59" s="97">
        <v>111</v>
      </c>
      <c r="AQ59" s="97">
        <v>8</v>
      </c>
      <c r="AR59" s="97">
        <v>35</v>
      </c>
      <c r="AS59" s="97">
        <v>96</v>
      </c>
      <c r="AT59" s="97">
        <v>13</v>
      </c>
      <c r="AU59" s="97">
        <v>66</v>
      </c>
      <c r="AV59" s="97">
        <v>69</v>
      </c>
      <c r="AW59" s="97">
        <v>18</v>
      </c>
      <c r="AX59" s="97">
        <v>64</v>
      </c>
      <c r="AY59" s="97">
        <v>72</v>
      </c>
      <c r="AZ59" s="97">
        <v>3</v>
      </c>
      <c r="BA59" s="97">
        <v>33</v>
      </c>
      <c r="BB59" s="97">
        <v>62</v>
      </c>
      <c r="BC59" s="97">
        <v>18</v>
      </c>
      <c r="BD59" s="97">
        <v>90</v>
      </c>
      <c r="BE59" s="97">
        <v>83</v>
      </c>
      <c r="BF59" s="97">
        <v>16</v>
      </c>
      <c r="BG59" s="97">
        <v>72</v>
      </c>
      <c r="BH59" s="97">
        <v>43</v>
      </c>
      <c r="BI59" s="97">
        <v>17</v>
      </c>
      <c r="BJ59" s="97">
        <v>60</v>
      </c>
      <c r="BK59" s="97">
        <v>71</v>
      </c>
      <c r="BL59" s="97">
        <v>6</v>
      </c>
      <c r="BM59" s="97">
        <v>19</v>
      </c>
      <c r="BN59" s="97">
        <v>58</v>
      </c>
      <c r="BO59" s="97">
        <v>3</v>
      </c>
      <c r="BP59" s="97">
        <v>11</v>
      </c>
      <c r="BQ59" s="97">
        <v>493</v>
      </c>
      <c r="BR59" s="97">
        <v>7</v>
      </c>
      <c r="BS59" s="97">
        <v>55</v>
      </c>
    </row>
    <row r="60" spans="1:71" ht="15" customHeight="1">
      <c r="A60" s="97" t="s">
        <v>2719</v>
      </c>
      <c r="B60" s="97" t="s">
        <v>2719</v>
      </c>
      <c r="C60" s="97" t="s">
        <v>2717</v>
      </c>
      <c r="D60" s="97" t="s">
        <v>3198</v>
      </c>
      <c r="E60" s="97" t="s">
        <v>49</v>
      </c>
      <c r="F60" s="97">
        <v>98</v>
      </c>
      <c r="G60" s="97">
        <v>32</v>
      </c>
      <c r="H60" s="97">
        <v>611</v>
      </c>
      <c r="I60" s="97">
        <v>111</v>
      </c>
      <c r="J60" s="97">
        <v>1</v>
      </c>
      <c r="K60" s="97">
        <v>35</v>
      </c>
      <c r="L60" s="97">
        <v>92.5</v>
      </c>
      <c r="M60" s="97">
        <v>28</v>
      </c>
      <c r="N60" s="97">
        <v>414</v>
      </c>
      <c r="O60" s="97">
        <v>96</v>
      </c>
      <c r="P60" s="97">
        <v>2</v>
      </c>
      <c r="Q60" s="97">
        <v>43</v>
      </c>
      <c r="R60" s="97">
        <v>86</v>
      </c>
      <c r="S60" s="97">
        <v>1</v>
      </c>
      <c r="T60" s="97">
        <v>17</v>
      </c>
      <c r="U60" s="97">
        <v>80</v>
      </c>
      <c r="V60" s="97">
        <v>12</v>
      </c>
      <c r="W60" s="97">
        <v>205</v>
      </c>
      <c r="X60" s="97">
        <v>65</v>
      </c>
      <c r="Y60" s="97">
        <v>24</v>
      </c>
      <c r="Z60" s="97">
        <v>651</v>
      </c>
      <c r="AA60" s="97">
        <v>50</v>
      </c>
      <c r="AB60" s="97">
        <v>26</v>
      </c>
      <c r="AC60" s="97">
        <v>591</v>
      </c>
      <c r="AD60" s="97">
        <v>62</v>
      </c>
      <c r="AE60" s="97">
        <v>28</v>
      </c>
      <c r="AF60" s="97">
        <v>672</v>
      </c>
      <c r="AG60" s="97">
        <v>563.5</v>
      </c>
      <c r="AH60" s="97">
        <v>2</v>
      </c>
      <c r="AI60" s="97">
        <v>56</v>
      </c>
      <c r="AK60" s="97" t="s">
        <v>3049</v>
      </c>
      <c r="AL60" s="97" t="s">
        <v>3049</v>
      </c>
      <c r="AM60" s="97" t="s">
        <v>136</v>
      </c>
      <c r="AN60" s="97" t="s">
        <v>3199</v>
      </c>
      <c r="AO60" s="97" t="s">
        <v>52</v>
      </c>
      <c r="AP60" s="97">
        <v>110</v>
      </c>
      <c r="AQ60" s="97">
        <v>10</v>
      </c>
      <c r="AR60" s="97">
        <v>39</v>
      </c>
      <c r="AS60" s="97">
        <v>84.5</v>
      </c>
      <c r="AT60" s="97">
        <v>34</v>
      </c>
      <c r="AU60" s="97">
        <v>101</v>
      </c>
      <c r="AV60" s="97">
        <v>71</v>
      </c>
      <c r="AW60" s="97">
        <v>9</v>
      </c>
      <c r="AX60" s="97">
        <v>46</v>
      </c>
      <c r="AY60" s="97">
        <v>80</v>
      </c>
      <c r="AZ60" s="97">
        <v>1</v>
      </c>
      <c r="BA60" s="97">
        <v>11</v>
      </c>
      <c r="BB60" s="97">
        <v>68</v>
      </c>
      <c r="BC60" s="97">
        <v>16</v>
      </c>
      <c r="BD60" s="97">
        <v>57</v>
      </c>
      <c r="BE60" s="97">
        <v>77</v>
      </c>
      <c r="BF60" s="97">
        <v>22</v>
      </c>
      <c r="BG60" s="97">
        <v>90</v>
      </c>
      <c r="BH60" s="97">
        <v>43</v>
      </c>
      <c r="BI60" s="97">
        <v>14</v>
      </c>
      <c r="BJ60" s="97">
        <v>60</v>
      </c>
      <c r="BK60" s="97">
        <v>55</v>
      </c>
      <c r="BL60" s="97">
        <v>37</v>
      </c>
      <c r="BM60" s="97">
        <v>110</v>
      </c>
      <c r="BN60" s="97">
        <v>23</v>
      </c>
      <c r="BO60" s="97">
        <v>44</v>
      </c>
      <c r="BP60" s="97">
        <v>133</v>
      </c>
      <c r="BQ60" s="97">
        <v>490.5</v>
      </c>
      <c r="BR60" s="97">
        <v>7</v>
      </c>
      <c r="BS60" s="97">
        <v>57</v>
      </c>
    </row>
    <row r="61" spans="1:71" ht="15" customHeight="1">
      <c r="A61" s="97" t="s">
        <v>1713</v>
      </c>
      <c r="B61" s="97" t="s">
        <v>1713</v>
      </c>
      <c r="C61" s="97" t="s">
        <v>35</v>
      </c>
      <c r="D61" s="97" t="s">
        <v>3198</v>
      </c>
      <c r="E61" s="97" t="s">
        <v>9</v>
      </c>
      <c r="F61" s="97">
        <v>90</v>
      </c>
      <c r="G61" s="97">
        <v>49</v>
      </c>
      <c r="H61" s="97">
        <v>815</v>
      </c>
      <c r="I61" s="97">
        <v>99</v>
      </c>
      <c r="J61" s="97">
        <v>16</v>
      </c>
      <c r="K61" s="97">
        <v>93</v>
      </c>
      <c r="L61" s="97">
        <v>111</v>
      </c>
      <c r="M61" s="97">
        <v>16</v>
      </c>
      <c r="N61" s="97">
        <v>95</v>
      </c>
      <c r="O61" s="97">
        <v>90</v>
      </c>
      <c r="P61" s="97">
        <v>11</v>
      </c>
      <c r="Q61" s="97">
        <v>90</v>
      </c>
      <c r="R61" s="97">
        <v>86</v>
      </c>
      <c r="S61" s="97">
        <v>6</v>
      </c>
      <c r="T61" s="97">
        <v>17</v>
      </c>
      <c r="U61" s="97">
        <v>87</v>
      </c>
      <c r="V61" s="97">
        <v>10</v>
      </c>
      <c r="W61" s="97">
        <v>57</v>
      </c>
      <c r="X61" s="97">
        <v>47</v>
      </c>
      <c r="Y61" s="97">
        <v>50</v>
      </c>
      <c r="Z61" s="97">
        <v>925</v>
      </c>
      <c r="AA61" s="97">
        <v>63</v>
      </c>
      <c r="AB61" s="97">
        <v>21</v>
      </c>
      <c r="AC61" s="97">
        <v>123</v>
      </c>
      <c r="AD61" s="97">
        <v>74</v>
      </c>
      <c r="AE61" s="97">
        <v>21</v>
      </c>
      <c r="AF61" s="97">
        <v>174</v>
      </c>
      <c r="AG61" s="97">
        <v>563</v>
      </c>
      <c r="AH61" s="97">
        <v>12</v>
      </c>
      <c r="AI61" s="97">
        <v>58</v>
      </c>
      <c r="AK61" s="97" t="s">
        <v>2965</v>
      </c>
      <c r="AL61" s="97" t="s">
        <v>2965</v>
      </c>
      <c r="AM61" s="97" t="s">
        <v>3307</v>
      </c>
      <c r="AN61" s="97" t="s">
        <v>3199</v>
      </c>
      <c r="AO61" s="97" t="s">
        <v>12</v>
      </c>
      <c r="AP61" s="97">
        <v>97</v>
      </c>
      <c r="AQ61" s="97">
        <v>45</v>
      </c>
      <c r="AR61" s="97">
        <v>114</v>
      </c>
      <c r="AS61" s="97">
        <v>100</v>
      </c>
      <c r="AT61" s="97">
        <v>34</v>
      </c>
      <c r="AU61" s="97">
        <v>53</v>
      </c>
      <c r="AV61" s="97">
        <v>69</v>
      </c>
      <c r="AW61" s="97">
        <v>35</v>
      </c>
      <c r="AX61" s="97">
        <v>64</v>
      </c>
      <c r="AY61" s="97">
        <v>58</v>
      </c>
      <c r="AZ61" s="97">
        <v>45</v>
      </c>
      <c r="BA61" s="97">
        <v>106</v>
      </c>
      <c r="BB61" s="97">
        <v>69</v>
      </c>
      <c r="BC61" s="97">
        <v>30</v>
      </c>
      <c r="BD61" s="97">
        <v>54</v>
      </c>
      <c r="BE61" s="97">
        <v>96</v>
      </c>
      <c r="BF61" s="97">
        <v>41</v>
      </c>
      <c r="BG61" s="97">
        <v>54</v>
      </c>
      <c r="BH61" s="97">
        <v>40</v>
      </c>
      <c r="BI61" s="97">
        <v>36</v>
      </c>
      <c r="BJ61" s="97">
        <v>79</v>
      </c>
      <c r="BK61" s="97">
        <v>70</v>
      </c>
      <c r="BL61" s="97">
        <v>12</v>
      </c>
      <c r="BM61" s="97">
        <v>24</v>
      </c>
      <c r="BN61" s="97">
        <v>47</v>
      </c>
      <c r="BO61" s="97">
        <v>31</v>
      </c>
      <c r="BP61" s="97">
        <v>82</v>
      </c>
      <c r="BQ61" s="97">
        <v>489</v>
      </c>
      <c r="BR61" s="97">
        <v>43</v>
      </c>
      <c r="BS61" s="97">
        <v>58</v>
      </c>
    </row>
    <row r="62" spans="1:71" ht="15" customHeight="1">
      <c r="A62" s="97" t="s">
        <v>1696</v>
      </c>
      <c r="B62" s="97" t="s">
        <v>1696</v>
      </c>
      <c r="C62" s="97" t="s">
        <v>611</v>
      </c>
      <c r="D62" s="97" t="s">
        <v>3198</v>
      </c>
      <c r="E62" s="97" t="s">
        <v>9</v>
      </c>
      <c r="F62" s="97">
        <v>96</v>
      </c>
      <c r="G62" s="97">
        <v>44</v>
      </c>
      <c r="H62" s="97">
        <v>676</v>
      </c>
      <c r="I62" s="97">
        <v>102</v>
      </c>
      <c r="J62" s="97">
        <v>11</v>
      </c>
      <c r="K62" s="97">
        <v>72</v>
      </c>
      <c r="L62" s="97">
        <v>110</v>
      </c>
      <c r="M62" s="97">
        <v>18</v>
      </c>
      <c r="N62" s="97">
        <v>108</v>
      </c>
      <c r="O62" s="97">
        <v>93</v>
      </c>
      <c r="P62" s="97">
        <v>6</v>
      </c>
      <c r="Q62" s="97">
        <v>68</v>
      </c>
      <c r="R62" s="97">
        <v>77</v>
      </c>
      <c r="S62" s="97">
        <v>19</v>
      </c>
      <c r="T62" s="97">
        <v>68</v>
      </c>
      <c r="U62" s="97">
        <v>85</v>
      </c>
      <c r="V62" s="97">
        <v>15</v>
      </c>
      <c r="W62" s="97">
        <v>96</v>
      </c>
      <c r="X62" s="97">
        <v>66</v>
      </c>
      <c r="Y62" s="97">
        <v>45</v>
      </c>
      <c r="Z62" s="97">
        <v>604</v>
      </c>
      <c r="AA62" s="97">
        <v>55</v>
      </c>
      <c r="AB62" s="97">
        <v>35</v>
      </c>
      <c r="AC62" s="97">
        <v>392</v>
      </c>
      <c r="AD62" s="97">
        <v>75</v>
      </c>
      <c r="AE62" s="97">
        <v>15</v>
      </c>
      <c r="AF62" s="97">
        <v>146</v>
      </c>
      <c r="AG62" s="97">
        <v>563</v>
      </c>
      <c r="AH62" s="97">
        <v>12</v>
      </c>
      <c r="AI62" s="97">
        <v>58</v>
      </c>
      <c r="AK62" s="97" t="s">
        <v>3267</v>
      </c>
      <c r="AL62" s="97" t="s">
        <v>3267</v>
      </c>
      <c r="AM62" s="97" t="s">
        <v>2953</v>
      </c>
      <c r="AN62" s="97" t="s">
        <v>3199</v>
      </c>
      <c r="AO62" s="97" t="s">
        <v>25</v>
      </c>
      <c r="AP62" s="97">
        <v>108</v>
      </c>
      <c r="AQ62" s="97">
        <v>13</v>
      </c>
      <c r="AR62" s="97">
        <v>54</v>
      </c>
      <c r="AS62" s="97">
        <v>88.5</v>
      </c>
      <c r="AT62" s="97">
        <v>20</v>
      </c>
      <c r="AU62" s="97">
        <v>89</v>
      </c>
      <c r="AV62" s="97">
        <v>68</v>
      </c>
      <c r="AW62" s="97">
        <v>20</v>
      </c>
      <c r="AX62" s="97">
        <v>70</v>
      </c>
      <c r="AY62" s="97">
        <v>45</v>
      </c>
      <c r="AZ62" s="97">
        <v>41</v>
      </c>
      <c r="BA62" s="97">
        <v>129</v>
      </c>
      <c r="BB62" s="97">
        <v>74</v>
      </c>
      <c r="BC62" s="97">
        <v>5</v>
      </c>
      <c r="BD62" s="97">
        <v>32</v>
      </c>
      <c r="BE62" s="97">
        <v>104</v>
      </c>
      <c r="BF62" s="97">
        <v>3</v>
      </c>
      <c r="BG62" s="97">
        <v>32</v>
      </c>
      <c r="BH62" s="97">
        <v>41</v>
      </c>
      <c r="BI62" s="97">
        <v>24</v>
      </c>
      <c r="BJ62" s="97">
        <v>77</v>
      </c>
      <c r="BK62" s="97">
        <v>74</v>
      </c>
      <c r="BL62" s="97">
        <v>2</v>
      </c>
      <c r="BM62" s="97">
        <v>13</v>
      </c>
      <c r="BN62" s="97">
        <v>56</v>
      </c>
      <c r="BO62" s="97">
        <v>8</v>
      </c>
      <c r="BP62" s="97">
        <v>19</v>
      </c>
      <c r="BQ62" s="97">
        <v>487.5</v>
      </c>
      <c r="BR62" s="97">
        <v>9</v>
      </c>
      <c r="BS62" s="97">
        <v>59</v>
      </c>
    </row>
    <row r="63" spans="1:71" ht="15" customHeight="1">
      <c r="A63" s="97" t="s">
        <v>3255</v>
      </c>
      <c r="B63" s="97" t="s">
        <v>3255</v>
      </c>
      <c r="C63" s="97" t="s">
        <v>498</v>
      </c>
      <c r="D63" s="97" t="s">
        <v>3198</v>
      </c>
      <c r="E63" s="97" t="s">
        <v>19</v>
      </c>
      <c r="F63" s="97">
        <v>105</v>
      </c>
      <c r="G63" s="97">
        <v>19</v>
      </c>
      <c r="H63" s="97">
        <v>325</v>
      </c>
      <c r="I63" s="97">
        <v>72</v>
      </c>
      <c r="J63" s="97">
        <v>24</v>
      </c>
      <c r="K63" s="97">
        <v>458</v>
      </c>
      <c r="L63" s="97">
        <v>130.5</v>
      </c>
      <c r="M63" s="97">
        <v>1</v>
      </c>
      <c r="N63" s="97">
        <v>4</v>
      </c>
      <c r="O63" s="97">
        <v>96</v>
      </c>
      <c r="P63" s="97">
        <v>3</v>
      </c>
      <c r="Q63" s="97">
        <v>43</v>
      </c>
      <c r="R63" s="97">
        <v>79</v>
      </c>
      <c r="S63" s="97">
        <v>1</v>
      </c>
      <c r="T63" s="97">
        <v>49</v>
      </c>
      <c r="U63" s="97">
        <v>80</v>
      </c>
      <c r="V63" s="97">
        <v>7</v>
      </c>
      <c r="W63" s="97">
        <v>205</v>
      </c>
      <c r="X63" s="97">
        <v>78</v>
      </c>
      <c r="Y63" s="97">
        <v>10</v>
      </c>
      <c r="Z63" s="97">
        <v>209</v>
      </c>
      <c r="AA63" s="97">
        <v>73</v>
      </c>
      <c r="AB63" s="97">
        <v>1</v>
      </c>
      <c r="AC63" s="97">
        <v>19</v>
      </c>
      <c r="AD63" s="97">
        <v>81</v>
      </c>
      <c r="AE63" s="97">
        <v>3</v>
      </c>
      <c r="AF63" s="97">
        <v>42</v>
      </c>
      <c r="AG63" s="97">
        <v>562.5</v>
      </c>
      <c r="AH63" s="97">
        <v>1</v>
      </c>
      <c r="AI63" s="97">
        <v>60</v>
      </c>
      <c r="AK63" s="97" t="s">
        <v>3170</v>
      </c>
      <c r="AL63" s="97" t="s">
        <v>3170</v>
      </c>
      <c r="AM63" s="97" t="s">
        <v>3171</v>
      </c>
      <c r="AN63" s="97" t="s">
        <v>3199</v>
      </c>
      <c r="AO63" s="97" t="s">
        <v>25</v>
      </c>
      <c r="AP63" s="97">
        <v>108</v>
      </c>
      <c r="AQ63" s="97">
        <v>13</v>
      </c>
      <c r="AR63" s="97">
        <v>54</v>
      </c>
      <c r="AS63" s="97">
        <v>95.5</v>
      </c>
      <c r="AT63" s="97">
        <v>14</v>
      </c>
      <c r="AU63" s="97">
        <v>68</v>
      </c>
      <c r="AV63" s="97">
        <v>74</v>
      </c>
      <c r="AW63" s="97">
        <v>6</v>
      </c>
      <c r="AX63" s="97">
        <v>32</v>
      </c>
      <c r="AY63" s="97">
        <v>65</v>
      </c>
      <c r="AZ63" s="97">
        <v>20</v>
      </c>
      <c r="BA63" s="97">
        <v>69</v>
      </c>
      <c r="BB63" s="97">
        <v>58</v>
      </c>
      <c r="BC63" s="97">
        <v>26</v>
      </c>
      <c r="BD63" s="97">
        <v>107</v>
      </c>
      <c r="BE63" s="97">
        <v>86</v>
      </c>
      <c r="BF63" s="97">
        <v>13</v>
      </c>
      <c r="BG63" s="97">
        <v>68</v>
      </c>
      <c r="BH63" s="97">
        <v>42</v>
      </c>
      <c r="BI63" s="97">
        <v>20</v>
      </c>
      <c r="BJ63" s="97">
        <v>68</v>
      </c>
      <c r="BK63" s="97">
        <v>66</v>
      </c>
      <c r="BL63" s="97">
        <v>14</v>
      </c>
      <c r="BM63" s="97">
        <v>44</v>
      </c>
      <c r="BN63" s="97">
        <v>52</v>
      </c>
      <c r="BO63" s="97">
        <v>13</v>
      </c>
      <c r="BP63" s="97">
        <v>43</v>
      </c>
      <c r="BQ63" s="97">
        <v>486.5</v>
      </c>
      <c r="BR63" s="97">
        <v>10</v>
      </c>
      <c r="BS63" s="97">
        <v>60</v>
      </c>
    </row>
    <row r="64" spans="1:71" ht="15" customHeight="1">
      <c r="A64" s="97" t="s">
        <v>2659</v>
      </c>
      <c r="B64" s="97" t="s">
        <v>2659</v>
      </c>
      <c r="C64" s="97" t="s">
        <v>162</v>
      </c>
      <c r="D64" s="97" t="s">
        <v>3198</v>
      </c>
      <c r="E64" s="97" t="s">
        <v>49</v>
      </c>
      <c r="F64" s="97">
        <v>113</v>
      </c>
      <c r="G64" s="97">
        <v>6</v>
      </c>
      <c r="H64" s="97">
        <v>95</v>
      </c>
      <c r="I64" s="97">
        <v>96</v>
      </c>
      <c r="J64" s="97">
        <v>8</v>
      </c>
      <c r="K64" s="97">
        <v>122</v>
      </c>
      <c r="L64" s="97">
        <v>106.5</v>
      </c>
      <c r="M64" s="97">
        <v>9</v>
      </c>
      <c r="N64" s="97">
        <v>156</v>
      </c>
      <c r="O64" s="97">
        <v>87</v>
      </c>
      <c r="P64" s="97">
        <v>8</v>
      </c>
      <c r="Q64" s="97">
        <v>114</v>
      </c>
      <c r="R64" s="97">
        <v>75</v>
      </c>
      <c r="S64" s="97">
        <v>3</v>
      </c>
      <c r="T64" s="97">
        <v>83</v>
      </c>
      <c r="U64" s="97">
        <v>85</v>
      </c>
      <c r="V64" s="97">
        <v>4</v>
      </c>
      <c r="W64" s="97">
        <v>96</v>
      </c>
      <c r="X64" s="97">
        <v>77</v>
      </c>
      <c r="Y64" s="97">
        <v>5</v>
      </c>
      <c r="Z64" s="97">
        <v>240</v>
      </c>
      <c r="AA64" s="97">
        <v>59</v>
      </c>
      <c r="AB64" s="97">
        <v>11</v>
      </c>
      <c r="AC64" s="97">
        <v>233</v>
      </c>
      <c r="AD64" s="97">
        <v>80</v>
      </c>
      <c r="AE64" s="97">
        <v>3</v>
      </c>
      <c r="AF64" s="97">
        <v>54</v>
      </c>
      <c r="AG64" s="97">
        <v>562.5</v>
      </c>
      <c r="AH64" s="97">
        <v>3</v>
      </c>
      <c r="AI64" s="97">
        <v>60</v>
      </c>
      <c r="AK64" s="97" t="s">
        <v>3054</v>
      </c>
      <c r="AL64" s="97" t="s">
        <v>3054</v>
      </c>
      <c r="AM64" s="97" t="s">
        <v>129</v>
      </c>
      <c r="AN64" s="97" t="s">
        <v>3199</v>
      </c>
      <c r="AO64" s="97" t="s">
        <v>52</v>
      </c>
      <c r="AP64" s="97">
        <v>108</v>
      </c>
      <c r="AQ64" s="97">
        <v>15</v>
      </c>
      <c r="AR64" s="97">
        <v>54</v>
      </c>
      <c r="AS64" s="97">
        <v>86.5</v>
      </c>
      <c r="AT64" s="97">
        <v>32</v>
      </c>
      <c r="AU64" s="97">
        <v>96</v>
      </c>
      <c r="AV64" s="97">
        <v>66</v>
      </c>
      <c r="AW64" s="97">
        <v>15</v>
      </c>
      <c r="AX64" s="97">
        <v>79</v>
      </c>
      <c r="AY64" s="97">
        <v>72</v>
      </c>
      <c r="AZ64" s="97">
        <v>4</v>
      </c>
      <c r="BA64" s="97">
        <v>33</v>
      </c>
      <c r="BB64" s="97">
        <v>66</v>
      </c>
      <c r="BC64" s="97">
        <v>21</v>
      </c>
      <c r="BD64" s="97">
        <v>67</v>
      </c>
      <c r="BE64" s="97">
        <v>87</v>
      </c>
      <c r="BF64" s="97">
        <v>11</v>
      </c>
      <c r="BG64" s="97">
        <v>66</v>
      </c>
      <c r="BH64" s="97">
        <v>46</v>
      </c>
      <c r="BI64" s="97">
        <v>10</v>
      </c>
      <c r="BJ64" s="97">
        <v>40</v>
      </c>
      <c r="BK64" s="97">
        <v>66</v>
      </c>
      <c r="BL64" s="97">
        <v>11</v>
      </c>
      <c r="BM64" s="97">
        <v>44</v>
      </c>
      <c r="BN64" s="97">
        <v>50</v>
      </c>
      <c r="BO64" s="97">
        <v>19</v>
      </c>
      <c r="BP64" s="97">
        <v>63</v>
      </c>
      <c r="BQ64" s="97">
        <v>485.5</v>
      </c>
      <c r="BR64" s="97">
        <v>8</v>
      </c>
      <c r="BS64" s="97">
        <v>61</v>
      </c>
    </row>
    <row r="65" spans="1:71" ht="15" customHeight="1">
      <c r="A65" s="97" t="s">
        <v>1742</v>
      </c>
      <c r="B65" s="97" t="s">
        <v>1742</v>
      </c>
      <c r="C65" s="97" t="s">
        <v>1608</v>
      </c>
      <c r="D65" s="97" t="s">
        <v>3198</v>
      </c>
      <c r="E65" s="97" t="s">
        <v>9</v>
      </c>
      <c r="F65" s="97">
        <v>106</v>
      </c>
      <c r="G65" s="97">
        <v>26</v>
      </c>
      <c r="H65" s="97">
        <v>287</v>
      </c>
      <c r="I65" s="97">
        <v>102</v>
      </c>
      <c r="J65" s="97">
        <v>11</v>
      </c>
      <c r="K65" s="97">
        <v>72</v>
      </c>
      <c r="L65" s="97">
        <v>104</v>
      </c>
      <c r="M65" s="97">
        <v>30</v>
      </c>
      <c r="N65" s="97">
        <v>188</v>
      </c>
      <c r="O65" s="97">
        <v>87</v>
      </c>
      <c r="P65" s="97">
        <v>15</v>
      </c>
      <c r="Q65" s="97">
        <v>114</v>
      </c>
      <c r="R65" s="97">
        <v>70</v>
      </c>
      <c r="S65" s="97">
        <v>34</v>
      </c>
      <c r="T65" s="97">
        <v>136</v>
      </c>
      <c r="U65" s="97">
        <v>93</v>
      </c>
      <c r="V65" s="97">
        <v>3</v>
      </c>
      <c r="W65" s="97">
        <v>8</v>
      </c>
      <c r="X65" s="97">
        <v>74</v>
      </c>
      <c r="Y65" s="97">
        <v>34</v>
      </c>
      <c r="Z65" s="97">
        <v>326</v>
      </c>
      <c r="AA65" s="97">
        <v>49</v>
      </c>
      <c r="AB65" s="97">
        <v>48</v>
      </c>
      <c r="AC65" s="97">
        <v>633</v>
      </c>
      <c r="AD65" s="97">
        <v>70</v>
      </c>
      <c r="AE65" s="97">
        <v>33</v>
      </c>
      <c r="AF65" s="97">
        <v>327</v>
      </c>
      <c r="AG65" s="97">
        <v>562</v>
      </c>
      <c r="AH65" s="97">
        <v>14</v>
      </c>
      <c r="AI65" s="97">
        <v>62</v>
      </c>
      <c r="AK65" s="97" t="s">
        <v>3019</v>
      </c>
      <c r="AL65" s="97" t="s">
        <v>3019</v>
      </c>
      <c r="AM65" s="97" t="s">
        <v>2917</v>
      </c>
      <c r="AN65" s="97" t="s">
        <v>3199</v>
      </c>
      <c r="AO65" s="97" t="s">
        <v>52</v>
      </c>
      <c r="AP65" s="97">
        <v>101</v>
      </c>
      <c r="AQ65" s="97">
        <v>27</v>
      </c>
      <c r="AR65" s="97">
        <v>93</v>
      </c>
      <c r="AS65" s="97">
        <v>90.5</v>
      </c>
      <c r="AT65" s="97">
        <v>23</v>
      </c>
      <c r="AU65" s="97">
        <v>80</v>
      </c>
      <c r="AV65" s="97">
        <v>54</v>
      </c>
      <c r="AW65" s="97">
        <v>39</v>
      </c>
      <c r="AX65" s="97">
        <v>124</v>
      </c>
      <c r="AY65" s="97">
        <v>69</v>
      </c>
      <c r="AZ65" s="97">
        <v>7</v>
      </c>
      <c r="BA65" s="97">
        <v>47</v>
      </c>
      <c r="BB65" s="97">
        <v>80</v>
      </c>
      <c r="BC65" s="97">
        <v>2</v>
      </c>
      <c r="BD65" s="97">
        <v>9</v>
      </c>
      <c r="BE65" s="97">
        <v>91</v>
      </c>
      <c r="BF65" s="97">
        <v>7</v>
      </c>
      <c r="BG65" s="97">
        <v>62</v>
      </c>
      <c r="BH65" s="97">
        <v>50</v>
      </c>
      <c r="BI65" s="97">
        <v>4</v>
      </c>
      <c r="BJ65" s="97">
        <v>20</v>
      </c>
      <c r="BK65" s="97">
        <v>66</v>
      </c>
      <c r="BL65" s="97">
        <v>11</v>
      </c>
      <c r="BM65" s="97">
        <v>44</v>
      </c>
      <c r="BN65" s="97">
        <v>44</v>
      </c>
      <c r="BO65" s="97">
        <v>30</v>
      </c>
      <c r="BP65" s="97">
        <v>98</v>
      </c>
      <c r="BQ65" s="97">
        <v>485.5</v>
      </c>
      <c r="BR65" s="97">
        <v>8</v>
      </c>
      <c r="BS65" s="97">
        <v>61</v>
      </c>
    </row>
    <row r="66" spans="1:71" ht="15" customHeight="1">
      <c r="A66" s="97" t="s">
        <v>1592</v>
      </c>
      <c r="B66" s="97" t="s">
        <v>1592</v>
      </c>
      <c r="C66" s="97" t="s">
        <v>195</v>
      </c>
      <c r="D66" s="97" t="s">
        <v>3198</v>
      </c>
      <c r="E66" s="97" t="s">
        <v>10</v>
      </c>
      <c r="F66" s="97">
        <v>101</v>
      </c>
      <c r="G66" s="97">
        <v>46</v>
      </c>
      <c r="H66" s="97">
        <v>481</v>
      </c>
      <c r="I66" s="97">
        <v>111</v>
      </c>
      <c r="J66" s="97">
        <v>20</v>
      </c>
      <c r="K66" s="97">
        <v>35</v>
      </c>
      <c r="L66" s="97">
        <v>101</v>
      </c>
      <c r="M66" s="97">
        <v>43</v>
      </c>
      <c r="N66" s="97">
        <v>234</v>
      </c>
      <c r="O66" s="97">
        <v>94</v>
      </c>
      <c r="P66" s="97">
        <v>28</v>
      </c>
      <c r="Q66" s="97">
        <v>61</v>
      </c>
      <c r="R66" s="97">
        <v>66</v>
      </c>
      <c r="S66" s="97">
        <v>48</v>
      </c>
      <c r="T66" s="97">
        <v>204</v>
      </c>
      <c r="U66" s="97">
        <v>89</v>
      </c>
      <c r="V66" s="97">
        <v>17</v>
      </c>
      <c r="W66" s="97">
        <v>34</v>
      </c>
      <c r="X66" s="97">
        <v>88</v>
      </c>
      <c r="Y66" s="97">
        <v>5</v>
      </c>
      <c r="Z66" s="97">
        <v>15</v>
      </c>
      <c r="AA66" s="97">
        <v>60</v>
      </c>
      <c r="AB66" s="97">
        <v>38</v>
      </c>
      <c r="AC66" s="97">
        <v>203</v>
      </c>
      <c r="AD66" s="97">
        <v>64</v>
      </c>
      <c r="AE66" s="97">
        <v>48</v>
      </c>
      <c r="AF66" s="97">
        <v>586</v>
      </c>
      <c r="AG66" s="97">
        <v>562</v>
      </c>
      <c r="AH66" s="97">
        <v>40</v>
      </c>
      <c r="AI66" s="97">
        <v>62</v>
      </c>
      <c r="AK66" s="97" t="s">
        <v>3270</v>
      </c>
      <c r="AL66" s="97" t="s">
        <v>3270</v>
      </c>
      <c r="AM66" s="97" t="s">
        <v>53</v>
      </c>
      <c r="AN66" s="97" t="s">
        <v>3199</v>
      </c>
      <c r="AO66" s="97" t="s">
        <v>52</v>
      </c>
      <c r="AP66" s="97">
        <v>114</v>
      </c>
      <c r="AQ66" s="97">
        <v>4</v>
      </c>
      <c r="AR66" s="97">
        <v>23</v>
      </c>
      <c r="AS66" s="97">
        <v>94</v>
      </c>
      <c r="AT66" s="97">
        <v>18</v>
      </c>
      <c r="AU66" s="97">
        <v>72</v>
      </c>
      <c r="AV66" s="97">
        <v>65</v>
      </c>
      <c r="AW66" s="97">
        <v>16</v>
      </c>
      <c r="AX66" s="97">
        <v>81</v>
      </c>
      <c r="AY66" s="97">
        <v>55</v>
      </c>
      <c r="AZ66" s="97">
        <v>36</v>
      </c>
      <c r="BA66" s="97">
        <v>116</v>
      </c>
      <c r="BB66" s="97">
        <v>74</v>
      </c>
      <c r="BC66" s="97">
        <v>9</v>
      </c>
      <c r="BD66" s="97">
        <v>32</v>
      </c>
      <c r="BE66" s="97">
        <v>83</v>
      </c>
      <c r="BF66" s="97">
        <v>13</v>
      </c>
      <c r="BG66" s="97">
        <v>72</v>
      </c>
      <c r="BH66" s="97">
        <v>37</v>
      </c>
      <c r="BI66" s="97">
        <v>30</v>
      </c>
      <c r="BJ66" s="97">
        <v>102</v>
      </c>
      <c r="BK66" s="97">
        <v>66</v>
      </c>
      <c r="BL66" s="97">
        <v>11</v>
      </c>
      <c r="BM66" s="97">
        <v>44</v>
      </c>
      <c r="BN66" s="97">
        <v>53</v>
      </c>
      <c r="BO66" s="97">
        <v>8</v>
      </c>
      <c r="BP66" s="97">
        <v>35</v>
      </c>
      <c r="BQ66" s="97">
        <v>485</v>
      </c>
      <c r="BR66" s="97">
        <v>10</v>
      </c>
      <c r="BS66" s="97">
        <v>63</v>
      </c>
    </row>
    <row r="67" spans="1:71" ht="15" customHeight="1">
      <c r="A67" s="97" t="s">
        <v>1115</v>
      </c>
      <c r="B67" s="97" t="s">
        <v>1115</v>
      </c>
      <c r="C67" s="97" t="s">
        <v>1683</v>
      </c>
      <c r="D67" s="97" t="s">
        <v>3198</v>
      </c>
      <c r="E67" s="97" t="s">
        <v>68</v>
      </c>
      <c r="F67" s="97">
        <v>107</v>
      </c>
      <c r="G67" s="97">
        <v>11</v>
      </c>
      <c r="H67" s="97">
        <v>242</v>
      </c>
      <c r="I67" s="97">
        <v>107</v>
      </c>
      <c r="J67" s="97">
        <v>4</v>
      </c>
      <c r="K67" s="97">
        <v>46</v>
      </c>
      <c r="L67" s="97">
        <v>114</v>
      </c>
      <c r="M67" s="97">
        <v>2</v>
      </c>
      <c r="N67" s="97">
        <v>67</v>
      </c>
      <c r="O67" s="97">
        <v>91</v>
      </c>
      <c r="P67" s="97">
        <v>4</v>
      </c>
      <c r="Q67" s="97">
        <v>84</v>
      </c>
      <c r="R67" s="97">
        <v>66</v>
      </c>
      <c r="S67" s="97">
        <v>9</v>
      </c>
      <c r="T67" s="97">
        <v>204</v>
      </c>
      <c r="U67" s="97">
        <v>77</v>
      </c>
      <c r="V67" s="97">
        <v>14</v>
      </c>
      <c r="W67" s="97">
        <v>275</v>
      </c>
      <c r="X67" s="97">
        <v>77</v>
      </c>
      <c r="Y67" s="97">
        <v>11</v>
      </c>
      <c r="Z67" s="97">
        <v>240</v>
      </c>
      <c r="AA67" s="97">
        <v>59</v>
      </c>
      <c r="AB67" s="97">
        <v>6</v>
      </c>
      <c r="AC67" s="97">
        <v>233</v>
      </c>
      <c r="AD67" s="97">
        <v>73</v>
      </c>
      <c r="AE67" s="97">
        <v>11</v>
      </c>
      <c r="AF67" s="97">
        <v>216</v>
      </c>
      <c r="AG67" s="97">
        <v>562</v>
      </c>
      <c r="AH67" s="97">
        <v>2</v>
      </c>
      <c r="AI67" s="97">
        <v>62</v>
      </c>
      <c r="AK67" s="97" t="s">
        <v>3103</v>
      </c>
      <c r="AL67" s="97" t="s">
        <v>3103</v>
      </c>
      <c r="AM67" s="97" t="s">
        <v>3076</v>
      </c>
      <c r="AN67" s="97" t="s">
        <v>3199</v>
      </c>
      <c r="AO67" s="97" t="s">
        <v>52</v>
      </c>
      <c r="AP67" s="97">
        <v>105</v>
      </c>
      <c r="AQ67" s="97">
        <v>21</v>
      </c>
      <c r="AR67" s="97">
        <v>75</v>
      </c>
      <c r="AS67" s="97">
        <v>75</v>
      </c>
      <c r="AT67" s="97">
        <v>43</v>
      </c>
      <c r="AU67" s="97">
        <v>126</v>
      </c>
      <c r="AV67" s="97">
        <v>63</v>
      </c>
      <c r="AW67" s="97">
        <v>21</v>
      </c>
      <c r="AX67" s="97">
        <v>93</v>
      </c>
      <c r="AY67" s="97">
        <v>72</v>
      </c>
      <c r="AZ67" s="97">
        <v>4</v>
      </c>
      <c r="BA67" s="97">
        <v>33</v>
      </c>
      <c r="BB67" s="97">
        <v>71</v>
      </c>
      <c r="BC67" s="97">
        <v>11</v>
      </c>
      <c r="BD67" s="97">
        <v>43</v>
      </c>
      <c r="BE67" s="97">
        <v>98</v>
      </c>
      <c r="BF67" s="97">
        <v>2</v>
      </c>
      <c r="BG67" s="97">
        <v>48</v>
      </c>
      <c r="BH67" s="97">
        <v>26</v>
      </c>
      <c r="BI67" s="97">
        <v>44</v>
      </c>
      <c r="BJ67" s="97">
        <v>133</v>
      </c>
      <c r="BK67" s="97">
        <v>60</v>
      </c>
      <c r="BL67" s="97">
        <v>22</v>
      </c>
      <c r="BM67" s="97">
        <v>76</v>
      </c>
      <c r="BN67" s="97">
        <v>43</v>
      </c>
      <c r="BO67" s="97">
        <v>33</v>
      </c>
      <c r="BP67" s="97">
        <v>102</v>
      </c>
      <c r="BQ67" s="97">
        <v>484</v>
      </c>
      <c r="BR67" s="97">
        <v>11</v>
      </c>
      <c r="BS67" s="97">
        <v>64</v>
      </c>
    </row>
    <row r="68" spans="1:71" ht="15" customHeight="1">
      <c r="A68" s="97" t="s">
        <v>1661</v>
      </c>
      <c r="B68" s="97" t="s">
        <v>1661</v>
      </c>
      <c r="C68" s="97" t="s">
        <v>207</v>
      </c>
      <c r="D68" s="97" t="s">
        <v>3198</v>
      </c>
      <c r="E68" s="97" t="s">
        <v>9</v>
      </c>
      <c r="F68" s="97">
        <v>111</v>
      </c>
      <c r="G68" s="97">
        <v>12</v>
      </c>
      <c r="H68" s="97">
        <v>136</v>
      </c>
      <c r="I68" s="97">
        <v>98</v>
      </c>
      <c r="J68" s="97">
        <v>18</v>
      </c>
      <c r="K68" s="97">
        <v>103</v>
      </c>
      <c r="L68" s="97">
        <v>95.5</v>
      </c>
      <c r="M68" s="97">
        <v>45</v>
      </c>
      <c r="N68" s="97">
        <v>357</v>
      </c>
      <c r="O68" s="97">
        <v>88</v>
      </c>
      <c r="P68" s="97">
        <v>14</v>
      </c>
      <c r="Q68" s="97">
        <v>106</v>
      </c>
      <c r="R68" s="97">
        <v>81</v>
      </c>
      <c r="S68" s="97">
        <v>11</v>
      </c>
      <c r="T68" s="97">
        <v>37</v>
      </c>
      <c r="U68" s="97">
        <v>88</v>
      </c>
      <c r="V68" s="97">
        <v>8</v>
      </c>
      <c r="W68" s="97">
        <v>44</v>
      </c>
      <c r="X68" s="97">
        <v>78</v>
      </c>
      <c r="Y68" s="97">
        <v>27</v>
      </c>
      <c r="Z68" s="97">
        <v>209</v>
      </c>
      <c r="AA68" s="97">
        <v>72</v>
      </c>
      <c r="AB68" s="97">
        <v>8</v>
      </c>
      <c r="AC68" s="97">
        <v>25</v>
      </c>
      <c r="AD68" s="97">
        <v>89</v>
      </c>
      <c r="AE68" s="97">
        <v>1</v>
      </c>
      <c r="AF68" s="97">
        <v>2</v>
      </c>
      <c r="AG68" s="97">
        <v>561.5</v>
      </c>
      <c r="AH68" s="97">
        <v>15</v>
      </c>
      <c r="AI68" s="97">
        <v>65</v>
      </c>
      <c r="AK68" s="97" t="s">
        <v>3271</v>
      </c>
      <c r="AL68" s="97" t="s">
        <v>3271</v>
      </c>
      <c r="AM68" s="97" t="s">
        <v>3272</v>
      </c>
      <c r="AN68" s="97" t="s">
        <v>3199</v>
      </c>
      <c r="AO68" s="97" t="s">
        <v>25</v>
      </c>
      <c r="AP68" s="97">
        <v>104</v>
      </c>
      <c r="AQ68" s="97">
        <v>24</v>
      </c>
      <c r="AR68" s="97">
        <v>80</v>
      </c>
      <c r="AS68" s="97">
        <v>97.5</v>
      </c>
      <c r="AT68" s="97">
        <v>10</v>
      </c>
      <c r="AU68" s="97">
        <v>61</v>
      </c>
      <c r="AV68" s="97">
        <v>71</v>
      </c>
      <c r="AW68" s="97">
        <v>10</v>
      </c>
      <c r="AX68" s="97">
        <v>46</v>
      </c>
      <c r="AY68" s="97">
        <v>71</v>
      </c>
      <c r="AZ68" s="97">
        <v>6</v>
      </c>
      <c r="BA68" s="97">
        <v>41</v>
      </c>
      <c r="BB68" s="97">
        <v>43</v>
      </c>
      <c r="BC68" s="97">
        <v>41</v>
      </c>
      <c r="BD68" s="97">
        <v>131</v>
      </c>
      <c r="BE68" s="97">
        <v>97</v>
      </c>
      <c r="BF68" s="97">
        <v>9</v>
      </c>
      <c r="BG68" s="97">
        <v>50</v>
      </c>
      <c r="BH68" s="97">
        <v>30</v>
      </c>
      <c r="BI68" s="97">
        <v>41</v>
      </c>
      <c r="BJ68" s="97">
        <v>125</v>
      </c>
      <c r="BK68" s="97">
        <v>37</v>
      </c>
      <c r="BL68" s="97">
        <v>43</v>
      </c>
      <c r="BM68" s="97">
        <v>134</v>
      </c>
      <c r="BN68" s="97">
        <v>48</v>
      </c>
      <c r="BO68" s="97">
        <v>25</v>
      </c>
      <c r="BP68" s="97">
        <v>77</v>
      </c>
      <c r="BQ68" s="97">
        <v>483.5</v>
      </c>
      <c r="BR68" s="97">
        <v>11</v>
      </c>
      <c r="BS68" s="97">
        <v>65</v>
      </c>
    </row>
    <row r="69" spans="1:71" ht="15" customHeight="1">
      <c r="A69" s="97" t="s">
        <v>1037</v>
      </c>
      <c r="B69" s="97" t="s">
        <v>1037</v>
      </c>
      <c r="C69" s="97" t="s">
        <v>69</v>
      </c>
      <c r="D69" s="97" t="s">
        <v>3198</v>
      </c>
      <c r="E69" s="97" t="s">
        <v>68</v>
      </c>
      <c r="F69" s="97">
        <v>104</v>
      </c>
      <c r="G69" s="97">
        <v>21</v>
      </c>
      <c r="H69" s="97">
        <v>357</v>
      </c>
      <c r="I69" s="97">
        <v>128</v>
      </c>
      <c r="J69" s="97">
        <v>1</v>
      </c>
      <c r="K69" s="97">
        <v>9</v>
      </c>
      <c r="L69" s="97">
        <v>79.5</v>
      </c>
      <c r="M69" s="97">
        <v>35</v>
      </c>
      <c r="N69" s="97">
        <v>698</v>
      </c>
      <c r="O69" s="97">
        <v>100</v>
      </c>
      <c r="P69" s="97">
        <v>1</v>
      </c>
      <c r="Q69" s="97">
        <v>19</v>
      </c>
      <c r="R69" s="97">
        <v>73</v>
      </c>
      <c r="S69" s="97">
        <v>4</v>
      </c>
      <c r="T69" s="97">
        <v>106</v>
      </c>
      <c r="U69" s="97">
        <v>77</v>
      </c>
      <c r="V69" s="97">
        <v>14</v>
      </c>
      <c r="W69" s="97">
        <v>275</v>
      </c>
      <c r="X69" s="97">
        <v>61</v>
      </c>
      <c r="Y69" s="97">
        <v>44</v>
      </c>
      <c r="Z69" s="97">
        <v>754</v>
      </c>
      <c r="AA69" s="97">
        <v>54</v>
      </c>
      <c r="AB69" s="97">
        <v>18</v>
      </c>
      <c r="AC69" s="97">
        <v>428</v>
      </c>
      <c r="AD69" s="97">
        <v>72</v>
      </c>
      <c r="AE69" s="97">
        <v>13</v>
      </c>
      <c r="AF69" s="97">
        <v>256</v>
      </c>
      <c r="AG69" s="97">
        <v>561.5</v>
      </c>
      <c r="AH69" s="97">
        <v>3</v>
      </c>
      <c r="AI69" s="97">
        <v>65</v>
      </c>
      <c r="AK69" s="97" t="s">
        <v>2961</v>
      </c>
      <c r="AL69" s="97" t="s">
        <v>2961</v>
      </c>
      <c r="AM69" s="97" t="s">
        <v>142</v>
      </c>
      <c r="AN69" s="97" t="s">
        <v>3199</v>
      </c>
      <c r="AO69" s="97" t="s">
        <v>12</v>
      </c>
      <c r="AP69" s="97">
        <v>104</v>
      </c>
      <c r="AQ69" s="97">
        <v>36</v>
      </c>
      <c r="AR69" s="97">
        <v>80</v>
      </c>
      <c r="AS69" s="97">
        <v>103.5</v>
      </c>
      <c r="AT69" s="97">
        <v>29</v>
      </c>
      <c r="AU69" s="97">
        <v>43</v>
      </c>
      <c r="AV69" s="97">
        <v>68</v>
      </c>
      <c r="AW69" s="97">
        <v>38</v>
      </c>
      <c r="AX69" s="97">
        <v>70</v>
      </c>
      <c r="AY69" s="97">
        <v>64</v>
      </c>
      <c r="AZ69" s="97">
        <v>40</v>
      </c>
      <c r="BA69" s="97">
        <v>77</v>
      </c>
      <c r="BB69" s="97">
        <v>61</v>
      </c>
      <c r="BC69" s="97">
        <v>45</v>
      </c>
      <c r="BD69" s="97">
        <v>94</v>
      </c>
      <c r="BE69" s="97">
        <v>83</v>
      </c>
      <c r="BF69" s="97">
        <v>45</v>
      </c>
      <c r="BG69" s="97">
        <v>72</v>
      </c>
      <c r="BH69" s="97">
        <v>50</v>
      </c>
      <c r="BI69" s="97">
        <v>11</v>
      </c>
      <c r="BJ69" s="97">
        <v>20</v>
      </c>
      <c r="BK69" s="97">
        <v>59</v>
      </c>
      <c r="BL69" s="97">
        <v>36</v>
      </c>
      <c r="BM69" s="97">
        <v>84</v>
      </c>
      <c r="BN69" s="97">
        <v>41</v>
      </c>
      <c r="BO69" s="97">
        <v>38</v>
      </c>
      <c r="BP69" s="97">
        <v>115</v>
      </c>
      <c r="BQ69" s="97">
        <v>483.5</v>
      </c>
      <c r="BR69" s="97">
        <v>44</v>
      </c>
      <c r="BS69" s="97">
        <v>65</v>
      </c>
    </row>
    <row r="70" spans="1:71" ht="15" customHeight="1">
      <c r="A70" s="97" t="s">
        <v>1526</v>
      </c>
      <c r="B70" s="97" t="s">
        <v>1526</v>
      </c>
      <c r="C70" s="97" t="s">
        <v>1359</v>
      </c>
      <c r="D70" s="97" t="s">
        <v>3198</v>
      </c>
      <c r="E70" s="97" t="s">
        <v>10</v>
      </c>
      <c r="F70" s="97">
        <v>114</v>
      </c>
      <c r="G70" s="97">
        <v>10</v>
      </c>
      <c r="H70" s="97">
        <v>80</v>
      </c>
      <c r="I70" s="97">
        <v>76</v>
      </c>
      <c r="J70" s="97">
        <v>52</v>
      </c>
      <c r="K70" s="97">
        <v>391</v>
      </c>
      <c r="L70" s="97">
        <v>112.5</v>
      </c>
      <c r="M70" s="97">
        <v>22</v>
      </c>
      <c r="N70" s="97">
        <v>77</v>
      </c>
      <c r="O70" s="97">
        <v>87</v>
      </c>
      <c r="P70" s="97">
        <v>44</v>
      </c>
      <c r="Q70" s="97">
        <v>114</v>
      </c>
      <c r="R70" s="97">
        <v>80</v>
      </c>
      <c r="S70" s="97">
        <v>23</v>
      </c>
      <c r="T70" s="97">
        <v>44</v>
      </c>
      <c r="U70" s="97">
        <v>91</v>
      </c>
      <c r="V70" s="97">
        <v>5</v>
      </c>
      <c r="W70" s="97">
        <v>12</v>
      </c>
      <c r="X70" s="97">
        <v>67</v>
      </c>
      <c r="Y70" s="97">
        <v>45</v>
      </c>
      <c r="Z70" s="97">
        <v>570</v>
      </c>
      <c r="AA70" s="97">
        <v>74</v>
      </c>
      <c r="AB70" s="97">
        <v>9</v>
      </c>
      <c r="AC70" s="97">
        <v>14</v>
      </c>
      <c r="AD70" s="97">
        <v>78</v>
      </c>
      <c r="AE70" s="97">
        <v>22</v>
      </c>
      <c r="AF70" s="97">
        <v>86</v>
      </c>
      <c r="AG70" s="97">
        <v>560.5</v>
      </c>
      <c r="AH70" s="97">
        <v>41</v>
      </c>
      <c r="AI70" s="97">
        <v>67</v>
      </c>
      <c r="AK70" s="97" t="s">
        <v>3025</v>
      </c>
      <c r="AL70" s="97" t="s">
        <v>3025</v>
      </c>
      <c r="AM70" s="97" t="s">
        <v>139</v>
      </c>
      <c r="AN70" s="97" t="s">
        <v>3199</v>
      </c>
      <c r="AO70" s="97" t="s">
        <v>52</v>
      </c>
      <c r="AP70" s="97">
        <v>103</v>
      </c>
      <c r="AQ70" s="97">
        <v>22</v>
      </c>
      <c r="AR70" s="97">
        <v>82</v>
      </c>
      <c r="AS70" s="97">
        <v>99</v>
      </c>
      <c r="AT70" s="97">
        <v>14</v>
      </c>
      <c r="AU70" s="97">
        <v>55</v>
      </c>
      <c r="AV70" s="97">
        <v>70</v>
      </c>
      <c r="AW70" s="97">
        <v>12</v>
      </c>
      <c r="AX70" s="97">
        <v>57</v>
      </c>
      <c r="AY70" s="97">
        <v>55</v>
      </c>
      <c r="AZ70" s="97">
        <v>36</v>
      </c>
      <c r="BA70" s="97">
        <v>116</v>
      </c>
      <c r="BB70" s="97">
        <v>68</v>
      </c>
      <c r="BC70" s="97">
        <v>16</v>
      </c>
      <c r="BD70" s="97">
        <v>57</v>
      </c>
      <c r="BE70" s="97">
        <v>88</v>
      </c>
      <c r="BF70" s="97">
        <v>9</v>
      </c>
      <c r="BG70" s="97">
        <v>64</v>
      </c>
      <c r="BH70" s="97">
        <v>40</v>
      </c>
      <c r="BI70" s="97">
        <v>19</v>
      </c>
      <c r="BJ70" s="97">
        <v>79</v>
      </c>
      <c r="BK70" s="97">
        <v>76</v>
      </c>
      <c r="BL70" s="97">
        <v>2</v>
      </c>
      <c r="BM70" s="97">
        <v>9</v>
      </c>
      <c r="BN70" s="97">
        <v>43</v>
      </c>
      <c r="BO70" s="97">
        <v>33</v>
      </c>
      <c r="BP70" s="97">
        <v>102</v>
      </c>
      <c r="BQ70" s="97">
        <v>483</v>
      </c>
      <c r="BR70" s="97">
        <v>12</v>
      </c>
      <c r="BS70" s="97">
        <v>67</v>
      </c>
    </row>
    <row r="71" spans="1:71" ht="15" customHeight="1">
      <c r="A71" s="97" t="s">
        <v>1655</v>
      </c>
      <c r="B71" s="97" t="s">
        <v>1655</v>
      </c>
      <c r="C71" s="97" t="s">
        <v>1538</v>
      </c>
      <c r="D71" s="97" t="s">
        <v>3198</v>
      </c>
      <c r="E71" s="97" t="s">
        <v>9</v>
      </c>
      <c r="F71" s="97">
        <v>107</v>
      </c>
      <c r="G71" s="97">
        <v>21</v>
      </c>
      <c r="H71" s="97">
        <v>242</v>
      </c>
      <c r="I71" s="97">
        <v>93</v>
      </c>
      <c r="J71" s="97">
        <v>24</v>
      </c>
      <c r="K71" s="97">
        <v>155</v>
      </c>
      <c r="L71" s="97">
        <v>112.5</v>
      </c>
      <c r="M71" s="97">
        <v>14</v>
      </c>
      <c r="N71" s="97">
        <v>77</v>
      </c>
      <c r="O71" s="97">
        <v>83</v>
      </c>
      <c r="P71" s="97">
        <v>20</v>
      </c>
      <c r="Q71" s="97">
        <v>163</v>
      </c>
      <c r="R71" s="97">
        <v>78</v>
      </c>
      <c r="S71" s="97">
        <v>16</v>
      </c>
      <c r="T71" s="97">
        <v>61</v>
      </c>
      <c r="U71" s="97">
        <v>87</v>
      </c>
      <c r="V71" s="97">
        <v>10</v>
      </c>
      <c r="W71" s="97">
        <v>57</v>
      </c>
      <c r="X71" s="97">
        <v>84</v>
      </c>
      <c r="Y71" s="97">
        <v>8</v>
      </c>
      <c r="Z71" s="97">
        <v>59</v>
      </c>
      <c r="AA71" s="97">
        <v>63</v>
      </c>
      <c r="AB71" s="97">
        <v>21</v>
      </c>
      <c r="AC71" s="97">
        <v>123</v>
      </c>
      <c r="AD71" s="97">
        <v>79</v>
      </c>
      <c r="AE71" s="97">
        <v>11</v>
      </c>
      <c r="AF71" s="97">
        <v>73</v>
      </c>
      <c r="AG71" s="97">
        <v>560.5</v>
      </c>
      <c r="AH71" s="97">
        <v>16</v>
      </c>
      <c r="AI71" s="97">
        <v>67</v>
      </c>
      <c r="AK71" s="97" t="s">
        <v>3090</v>
      </c>
      <c r="AL71" s="97" t="s">
        <v>3090</v>
      </c>
      <c r="AM71" s="97" t="s">
        <v>817</v>
      </c>
      <c r="AN71" s="97" t="s">
        <v>3199</v>
      </c>
      <c r="AO71" s="97" t="s">
        <v>52</v>
      </c>
      <c r="AP71" s="97">
        <v>114</v>
      </c>
      <c r="AQ71" s="97">
        <v>4</v>
      </c>
      <c r="AR71" s="97">
        <v>23</v>
      </c>
      <c r="AS71" s="97">
        <v>99.5</v>
      </c>
      <c r="AT71" s="97">
        <v>13</v>
      </c>
      <c r="AU71" s="97">
        <v>54</v>
      </c>
      <c r="AV71" s="97">
        <v>64</v>
      </c>
      <c r="AW71" s="97">
        <v>18</v>
      </c>
      <c r="AX71" s="97">
        <v>87</v>
      </c>
      <c r="AY71" s="97">
        <v>60</v>
      </c>
      <c r="AZ71" s="97">
        <v>27</v>
      </c>
      <c r="BA71" s="97">
        <v>96</v>
      </c>
      <c r="BB71" s="97">
        <v>61</v>
      </c>
      <c r="BC71" s="97">
        <v>32</v>
      </c>
      <c r="BD71" s="97">
        <v>94</v>
      </c>
      <c r="BE71" s="97">
        <v>84</v>
      </c>
      <c r="BF71" s="97">
        <v>12</v>
      </c>
      <c r="BG71" s="97">
        <v>70</v>
      </c>
      <c r="BH71" s="97">
        <v>48</v>
      </c>
      <c r="BI71" s="97">
        <v>6</v>
      </c>
      <c r="BJ71" s="97">
        <v>26</v>
      </c>
      <c r="BK71" s="97">
        <v>74</v>
      </c>
      <c r="BL71" s="97">
        <v>4</v>
      </c>
      <c r="BM71" s="97">
        <v>13</v>
      </c>
      <c r="BN71" s="97">
        <v>46</v>
      </c>
      <c r="BO71" s="97">
        <v>26</v>
      </c>
      <c r="BP71" s="97">
        <v>89</v>
      </c>
      <c r="BQ71" s="97">
        <v>482.5</v>
      </c>
      <c r="BR71" s="97">
        <v>13</v>
      </c>
      <c r="BS71" s="97">
        <v>68</v>
      </c>
    </row>
    <row r="72" spans="1:71" ht="15" customHeight="1">
      <c r="A72" s="97" t="s">
        <v>2293</v>
      </c>
      <c r="B72" s="97" t="s">
        <v>2293</v>
      </c>
      <c r="C72" s="97" t="s">
        <v>1648</v>
      </c>
      <c r="D72" s="97" t="s">
        <v>3198</v>
      </c>
      <c r="E72" s="97" t="s">
        <v>7</v>
      </c>
      <c r="F72" s="97">
        <v>113</v>
      </c>
      <c r="G72" s="97">
        <v>4</v>
      </c>
      <c r="H72" s="97">
        <v>95</v>
      </c>
      <c r="I72" s="97">
        <v>111</v>
      </c>
      <c r="J72" s="97">
        <v>1</v>
      </c>
      <c r="K72" s="97">
        <v>35</v>
      </c>
      <c r="L72" s="97">
        <v>88.5</v>
      </c>
      <c r="M72" s="97">
        <v>25</v>
      </c>
      <c r="N72" s="97">
        <v>519</v>
      </c>
      <c r="O72" s="97">
        <v>105</v>
      </c>
      <c r="P72" s="97">
        <v>1</v>
      </c>
      <c r="Q72" s="97">
        <v>7</v>
      </c>
      <c r="R72" s="97">
        <v>64</v>
      </c>
      <c r="S72" s="97">
        <v>10</v>
      </c>
      <c r="T72" s="97">
        <v>244</v>
      </c>
      <c r="U72" s="97">
        <v>79</v>
      </c>
      <c r="V72" s="97">
        <v>10</v>
      </c>
      <c r="W72" s="97">
        <v>229</v>
      </c>
      <c r="X72" s="97">
        <v>79</v>
      </c>
      <c r="Y72" s="97">
        <v>24</v>
      </c>
      <c r="Z72" s="97">
        <v>175</v>
      </c>
      <c r="AA72" s="97">
        <v>64</v>
      </c>
      <c r="AB72" s="97">
        <v>4</v>
      </c>
      <c r="AC72" s="97">
        <v>103</v>
      </c>
      <c r="AD72" s="97">
        <v>52</v>
      </c>
      <c r="AE72" s="97">
        <v>50</v>
      </c>
      <c r="AF72" s="97">
        <v>879</v>
      </c>
      <c r="AG72" s="97">
        <v>560.5</v>
      </c>
      <c r="AH72" s="97">
        <v>1</v>
      </c>
      <c r="AI72" s="97">
        <v>67</v>
      </c>
      <c r="AK72" s="97" t="s">
        <v>3166</v>
      </c>
      <c r="AL72" s="97" t="s">
        <v>3166</v>
      </c>
      <c r="AM72" s="97" t="s">
        <v>151</v>
      </c>
      <c r="AN72" s="97" t="s">
        <v>3199</v>
      </c>
      <c r="AO72" s="97" t="s">
        <v>25</v>
      </c>
      <c r="AP72" s="97">
        <v>118</v>
      </c>
      <c r="AQ72" s="97">
        <v>1</v>
      </c>
      <c r="AR72" s="97">
        <v>10</v>
      </c>
      <c r="AS72" s="97">
        <v>98</v>
      </c>
      <c r="AT72" s="97">
        <v>9</v>
      </c>
      <c r="AU72" s="97">
        <v>60</v>
      </c>
      <c r="AV72" s="97">
        <v>71</v>
      </c>
      <c r="AW72" s="97">
        <v>10</v>
      </c>
      <c r="AX72" s="97">
        <v>46</v>
      </c>
      <c r="AY72" s="97">
        <v>66</v>
      </c>
      <c r="AZ72" s="97">
        <v>15</v>
      </c>
      <c r="BA72" s="97">
        <v>60</v>
      </c>
      <c r="BB72" s="97">
        <v>75</v>
      </c>
      <c r="BC72" s="97">
        <v>4</v>
      </c>
      <c r="BD72" s="97">
        <v>29</v>
      </c>
      <c r="BE72" s="97">
        <v>54</v>
      </c>
      <c r="BF72" s="97">
        <v>37</v>
      </c>
      <c r="BG72" s="97">
        <v>123</v>
      </c>
      <c r="BH72" s="97">
        <v>39</v>
      </c>
      <c r="BI72" s="97">
        <v>26</v>
      </c>
      <c r="BJ72" s="97">
        <v>87</v>
      </c>
      <c r="BK72" s="97">
        <v>71</v>
      </c>
      <c r="BL72" s="97">
        <v>6</v>
      </c>
      <c r="BM72" s="97">
        <v>19</v>
      </c>
      <c r="BN72" s="97">
        <v>58</v>
      </c>
      <c r="BO72" s="97">
        <v>3</v>
      </c>
      <c r="BP72" s="97">
        <v>11</v>
      </c>
      <c r="BQ72" s="97">
        <v>482</v>
      </c>
      <c r="BR72" s="97">
        <v>12</v>
      </c>
      <c r="BS72" s="97">
        <v>69</v>
      </c>
    </row>
    <row r="73" spans="1:71" ht="15" customHeight="1">
      <c r="A73" s="97" t="s">
        <v>1586</v>
      </c>
      <c r="B73" s="97" t="s">
        <v>1586</v>
      </c>
      <c r="C73" s="97" t="s">
        <v>175</v>
      </c>
      <c r="D73" s="97" t="s">
        <v>3198</v>
      </c>
      <c r="E73" s="97" t="s">
        <v>10</v>
      </c>
      <c r="F73" s="97">
        <v>107</v>
      </c>
      <c r="G73" s="97">
        <v>29</v>
      </c>
      <c r="H73" s="97">
        <v>242</v>
      </c>
      <c r="I73" s="97">
        <v>103</v>
      </c>
      <c r="J73" s="97">
        <v>25</v>
      </c>
      <c r="K73" s="97">
        <v>70</v>
      </c>
      <c r="L73" s="97">
        <v>97.5</v>
      </c>
      <c r="M73" s="97">
        <v>45</v>
      </c>
      <c r="N73" s="97">
        <v>310</v>
      </c>
      <c r="O73" s="97">
        <v>92</v>
      </c>
      <c r="P73" s="97">
        <v>35</v>
      </c>
      <c r="Q73" s="97">
        <v>74</v>
      </c>
      <c r="R73" s="97">
        <v>69</v>
      </c>
      <c r="S73" s="97">
        <v>44</v>
      </c>
      <c r="T73" s="97">
        <v>152</v>
      </c>
      <c r="U73" s="97">
        <v>90</v>
      </c>
      <c r="V73" s="97">
        <v>10</v>
      </c>
      <c r="W73" s="97">
        <v>19</v>
      </c>
      <c r="X73" s="97">
        <v>79</v>
      </c>
      <c r="Y73" s="97">
        <v>26</v>
      </c>
      <c r="Z73" s="97">
        <v>175</v>
      </c>
      <c r="AA73" s="97">
        <v>68</v>
      </c>
      <c r="AB73" s="97">
        <v>22</v>
      </c>
      <c r="AC73" s="97">
        <v>54</v>
      </c>
      <c r="AD73" s="97">
        <v>80</v>
      </c>
      <c r="AE73" s="97">
        <v>15</v>
      </c>
      <c r="AF73" s="97">
        <v>54</v>
      </c>
      <c r="AG73" s="97">
        <v>558.5</v>
      </c>
      <c r="AH73" s="97">
        <v>42</v>
      </c>
      <c r="AI73" s="97">
        <v>70</v>
      </c>
      <c r="AK73" s="97" t="s">
        <v>3268</v>
      </c>
      <c r="AL73" s="97" t="s">
        <v>3268</v>
      </c>
      <c r="AM73" s="97" t="s">
        <v>3005</v>
      </c>
      <c r="AN73" s="97" t="s">
        <v>3199</v>
      </c>
      <c r="AO73" s="97" t="s">
        <v>25</v>
      </c>
      <c r="AP73" s="97">
        <v>112</v>
      </c>
      <c r="AQ73" s="97">
        <v>7</v>
      </c>
      <c r="AR73" s="97">
        <v>31</v>
      </c>
      <c r="AS73" s="97">
        <v>86.5</v>
      </c>
      <c r="AT73" s="97">
        <v>22</v>
      </c>
      <c r="AU73" s="97">
        <v>96</v>
      </c>
      <c r="AV73" s="97">
        <v>79</v>
      </c>
      <c r="AW73" s="97">
        <v>1</v>
      </c>
      <c r="AX73" s="97">
        <v>9</v>
      </c>
      <c r="AY73" s="97">
        <v>65</v>
      </c>
      <c r="AZ73" s="97">
        <v>20</v>
      </c>
      <c r="BA73" s="97">
        <v>69</v>
      </c>
      <c r="BB73" s="97">
        <v>72</v>
      </c>
      <c r="BC73" s="97">
        <v>6</v>
      </c>
      <c r="BD73" s="97">
        <v>42</v>
      </c>
      <c r="BE73" s="97">
        <v>67</v>
      </c>
      <c r="BF73" s="97">
        <v>27</v>
      </c>
      <c r="BG73" s="97">
        <v>105</v>
      </c>
      <c r="BH73" s="97">
        <v>56</v>
      </c>
      <c r="BI73" s="97">
        <v>2</v>
      </c>
      <c r="BJ73" s="97">
        <v>8</v>
      </c>
      <c r="BK73" s="97">
        <v>72</v>
      </c>
      <c r="BL73" s="97">
        <v>4</v>
      </c>
      <c r="BM73" s="97">
        <v>16</v>
      </c>
      <c r="BN73" s="97">
        <v>55</v>
      </c>
      <c r="BO73" s="97">
        <v>10</v>
      </c>
      <c r="BP73" s="97">
        <v>22</v>
      </c>
      <c r="BQ73" s="97">
        <v>481.5</v>
      </c>
      <c r="BR73" s="97">
        <v>13</v>
      </c>
      <c r="BS73" s="97">
        <v>70</v>
      </c>
    </row>
    <row r="74" spans="1:71" ht="15" customHeight="1">
      <c r="A74" s="97" t="s">
        <v>1599</v>
      </c>
      <c r="B74" s="97" t="s">
        <v>1599</v>
      </c>
      <c r="C74" s="97" t="s">
        <v>3229</v>
      </c>
      <c r="D74" s="97" t="s">
        <v>3198</v>
      </c>
      <c r="E74" s="97" t="s">
        <v>10</v>
      </c>
      <c r="F74" s="97">
        <v>103</v>
      </c>
      <c r="G74" s="97">
        <v>42</v>
      </c>
      <c r="H74" s="97">
        <v>400</v>
      </c>
      <c r="I74" s="97">
        <v>98</v>
      </c>
      <c r="J74" s="97">
        <v>29</v>
      </c>
      <c r="K74" s="97">
        <v>103</v>
      </c>
      <c r="L74" s="97">
        <v>102</v>
      </c>
      <c r="M74" s="97">
        <v>42</v>
      </c>
      <c r="N74" s="97">
        <v>219</v>
      </c>
      <c r="O74" s="97">
        <v>95</v>
      </c>
      <c r="P74" s="97">
        <v>24</v>
      </c>
      <c r="Q74" s="97">
        <v>50</v>
      </c>
      <c r="R74" s="97">
        <v>72</v>
      </c>
      <c r="S74" s="97">
        <v>39</v>
      </c>
      <c r="T74" s="97">
        <v>115</v>
      </c>
      <c r="U74" s="97">
        <v>88</v>
      </c>
      <c r="V74" s="97">
        <v>25</v>
      </c>
      <c r="W74" s="97">
        <v>44</v>
      </c>
      <c r="X74" s="97">
        <v>76</v>
      </c>
      <c r="Y74" s="97">
        <v>29</v>
      </c>
      <c r="Z74" s="97">
        <v>260</v>
      </c>
      <c r="AA74" s="97">
        <v>84</v>
      </c>
      <c r="AB74" s="97">
        <v>2</v>
      </c>
      <c r="AC74" s="97">
        <v>2</v>
      </c>
      <c r="AD74" s="97">
        <v>77</v>
      </c>
      <c r="AE74" s="97">
        <v>25</v>
      </c>
      <c r="AF74" s="97">
        <v>102</v>
      </c>
      <c r="AG74" s="97">
        <v>558</v>
      </c>
      <c r="AH74" s="97">
        <v>43</v>
      </c>
      <c r="AI74" s="97">
        <v>71</v>
      </c>
      <c r="AK74" s="97" t="s">
        <v>3273</v>
      </c>
      <c r="AL74" s="97" t="s">
        <v>3273</v>
      </c>
      <c r="AM74" s="97" t="s">
        <v>2937</v>
      </c>
      <c r="AN74" s="97" t="s">
        <v>3199</v>
      </c>
      <c r="AO74" s="97" t="s">
        <v>25</v>
      </c>
      <c r="AP74" s="97">
        <v>110</v>
      </c>
      <c r="AQ74" s="97">
        <v>10</v>
      </c>
      <c r="AR74" s="97">
        <v>39</v>
      </c>
      <c r="AS74" s="97">
        <v>86.5</v>
      </c>
      <c r="AT74" s="97">
        <v>22</v>
      </c>
      <c r="AU74" s="97">
        <v>96</v>
      </c>
      <c r="AV74" s="97">
        <v>65</v>
      </c>
      <c r="AW74" s="97">
        <v>25</v>
      </c>
      <c r="AX74" s="97">
        <v>81</v>
      </c>
      <c r="AY74" s="97">
        <v>60</v>
      </c>
      <c r="AZ74" s="97">
        <v>26</v>
      </c>
      <c r="BA74" s="97">
        <v>96</v>
      </c>
      <c r="BB74" s="97">
        <v>78</v>
      </c>
      <c r="BC74" s="97">
        <v>1</v>
      </c>
      <c r="BD74" s="97">
        <v>11</v>
      </c>
      <c r="BE74" s="97">
        <v>79</v>
      </c>
      <c r="BF74" s="97">
        <v>20</v>
      </c>
      <c r="BG74" s="97">
        <v>84</v>
      </c>
      <c r="BH74" s="97">
        <v>52</v>
      </c>
      <c r="BI74" s="97">
        <v>5</v>
      </c>
      <c r="BJ74" s="97">
        <v>12</v>
      </c>
      <c r="BK74" s="97">
        <v>66</v>
      </c>
      <c r="BL74" s="97">
        <v>14</v>
      </c>
      <c r="BM74" s="97">
        <v>44</v>
      </c>
      <c r="BN74" s="97">
        <v>47</v>
      </c>
      <c r="BO74" s="97">
        <v>28</v>
      </c>
      <c r="BP74" s="97">
        <v>82</v>
      </c>
      <c r="BQ74" s="97">
        <v>478.5</v>
      </c>
      <c r="BR74" s="97">
        <v>14</v>
      </c>
      <c r="BS74" s="97">
        <v>71</v>
      </c>
    </row>
    <row r="75" spans="1:71" ht="15" customHeight="1">
      <c r="A75" s="97" t="s">
        <v>2899</v>
      </c>
      <c r="B75" s="97" t="s">
        <v>2899</v>
      </c>
      <c r="C75" s="97" t="s">
        <v>193</v>
      </c>
      <c r="D75" s="97" t="s">
        <v>3198</v>
      </c>
      <c r="E75" s="97" t="s">
        <v>38</v>
      </c>
      <c r="F75" s="97">
        <v>105</v>
      </c>
      <c r="G75" s="97">
        <v>16</v>
      </c>
      <c r="H75" s="97">
        <v>325</v>
      </c>
      <c r="I75" s="97">
        <v>99</v>
      </c>
      <c r="J75" s="97">
        <v>3</v>
      </c>
      <c r="K75" s="97">
        <v>93</v>
      </c>
      <c r="L75" s="97">
        <v>114</v>
      </c>
      <c r="M75" s="97">
        <v>3</v>
      </c>
      <c r="N75" s="97">
        <v>67</v>
      </c>
      <c r="O75" s="97">
        <v>95</v>
      </c>
      <c r="P75" s="97">
        <v>3</v>
      </c>
      <c r="Q75" s="97">
        <v>50</v>
      </c>
      <c r="R75" s="97">
        <v>62</v>
      </c>
      <c r="S75" s="97">
        <v>9</v>
      </c>
      <c r="T75" s="97">
        <v>277</v>
      </c>
      <c r="U75" s="97">
        <v>83</v>
      </c>
      <c r="V75" s="97">
        <v>5</v>
      </c>
      <c r="W75" s="97">
        <v>145</v>
      </c>
      <c r="X75" s="97">
        <v>74</v>
      </c>
      <c r="Y75" s="97">
        <v>9</v>
      </c>
      <c r="Z75" s="97">
        <v>326</v>
      </c>
      <c r="AA75" s="97">
        <v>56</v>
      </c>
      <c r="AB75" s="97">
        <v>18</v>
      </c>
      <c r="AC75" s="97">
        <v>352</v>
      </c>
      <c r="AD75" s="97">
        <v>66</v>
      </c>
      <c r="AE75" s="97">
        <v>27</v>
      </c>
      <c r="AF75" s="97">
        <v>511</v>
      </c>
      <c r="AG75" s="97">
        <v>558</v>
      </c>
      <c r="AH75" s="97">
        <v>2</v>
      </c>
      <c r="AI75" s="97">
        <v>71</v>
      </c>
      <c r="AK75" s="97" t="s">
        <v>3069</v>
      </c>
      <c r="AL75" s="97" t="s">
        <v>3069</v>
      </c>
      <c r="AM75" s="97" t="s">
        <v>3052</v>
      </c>
      <c r="AN75" s="97" t="s">
        <v>3199</v>
      </c>
      <c r="AO75" s="97" t="s">
        <v>52</v>
      </c>
      <c r="AP75" s="97">
        <v>103</v>
      </c>
      <c r="AQ75" s="97">
        <v>22</v>
      </c>
      <c r="AR75" s="97">
        <v>82</v>
      </c>
      <c r="AS75" s="97">
        <v>86.5</v>
      </c>
      <c r="AT75" s="97">
        <v>32</v>
      </c>
      <c r="AU75" s="97">
        <v>96</v>
      </c>
      <c r="AV75" s="97">
        <v>76</v>
      </c>
      <c r="AW75" s="97">
        <v>3</v>
      </c>
      <c r="AX75" s="97">
        <v>23</v>
      </c>
      <c r="AY75" s="97">
        <v>63</v>
      </c>
      <c r="AZ75" s="97">
        <v>16</v>
      </c>
      <c r="BA75" s="97">
        <v>81</v>
      </c>
      <c r="BB75" s="97">
        <v>67</v>
      </c>
      <c r="BC75" s="97">
        <v>18</v>
      </c>
      <c r="BD75" s="97">
        <v>60</v>
      </c>
      <c r="BE75" s="97">
        <v>81</v>
      </c>
      <c r="BF75" s="97">
        <v>18</v>
      </c>
      <c r="BG75" s="97">
        <v>80</v>
      </c>
      <c r="BH75" s="97">
        <v>46</v>
      </c>
      <c r="BI75" s="97">
        <v>10</v>
      </c>
      <c r="BJ75" s="97">
        <v>40</v>
      </c>
      <c r="BK75" s="97">
        <v>57</v>
      </c>
      <c r="BL75" s="97">
        <v>30</v>
      </c>
      <c r="BM75" s="97">
        <v>97</v>
      </c>
      <c r="BN75" s="97">
        <v>35</v>
      </c>
      <c r="BO75" s="97">
        <v>40</v>
      </c>
      <c r="BP75" s="97">
        <v>126</v>
      </c>
      <c r="BQ75" s="97">
        <v>476.5</v>
      </c>
      <c r="BR75" s="97">
        <v>14</v>
      </c>
      <c r="BS75" s="97">
        <v>72</v>
      </c>
    </row>
    <row r="76" spans="1:71" ht="15" customHeight="1">
      <c r="A76" s="97" t="s">
        <v>1547</v>
      </c>
      <c r="B76" s="97" t="s">
        <v>1547</v>
      </c>
      <c r="C76" s="97" t="s">
        <v>8</v>
      </c>
      <c r="D76" s="97" t="s">
        <v>3198</v>
      </c>
      <c r="E76" s="97" t="s">
        <v>10</v>
      </c>
      <c r="F76" s="97">
        <v>116</v>
      </c>
      <c r="G76" s="97">
        <v>8</v>
      </c>
      <c r="H76" s="97">
        <v>47</v>
      </c>
      <c r="I76" s="97">
        <v>81</v>
      </c>
      <c r="J76" s="97">
        <v>50</v>
      </c>
      <c r="K76" s="97">
        <v>309</v>
      </c>
      <c r="L76" s="97">
        <v>120</v>
      </c>
      <c r="M76" s="97">
        <v>13</v>
      </c>
      <c r="N76" s="97">
        <v>30</v>
      </c>
      <c r="O76" s="97">
        <v>81</v>
      </c>
      <c r="P76" s="97">
        <v>49</v>
      </c>
      <c r="Q76" s="97">
        <v>195</v>
      </c>
      <c r="R76" s="97">
        <v>72</v>
      </c>
      <c r="S76" s="97">
        <v>39</v>
      </c>
      <c r="T76" s="97">
        <v>115</v>
      </c>
      <c r="U76" s="97">
        <v>87</v>
      </c>
      <c r="V76" s="97">
        <v>30</v>
      </c>
      <c r="W76" s="97">
        <v>57</v>
      </c>
      <c r="X76" s="97">
        <v>68</v>
      </c>
      <c r="Y76" s="97">
        <v>43</v>
      </c>
      <c r="Z76" s="97">
        <v>541</v>
      </c>
      <c r="AA76" s="97">
        <v>59</v>
      </c>
      <c r="AB76" s="97">
        <v>43</v>
      </c>
      <c r="AC76" s="97">
        <v>233</v>
      </c>
      <c r="AD76" s="97">
        <v>82</v>
      </c>
      <c r="AE76" s="97">
        <v>11</v>
      </c>
      <c r="AF76" s="97">
        <v>31</v>
      </c>
      <c r="AG76" s="97">
        <v>557</v>
      </c>
      <c r="AH76" s="97">
        <v>44</v>
      </c>
      <c r="AI76" s="97">
        <v>73</v>
      </c>
      <c r="AK76" s="97" t="s">
        <v>3185</v>
      </c>
      <c r="AL76" s="97" t="s">
        <v>3185</v>
      </c>
      <c r="AM76" s="97" t="s">
        <v>3186</v>
      </c>
      <c r="AN76" s="97" t="s">
        <v>3199</v>
      </c>
      <c r="AO76" s="97" t="s">
        <v>25</v>
      </c>
      <c r="AP76" s="97">
        <v>105</v>
      </c>
      <c r="AQ76" s="97">
        <v>21</v>
      </c>
      <c r="AR76" s="97">
        <v>75</v>
      </c>
      <c r="AS76" s="97">
        <v>109.5</v>
      </c>
      <c r="AT76" s="97">
        <v>3</v>
      </c>
      <c r="AU76" s="97">
        <v>28</v>
      </c>
      <c r="AV76" s="97">
        <v>62</v>
      </c>
      <c r="AW76" s="97">
        <v>33</v>
      </c>
      <c r="AX76" s="97">
        <v>98</v>
      </c>
      <c r="AY76" s="97">
        <v>66</v>
      </c>
      <c r="AZ76" s="97">
        <v>15</v>
      </c>
      <c r="BA76" s="97">
        <v>60</v>
      </c>
      <c r="BB76" s="97">
        <v>66</v>
      </c>
      <c r="BC76" s="97">
        <v>11</v>
      </c>
      <c r="BD76" s="97">
        <v>67</v>
      </c>
      <c r="BE76" s="97">
        <v>64</v>
      </c>
      <c r="BF76" s="97">
        <v>29</v>
      </c>
      <c r="BG76" s="97">
        <v>109</v>
      </c>
      <c r="BH76" s="97">
        <v>36</v>
      </c>
      <c r="BI76" s="97">
        <v>34</v>
      </c>
      <c r="BJ76" s="97">
        <v>105</v>
      </c>
      <c r="BK76" s="97">
        <v>64</v>
      </c>
      <c r="BL76" s="97">
        <v>17</v>
      </c>
      <c r="BM76" s="97">
        <v>58</v>
      </c>
      <c r="BN76" s="97">
        <v>54</v>
      </c>
      <c r="BO76" s="97">
        <v>11</v>
      </c>
      <c r="BP76" s="97">
        <v>27</v>
      </c>
      <c r="BQ76" s="97">
        <v>472.5</v>
      </c>
      <c r="BR76" s="97">
        <v>15</v>
      </c>
      <c r="BS76" s="97">
        <v>73</v>
      </c>
    </row>
    <row r="77" spans="1:71" ht="15" customHeight="1">
      <c r="A77" s="97" t="s">
        <v>1556</v>
      </c>
      <c r="B77" s="97" t="s">
        <v>1556</v>
      </c>
      <c r="C77" s="97" t="s">
        <v>22</v>
      </c>
      <c r="D77" s="97" t="s">
        <v>3198</v>
      </c>
      <c r="E77" s="97" t="s">
        <v>10</v>
      </c>
      <c r="F77" s="97">
        <v>102</v>
      </c>
      <c r="G77" s="97">
        <v>44</v>
      </c>
      <c r="H77" s="97">
        <v>442</v>
      </c>
      <c r="I77" s="97">
        <v>91</v>
      </c>
      <c r="J77" s="97">
        <v>39</v>
      </c>
      <c r="K77" s="97">
        <v>176</v>
      </c>
      <c r="L77" s="97">
        <v>106</v>
      </c>
      <c r="M77" s="97">
        <v>36</v>
      </c>
      <c r="N77" s="97">
        <v>162</v>
      </c>
      <c r="O77" s="97">
        <v>86</v>
      </c>
      <c r="P77" s="97">
        <v>46</v>
      </c>
      <c r="Q77" s="97">
        <v>126</v>
      </c>
      <c r="R77" s="97">
        <v>79</v>
      </c>
      <c r="S77" s="97">
        <v>26</v>
      </c>
      <c r="T77" s="97">
        <v>49</v>
      </c>
      <c r="U77" s="97">
        <v>91</v>
      </c>
      <c r="V77" s="97">
        <v>5</v>
      </c>
      <c r="W77" s="97">
        <v>12</v>
      </c>
      <c r="X77" s="97">
        <v>81</v>
      </c>
      <c r="Y77" s="97">
        <v>20</v>
      </c>
      <c r="Z77" s="97">
        <v>124</v>
      </c>
      <c r="AA77" s="97">
        <v>67</v>
      </c>
      <c r="AB77" s="97">
        <v>23</v>
      </c>
      <c r="AC77" s="97">
        <v>66</v>
      </c>
      <c r="AD77" s="97">
        <v>72</v>
      </c>
      <c r="AE77" s="97">
        <v>39</v>
      </c>
      <c r="AF77" s="97">
        <v>256</v>
      </c>
      <c r="AG77" s="97">
        <v>555</v>
      </c>
      <c r="AH77" s="97">
        <v>45</v>
      </c>
      <c r="AI77" s="97">
        <v>74</v>
      </c>
      <c r="AK77" s="97" t="s">
        <v>3100</v>
      </c>
      <c r="AL77" s="97" t="s">
        <v>3100</v>
      </c>
      <c r="AM77" s="97" t="s">
        <v>161</v>
      </c>
      <c r="AN77" s="97" t="s">
        <v>3199</v>
      </c>
      <c r="AO77" s="97" t="s">
        <v>52</v>
      </c>
      <c r="AP77" s="97">
        <v>99</v>
      </c>
      <c r="AQ77" s="97">
        <v>31</v>
      </c>
      <c r="AR77" s="97">
        <v>102</v>
      </c>
      <c r="AS77" s="97">
        <v>90.5</v>
      </c>
      <c r="AT77" s="97">
        <v>23</v>
      </c>
      <c r="AU77" s="97">
        <v>80</v>
      </c>
      <c r="AV77" s="97">
        <v>72</v>
      </c>
      <c r="AW77" s="97">
        <v>7</v>
      </c>
      <c r="AX77" s="97">
        <v>41</v>
      </c>
      <c r="AY77" s="97">
        <v>64</v>
      </c>
      <c r="AZ77" s="97">
        <v>15</v>
      </c>
      <c r="BA77" s="97">
        <v>77</v>
      </c>
      <c r="BB77" s="97">
        <v>64</v>
      </c>
      <c r="BC77" s="97">
        <v>26</v>
      </c>
      <c r="BD77" s="97">
        <v>82</v>
      </c>
      <c r="BE77" s="97">
        <v>82</v>
      </c>
      <c r="BF77" s="97">
        <v>17</v>
      </c>
      <c r="BG77" s="97">
        <v>79</v>
      </c>
      <c r="BH77" s="97">
        <v>48</v>
      </c>
      <c r="BI77" s="97">
        <v>6</v>
      </c>
      <c r="BJ77" s="97">
        <v>26</v>
      </c>
      <c r="BK77" s="97">
        <v>63</v>
      </c>
      <c r="BL77" s="97">
        <v>19</v>
      </c>
      <c r="BM77" s="97">
        <v>63</v>
      </c>
      <c r="BN77" s="97">
        <v>58</v>
      </c>
      <c r="BO77" s="97">
        <v>3</v>
      </c>
      <c r="BP77" s="97">
        <v>11</v>
      </c>
      <c r="BQ77" s="97">
        <v>471.5</v>
      </c>
      <c r="BR77" s="97">
        <v>15</v>
      </c>
      <c r="BS77" s="97">
        <v>74</v>
      </c>
    </row>
    <row r="78" spans="1:71" ht="15" customHeight="1">
      <c r="A78" s="97" t="s">
        <v>1637</v>
      </c>
      <c r="B78" s="97" t="s">
        <v>1637</v>
      </c>
      <c r="C78" s="97" t="s">
        <v>184</v>
      </c>
      <c r="D78" s="97" t="s">
        <v>3198</v>
      </c>
      <c r="E78" s="97" t="s">
        <v>9</v>
      </c>
      <c r="F78" s="97">
        <v>113</v>
      </c>
      <c r="G78" s="97">
        <v>8</v>
      </c>
      <c r="H78" s="97">
        <v>95</v>
      </c>
      <c r="I78" s="97">
        <v>89</v>
      </c>
      <c r="J78" s="97">
        <v>31</v>
      </c>
      <c r="K78" s="97">
        <v>196</v>
      </c>
      <c r="L78" s="97">
        <v>133.5</v>
      </c>
      <c r="M78" s="97">
        <v>1</v>
      </c>
      <c r="N78" s="97">
        <v>2</v>
      </c>
      <c r="O78" s="97">
        <v>82</v>
      </c>
      <c r="P78" s="97">
        <v>22</v>
      </c>
      <c r="Q78" s="97">
        <v>174</v>
      </c>
      <c r="R78" s="97">
        <v>63</v>
      </c>
      <c r="S78" s="97">
        <v>47</v>
      </c>
      <c r="T78" s="97">
        <v>262</v>
      </c>
      <c r="U78" s="97">
        <v>74</v>
      </c>
      <c r="V78" s="97">
        <v>46</v>
      </c>
      <c r="W78" s="97">
        <v>366</v>
      </c>
      <c r="X78" s="97">
        <v>73</v>
      </c>
      <c r="Y78" s="97">
        <v>36</v>
      </c>
      <c r="Z78" s="97">
        <v>359</v>
      </c>
      <c r="AA78" s="97">
        <v>62</v>
      </c>
      <c r="AB78" s="97">
        <v>26</v>
      </c>
      <c r="AC78" s="97">
        <v>146</v>
      </c>
      <c r="AD78" s="97">
        <v>68</v>
      </c>
      <c r="AE78" s="97">
        <v>36</v>
      </c>
      <c r="AF78" s="97">
        <v>412</v>
      </c>
      <c r="AG78" s="97">
        <v>554.5</v>
      </c>
      <c r="AH78" s="97">
        <v>17</v>
      </c>
      <c r="AI78" s="97">
        <v>75</v>
      </c>
      <c r="AK78" s="97" t="s">
        <v>3093</v>
      </c>
      <c r="AL78" s="97" t="s">
        <v>3093</v>
      </c>
      <c r="AM78" s="97" t="s">
        <v>166</v>
      </c>
      <c r="AN78" s="97" t="s">
        <v>3199</v>
      </c>
      <c r="AO78" s="97" t="s">
        <v>52</v>
      </c>
      <c r="AP78" s="97">
        <v>112</v>
      </c>
      <c r="AQ78" s="97">
        <v>8</v>
      </c>
      <c r="AR78" s="97">
        <v>31</v>
      </c>
      <c r="AS78" s="97">
        <v>107</v>
      </c>
      <c r="AT78" s="97">
        <v>6</v>
      </c>
      <c r="AU78" s="97">
        <v>34</v>
      </c>
      <c r="AV78" s="97">
        <v>54</v>
      </c>
      <c r="AW78" s="97">
        <v>39</v>
      </c>
      <c r="AX78" s="97">
        <v>124</v>
      </c>
      <c r="AY78" s="97">
        <v>59</v>
      </c>
      <c r="AZ78" s="97">
        <v>29</v>
      </c>
      <c r="BA78" s="97">
        <v>104</v>
      </c>
      <c r="BB78" s="97">
        <v>71</v>
      </c>
      <c r="BC78" s="97">
        <v>11</v>
      </c>
      <c r="BD78" s="97">
        <v>43</v>
      </c>
      <c r="BE78" s="97">
        <v>68</v>
      </c>
      <c r="BF78" s="97">
        <v>31</v>
      </c>
      <c r="BG78" s="97">
        <v>102</v>
      </c>
      <c r="BH78" s="97">
        <v>31</v>
      </c>
      <c r="BI78" s="97">
        <v>38</v>
      </c>
      <c r="BJ78" s="97">
        <v>124</v>
      </c>
      <c r="BK78" s="97">
        <v>45</v>
      </c>
      <c r="BL78" s="97">
        <v>44</v>
      </c>
      <c r="BM78" s="97">
        <v>129</v>
      </c>
      <c r="BN78" s="97">
        <v>42</v>
      </c>
      <c r="BO78" s="97">
        <v>36</v>
      </c>
      <c r="BP78" s="97">
        <v>112</v>
      </c>
      <c r="BQ78" s="97">
        <v>471</v>
      </c>
      <c r="BR78" s="97">
        <v>16</v>
      </c>
      <c r="BS78" s="97">
        <v>75</v>
      </c>
    </row>
    <row r="79" spans="1:71" ht="15" customHeight="1">
      <c r="A79" s="97" t="s">
        <v>807</v>
      </c>
      <c r="B79" s="97" t="s">
        <v>807</v>
      </c>
      <c r="C79" s="97" t="s">
        <v>808</v>
      </c>
      <c r="D79" s="97" t="s">
        <v>3198</v>
      </c>
      <c r="E79" s="97" t="s">
        <v>117</v>
      </c>
      <c r="F79" s="97">
        <v>104</v>
      </c>
      <c r="G79" s="97">
        <v>16</v>
      </c>
      <c r="H79" s="97">
        <v>357</v>
      </c>
      <c r="I79" s="97">
        <v>118</v>
      </c>
      <c r="J79" s="97">
        <v>1</v>
      </c>
      <c r="K79" s="97">
        <v>17</v>
      </c>
      <c r="L79" s="97">
        <v>76.5</v>
      </c>
      <c r="M79" s="97">
        <v>45</v>
      </c>
      <c r="N79" s="97">
        <v>750</v>
      </c>
      <c r="O79" s="97">
        <v>100</v>
      </c>
      <c r="P79" s="97">
        <v>2</v>
      </c>
      <c r="Q79" s="97">
        <v>19</v>
      </c>
      <c r="R79" s="97">
        <v>80</v>
      </c>
      <c r="S79" s="97">
        <v>1</v>
      </c>
      <c r="T79" s="97">
        <v>44</v>
      </c>
      <c r="U79" s="97">
        <v>76</v>
      </c>
      <c r="V79" s="97">
        <v>10</v>
      </c>
      <c r="W79" s="97">
        <v>308</v>
      </c>
      <c r="X79" s="97">
        <v>55</v>
      </c>
      <c r="Y79" s="97">
        <v>51</v>
      </c>
      <c r="Z79" s="97">
        <v>868</v>
      </c>
      <c r="AA79" s="97">
        <v>59</v>
      </c>
      <c r="AB79" s="97">
        <v>12</v>
      </c>
      <c r="AC79" s="97">
        <v>233</v>
      </c>
      <c r="AD79" s="97">
        <v>68</v>
      </c>
      <c r="AE79" s="97">
        <v>24</v>
      </c>
      <c r="AF79" s="97">
        <v>412</v>
      </c>
      <c r="AG79" s="97">
        <v>554.5</v>
      </c>
      <c r="AH79" s="97">
        <v>2</v>
      </c>
      <c r="AI79" s="97">
        <v>75</v>
      </c>
      <c r="AK79" s="97" t="s">
        <v>3440</v>
      </c>
      <c r="AL79" s="97" t="s">
        <v>3440</v>
      </c>
      <c r="AM79" s="97" t="s">
        <v>3178</v>
      </c>
      <c r="AN79" s="97" t="s">
        <v>3199</v>
      </c>
      <c r="AO79" s="97" t="s">
        <v>12</v>
      </c>
      <c r="AP79" s="97">
        <v>97</v>
      </c>
      <c r="AQ79" s="97">
        <v>45</v>
      </c>
      <c r="AR79" s="97">
        <v>114</v>
      </c>
      <c r="AS79" s="97">
        <v>113.5</v>
      </c>
      <c r="AT79" s="97">
        <v>15</v>
      </c>
      <c r="AU79" s="97">
        <v>19</v>
      </c>
      <c r="AV79" s="97">
        <v>56</v>
      </c>
      <c r="AW79" s="97">
        <v>46</v>
      </c>
      <c r="AX79" s="97">
        <v>117</v>
      </c>
      <c r="AY79" s="97">
        <v>69</v>
      </c>
      <c r="AZ79" s="97">
        <v>32</v>
      </c>
      <c r="BA79" s="97">
        <v>47</v>
      </c>
      <c r="BB79" s="97">
        <v>62</v>
      </c>
      <c r="BC79" s="97">
        <v>44</v>
      </c>
      <c r="BD79" s="97">
        <v>90</v>
      </c>
      <c r="BE79" s="97">
        <v>70</v>
      </c>
      <c r="BF79" s="97">
        <v>46</v>
      </c>
      <c r="BG79" s="97">
        <v>98</v>
      </c>
      <c r="BH79" s="97">
        <v>32</v>
      </c>
      <c r="BI79" s="97">
        <v>44</v>
      </c>
      <c r="BJ79" s="97">
        <v>118</v>
      </c>
      <c r="BK79" s="97">
        <v>63</v>
      </c>
      <c r="BL79" s="97">
        <v>27</v>
      </c>
      <c r="BM79" s="97">
        <v>63</v>
      </c>
      <c r="BN79" s="97">
        <v>38</v>
      </c>
      <c r="BO79" s="97">
        <v>43</v>
      </c>
      <c r="BP79" s="97">
        <v>123</v>
      </c>
      <c r="BQ79" s="97">
        <v>467.5</v>
      </c>
      <c r="BR79" s="97">
        <v>45</v>
      </c>
      <c r="BS79" s="97">
        <v>76</v>
      </c>
    </row>
    <row r="80" spans="1:71" ht="15" customHeight="1">
      <c r="A80" s="97" t="s">
        <v>1666</v>
      </c>
      <c r="B80" s="97" t="s">
        <v>1666</v>
      </c>
      <c r="C80" s="97" t="s">
        <v>1223</v>
      </c>
      <c r="D80" s="97" t="s">
        <v>3198</v>
      </c>
      <c r="E80" s="97" t="s">
        <v>9</v>
      </c>
      <c r="F80" s="97">
        <v>101</v>
      </c>
      <c r="G80" s="97">
        <v>37</v>
      </c>
      <c r="H80" s="97">
        <v>481</v>
      </c>
      <c r="I80" s="97">
        <v>109</v>
      </c>
      <c r="J80" s="97">
        <v>5</v>
      </c>
      <c r="K80" s="97">
        <v>42</v>
      </c>
      <c r="L80" s="97">
        <v>98</v>
      </c>
      <c r="M80" s="97">
        <v>42</v>
      </c>
      <c r="N80" s="97">
        <v>294</v>
      </c>
      <c r="O80" s="97">
        <v>87</v>
      </c>
      <c r="P80" s="97">
        <v>15</v>
      </c>
      <c r="Q80" s="97">
        <v>114</v>
      </c>
      <c r="R80" s="97">
        <v>79</v>
      </c>
      <c r="S80" s="97">
        <v>13</v>
      </c>
      <c r="T80" s="97">
        <v>49</v>
      </c>
      <c r="U80" s="97">
        <v>80</v>
      </c>
      <c r="V80" s="97">
        <v>33</v>
      </c>
      <c r="W80" s="97">
        <v>205</v>
      </c>
      <c r="X80" s="97">
        <v>78</v>
      </c>
      <c r="Y80" s="97">
        <v>27</v>
      </c>
      <c r="Z80" s="97">
        <v>209</v>
      </c>
      <c r="AA80" s="97">
        <v>48</v>
      </c>
      <c r="AB80" s="97">
        <v>49</v>
      </c>
      <c r="AC80" s="97">
        <v>671</v>
      </c>
      <c r="AD80" s="97">
        <v>51</v>
      </c>
      <c r="AE80" s="97">
        <v>50</v>
      </c>
      <c r="AF80" s="97">
        <v>890</v>
      </c>
      <c r="AG80" s="97">
        <v>554</v>
      </c>
      <c r="AH80" s="97">
        <v>18</v>
      </c>
      <c r="AI80" s="97">
        <v>77</v>
      </c>
      <c r="AK80" s="97" t="s">
        <v>2982</v>
      </c>
      <c r="AL80" s="97" t="s">
        <v>2982</v>
      </c>
      <c r="AM80" s="97" t="s">
        <v>58</v>
      </c>
      <c r="AN80" s="97" t="s">
        <v>3199</v>
      </c>
      <c r="AO80" s="97" t="s">
        <v>12</v>
      </c>
      <c r="AP80" s="97">
        <v>116</v>
      </c>
      <c r="AQ80" s="97">
        <v>12</v>
      </c>
      <c r="AR80" s="97">
        <v>17</v>
      </c>
      <c r="AS80" s="97"/>
      <c r="AT80" s="97" t="s">
        <v>3291</v>
      </c>
      <c r="AU80" s="97" t="s">
        <v>3291</v>
      </c>
      <c r="AV80" s="97">
        <v>78</v>
      </c>
      <c r="AW80" s="97">
        <v>14</v>
      </c>
      <c r="AX80" s="97">
        <v>16</v>
      </c>
      <c r="AY80" s="97">
        <v>71</v>
      </c>
      <c r="AZ80" s="97">
        <v>30</v>
      </c>
      <c r="BA80" s="97">
        <v>41</v>
      </c>
      <c r="BB80" s="97">
        <v>77</v>
      </c>
      <c r="BC80" s="97">
        <v>9</v>
      </c>
      <c r="BD80" s="97">
        <v>13</v>
      </c>
      <c r="BE80" s="97">
        <v>124</v>
      </c>
      <c r="BF80" s="97">
        <v>6</v>
      </c>
      <c r="BG80" s="97">
        <v>7</v>
      </c>
      <c r="BH80" s="97">
        <v>75</v>
      </c>
      <c r="BI80" s="97">
        <v>1</v>
      </c>
      <c r="BJ80" s="97">
        <v>1</v>
      </c>
      <c r="BK80" s="97">
        <v>90</v>
      </c>
      <c r="BL80" s="97">
        <v>1</v>
      </c>
      <c r="BM80" s="97">
        <v>1</v>
      </c>
      <c r="BN80" s="97">
        <v>69</v>
      </c>
      <c r="BO80" s="97">
        <v>1</v>
      </c>
      <c r="BP80" s="97">
        <v>1</v>
      </c>
      <c r="BQ80" s="97">
        <v>466</v>
      </c>
      <c r="BR80" s="97">
        <v>46</v>
      </c>
      <c r="BS80" s="97">
        <v>77</v>
      </c>
    </row>
    <row r="81" spans="1:71" ht="15" customHeight="1">
      <c r="A81" s="97" t="s">
        <v>608</v>
      </c>
      <c r="B81" s="97" t="s">
        <v>608</v>
      </c>
      <c r="C81" s="97" t="s">
        <v>40</v>
      </c>
      <c r="D81" s="97" t="s">
        <v>3198</v>
      </c>
      <c r="E81" s="97" t="s">
        <v>17</v>
      </c>
      <c r="F81" s="97">
        <v>100</v>
      </c>
      <c r="G81" s="97">
        <v>30</v>
      </c>
      <c r="H81" s="97">
        <v>528</v>
      </c>
      <c r="I81" s="97">
        <v>129</v>
      </c>
      <c r="J81" s="97">
        <v>1</v>
      </c>
      <c r="K81" s="97">
        <v>8</v>
      </c>
      <c r="L81" s="97">
        <v>76.5</v>
      </c>
      <c r="M81" s="97">
        <v>47</v>
      </c>
      <c r="N81" s="97">
        <v>750</v>
      </c>
      <c r="O81" s="97">
        <v>97</v>
      </c>
      <c r="P81" s="97">
        <v>1</v>
      </c>
      <c r="Q81" s="97">
        <v>37</v>
      </c>
      <c r="R81" s="97">
        <v>79</v>
      </c>
      <c r="S81" s="97">
        <v>4</v>
      </c>
      <c r="T81" s="97">
        <v>49</v>
      </c>
      <c r="U81" s="97">
        <v>72</v>
      </c>
      <c r="V81" s="97">
        <v>28</v>
      </c>
      <c r="W81" s="97">
        <v>433</v>
      </c>
      <c r="X81" s="97">
        <v>60</v>
      </c>
      <c r="Y81" s="97">
        <v>49</v>
      </c>
      <c r="Z81" s="97">
        <v>777</v>
      </c>
      <c r="AA81" s="97">
        <v>42</v>
      </c>
      <c r="AB81" s="97">
        <v>55</v>
      </c>
      <c r="AC81" s="97">
        <v>845</v>
      </c>
      <c r="AD81" s="97">
        <v>63</v>
      </c>
      <c r="AE81" s="97">
        <v>44</v>
      </c>
      <c r="AF81" s="97">
        <v>633</v>
      </c>
      <c r="AG81" s="97">
        <v>553.5</v>
      </c>
      <c r="AH81" s="97">
        <v>1</v>
      </c>
      <c r="AI81" s="97">
        <v>78</v>
      </c>
      <c r="AK81" s="97" t="s">
        <v>3280</v>
      </c>
      <c r="AL81" s="97" t="s">
        <v>3280</v>
      </c>
      <c r="AM81" s="97" t="s">
        <v>2940</v>
      </c>
      <c r="AN81" s="97" t="s">
        <v>3199</v>
      </c>
      <c r="AO81" s="97" t="s">
        <v>25</v>
      </c>
      <c r="AP81" s="97">
        <v>109</v>
      </c>
      <c r="AQ81" s="97">
        <v>11</v>
      </c>
      <c r="AR81" s="97">
        <v>46</v>
      </c>
      <c r="AS81" s="97">
        <v>75.5</v>
      </c>
      <c r="AT81" s="97">
        <v>37</v>
      </c>
      <c r="AU81" s="97">
        <v>124</v>
      </c>
      <c r="AV81" s="97">
        <v>63</v>
      </c>
      <c r="AW81" s="97">
        <v>32</v>
      </c>
      <c r="AX81" s="97">
        <v>93</v>
      </c>
      <c r="AY81" s="97">
        <v>70</v>
      </c>
      <c r="AZ81" s="97">
        <v>8</v>
      </c>
      <c r="BA81" s="97">
        <v>44</v>
      </c>
      <c r="BB81" s="97">
        <v>55</v>
      </c>
      <c r="BC81" s="97">
        <v>33</v>
      </c>
      <c r="BD81" s="97">
        <v>119</v>
      </c>
      <c r="BE81" s="97">
        <v>93</v>
      </c>
      <c r="BF81" s="97">
        <v>11</v>
      </c>
      <c r="BG81" s="97">
        <v>58</v>
      </c>
      <c r="BH81" s="97">
        <v>38</v>
      </c>
      <c r="BI81" s="97">
        <v>28</v>
      </c>
      <c r="BJ81" s="97">
        <v>91</v>
      </c>
      <c r="BK81" s="97">
        <v>59</v>
      </c>
      <c r="BL81" s="97">
        <v>24</v>
      </c>
      <c r="BM81" s="97">
        <v>84</v>
      </c>
      <c r="BN81" s="97">
        <v>47</v>
      </c>
      <c r="BO81" s="97">
        <v>28</v>
      </c>
      <c r="BP81" s="97">
        <v>82</v>
      </c>
      <c r="BQ81" s="97">
        <v>465.5</v>
      </c>
      <c r="BR81" s="97">
        <v>16</v>
      </c>
      <c r="BS81" s="97">
        <v>78</v>
      </c>
    </row>
    <row r="82" spans="1:71" ht="15" customHeight="1">
      <c r="A82" s="97" t="s">
        <v>1710</v>
      </c>
      <c r="B82" s="97" t="s">
        <v>1710</v>
      </c>
      <c r="C82" s="97" t="s">
        <v>191</v>
      </c>
      <c r="D82" s="97" t="s">
        <v>3198</v>
      </c>
      <c r="E82" s="97" t="s">
        <v>9</v>
      </c>
      <c r="F82" s="97">
        <v>99</v>
      </c>
      <c r="G82" s="97">
        <v>39</v>
      </c>
      <c r="H82" s="97">
        <v>571</v>
      </c>
      <c r="I82" s="97">
        <v>95</v>
      </c>
      <c r="J82" s="97">
        <v>20</v>
      </c>
      <c r="K82" s="97">
        <v>128</v>
      </c>
      <c r="L82" s="97">
        <v>109</v>
      </c>
      <c r="M82" s="97">
        <v>19</v>
      </c>
      <c r="N82" s="97">
        <v>114</v>
      </c>
      <c r="O82" s="97">
        <v>79</v>
      </c>
      <c r="P82" s="97">
        <v>33</v>
      </c>
      <c r="Q82" s="97">
        <v>228</v>
      </c>
      <c r="R82" s="97">
        <v>90</v>
      </c>
      <c r="S82" s="97">
        <v>1</v>
      </c>
      <c r="T82" s="97">
        <v>5</v>
      </c>
      <c r="U82" s="97">
        <v>81</v>
      </c>
      <c r="V82" s="97">
        <v>29</v>
      </c>
      <c r="W82" s="97">
        <v>183</v>
      </c>
      <c r="X82" s="97">
        <v>82</v>
      </c>
      <c r="Y82" s="97">
        <v>14</v>
      </c>
      <c r="Z82" s="97">
        <v>100</v>
      </c>
      <c r="AA82" s="97">
        <v>58</v>
      </c>
      <c r="AB82" s="97">
        <v>33</v>
      </c>
      <c r="AC82" s="97">
        <v>278</v>
      </c>
      <c r="AD82" s="97">
        <v>75</v>
      </c>
      <c r="AE82" s="97">
        <v>15</v>
      </c>
      <c r="AF82" s="97">
        <v>146</v>
      </c>
      <c r="AG82" s="97">
        <v>553</v>
      </c>
      <c r="AH82" s="97">
        <v>19</v>
      </c>
      <c r="AI82" s="97">
        <v>79</v>
      </c>
      <c r="AK82" s="97" t="s">
        <v>3269</v>
      </c>
      <c r="AL82" s="97" t="s">
        <v>3269</v>
      </c>
      <c r="AM82" s="97" t="s">
        <v>93</v>
      </c>
      <c r="AN82" s="97" t="s">
        <v>3199</v>
      </c>
      <c r="AO82" s="97" t="s">
        <v>25</v>
      </c>
      <c r="AP82" s="97">
        <v>106</v>
      </c>
      <c r="AQ82" s="97">
        <v>19</v>
      </c>
      <c r="AR82" s="97">
        <v>71</v>
      </c>
      <c r="AS82" s="97">
        <v>81.5</v>
      </c>
      <c r="AT82" s="97">
        <v>29</v>
      </c>
      <c r="AU82" s="97">
        <v>111</v>
      </c>
      <c r="AV82" s="97">
        <v>78</v>
      </c>
      <c r="AW82" s="97">
        <v>2</v>
      </c>
      <c r="AX82" s="97">
        <v>16</v>
      </c>
      <c r="AY82" s="97">
        <v>60</v>
      </c>
      <c r="AZ82" s="97">
        <v>26</v>
      </c>
      <c r="BA82" s="97">
        <v>96</v>
      </c>
      <c r="BB82" s="97">
        <v>59</v>
      </c>
      <c r="BC82" s="97">
        <v>25</v>
      </c>
      <c r="BD82" s="97">
        <v>105</v>
      </c>
      <c r="BE82" s="97">
        <v>78</v>
      </c>
      <c r="BF82" s="97">
        <v>23</v>
      </c>
      <c r="BG82" s="97">
        <v>88</v>
      </c>
      <c r="BH82" s="97">
        <v>36</v>
      </c>
      <c r="BI82" s="97">
        <v>34</v>
      </c>
      <c r="BJ82" s="97">
        <v>105</v>
      </c>
      <c r="BK82" s="97">
        <v>44</v>
      </c>
      <c r="BL82" s="97">
        <v>41</v>
      </c>
      <c r="BM82" s="97">
        <v>130</v>
      </c>
      <c r="BN82" s="97">
        <v>45</v>
      </c>
      <c r="BO82" s="97">
        <v>33</v>
      </c>
      <c r="BP82" s="97">
        <v>92</v>
      </c>
      <c r="BQ82" s="97">
        <v>462.5</v>
      </c>
      <c r="BR82" s="97">
        <v>17</v>
      </c>
      <c r="BS82" s="97">
        <v>79</v>
      </c>
    </row>
    <row r="83" spans="1:71" ht="15" customHeight="1">
      <c r="A83" s="97" t="s">
        <v>2135</v>
      </c>
      <c r="B83" s="97" t="s">
        <v>2135</v>
      </c>
      <c r="C83" s="97" t="s">
        <v>2136</v>
      </c>
      <c r="D83" s="97" t="s">
        <v>3198</v>
      </c>
      <c r="E83" s="97" t="s">
        <v>73</v>
      </c>
      <c r="F83" s="97">
        <v>95</v>
      </c>
      <c r="G83" s="97">
        <v>45</v>
      </c>
      <c r="H83" s="97">
        <v>710</v>
      </c>
      <c r="I83" s="97">
        <v>112</v>
      </c>
      <c r="J83" s="97">
        <v>1</v>
      </c>
      <c r="K83" s="97">
        <v>33</v>
      </c>
      <c r="L83" s="97">
        <v>78</v>
      </c>
      <c r="M83" s="97">
        <v>45</v>
      </c>
      <c r="N83" s="97">
        <v>722</v>
      </c>
      <c r="O83" s="97">
        <v>103</v>
      </c>
      <c r="P83" s="97">
        <v>1</v>
      </c>
      <c r="Q83" s="97">
        <v>9</v>
      </c>
      <c r="R83" s="97">
        <v>77</v>
      </c>
      <c r="S83" s="97">
        <v>3</v>
      </c>
      <c r="T83" s="97">
        <v>68</v>
      </c>
      <c r="U83" s="97">
        <v>88</v>
      </c>
      <c r="V83" s="97">
        <v>1</v>
      </c>
      <c r="W83" s="97">
        <v>44</v>
      </c>
      <c r="X83" s="97">
        <v>75</v>
      </c>
      <c r="Y83" s="97">
        <v>10</v>
      </c>
      <c r="Z83" s="97">
        <v>289</v>
      </c>
      <c r="AA83" s="97">
        <v>62</v>
      </c>
      <c r="AB83" s="97">
        <v>5</v>
      </c>
      <c r="AC83" s="97">
        <v>146</v>
      </c>
      <c r="AD83" s="97">
        <v>64</v>
      </c>
      <c r="AE83" s="97">
        <v>40</v>
      </c>
      <c r="AF83" s="97">
        <v>586</v>
      </c>
      <c r="AG83" s="97">
        <v>553</v>
      </c>
      <c r="AH83" s="97">
        <v>1</v>
      </c>
      <c r="AI83" s="97">
        <v>79</v>
      </c>
      <c r="AK83" s="97" t="s">
        <v>3297</v>
      </c>
      <c r="AL83" s="97" t="s">
        <v>3297</v>
      </c>
      <c r="AM83" s="97" t="s">
        <v>3106</v>
      </c>
      <c r="AN83" s="97" t="s">
        <v>3199</v>
      </c>
      <c r="AO83" s="97" t="s">
        <v>52</v>
      </c>
      <c r="AP83" s="97">
        <v>106</v>
      </c>
      <c r="AQ83" s="97">
        <v>20</v>
      </c>
      <c r="AR83" s="97">
        <v>71</v>
      </c>
      <c r="AS83" s="97">
        <v>93</v>
      </c>
      <c r="AT83" s="97">
        <v>20</v>
      </c>
      <c r="AU83" s="97">
        <v>74</v>
      </c>
      <c r="AV83" s="97">
        <v>63</v>
      </c>
      <c r="AW83" s="97">
        <v>21</v>
      </c>
      <c r="AX83" s="97">
        <v>93</v>
      </c>
      <c r="AY83" s="97">
        <v>65</v>
      </c>
      <c r="AZ83" s="97">
        <v>12</v>
      </c>
      <c r="BA83" s="97">
        <v>69</v>
      </c>
      <c r="BB83" s="97">
        <v>66</v>
      </c>
      <c r="BC83" s="97">
        <v>21</v>
      </c>
      <c r="BD83" s="97">
        <v>67</v>
      </c>
      <c r="BE83" s="97">
        <v>69</v>
      </c>
      <c r="BF83" s="97">
        <v>30</v>
      </c>
      <c r="BG83" s="97">
        <v>101</v>
      </c>
      <c r="BH83" s="97">
        <v>38</v>
      </c>
      <c r="BI83" s="97">
        <v>25</v>
      </c>
      <c r="BJ83" s="97">
        <v>91</v>
      </c>
      <c r="BK83" s="97">
        <v>65</v>
      </c>
      <c r="BL83" s="97">
        <v>15</v>
      </c>
      <c r="BM83" s="97">
        <v>53</v>
      </c>
      <c r="BN83" s="97">
        <v>52</v>
      </c>
      <c r="BO83" s="97">
        <v>13</v>
      </c>
      <c r="BP83" s="97">
        <v>43</v>
      </c>
      <c r="BQ83" s="97">
        <v>462</v>
      </c>
      <c r="BR83" s="97">
        <v>17</v>
      </c>
      <c r="BS83" s="97">
        <v>80</v>
      </c>
    </row>
    <row r="84" spans="1:71" ht="15" customHeight="1">
      <c r="A84" s="97" t="s">
        <v>1767</v>
      </c>
      <c r="B84" s="97" t="s">
        <v>1767</v>
      </c>
      <c r="C84" s="97" t="s">
        <v>2093</v>
      </c>
      <c r="D84" s="97" t="s">
        <v>3198</v>
      </c>
      <c r="E84" s="97" t="s">
        <v>9</v>
      </c>
      <c r="F84" s="97">
        <v>107</v>
      </c>
      <c r="G84" s="97">
        <v>21</v>
      </c>
      <c r="H84" s="97">
        <v>242</v>
      </c>
      <c r="I84" s="97">
        <v>91</v>
      </c>
      <c r="J84" s="97">
        <v>29</v>
      </c>
      <c r="K84" s="97">
        <v>176</v>
      </c>
      <c r="L84" s="97">
        <v>122</v>
      </c>
      <c r="M84" s="97">
        <v>5</v>
      </c>
      <c r="N84" s="97">
        <v>20</v>
      </c>
      <c r="O84" s="97">
        <v>75</v>
      </c>
      <c r="P84" s="97">
        <v>39</v>
      </c>
      <c r="Q84" s="97">
        <v>299</v>
      </c>
      <c r="R84" s="97">
        <v>70</v>
      </c>
      <c r="S84" s="97">
        <v>34</v>
      </c>
      <c r="T84" s="97">
        <v>136</v>
      </c>
      <c r="U84" s="97">
        <v>87</v>
      </c>
      <c r="V84" s="97">
        <v>10</v>
      </c>
      <c r="W84" s="97">
        <v>57</v>
      </c>
      <c r="X84" s="97">
        <v>88</v>
      </c>
      <c r="Y84" s="97">
        <v>4</v>
      </c>
      <c r="Z84" s="97">
        <v>15</v>
      </c>
      <c r="AA84" s="97">
        <v>72</v>
      </c>
      <c r="AB84" s="97">
        <v>8</v>
      </c>
      <c r="AC84" s="97">
        <v>25</v>
      </c>
      <c r="AD84" s="97">
        <v>78</v>
      </c>
      <c r="AE84" s="97">
        <v>12</v>
      </c>
      <c r="AF84" s="97">
        <v>86</v>
      </c>
      <c r="AG84" s="97">
        <v>552</v>
      </c>
      <c r="AH84" s="97">
        <v>20</v>
      </c>
      <c r="AI84" s="97">
        <v>81</v>
      </c>
      <c r="AK84" s="97" t="s">
        <v>3108</v>
      </c>
      <c r="AL84" s="97" t="s">
        <v>3108</v>
      </c>
      <c r="AM84" s="97" t="s">
        <v>3109</v>
      </c>
      <c r="AN84" s="97" t="s">
        <v>3199</v>
      </c>
      <c r="AO84" s="97" t="s">
        <v>25</v>
      </c>
      <c r="AP84" s="97">
        <v>108</v>
      </c>
      <c r="AQ84" s="97">
        <v>13</v>
      </c>
      <c r="AR84" s="97">
        <v>54</v>
      </c>
      <c r="AS84" s="97">
        <v>99</v>
      </c>
      <c r="AT84" s="97">
        <v>8</v>
      </c>
      <c r="AU84" s="97">
        <v>55</v>
      </c>
      <c r="AV84" s="97">
        <v>56</v>
      </c>
      <c r="AW84" s="97">
        <v>37</v>
      </c>
      <c r="AX84" s="97">
        <v>117</v>
      </c>
      <c r="AY84" s="97">
        <v>52</v>
      </c>
      <c r="AZ84" s="97">
        <v>37</v>
      </c>
      <c r="BA84" s="97">
        <v>120</v>
      </c>
      <c r="BB84" s="97">
        <v>65</v>
      </c>
      <c r="BC84" s="97">
        <v>13</v>
      </c>
      <c r="BD84" s="97">
        <v>77</v>
      </c>
      <c r="BE84" s="97">
        <v>81</v>
      </c>
      <c r="BF84" s="97">
        <v>18</v>
      </c>
      <c r="BG84" s="97">
        <v>80</v>
      </c>
      <c r="BH84" s="97">
        <v>38</v>
      </c>
      <c r="BI84" s="97">
        <v>28</v>
      </c>
      <c r="BJ84" s="97">
        <v>91</v>
      </c>
      <c r="BK84" s="97">
        <v>62</v>
      </c>
      <c r="BL84" s="97">
        <v>20</v>
      </c>
      <c r="BM84" s="97">
        <v>69</v>
      </c>
      <c r="BN84" s="97">
        <v>48</v>
      </c>
      <c r="BO84" s="97">
        <v>25</v>
      </c>
      <c r="BP84" s="97">
        <v>77</v>
      </c>
      <c r="BQ84" s="97">
        <v>461</v>
      </c>
      <c r="BR84" s="97">
        <v>18</v>
      </c>
      <c r="BS84" s="97">
        <v>81</v>
      </c>
    </row>
    <row r="85" spans="1:71" ht="15" customHeight="1">
      <c r="A85" s="97" t="s">
        <v>1531</v>
      </c>
      <c r="B85" s="97" t="s">
        <v>1531</v>
      </c>
      <c r="C85" s="97" t="s">
        <v>97</v>
      </c>
      <c r="D85" s="97" t="s">
        <v>3198</v>
      </c>
      <c r="E85" s="97" t="s">
        <v>10</v>
      </c>
      <c r="F85" s="97">
        <v>107</v>
      </c>
      <c r="G85" s="97">
        <v>29</v>
      </c>
      <c r="H85" s="97">
        <v>242</v>
      </c>
      <c r="I85" s="97">
        <v>83</v>
      </c>
      <c r="J85" s="97">
        <v>46</v>
      </c>
      <c r="K85" s="97">
        <v>267</v>
      </c>
      <c r="L85" s="97">
        <v>96</v>
      </c>
      <c r="M85" s="97">
        <v>47</v>
      </c>
      <c r="N85" s="97">
        <v>346</v>
      </c>
      <c r="O85" s="97">
        <v>90</v>
      </c>
      <c r="P85" s="97">
        <v>39</v>
      </c>
      <c r="Q85" s="97">
        <v>90</v>
      </c>
      <c r="R85" s="97">
        <v>89</v>
      </c>
      <c r="S85" s="97">
        <v>5</v>
      </c>
      <c r="T85" s="97">
        <v>8</v>
      </c>
      <c r="U85" s="97">
        <v>86</v>
      </c>
      <c r="V85" s="97">
        <v>34</v>
      </c>
      <c r="W85" s="97">
        <v>77</v>
      </c>
      <c r="X85" s="97">
        <v>81</v>
      </c>
      <c r="Y85" s="97">
        <v>20</v>
      </c>
      <c r="Z85" s="97">
        <v>124</v>
      </c>
      <c r="AA85" s="97">
        <v>67</v>
      </c>
      <c r="AB85" s="97">
        <v>23</v>
      </c>
      <c r="AC85" s="97">
        <v>66</v>
      </c>
      <c r="AD85" s="97">
        <v>70</v>
      </c>
      <c r="AE85" s="97">
        <v>42</v>
      </c>
      <c r="AF85" s="97">
        <v>327</v>
      </c>
      <c r="AG85" s="97">
        <v>551</v>
      </c>
      <c r="AH85" s="97">
        <v>46</v>
      </c>
      <c r="AI85" s="97">
        <v>82</v>
      </c>
      <c r="AK85" s="97" t="s">
        <v>3298</v>
      </c>
      <c r="AL85" s="97" t="s">
        <v>3298</v>
      </c>
      <c r="AM85" s="97" t="s">
        <v>132</v>
      </c>
      <c r="AN85" s="97" t="s">
        <v>3199</v>
      </c>
      <c r="AO85" s="97" t="s">
        <v>52</v>
      </c>
      <c r="AP85" s="97">
        <v>98</v>
      </c>
      <c r="AQ85" s="97">
        <v>34</v>
      </c>
      <c r="AR85" s="97">
        <v>109</v>
      </c>
      <c r="AS85" s="97">
        <v>126</v>
      </c>
      <c r="AT85" s="97">
        <v>1</v>
      </c>
      <c r="AU85" s="97">
        <v>3</v>
      </c>
      <c r="AV85" s="97">
        <v>72</v>
      </c>
      <c r="AW85" s="97">
        <v>7</v>
      </c>
      <c r="AX85" s="97">
        <v>41</v>
      </c>
      <c r="AY85" s="97">
        <v>50</v>
      </c>
      <c r="AZ85" s="97">
        <v>41</v>
      </c>
      <c r="BA85" s="97">
        <v>125</v>
      </c>
      <c r="BB85" s="97">
        <v>58</v>
      </c>
      <c r="BC85" s="97">
        <v>36</v>
      </c>
      <c r="BD85" s="97">
        <v>107</v>
      </c>
      <c r="BE85" s="97">
        <v>57</v>
      </c>
      <c r="BF85" s="97">
        <v>40</v>
      </c>
      <c r="BG85" s="97">
        <v>121</v>
      </c>
      <c r="BH85" s="97">
        <v>54</v>
      </c>
      <c r="BI85" s="97">
        <v>2</v>
      </c>
      <c r="BJ85" s="97">
        <v>11</v>
      </c>
      <c r="BK85" s="97">
        <v>69</v>
      </c>
      <c r="BL85" s="97">
        <v>6</v>
      </c>
      <c r="BM85" s="97">
        <v>26</v>
      </c>
      <c r="BN85" s="97">
        <v>63</v>
      </c>
      <c r="BO85" s="97">
        <v>1</v>
      </c>
      <c r="BP85" s="97">
        <v>2</v>
      </c>
      <c r="BQ85" s="97">
        <v>461</v>
      </c>
      <c r="BR85" s="97">
        <v>18</v>
      </c>
      <c r="BS85" s="97">
        <v>81</v>
      </c>
    </row>
    <row r="86" spans="1:71" ht="15" customHeight="1">
      <c r="A86" s="97" t="s">
        <v>1719</v>
      </c>
      <c r="B86" s="97" t="s">
        <v>1719</v>
      </c>
      <c r="C86" s="97" t="s">
        <v>114</v>
      </c>
      <c r="D86" s="97" t="s">
        <v>3198</v>
      </c>
      <c r="E86" s="97" t="s">
        <v>9</v>
      </c>
      <c r="F86" s="97">
        <v>113</v>
      </c>
      <c r="G86" s="97">
        <v>8</v>
      </c>
      <c r="H86" s="97">
        <v>95</v>
      </c>
      <c r="I86" s="97">
        <v>94</v>
      </c>
      <c r="J86" s="97">
        <v>22</v>
      </c>
      <c r="K86" s="97">
        <v>141</v>
      </c>
      <c r="L86" s="97">
        <v>128</v>
      </c>
      <c r="M86" s="97">
        <v>3</v>
      </c>
      <c r="N86" s="97">
        <v>6</v>
      </c>
      <c r="O86" s="97">
        <v>84</v>
      </c>
      <c r="P86" s="97">
        <v>18</v>
      </c>
      <c r="Q86" s="97">
        <v>147</v>
      </c>
      <c r="R86" s="97">
        <v>58</v>
      </c>
      <c r="S86" s="97">
        <v>49</v>
      </c>
      <c r="T86" s="97">
        <v>377</v>
      </c>
      <c r="U86" s="97">
        <v>73</v>
      </c>
      <c r="V86" s="97">
        <v>47</v>
      </c>
      <c r="W86" s="97">
        <v>393</v>
      </c>
      <c r="X86" s="97">
        <v>89</v>
      </c>
      <c r="Y86" s="97">
        <v>2</v>
      </c>
      <c r="Z86" s="97">
        <v>8</v>
      </c>
      <c r="AA86" s="97">
        <v>64</v>
      </c>
      <c r="AB86" s="97">
        <v>18</v>
      </c>
      <c r="AC86" s="97">
        <v>103</v>
      </c>
      <c r="AD86" s="97">
        <v>64</v>
      </c>
      <c r="AE86" s="97">
        <v>44</v>
      </c>
      <c r="AF86" s="97">
        <v>586</v>
      </c>
      <c r="AG86" s="97">
        <v>550</v>
      </c>
      <c r="AH86" s="97">
        <v>21</v>
      </c>
      <c r="AI86" s="97">
        <v>83</v>
      </c>
      <c r="AK86" s="97" t="s">
        <v>3051</v>
      </c>
      <c r="AL86" s="97" t="s">
        <v>3051</v>
      </c>
      <c r="AM86" s="97" t="s">
        <v>3040</v>
      </c>
      <c r="AN86" s="97" t="s">
        <v>3199</v>
      </c>
      <c r="AO86" s="97" t="s">
        <v>52</v>
      </c>
      <c r="AP86" s="97">
        <v>107</v>
      </c>
      <c r="AQ86" s="97">
        <v>18</v>
      </c>
      <c r="AR86" s="97">
        <v>68</v>
      </c>
      <c r="AS86" s="97">
        <v>84</v>
      </c>
      <c r="AT86" s="97">
        <v>36</v>
      </c>
      <c r="AU86" s="97">
        <v>105</v>
      </c>
      <c r="AV86" s="97">
        <v>69</v>
      </c>
      <c r="AW86" s="97">
        <v>13</v>
      </c>
      <c r="AX86" s="97">
        <v>64</v>
      </c>
      <c r="AY86" s="97">
        <v>67</v>
      </c>
      <c r="AZ86" s="97">
        <v>10</v>
      </c>
      <c r="BA86" s="97">
        <v>58</v>
      </c>
      <c r="BB86" s="97">
        <v>61</v>
      </c>
      <c r="BC86" s="97">
        <v>32</v>
      </c>
      <c r="BD86" s="97">
        <v>94</v>
      </c>
      <c r="BE86" s="97">
        <v>73</v>
      </c>
      <c r="BF86" s="97">
        <v>26</v>
      </c>
      <c r="BG86" s="97">
        <v>94</v>
      </c>
      <c r="BH86" s="97">
        <v>44</v>
      </c>
      <c r="BI86" s="97">
        <v>13</v>
      </c>
      <c r="BJ86" s="97">
        <v>55</v>
      </c>
      <c r="BK86" s="97">
        <v>65</v>
      </c>
      <c r="BL86" s="97">
        <v>15</v>
      </c>
      <c r="BM86" s="97">
        <v>53</v>
      </c>
      <c r="BN86" s="97">
        <v>47</v>
      </c>
      <c r="BO86" s="97">
        <v>25</v>
      </c>
      <c r="BP86" s="97">
        <v>82</v>
      </c>
      <c r="BQ86" s="97">
        <v>461</v>
      </c>
      <c r="BR86" s="97">
        <v>18</v>
      </c>
      <c r="BS86" s="97">
        <v>81</v>
      </c>
    </row>
    <row r="87" spans="1:71" ht="15" customHeight="1">
      <c r="A87" s="97" t="s">
        <v>1973</v>
      </c>
      <c r="B87" s="97" t="s">
        <v>1973</v>
      </c>
      <c r="C87" s="97" t="s">
        <v>1974</v>
      </c>
      <c r="D87" s="97" t="s">
        <v>3198</v>
      </c>
      <c r="E87" s="97" t="s">
        <v>109</v>
      </c>
      <c r="F87" s="97">
        <v>110</v>
      </c>
      <c r="G87" s="97">
        <v>10</v>
      </c>
      <c r="H87" s="97">
        <v>159</v>
      </c>
      <c r="I87" s="97">
        <v>92</v>
      </c>
      <c r="J87" s="97">
        <v>7</v>
      </c>
      <c r="K87" s="97">
        <v>166</v>
      </c>
      <c r="L87" s="97">
        <v>95</v>
      </c>
      <c r="M87" s="97">
        <v>21</v>
      </c>
      <c r="N87" s="97">
        <v>364</v>
      </c>
      <c r="O87" s="97">
        <v>90</v>
      </c>
      <c r="P87" s="97">
        <v>2</v>
      </c>
      <c r="Q87" s="97">
        <v>90</v>
      </c>
      <c r="R87" s="97">
        <v>70</v>
      </c>
      <c r="S87" s="97">
        <v>6</v>
      </c>
      <c r="T87" s="97">
        <v>136</v>
      </c>
      <c r="U87" s="97">
        <v>93</v>
      </c>
      <c r="V87" s="97">
        <v>1</v>
      </c>
      <c r="W87" s="97">
        <v>8</v>
      </c>
      <c r="X87" s="97">
        <v>58</v>
      </c>
      <c r="Y87" s="97">
        <v>45</v>
      </c>
      <c r="Z87" s="97">
        <v>820</v>
      </c>
      <c r="AA87" s="97">
        <v>47</v>
      </c>
      <c r="AB87" s="97">
        <v>38</v>
      </c>
      <c r="AC87" s="97">
        <v>719</v>
      </c>
      <c r="AD87" s="97">
        <v>49</v>
      </c>
      <c r="AE87" s="97">
        <v>56</v>
      </c>
      <c r="AF87" s="97">
        <v>904</v>
      </c>
      <c r="AG87" s="97">
        <v>550</v>
      </c>
      <c r="AH87" s="97">
        <v>1</v>
      </c>
      <c r="AI87" s="97">
        <v>83</v>
      </c>
      <c r="AK87" s="97" t="s">
        <v>3044</v>
      </c>
      <c r="AL87" s="97" t="s">
        <v>3044</v>
      </c>
      <c r="AM87" s="97" t="s">
        <v>3032</v>
      </c>
      <c r="AN87" s="97" t="s">
        <v>3199</v>
      </c>
      <c r="AO87" s="97" t="s">
        <v>52</v>
      </c>
      <c r="AP87" s="97">
        <v>94</v>
      </c>
      <c r="AQ87" s="97">
        <v>40</v>
      </c>
      <c r="AR87" s="97">
        <v>123</v>
      </c>
      <c r="AS87" s="97">
        <v>92</v>
      </c>
      <c r="AT87" s="97">
        <v>21</v>
      </c>
      <c r="AU87" s="97">
        <v>76</v>
      </c>
      <c r="AV87" s="97">
        <v>61</v>
      </c>
      <c r="AW87" s="97">
        <v>28</v>
      </c>
      <c r="AX87" s="97">
        <v>106</v>
      </c>
      <c r="AY87" s="97">
        <v>61</v>
      </c>
      <c r="AZ87" s="97">
        <v>21</v>
      </c>
      <c r="BA87" s="97">
        <v>89</v>
      </c>
      <c r="BB87" s="97">
        <v>70</v>
      </c>
      <c r="BC87" s="97">
        <v>14</v>
      </c>
      <c r="BD87" s="97">
        <v>50</v>
      </c>
      <c r="BE87" s="97">
        <v>83</v>
      </c>
      <c r="BF87" s="97">
        <v>13</v>
      </c>
      <c r="BG87" s="97">
        <v>72</v>
      </c>
      <c r="BH87" s="97">
        <v>38</v>
      </c>
      <c r="BI87" s="97">
        <v>25</v>
      </c>
      <c r="BJ87" s="97">
        <v>91</v>
      </c>
      <c r="BK87" s="97">
        <v>65</v>
      </c>
      <c r="BL87" s="97">
        <v>15</v>
      </c>
      <c r="BM87" s="97">
        <v>53</v>
      </c>
      <c r="BN87" s="97">
        <v>51</v>
      </c>
      <c r="BO87" s="97">
        <v>17</v>
      </c>
      <c r="BP87" s="97">
        <v>52</v>
      </c>
      <c r="BQ87" s="97">
        <v>461</v>
      </c>
      <c r="BR87" s="97">
        <v>18</v>
      </c>
      <c r="BS87" s="97">
        <v>81</v>
      </c>
    </row>
    <row r="88" spans="1:71" ht="15" customHeight="1">
      <c r="A88" s="97" t="s">
        <v>666</v>
      </c>
      <c r="B88" s="97" t="s">
        <v>666</v>
      </c>
      <c r="C88" s="97" t="s">
        <v>667</v>
      </c>
      <c r="D88" s="97" t="s">
        <v>3198</v>
      </c>
      <c r="E88" s="97" t="s">
        <v>17</v>
      </c>
      <c r="F88" s="97">
        <v>118</v>
      </c>
      <c r="G88" s="97">
        <v>2</v>
      </c>
      <c r="H88" s="97">
        <v>33</v>
      </c>
      <c r="I88" s="97">
        <v>116</v>
      </c>
      <c r="J88" s="97">
        <v>2</v>
      </c>
      <c r="K88" s="97">
        <v>22</v>
      </c>
      <c r="L88" s="97">
        <v>77.5</v>
      </c>
      <c r="M88" s="97">
        <v>45</v>
      </c>
      <c r="N88" s="97">
        <v>734</v>
      </c>
      <c r="O88" s="97">
        <v>79</v>
      </c>
      <c r="P88" s="97">
        <v>9</v>
      </c>
      <c r="Q88" s="97">
        <v>228</v>
      </c>
      <c r="R88" s="97">
        <v>80</v>
      </c>
      <c r="S88" s="97">
        <v>3</v>
      </c>
      <c r="T88" s="97">
        <v>44</v>
      </c>
      <c r="U88" s="97">
        <v>79</v>
      </c>
      <c r="V88" s="97">
        <v>8</v>
      </c>
      <c r="W88" s="97">
        <v>229</v>
      </c>
      <c r="X88" s="97">
        <v>83</v>
      </c>
      <c r="Y88" s="97">
        <v>7</v>
      </c>
      <c r="Z88" s="97">
        <v>79</v>
      </c>
      <c r="AA88" s="97">
        <v>69</v>
      </c>
      <c r="AB88" s="97">
        <v>1</v>
      </c>
      <c r="AC88" s="97">
        <v>43</v>
      </c>
      <c r="AD88" s="97">
        <v>82</v>
      </c>
      <c r="AE88" s="97">
        <v>2</v>
      </c>
      <c r="AF88" s="97">
        <v>31</v>
      </c>
      <c r="AG88" s="97">
        <v>549.5</v>
      </c>
      <c r="AH88" s="97">
        <v>2</v>
      </c>
      <c r="AI88" s="97">
        <v>85</v>
      </c>
      <c r="AK88" s="97" t="s">
        <v>3274</v>
      </c>
      <c r="AL88" s="97" t="s">
        <v>3274</v>
      </c>
      <c r="AM88" s="97" t="s">
        <v>2980</v>
      </c>
      <c r="AN88" s="97" t="s">
        <v>3199</v>
      </c>
      <c r="AO88" s="97" t="s">
        <v>25</v>
      </c>
      <c r="AP88" s="97">
        <v>114</v>
      </c>
      <c r="AQ88" s="97">
        <v>6</v>
      </c>
      <c r="AR88" s="97">
        <v>23</v>
      </c>
      <c r="AS88" s="97">
        <v>71.5</v>
      </c>
      <c r="AT88" s="97">
        <v>40</v>
      </c>
      <c r="AU88" s="97">
        <v>129</v>
      </c>
      <c r="AV88" s="97">
        <v>51</v>
      </c>
      <c r="AW88" s="97">
        <v>41</v>
      </c>
      <c r="AX88" s="97">
        <v>131</v>
      </c>
      <c r="AY88" s="97">
        <v>68</v>
      </c>
      <c r="AZ88" s="97">
        <v>12</v>
      </c>
      <c r="BA88" s="97">
        <v>52</v>
      </c>
      <c r="BB88" s="97">
        <v>58</v>
      </c>
      <c r="BC88" s="97">
        <v>26</v>
      </c>
      <c r="BD88" s="97">
        <v>107</v>
      </c>
      <c r="BE88" s="97">
        <v>97</v>
      </c>
      <c r="BF88" s="97">
        <v>9</v>
      </c>
      <c r="BG88" s="97">
        <v>50</v>
      </c>
      <c r="BH88" s="97">
        <v>55</v>
      </c>
      <c r="BI88" s="97">
        <v>3</v>
      </c>
      <c r="BJ88" s="97">
        <v>9</v>
      </c>
      <c r="BK88" s="97">
        <v>67</v>
      </c>
      <c r="BL88" s="97">
        <v>11</v>
      </c>
      <c r="BM88" s="97">
        <v>38</v>
      </c>
      <c r="BN88" s="97">
        <v>42</v>
      </c>
      <c r="BO88" s="97">
        <v>40</v>
      </c>
      <c r="BP88" s="97">
        <v>112</v>
      </c>
      <c r="BQ88" s="97">
        <v>459.5</v>
      </c>
      <c r="BR88" s="97">
        <v>19</v>
      </c>
      <c r="BS88" s="97">
        <v>85</v>
      </c>
    </row>
    <row r="89" spans="1:71" ht="15" customHeight="1">
      <c r="A89" s="97" t="s">
        <v>672</v>
      </c>
      <c r="B89" s="97" t="s">
        <v>672</v>
      </c>
      <c r="C89" s="97" t="s">
        <v>673</v>
      </c>
      <c r="D89" s="97" t="s">
        <v>3198</v>
      </c>
      <c r="E89" s="97" t="s">
        <v>17</v>
      </c>
      <c r="F89" s="97">
        <v>113</v>
      </c>
      <c r="G89" s="97">
        <v>7</v>
      </c>
      <c r="H89" s="97">
        <v>95</v>
      </c>
      <c r="I89" s="97">
        <v>107</v>
      </c>
      <c r="J89" s="97">
        <v>3</v>
      </c>
      <c r="K89" s="97">
        <v>46</v>
      </c>
      <c r="L89" s="97">
        <v>110</v>
      </c>
      <c r="M89" s="97">
        <v>6</v>
      </c>
      <c r="N89" s="97">
        <v>108</v>
      </c>
      <c r="O89" s="97">
        <v>78</v>
      </c>
      <c r="P89" s="97">
        <v>10</v>
      </c>
      <c r="Q89" s="97">
        <v>250</v>
      </c>
      <c r="R89" s="97">
        <v>66</v>
      </c>
      <c r="S89" s="97">
        <v>11</v>
      </c>
      <c r="T89" s="97">
        <v>204</v>
      </c>
      <c r="U89" s="97">
        <v>75</v>
      </c>
      <c r="V89" s="97">
        <v>22</v>
      </c>
      <c r="W89" s="97">
        <v>342</v>
      </c>
      <c r="X89" s="97">
        <v>84</v>
      </c>
      <c r="Y89" s="97">
        <v>5</v>
      </c>
      <c r="Z89" s="97">
        <v>59</v>
      </c>
      <c r="AA89" s="97">
        <v>58</v>
      </c>
      <c r="AB89" s="97">
        <v>18</v>
      </c>
      <c r="AC89" s="97">
        <v>278</v>
      </c>
      <c r="AD89" s="97">
        <v>88</v>
      </c>
      <c r="AE89" s="97">
        <v>1</v>
      </c>
      <c r="AF89" s="97">
        <v>3</v>
      </c>
      <c r="AG89" s="97">
        <v>549</v>
      </c>
      <c r="AH89" s="97">
        <v>3</v>
      </c>
      <c r="AI89" s="97">
        <v>86</v>
      </c>
      <c r="AK89" s="97" t="s">
        <v>3158</v>
      </c>
      <c r="AL89" s="97" t="s">
        <v>3158</v>
      </c>
      <c r="AM89" s="97" t="s">
        <v>3159</v>
      </c>
      <c r="AN89" s="97" t="s">
        <v>3199</v>
      </c>
      <c r="AO89" s="97" t="s">
        <v>25</v>
      </c>
      <c r="AP89" s="97">
        <v>105</v>
      </c>
      <c r="AQ89" s="97">
        <v>21</v>
      </c>
      <c r="AR89" s="97">
        <v>75</v>
      </c>
      <c r="AS89" s="97">
        <v>86</v>
      </c>
      <c r="AT89" s="97">
        <v>24</v>
      </c>
      <c r="AU89" s="97">
        <v>100</v>
      </c>
      <c r="AV89" s="97">
        <v>70</v>
      </c>
      <c r="AW89" s="97">
        <v>14</v>
      </c>
      <c r="AX89" s="97">
        <v>57</v>
      </c>
      <c r="AY89" s="97">
        <v>69</v>
      </c>
      <c r="AZ89" s="97">
        <v>10</v>
      </c>
      <c r="BA89" s="97">
        <v>47</v>
      </c>
      <c r="BB89" s="97">
        <v>66</v>
      </c>
      <c r="BC89" s="97">
        <v>11</v>
      </c>
      <c r="BD89" s="97">
        <v>67</v>
      </c>
      <c r="BE89" s="97">
        <v>63</v>
      </c>
      <c r="BF89" s="97">
        <v>30</v>
      </c>
      <c r="BG89" s="97">
        <v>110</v>
      </c>
      <c r="BH89" s="97">
        <v>48</v>
      </c>
      <c r="BI89" s="97">
        <v>8</v>
      </c>
      <c r="BJ89" s="97">
        <v>26</v>
      </c>
      <c r="BK89" s="97">
        <v>55</v>
      </c>
      <c r="BL89" s="97">
        <v>34</v>
      </c>
      <c r="BM89" s="97">
        <v>110</v>
      </c>
      <c r="BN89" s="97">
        <v>43</v>
      </c>
      <c r="BO89" s="97">
        <v>37</v>
      </c>
      <c r="BP89" s="97">
        <v>102</v>
      </c>
      <c r="BQ89" s="97">
        <v>459</v>
      </c>
      <c r="BR89" s="97">
        <v>20</v>
      </c>
      <c r="BS89" s="97">
        <v>86</v>
      </c>
    </row>
    <row r="90" spans="1:71" ht="15" customHeight="1">
      <c r="A90" s="97" t="s">
        <v>1764</v>
      </c>
      <c r="B90" s="97" t="s">
        <v>1764</v>
      </c>
      <c r="C90" s="97" t="s">
        <v>2726</v>
      </c>
      <c r="D90" s="97" t="s">
        <v>3198</v>
      </c>
      <c r="E90" s="97" t="s">
        <v>9</v>
      </c>
      <c r="F90" s="97">
        <v>103</v>
      </c>
      <c r="G90" s="97">
        <v>34</v>
      </c>
      <c r="H90" s="97">
        <v>400</v>
      </c>
      <c r="I90" s="97">
        <v>101</v>
      </c>
      <c r="J90" s="97">
        <v>13</v>
      </c>
      <c r="K90" s="97">
        <v>81</v>
      </c>
      <c r="L90" s="97">
        <v>101</v>
      </c>
      <c r="M90" s="97">
        <v>36</v>
      </c>
      <c r="N90" s="97">
        <v>234</v>
      </c>
      <c r="O90" s="97">
        <v>79</v>
      </c>
      <c r="P90" s="97">
        <v>33</v>
      </c>
      <c r="Q90" s="97">
        <v>228</v>
      </c>
      <c r="R90" s="97">
        <v>82</v>
      </c>
      <c r="S90" s="97">
        <v>10</v>
      </c>
      <c r="T90" s="97">
        <v>35</v>
      </c>
      <c r="U90" s="97">
        <v>83</v>
      </c>
      <c r="V90" s="97">
        <v>25</v>
      </c>
      <c r="W90" s="97">
        <v>145</v>
      </c>
      <c r="X90" s="97">
        <v>83</v>
      </c>
      <c r="Y90" s="97">
        <v>11</v>
      </c>
      <c r="Z90" s="97">
        <v>79</v>
      </c>
      <c r="AA90" s="97">
        <v>54</v>
      </c>
      <c r="AB90" s="97">
        <v>38</v>
      </c>
      <c r="AC90" s="97">
        <v>428</v>
      </c>
      <c r="AD90" s="97">
        <v>85</v>
      </c>
      <c r="AE90" s="97">
        <v>2</v>
      </c>
      <c r="AF90" s="97">
        <v>11</v>
      </c>
      <c r="AG90" s="97">
        <v>549</v>
      </c>
      <c r="AH90" s="97">
        <v>22</v>
      </c>
      <c r="AI90" s="97">
        <v>86</v>
      </c>
      <c r="AK90" s="97" t="s">
        <v>3037</v>
      </c>
      <c r="AL90" s="97" t="s">
        <v>3037</v>
      </c>
      <c r="AM90" s="97" t="s">
        <v>2928</v>
      </c>
      <c r="AN90" s="97" t="s">
        <v>3199</v>
      </c>
      <c r="AO90" s="97" t="s">
        <v>52</v>
      </c>
      <c r="AP90" s="97">
        <v>108</v>
      </c>
      <c r="AQ90" s="97">
        <v>15</v>
      </c>
      <c r="AR90" s="97">
        <v>54</v>
      </c>
      <c r="AS90" s="97">
        <v>105</v>
      </c>
      <c r="AT90" s="97">
        <v>9</v>
      </c>
      <c r="AU90" s="97">
        <v>40</v>
      </c>
      <c r="AV90" s="97">
        <v>71</v>
      </c>
      <c r="AW90" s="97">
        <v>9</v>
      </c>
      <c r="AX90" s="97">
        <v>46</v>
      </c>
      <c r="AY90" s="97"/>
      <c r="AZ90" s="97" t="s">
        <v>3291</v>
      </c>
      <c r="BA90" s="97" t="s">
        <v>3291</v>
      </c>
      <c r="BB90" s="97">
        <v>78</v>
      </c>
      <c r="BC90" s="97">
        <v>3</v>
      </c>
      <c r="BD90" s="97">
        <v>11</v>
      </c>
      <c r="BE90" s="97">
        <v>97</v>
      </c>
      <c r="BF90" s="97">
        <v>3</v>
      </c>
      <c r="BG90" s="97">
        <v>50</v>
      </c>
      <c r="BH90" s="97">
        <v>51</v>
      </c>
      <c r="BI90" s="97">
        <v>3</v>
      </c>
      <c r="BJ90" s="97">
        <v>18</v>
      </c>
      <c r="BK90" s="97">
        <v>57</v>
      </c>
      <c r="BL90" s="97">
        <v>30</v>
      </c>
      <c r="BM90" s="97">
        <v>97</v>
      </c>
      <c r="BN90" s="97">
        <v>53</v>
      </c>
      <c r="BO90" s="97">
        <v>8</v>
      </c>
      <c r="BP90" s="97">
        <v>35</v>
      </c>
      <c r="BQ90" s="97">
        <v>459</v>
      </c>
      <c r="BR90" s="97">
        <v>21</v>
      </c>
      <c r="BS90" s="97">
        <v>86</v>
      </c>
    </row>
    <row r="91" spans="1:71" ht="15" customHeight="1">
      <c r="A91" s="97" t="s">
        <v>3256</v>
      </c>
      <c r="B91" s="97" t="s">
        <v>3256</v>
      </c>
      <c r="C91" s="97" t="s">
        <v>205</v>
      </c>
      <c r="D91" s="97" t="s">
        <v>3198</v>
      </c>
      <c r="E91" s="97" t="s">
        <v>9</v>
      </c>
      <c r="F91" s="97">
        <v>112</v>
      </c>
      <c r="G91" s="97">
        <v>10</v>
      </c>
      <c r="H91" s="97">
        <v>114</v>
      </c>
      <c r="I91" s="97">
        <v>95</v>
      </c>
      <c r="J91" s="97">
        <v>20</v>
      </c>
      <c r="K91" s="97">
        <v>128</v>
      </c>
      <c r="L91" s="97">
        <v>109</v>
      </c>
      <c r="M91" s="97">
        <v>19</v>
      </c>
      <c r="N91" s="97">
        <v>114</v>
      </c>
      <c r="O91" s="97">
        <v>79</v>
      </c>
      <c r="P91" s="97">
        <v>33</v>
      </c>
      <c r="Q91" s="97">
        <v>228</v>
      </c>
      <c r="R91" s="97">
        <v>74</v>
      </c>
      <c r="S91" s="97">
        <v>26</v>
      </c>
      <c r="T91" s="97">
        <v>94</v>
      </c>
      <c r="U91" s="97">
        <v>80</v>
      </c>
      <c r="V91" s="97">
        <v>33</v>
      </c>
      <c r="W91" s="97">
        <v>205</v>
      </c>
      <c r="X91" s="97">
        <v>77</v>
      </c>
      <c r="Y91" s="97">
        <v>30</v>
      </c>
      <c r="Z91" s="97">
        <v>240</v>
      </c>
      <c r="AA91" s="97">
        <v>52</v>
      </c>
      <c r="AB91" s="97">
        <v>45</v>
      </c>
      <c r="AC91" s="97">
        <v>509</v>
      </c>
      <c r="AD91" s="97">
        <v>64</v>
      </c>
      <c r="AE91" s="97">
        <v>44</v>
      </c>
      <c r="AF91" s="97">
        <v>586</v>
      </c>
      <c r="AG91" s="97">
        <v>549</v>
      </c>
      <c r="AH91" s="97">
        <v>22</v>
      </c>
      <c r="AI91" s="97">
        <v>86</v>
      </c>
      <c r="AK91" s="97" t="s">
        <v>3039</v>
      </c>
      <c r="AL91" s="97" t="s">
        <v>3039</v>
      </c>
      <c r="AM91" s="97" t="s">
        <v>3029</v>
      </c>
      <c r="AN91" s="97" t="s">
        <v>3199</v>
      </c>
      <c r="AO91" s="97" t="s">
        <v>52</v>
      </c>
      <c r="AP91" s="97">
        <v>109</v>
      </c>
      <c r="AQ91" s="97">
        <v>13</v>
      </c>
      <c r="AR91" s="97">
        <v>46</v>
      </c>
      <c r="AS91" s="97">
        <v>105.5</v>
      </c>
      <c r="AT91" s="97">
        <v>8</v>
      </c>
      <c r="AU91" s="97">
        <v>38</v>
      </c>
      <c r="AV91" s="97">
        <v>52</v>
      </c>
      <c r="AW91" s="97">
        <v>44</v>
      </c>
      <c r="AX91" s="97">
        <v>130</v>
      </c>
      <c r="AY91" s="97">
        <v>68</v>
      </c>
      <c r="AZ91" s="97">
        <v>8</v>
      </c>
      <c r="BA91" s="97">
        <v>52</v>
      </c>
      <c r="BB91" s="97">
        <v>59</v>
      </c>
      <c r="BC91" s="97">
        <v>35</v>
      </c>
      <c r="BD91" s="97">
        <v>105</v>
      </c>
      <c r="BE91" s="97">
        <v>65</v>
      </c>
      <c r="BF91" s="97">
        <v>34</v>
      </c>
      <c r="BG91" s="97">
        <v>107</v>
      </c>
      <c r="BH91" s="97">
        <v>38</v>
      </c>
      <c r="BI91" s="97">
        <v>25</v>
      </c>
      <c r="BJ91" s="97">
        <v>91</v>
      </c>
      <c r="BK91" s="97">
        <v>53</v>
      </c>
      <c r="BL91" s="97">
        <v>40</v>
      </c>
      <c r="BM91" s="97">
        <v>117</v>
      </c>
      <c r="BN91" s="97">
        <v>45</v>
      </c>
      <c r="BO91" s="97">
        <v>28</v>
      </c>
      <c r="BP91" s="97">
        <v>92</v>
      </c>
      <c r="BQ91" s="97">
        <v>458.5</v>
      </c>
      <c r="BR91" s="97">
        <v>22</v>
      </c>
      <c r="BS91" s="97">
        <v>88</v>
      </c>
    </row>
    <row r="92" spans="1:71" ht="15" customHeight="1">
      <c r="A92" s="97" t="s">
        <v>1634</v>
      </c>
      <c r="B92" s="97" t="s">
        <v>1634</v>
      </c>
      <c r="C92" s="97" t="s">
        <v>2265</v>
      </c>
      <c r="D92" s="97" t="s">
        <v>3198</v>
      </c>
      <c r="E92" s="97" t="s">
        <v>9</v>
      </c>
      <c r="F92" s="97">
        <v>99</v>
      </c>
      <c r="G92" s="97">
        <v>39</v>
      </c>
      <c r="H92" s="97">
        <v>571</v>
      </c>
      <c r="I92" s="97">
        <v>82</v>
      </c>
      <c r="J92" s="97">
        <v>40</v>
      </c>
      <c r="K92" s="97">
        <v>290</v>
      </c>
      <c r="L92" s="97">
        <v>108.5</v>
      </c>
      <c r="M92" s="97">
        <v>23</v>
      </c>
      <c r="N92" s="97">
        <v>123</v>
      </c>
      <c r="O92" s="97">
        <v>99</v>
      </c>
      <c r="P92" s="97">
        <v>3</v>
      </c>
      <c r="Q92" s="97">
        <v>25</v>
      </c>
      <c r="R92" s="97">
        <v>77</v>
      </c>
      <c r="S92" s="97">
        <v>19</v>
      </c>
      <c r="T92" s="97">
        <v>68</v>
      </c>
      <c r="U92" s="97">
        <v>83</v>
      </c>
      <c r="V92" s="97">
        <v>25</v>
      </c>
      <c r="W92" s="97">
        <v>145</v>
      </c>
      <c r="X92" s="97">
        <v>84</v>
      </c>
      <c r="Y92" s="97">
        <v>8</v>
      </c>
      <c r="Z92" s="97">
        <v>59</v>
      </c>
      <c r="AA92" s="97">
        <v>73</v>
      </c>
      <c r="AB92" s="97">
        <v>5</v>
      </c>
      <c r="AC92" s="97">
        <v>19</v>
      </c>
      <c r="AD92" s="97">
        <v>75</v>
      </c>
      <c r="AE92" s="97">
        <v>15</v>
      </c>
      <c r="AF92" s="97">
        <v>146</v>
      </c>
      <c r="AG92" s="97">
        <v>548.5</v>
      </c>
      <c r="AH92" s="97">
        <v>24</v>
      </c>
      <c r="AI92" s="97">
        <v>89</v>
      </c>
      <c r="AK92" s="97" t="s">
        <v>3085</v>
      </c>
      <c r="AL92" s="97" t="s">
        <v>3085</v>
      </c>
      <c r="AM92" s="97" t="s">
        <v>334</v>
      </c>
      <c r="AN92" s="97" t="s">
        <v>3199</v>
      </c>
      <c r="AO92" s="97" t="s">
        <v>52</v>
      </c>
      <c r="AP92" s="97">
        <v>102</v>
      </c>
      <c r="AQ92" s="97">
        <v>25</v>
      </c>
      <c r="AR92" s="97">
        <v>86</v>
      </c>
      <c r="AS92" s="97">
        <v>82</v>
      </c>
      <c r="AT92" s="97">
        <v>38</v>
      </c>
      <c r="AU92" s="97">
        <v>110</v>
      </c>
      <c r="AV92" s="97">
        <v>76</v>
      </c>
      <c r="AW92" s="97">
        <v>3</v>
      </c>
      <c r="AX92" s="97">
        <v>23</v>
      </c>
      <c r="AY92" s="97">
        <v>57</v>
      </c>
      <c r="AZ92" s="97">
        <v>31</v>
      </c>
      <c r="BA92" s="97">
        <v>109</v>
      </c>
      <c r="BB92" s="97">
        <v>58</v>
      </c>
      <c r="BC92" s="97">
        <v>36</v>
      </c>
      <c r="BD92" s="97">
        <v>107</v>
      </c>
      <c r="BE92" s="97">
        <v>81</v>
      </c>
      <c r="BF92" s="97">
        <v>18</v>
      </c>
      <c r="BG92" s="97">
        <v>80</v>
      </c>
      <c r="BH92" s="97">
        <v>49</v>
      </c>
      <c r="BI92" s="97">
        <v>5</v>
      </c>
      <c r="BJ92" s="97">
        <v>22</v>
      </c>
      <c r="BK92" s="97">
        <v>71</v>
      </c>
      <c r="BL92" s="97">
        <v>5</v>
      </c>
      <c r="BM92" s="97">
        <v>19</v>
      </c>
      <c r="BN92" s="97">
        <v>54</v>
      </c>
      <c r="BO92" s="97">
        <v>6</v>
      </c>
      <c r="BP92" s="97">
        <v>27</v>
      </c>
      <c r="BQ92" s="97">
        <v>456</v>
      </c>
      <c r="BR92" s="97">
        <v>23</v>
      </c>
      <c r="BS92" s="97">
        <v>89</v>
      </c>
    </row>
    <row r="93" spans="1:71" ht="15" customHeight="1">
      <c r="A93" s="97" t="s">
        <v>1558</v>
      </c>
      <c r="B93" s="97" t="s">
        <v>1558</v>
      </c>
      <c r="C93" s="97" t="s">
        <v>152</v>
      </c>
      <c r="D93" s="97" t="s">
        <v>3198</v>
      </c>
      <c r="E93" s="97" t="s">
        <v>10</v>
      </c>
      <c r="F93" s="97">
        <v>114</v>
      </c>
      <c r="G93" s="97">
        <v>10</v>
      </c>
      <c r="H93" s="97">
        <v>80</v>
      </c>
      <c r="I93" s="97">
        <v>83</v>
      </c>
      <c r="J93" s="97">
        <v>46</v>
      </c>
      <c r="K93" s="97">
        <v>267</v>
      </c>
      <c r="L93" s="97">
        <v>120.5</v>
      </c>
      <c r="M93" s="97">
        <v>11</v>
      </c>
      <c r="N93" s="97">
        <v>25</v>
      </c>
      <c r="O93" s="97">
        <v>75</v>
      </c>
      <c r="P93" s="97">
        <v>50</v>
      </c>
      <c r="Q93" s="97">
        <v>299</v>
      </c>
      <c r="R93" s="97">
        <v>65</v>
      </c>
      <c r="S93" s="97">
        <v>49</v>
      </c>
      <c r="T93" s="97">
        <v>223</v>
      </c>
      <c r="U93" s="97">
        <v>90</v>
      </c>
      <c r="V93" s="97">
        <v>10</v>
      </c>
      <c r="W93" s="97">
        <v>19</v>
      </c>
      <c r="X93" s="97">
        <v>88</v>
      </c>
      <c r="Y93" s="97">
        <v>5</v>
      </c>
      <c r="Z93" s="97">
        <v>15</v>
      </c>
      <c r="AA93" s="97">
        <v>62</v>
      </c>
      <c r="AB93" s="97">
        <v>33</v>
      </c>
      <c r="AC93" s="97">
        <v>146</v>
      </c>
      <c r="AD93" s="97">
        <v>85</v>
      </c>
      <c r="AE93" s="97">
        <v>3</v>
      </c>
      <c r="AF93" s="97">
        <v>11</v>
      </c>
      <c r="AG93" s="97">
        <v>547.5</v>
      </c>
      <c r="AH93" s="97">
        <v>47</v>
      </c>
      <c r="AI93" s="97">
        <v>90</v>
      </c>
      <c r="AK93" s="97" t="s">
        <v>3143</v>
      </c>
      <c r="AL93" s="97" t="s">
        <v>3143</v>
      </c>
      <c r="AM93" s="97" t="s">
        <v>3144</v>
      </c>
      <c r="AN93" s="97" t="s">
        <v>3199</v>
      </c>
      <c r="AO93" s="97" t="s">
        <v>25</v>
      </c>
      <c r="AP93" s="97">
        <v>109</v>
      </c>
      <c r="AQ93" s="97">
        <v>11</v>
      </c>
      <c r="AR93" s="97">
        <v>46</v>
      </c>
      <c r="AS93" s="97">
        <v>81.5</v>
      </c>
      <c r="AT93" s="97">
        <v>29</v>
      </c>
      <c r="AU93" s="97">
        <v>111</v>
      </c>
      <c r="AV93" s="97">
        <v>72</v>
      </c>
      <c r="AW93" s="97">
        <v>8</v>
      </c>
      <c r="AX93" s="97">
        <v>41</v>
      </c>
      <c r="AY93" s="97">
        <v>60</v>
      </c>
      <c r="AZ93" s="97">
        <v>26</v>
      </c>
      <c r="BA93" s="97">
        <v>96</v>
      </c>
      <c r="BB93" s="97">
        <v>60</v>
      </c>
      <c r="BC93" s="97">
        <v>21</v>
      </c>
      <c r="BD93" s="97">
        <v>101</v>
      </c>
      <c r="BE93" s="97">
        <v>72</v>
      </c>
      <c r="BF93" s="97">
        <v>24</v>
      </c>
      <c r="BG93" s="97">
        <v>96</v>
      </c>
      <c r="BH93" s="97">
        <v>38</v>
      </c>
      <c r="BI93" s="97">
        <v>28</v>
      </c>
      <c r="BJ93" s="97">
        <v>91</v>
      </c>
      <c r="BK93" s="97">
        <v>63</v>
      </c>
      <c r="BL93" s="97">
        <v>19</v>
      </c>
      <c r="BM93" s="97">
        <v>63</v>
      </c>
      <c r="BN93" s="97">
        <v>54</v>
      </c>
      <c r="BO93" s="97">
        <v>11</v>
      </c>
      <c r="BP93" s="97">
        <v>27</v>
      </c>
      <c r="BQ93" s="97">
        <v>454.5</v>
      </c>
      <c r="BR93" s="97">
        <v>21</v>
      </c>
      <c r="BS93" s="97">
        <v>90</v>
      </c>
    </row>
    <row r="94" spans="1:71" ht="15" customHeight="1">
      <c r="A94" s="97" t="s">
        <v>3433</v>
      </c>
      <c r="B94" s="97" t="s">
        <v>3433</v>
      </c>
      <c r="C94" s="97" t="s">
        <v>1771</v>
      </c>
      <c r="D94" s="97" t="s">
        <v>3198</v>
      </c>
      <c r="E94" s="97" t="s">
        <v>9</v>
      </c>
      <c r="F94" s="97">
        <v>120</v>
      </c>
      <c r="G94" s="97">
        <v>2</v>
      </c>
      <c r="H94" s="97">
        <v>21</v>
      </c>
      <c r="I94" s="97">
        <v>84</v>
      </c>
      <c r="J94" s="97">
        <v>37</v>
      </c>
      <c r="K94" s="97">
        <v>251</v>
      </c>
      <c r="L94" s="97">
        <v>98.5</v>
      </c>
      <c r="M94" s="97">
        <v>41</v>
      </c>
      <c r="N94" s="97">
        <v>285</v>
      </c>
      <c r="O94" s="97">
        <v>75</v>
      </c>
      <c r="P94" s="97">
        <v>39</v>
      </c>
      <c r="Q94" s="97">
        <v>299</v>
      </c>
      <c r="R94" s="97">
        <v>83</v>
      </c>
      <c r="S94" s="97">
        <v>9</v>
      </c>
      <c r="T94" s="97">
        <v>30</v>
      </c>
      <c r="U94" s="97">
        <v>87</v>
      </c>
      <c r="V94" s="97">
        <v>10</v>
      </c>
      <c r="W94" s="97">
        <v>57</v>
      </c>
      <c r="X94" s="97">
        <v>70</v>
      </c>
      <c r="Y94" s="97">
        <v>44</v>
      </c>
      <c r="Z94" s="97">
        <v>473</v>
      </c>
      <c r="AA94" s="97">
        <v>63</v>
      </c>
      <c r="AB94" s="97">
        <v>21</v>
      </c>
      <c r="AC94" s="97">
        <v>123</v>
      </c>
      <c r="AD94" s="97">
        <v>65</v>
      </c>
      <c r="AE94" s="97">
        <v>43</v>
      </c>
      <c r="AF94" s="97">
        <v>548</v>
      </c>
      <c r="AG94" s="97">
        <v>547.5</v>
      </c>
      <c r="AH94" s="97">
        <v>25</v>
      </c>
      <c r="AI94" s="97">
        <v>90</v>
      </c>
      <c r="AK94" s="97" t="s">
        <v>3233</v>
      </c>
      <c r="AL94" s="97" t="s">
        <v>3233</v>
      </c>
      <c r="AM94" s="97" t="s">
        <v>1677</v>
      </c>
      <c r="AN94" s="97" t="s">
        <v>3199</v>
      </c>
      <c r="AO94" s="97" t="s">
        <v>25</v>
      </c>
      <c r="AP94" s="97">
        <v>98</v>
      </c>
      <c r="AQ94" s="97">
        <v>32</v>
      </c>
      <c r="AR94" s="97">
        <v>109</v>
      </c>
      <c r="AS94" s="97">
        <v>81</v>
      </c>
      <c r="AT94" s="97">
        <v>31</v>
      </c>
      <c r="AU94" s="97">
        <v>114</v>
      </c>
      <c r="AV94" s="97">
        <v>67</v>
      </c>
      <c r="AW94" s="97">
        <v>22</v>
      </c>
      <c r="AX94" s="97">
        <v>74</v>
      </c>
      <c r="AY94" s="97">
        <v>60</v>
      </c>
      <c r="AZ94" s="97">
        <v>26</v>
      </c>
      <c r="BA94" s="97">
        <v>96</v>
      </c>
      <c r="BB94" s="97">
        <v>60</v>
      </c>
      <c r="BC94" s="97">
        <v>21</v>
      </c>
      <c r="BD94" s="97">
        <v>101</v>
      </c>
      <c r="BE94" s="97">
        <v>87</v>
      </c>
      <c r="BF94" s="97">
        <v>12</v>
      </c>
      <c r="BG94" s="97">
        <v>66</v>
      </c>
      <c r="BH94" s="97">
        <v>45</v>
      </c>
      <c r="BI94" s="97">
        <v>14</v>
      </c>
      <c r="BJ94" s="97">
        <v>52</v>
      </c>
      <c r="BK94" s="97">
        <v>68</v>
      </c>
      <c r="BL94" s="97">
        <v>9</v>
      </c>
      <c r="BM94" s="97">
        <v>31</v>
      </c>
      <c r="BN94" s="97">
        <v>60</v>
      </c>
      <c r="BO94" s="97">
        <v>1</v>
      </c>
      <c r="BP94" s="97">
        <v>7</v>
      </c>
      <c r="BQ94" s="97">
        <v>453</v>
      </c>
      <c r="BR94" s="97">
        <v>22</v>
      </c>
      <c r="BS94" s="97">
        <v>91</v>
      </c>
    </row>
    <row r="95" spans="1:71" ht="15" customHeight="1">
      <c r="A95" s="97" t="s">
        <v>2072</v>
      </c>
      <c r="B95" s="97" t="s">
        <v>2072</v>
      </c>
      <c r="C95" s="97" t="s">
        <v>110</v>
      </c>
      <c r="D95" s="97" t="s">
        <v>3198</v>
      </c>
      <c r="E95" s="97" t="s">
        <v>109</v>
      </c>
      <c r="F95" s="97">
        <v>103</v>
      </c>
      <c r="G95" s="97">
        <v>27</v>
      </c>
      <c r="H95" s="97">
        <v>400</v>
      </c>
      <c r="I95" s="97">
        <v>82</v>
      </c>
      <c r="J95" s="97">
        <v>15</v>
      </c>
      <c r="K95" s="97">
        <v>290</v>
      </c>
      <c r="L95" s="97">
        <v>123.5</v>
      </c>
      <c r="M95" s="97">
        <v>1</v>
      </c>
      <c r="N95" s="97">
        <v>15</v>
      </c>
      <c r="O95" s="97">
        <v>82</v>
      </c>
      <c r="P95" s="97">
        <v>11</v>
      </c>
      <c r="Q95" s="97">
        <v>174</v>
      </c>
      <c r="R95" s="97">
        <v>69</v>
      </c>
      <c r="S95" s="97">
        <v>7</v>
      </c>
      <c r="T95" s="97">
        <v>152</v>
      </c>
      <c r="U95" s="97">
        <v>86</v>
      </c>
      <c r="V95" s="97">
        <v>6</v>
      </c>
      <c r="W95" s="97">
        <v>77</v>
      </c>
      <c r="X95" s="97">
        <v>54</v>
      </c>
      <c r="Y95" s="97">
        <v>53</v>
      </c>
      <c r="Z95" s="97">
        <v>880</v>
      </c>
      <c r="AA95" s="97">
        <v>48</v>
      </c>
      <c r="AB95" s="97">
        <v>34</v>
      </c>
      <c r="AC95" s="97">
        <v>671</v>
      </c>
      <c r="AD95" s="97">
        <v>80</v>
      </c>
      <c r="AE95" s="97">
        <v>3</v>
      </c>
      <c r="AF95" s="97">
        <v>54</v>
      </c>
      <c r="AG95" s="97">
        <v>545.5</v>
      </c>
      <c r="AH95" s="97">
        <v>2</v>
      </c>
      <c r="AI95" s="97">
        <v>92</v>
      </c>
      <c r="AK95" s="97" t="s">
        <v>3116</v>
      </c>
      <c r="AL95" s="97" t="s">
        <v>3116</v>
      </c>
      <c r="AM95" s="97" t="s">
        <v>3117</v>
      </c>
      <c r="AN95" s="97" t="s">
        <v>3199</v>
      </c>
      <c r="AO95" s="97" t="s">
        <v>25</v>
      </c>
      <c r="AP95" s="97">
        <v>95</v>
      </c>
      <c r="AQ95" s="97">
        <v>35</v>
      </c>
      <c r="AR95" s="97">
        <v>119</v>
      </c>
      <c r="AS95" s="97">
        <v>83</v>
      </c>
      <c r="AT95" s="97">
        <v>26</v>
      </c>
      <c r="AU95" s="97">
        <v>107</v>
      </c>
      <c r="AV95" s="97">
        <v>76</v>
      </c>
      <c r="AW95" s="97">
        <v>3</v>
      </c>
      <c r="AX95" s="97">
        <v>23</v>
      </c>
      <c r="AY95" s="97">
        <v>54</v>
      </c>
      <c r="AZ95" s="97">
        <v>36</v>
      </c>
      <c r="BA95" s="97">
        <v>119</v>
      </c>
      <c r="BB95" s="97">
        <v>60</v>
      </c>
      <c r="BC95" s="97">
        <v>21</v>
      </c>
      <c r="BD95" s="97">
        <v>101</v>
      </c>
      <c r="BE95" s="97">
        <v>85</v>
      </c>
      <c r="BF95" s="97">
        <v>14</v>
      </c>
      <c r="BG95" s="97">
        <v>69</v>
      </c>
      <c r="BH95" s="97">
        <v>47</v>
      </c>
      <c r="BI95" s="97">
        <v>10</v>
      </c>
      <c r="BJ95" s="97">
        <v>33</v>
      </c>
      <c r="BK95" s="97">
        <v>59</v>
      </c>
      <c r="BL95" s="97">
        <v>24</v>
      </c>
      <c r="BM95" s="97">
        <v>84</v>
      </c>
      <c r="BN95" s="97">
        <v>50</v>
      </c>
      <c r="BO95" s="97">
        <v>21</v>
      </c>
      <c r="BP95" s="97">
        <v>63</v>
      </c>
      <c r="BQ95" s="97">
        <v>453</v>
      </c>
      <c r="BR95" s="97">
        <v>22</v>
      </c>
      <c r="BS95" s="97">
        <v>91</v>
      </c>
    </row>
    <row r="96" spans="1:71" ht="15" customHeight="1">
      <c r="A96" s="97" t="s">
        <v>2048</v>
      </c>
      <c r="B96" s="97" t="s">
        <v>2048</v>
      </c>
      <c r="C96" s="97" t="s">
        <v>2049</v>
      </c>
      <c r="D96" s="97" t="s">
        <v>3198</v>
      </c>
      <c r="E96" s="97" t="s">
        <v>109</v>
      </c>
      <c r="F96" s="97">
        <v>110</v>
      </c>
      <c r="G96" s="97">
        <v>10</v>
      </c>
      <c r="H96" s="97">
        <v>159</v>
      </c>
      <c r="I96" s="97">
        <v>93</v>
      </c>
      <c r="J96" s="97">
        <v>6</v>
      </c>
      <c r="K96" s="97">
        <v>155</v>
      </c>
      <c r="L96" s="97">
        <v>119</v>
      </c>
      <c r="M96" s="97">
        <v>4</v>
      </c>
      <c r="N96" s="97">
        <v>33</v>
      </c>
      <c r="O96" s="97">
        <v>84</v>
      </c>
      <c r="P96" s="97">
        <v>8</v>
      </c>
      <c r="Q96" s="97">
        <v>147</v>
      </c>
      <c r="R96" s="97">
        <v>59</v>
      </c>
      <c r="S96" s="97">
        <v>19</v>
      </c>
      <c r="T96" s="97">
        <v>348</v>
      </c>
      <c r="U96" s="97">
        <v>80</v>
      </c>
      <c r="V96" s="97">
        <v>13</v>
      </c>
      <c r="W96" s="97">
        <v>205</v>
      </c>
      <c r="X96" s="97">
        <v>79</v>
      </c>
      <c r="Y96" s="97">
        <v>10</v>
      </c>
      <c r="Z96" s="97">
        <v>175</v>
      </c>
      <c r="AA96" s="97">
        <v>66</v>
      </c>
      <c r="AB96" s="97">
        <v>3</v>
      </c>
      <c r="AC96" s="97">
        <v>80</v>
      </c>
      <c r="AD96" s="97">
        <v>72</v>
      </c>
      <c r="AE96" s="97">
        <v>13</v>
      </c>
      <c r="AF96" s="97">
        <v>256</v>
      </c>
      <c r="AG96" s="97">
        <v>545</v>
      </c>
      <c r="AH96" s="97">
        <v>3</v>
      </c>
      <c r="AI96" s="97">
        <v>93</v>
      </c>
      <c r="AK96" s="97" t="s">
        <v>3022</v>
      </c>
      <c r="AL96" s="97" t="s">
        <v>3022</v>
      </c>
      <c r="AM96" s="97" t="s">
        <v>3020</v>
      </c>
      <c r="AN96" s="97" t="s">
        <v>3199</v>
      </c>
      <c r="AO96" s="97" t="s">
        <v>52</v>
      </c>
      <c r="AP96" s="97">
        <v>101</v>
      </c>
      <c r="AQ96" s="97">
        <v>27</v>
      </c>
      <c r="AR96" s="97">
        <v>93</v>
      </c>
      <c r="AS96" s="97">
        <v>78</v>
      </c>
      <c r="AT96" s="97">
        <v>41</v>
      </c>
      <c r="AU96" s="97">
        <v>121</v>
      </c>
      <c r="AV96" s="97">
        <v>54</v>
      </c>
      <c r="AW96" s="97">
        <v>39</v>
      </c>
      <c r="AX96" s="97">
        <v>124</v>
      </c>
      <c r="AY96" s="97">
        <v>57</v>
      </c>
      <c r="AZ96" s="97">
        <v>31</v>
      </c>
      <c r="BA96" s="97">
        <v>109</v>
      </c>
      <c r="BB96" s="97">
        <v>67</v>
      </c>
      <c r="BC96" s="97">
        <v>18</v>
      </c>
      <c r="BD96" s="97">
        <v>60</v>
      </c>
      <c r="BE96" s="97">
        <v>96</v>
      </c>
      <c r="BF96" s="97">
        <v>4</v>
      </c>
      <c r="BG96" s="97">
        <v>54</v>
      </c>
      <c r="BH96" s="97">
        <v>30</v>
      </c>
      <c r="BI96" s="97">
        <v>39</v>
      </c>
      <c r="BJ96" s="97">
        <v>125</v>
      </c>
      <c r="BK96" s="97">
        <v>57</v>
      </c>
      <c r="BL96" s="97">
        <v>30</v>
      </c>
      <c r="BM96" s="97">
        <v>97</v>
      </c>
      <c r="BN96" s="97">
        <v>45</v>
      </c>
      <c r="BO96" s="97">
        <v>28</v>
      </c>
      <c r="BP96" s="97">
        <v>92</v>
      </c>
      <c r="BQ96" s="97">
        <v>453</v>
      </c>
      <c r="BR96" s="97">
        <v>24</v>
      </c>
      <c r="BS96" s="97">
        <v>91</v>
      </c>
    </row>
    <row r="97" spans="1:71" ht="15" customHeight="1">
      <c r="A97" s="97" t="s">
        <v>1535</v>
      </c>
      <c r="B97" s="97" t="s">
        <v>1535</v>
      </c>
      <c r="C97" s="97" t="s">
        <v>160</v>
      </c>
      <c r="D97" s="97" t="s">
        <v>3198</v>
      </c>
      <c r="E97" s="97" t="s">
        <v>10</v>
      </c>
      <c r="F97" s="97">
        <v>101</v>
      </c>
      <c r="G97" s="97">
        <v>46</v>
      </c>
      <c r="H97" s="97">
        <v>481</v>
      </c>
      <c r="I97" s="97">
        <v>88</v>
      </c>
      <c r="J97" s="97">
        <v>42</v>
      </c>
      <c r="K97" s="97">
        <v>206</v>
      </c>
      <c r="L97" s="97">
        <v>86</v>
      </c>
      <c r="M97" s="97">
        <v>51</v>
      </c>
      <c r="N97" s="97">
        <v>580</v>
      </c>
      <c r="O97" s="97">
        <v>99</v>
      </c>
      <c r="P97" s="97">
        <v>14</v>
      </c>
      <c r="Q97" s="97">
        <v>25</v>
      </c>
      <c r="R97" s="97">
        <v>82</v>
      </c>
      <c r="S97" s="97">
        <v>18</v>
      </c>
      <c r="T97" s="97">
        <v>35</v>
      </c>
      <c r="U97" s="97">
        <v>89</v>
      </c>
      <c r="V97" s="97">
        <v>17</v>
      </c>
      <c r="W97" s="97">
        <v>34</v>
      </c>
      <c r="X97" s="97">
        <v>73</v>
      </c>
      <c r="Y97" s="97">
        <v>34</v>
      </c>
      <c r="Z97" s="97">
        <v>359</v>
      </c>
      <c r="AA97" s="97">
        <v>59</v>
      </c>
      <c r="AB97" s="97">
        <v>43</v>
      </c>
      <c r="AC97" s="97">
        <v>233</v>
      </c>
      <c r="AD97" s="97">
        <v>61</v>
      </c>
      <c r="AE97" s="97">
        <v>50</v>
      </c>
      <c r="AF97" s="97">
        <v>703</v>
      </c>
      <c r="AG97" s="97">
        <v>545</v>
      </c>
      <c r="AH97" s="97">
        <v>48</v>
      </c>
      <c r="AI97" s="97">
        <v>93</v>
      </c>
      <c r="AK97" s="97" t="s">
        <v>3161</v>
      </c>
      <c r="AL97" s="97" t="s">
        <v>3161</v>
      </c>
      <c r="AM97" s="97" t="s">
        <v>134</v>
      </c>
      <c r="AN97" s="97" t="s">
        <v>3199</v>
      </c>
      <c r="AO97" s="97" t="s">
        <v>25</v>
      </c>
      <c r="AP97" s="97">
        <v>96</v>
      </c>
      <c r="AQ97" s="97">
        <v>34</v>
      </c>
      <c r="AR97" s="97">
        <v>116</v>
      </c>
      <c r="AS97" s="97">
        <v>96.5</v>
      </c>
      <c r="AT97" s="97">
        <v>12</v>
      </c>
      <c r="AU97" s="97">
        <v>65</v>
      </c>
      <c r="AV97" s="97">
        <v>64</v>
      </c>
      <c r="AW97" s="97">
        <v>29</v>
      </c>
      <c r="AX97" s="97">
        <v>87</v>
      </c>
      <c r="AY97" s="97">
        <v>65</v>
      </c>
      <c r="AZ97" s="97">
        <v>20</v>
      </c>
      <c r="BA97" s="97">
        <v>69</v>
      </c>
      <c r="BB97" s="97">
        <v>76</v>
      </c>
      <c r="BC97" s="97">
        <v>2</v>
      </c>
      <c r="BD97" s="97">
        <v>20</v>
      </c>
      <c r="BE97" s="97">
        <v>55</v>
      </c>
      <c r="BF97" s="97">
        <v>36</v>
      </c>
      <c r="BG97" s="97">
        <v>122</v>
      </c>
      <c r="BH97" s="97">
        <v>41</v>
      </c>
      <c r="BI97" s="97">
        <v>24</v>
      </c>
      <c r="BJ97" s="97">
        <v>77</v>
      </c>
      <c r="BK97" s="97">
        <v>54</v>
      </c>
      <c r="BL97" s="97">
        <v>35</v>
      </c>
      <c r="BM97" s="97">
        <v>114</v>
      </c>
      <c r="BN97" s="97">
        <v>51</v>
      </c>
      <c r="BO97" s="97">
        <v>15</v>
      </c>
      <c r="BP97" s="97">
        <v>52</v>
      </c>
      <c r="BQ97" s="97">
        <v>452.5</v>
      </c>
      <c r="BR97" s="97">
        <v>24</v>
      </c>
      <c r="BS97" s="97">
        <v>94</v>
      </c>
    </row>
    <row r="98" spans="1:71" ht="15" customHeight="1">
      <c r="A98" s="97" t="s">
        <v>1335</v>
      </c>
      <c r="B98" s="97" t="s">
        <v>1335</v>
      </c>
      <c r="C98" s="97" t="s">
        <v>1336</v>
      </c>
      <c r="D98" s="97" t="s">
        <v>3198</v>
      </c>
      <c r="E98" s="97" t="s">
        <v>54</v>
      </c>
      <c r="F98" s="97">
        <v>116</v>
      </c>
      <c r="G98" s="97">
        <v>7</v>
      </c>
      <c r="H98" s="97">
        <v>47</v>
      </c>
      <c r="I98" s="97">
        <v>97</v>
      </c>
      <c r="J98" s="97">
        <v>5</v>
      </c>
      <c r="K98" s="97">
        <v>112</v>
      </c>
      <c r="L98" s="97">
        <v>100</v>
      </c>
      <c r="M98" s="97">
        <v>10</v>
      </c>
      <c r="N98" s="97">
        <v>258</v>
      </c>
      <c r="O98" s="97">
        <v>86</v>
      </c>
      <c r="P98" s="97">
        <v>2</v>
      </c>
      <c r="Q98" s="97">
        <v>126</v>
      </c>
      <c r="R98" s="97">
        <v>62</v>
      </c>
      <c r="S98" s="97">
        <v>20</v>
      </c>
      <c r="T98" s="97">
        <v>277</v>
      </c>
      <c r="U98" s="97">
        <v>83</v>
      </c>
      <c r="V98" s="97">
        <v>8</v>
      </c>
      <c r="W98" s="97">
        <v>145</v>
      </c>
      <c r="X98" s="97">
        <v>73</v>
      </c>
      <c r="Y98" s="97">
        <v>18</v>
      </c>
      <c r="Z98" s="97">
        <v>359</v>
      </c>
      <c r="AA98" s="97">
        <v>51</v>
      </c>
      <c r="AB98" s="97">
        <v>23</v>
      </c>
      <c r="AC98" s="97">
        <v>555</v>
      </c>
      <c r="AD98" s="97">
        <v>70</v>
      </c>
      <c r="AE98" s="97">
        <v>21</v>
      </c>
      <c r="AF98" s="97">
        <v>327</v>
      </c>
      <c r="AG98" s="97">
        <v>544</v>
      </c>
      <c r="AH98" s="97">
        <v>1</v>
      </c>
      <c r="AI98" s="97">
        <v>95</v>
      </c>
      <c r="AK98" s="97" t="s">
        <v>3154</v>
      </c>
      <c r="AL98" s="97" t="s">
        <v>3154</v>
      </c>
      <c r="AM98" s="97" t="s">
        <v>103</v>
      </c>
      <c r="AN98" s="97" t="s">
        <v>3199</v>
      </c>
      <c r="AO98" s="97" t="s">
        <v>25</v>
      </c>
      <c r="AP98" s="97">
        <v>94</v>
      </c>
      <c r="AQ98" s="97">
        <v>38</v>
      </c>
      <c r="AR98" s="97">
        <v>123</v>
      </c>
      <c r="AS98" s="97">
        <v>101</v>
      </c>
      <c r="AT98" s="97">
        <v>7</v>
      </c>
      <c r="AU98" s="97">
        <v>48</v>
      </c>
      <c r="AV98" s="97">
        <v>70</v>
      </c>
      <c r="AW98" s="97">
        <v>14</v>
      </c>
      <c r="AX98" s="97">
        <v>57</v>
      </c>
      <c r="AY98" s="97">
        <v>47</v>
      </c>
      <c r="AZ98" s="97">
        <v>39</v>
      </c>
      <c r="BA98" s="97">
        <v>127</v>
      </c>
      <c r="BB98" s="97">
        <v>60</v>
      </c>
      <c r="BC98" s="97">
        <v>21</v>
      </c>
      <c r="BD98" s="97">
        <v>101</v>
      </c>
      <c r="BE98" s="97">
        <v>79</v>
      </c>
      <c r="BF98" s="97">
        <v>20</v>
      </c>
      <c r="BG98" s="97">
        <v>84</v>
      </c>
      <c r="BH98" s="97">
        <v>38</v>
      </c>
      <c r="BI98" s="97">
        <v>28</v>
      </c>
      <c r="BJ98" s="97">
        <v>91</v>
      </c>
      <c r="BK98" s="97">
        <v>58</v>
      </c>
      <c r="BL98" s="97">
        <v>27</v>
      </c>
      <c r="BM98" s="97">
        <v>90</v>
      </c>
      <c r="BN98" s="97">
        <v>45</v>
      </c>
      <c r="BO98" s="97">
        <v>33</v>
      </c>
      <c r="BP98" s="97">
        <v>92</v>
      </c>
      <c r="BQ98" s="97">
        <v>451</v>
      </c>
      <c r="BR98" s="97">
        <v>25</v>
      </c>
      <c r="BS98" s="97">
        <v>95</v>
      </c>
    </row>
    <row r="99" spans="1:71" ht="15" customHeight="1">
      <c r="A99" s="97" t="s">
        <v>730</v>
      </c>
      <c r="B99" s="97" t="s">
        <v>730</v>
      </c>
      <c r="C99" s="97" t="s">
        <v>731</v>
      </c>
      <c r="D99" s="97" t="s">
        <v>3198</v>
      </c>
      <c r="E99" s="97" t="s">
        <v>117</v>
      </c>
      <c r="F99" s="97">
        <v>121</v>
      </c>
      <c r="G99" s="97">
        <v>1</v>
      </c>
      <c r="H99" s="97">
        <v>13</v>
      </c>
      <c r="I99" s="97">
        <v>85</v>
      </c>
      <c r="J99" s="97">
        <v>11</v>
      </c>
      <c r="K99" s="97">
        <v>244</v>
      </c>
      <c r="L99" s="97">
        <v>107</v>
      </c>
      <c r="M99" s="97">
        <v>8</v>
      </c>
      <c r="N99" s="97">
        <v>148</v>
      </c>
      <c r="O99" s="97">
        <v>86</v>
      </c>
      <c r="P99" s="97">
        <v>5</v>
      </c>
      <c r="Q99" s="97">
        <v>126</v>
      </c>
      <c r="R99" s="97">
        <v>60</v>
      </c>
      <c r="S99" s="97">
        <v>13</v>
      </c>
      <c r="T99" s="97">
        <v>322</v>
      </c>
      <c r="U99" s="97">
        <v>85</v>
      </c>
      <c r="V99" s="97">
        <v>4</v>
      </c>
      <c r="W99" s="97">
        <v>96</v>
      </c>
      <c r="X99" s="97">
        <v>86</v>
      </c>
      <c r="Y99" s="97">
        <v>2</v>
      </c>
      <c r="Z99" s="97">
        <v>34</v>
      </c>
      <c r="AA99" s="97">
        <v>61</v>
      </c>
      <c r="AB99" s="97">
        <v>8</v>
      </c>
      <c r="AC99" s="97">
        <v>172</v>
      </c>
      <c r="AD99" s="97">
        <v>82</v>
      </c>
      <c r="AE99" s="97">
        <v>2</v>
      </c>
      <c r="AF99" s="97">
        <v>31</v>
      </c>
      <c r="AG99" s="97">
        <v>544</v>
      </c>
      <c r="AH99" s="97">
        <v>3</v>
      </c>
      <c r="AI99" s="97">
        <v>95</v>
      </c>
      <c r="AK99" s="97" t="s">
        <v>3016</v>
      </c>
      <c r="AL99" s="97" t="s">
        <v>3016</v>
      </c>
      <c r="AM99" s="97" t="s">
        <v>3017</v>
      </c>
      <c r="AN99" s="97" t="s">
        <v>3199</v>
      </c>
      <c r="AO99" s="97" t="s">
        <v>52</v>
      </c>
      <c r="AP99" s="97">
        <v>96</v>
      </c>
      <c r="AQ99" s="97">
        <v>37</v>
      </c>
      <c r="AR99" s="97">
        <v>116</v>
      </c>
      <c r="AS99" s="97">
        <v>87</v>
      </c>
      <c r="AT99" s="97">
        <v>31</v>
      </c>
      <c r="AU99" s="97">
        <v>94</v>
      </c>
      <c r="AV99" s="97">
        <v>74</v>
      </c>
      <c r="AW99" s="97">
        <v>5</v>
      </c>
      <c r="AX99" s="97">
        <v>32</v>
      </c>
      <c r="AY99" s="97">
        <v>56</v>
      </c>
      <c r="AZ99" s="97">
        <v>35</v>
      </c>
      <c r="BA99" s="97">
        <v>115</v>
      </c>
      <c r="BB99" s="97">
        <v>61</v>
      </c>
      <c r="BC99" s="97">
        <v>32</v>
      </c>
      <c r="BD99" s="97">
        <v>94</v>
      </c>
      <c r="BE99" s="97">
        <v>76</v>
      </c>
      <c r="BF99" s="97">
        <v>24</v>
      </c>
      <c r="BG99" s="97">
        <v>92</v>
      </c>
      <c r="BH99" s="97">
        <v>46</v>
      </c>
      <c r="BI99" s="97">
        <v>10</v>
      </c>
      <c r="BJ99" s="97">
        <v>40</v>
      </c>
      <c r="BK99" s="97">
        <v>57</v>
      </c>
      <c r="BL99" s="97">
        <v>30</v>
      </c>
      <c r="BM99" s="97">
        <v>97</v>
      </c>
      <c r="BN99" s="97">
        <v>52</v>
      </c>
      <c r="BO99" s="97">
        <v>13</v>
      </c>
      <c r="BP99" s="97">
        <v>43</v>
      </c>
      <c r="BQ99" s="97">
        <v>450</v>
      </c>
      <c r="BR99" s="97">
        <v>25</v>
      </c>
      <c r="BS99" s="97">
        <v>96</v>
      </c>
    </row>
    <row r="100" spans="1:71" ht="15" customHeight="1">
      <c r="A100" s="97" t="s">
        <v>1537</v>
      </c>
      <c r="B100" s="97" t="s">
        <v>1537</v>
      </c>
      <c r="C100" s="97" t="s">
        <v>174</v>
      </c>
      <c r="D100" s="97" t="s">
        <v>3198</v>
      </c>
      <c r="E100" s="97" t="s">
        <v>10</v>
      </c>
      <c r="F100" s="97">
        <v>91</v>
      </c>
      <c r="G100" s="97">
        <v>52</v>
      </c>
      <c r="H100" s="97">
        <v>799</v>
      </c>
      <c r="I100" s="97">
        <v>95</v>
      </c>
      <c r="J100" s="97">
        <v>36</v>
      </c>
      <c r="K100" s="97">
        <v>128</v>
      </c>
      <c r="L100" s="97">
        <v>111.5</v>
      </c>
      <c r="M100" s="97">
        <v>26</v>
      </c>
      <c r="N100" s="97">
        <v>91</v>
      </c>
      <c r="O100" s="97">
        <v>96</v>
      </c>
      <c r="P100" s="97">
        <v>21</v>
      </c>
      <c r="Q100" s="97">
        <v>43</v>
      </c>
      <c r="R100" s="97">
        <v>70</v>
      </c>
      <c r="S100" s="97">
        <v>42</v>
      </c>
      <c r="T100" s="97">
        <v>136</v>
      </c>
      <c r="U100" s="97">
        <v>80</v>
      </c>
      <c r="V100" s="97">
        <v>46</v>
      </c>
      <c r="W100" s="97">
        <v>205</v>
      </c>
      <c r="X100" s="97">
        <v>66</v>
      </c>
      <c r="Y100" s="97">
        <v>46</v>
      </c>
      <c r="Z100" s="97">
        <v>604</v>
      </c>
      <c r="AA100" s="97">
        <v>59</v>
      </c>
      <c r="AB100" s="97">
        <v>43</v>
      </c>
      <c r="AC100" s="97">
        <v>233</v>
      </c>
      <c r="AD100" s="97">
        <v>72</v>
      </c>
      <c r="AE100" s="97">
        <v>39</v>
      </c>
      <c r="AF100" s="97">
        <v>256</v>
      </c>
      <c r="AG100" s="97">
        <v>543.5</v>
      </c>
      <c r="AH100" s="97">
        <v>49</v>
      </c>
      <c r="AI100" s="97">
        <v>97</v>
      </c>
      <c r="AK100" s="97" t="s">
        <v>3276</v>
      </c>
      <c r="AL100" s="97" t="s">
        <v>3276</v>
      </c>
      <c r="AM100" s="97" t="s">
        <v>3083</v>
      </c>
      <c r="AN100" s="97" t="s">
        <v>3199</v>
      </c>
      <c r="AO100" s="97" t="s">
        <v>52</v>
      </c>
      <c r="AP100" s="97">
        <v>98</v>
      </c>
      <c r="AQ100" s="97">
        <v>34</v>
      </c>
      <c r="AR100" s="97">
        <v>109</v>
      </c>
      <c r="AS100" s="97">
        <v>89</v>
      </c>
      <c r="AT100" s="97">
        <v>27</v>
      </c>
      <c r="AU100" s="97">
        <v>86</v>
      </c>
      <c r="AV100" s="97">
        <v>61</v>
      </c>
      <c r="AW100" s="97">
        <v>28</v>
      </c>
      <c r="AX100" s="97">
        <v>106</v>
      </c>
      <c r="AY100" s="97">
        <v>61</v>
      </c>
      <c r="AZ100" s="97">
        <v>21</v>
      </c>
      <c r="BA100" s="97">
        <v>89</v>
      </c>
      <c r="BB100" s="97">
        <v>62</v>
      </c>
      <c r="BC100" s="97">
        <v>30</v>
      </c>
      <c r="BD100" s="97">
        <v>90</v>
      </c>
      <c r="BE100" s="97">
        <v>78</v>
      </c>
      <c r="BF100" s="97">
        <v>21</v>
      </c>
      <c r="BG100" s="97">
        <v>88</v>
      </c>
      <c r="BH100" s="97">
        <v>27</v>
      </c>
      <c r="BI100" s="97">
        <v>43</v>
      </c>
      <c r="BJ100" s="97">
        <v>132</v>
      </c>
      <c r="BK100" s="97">
        <v>60</v>
      </c>
      <c r="BL100" s="97">
        <v>22</v>
      </c>
      <c r="BM100" s="97">
        <v>76</v>
      </c>
      <c r="BN100" s="97">
        <v>56</v>
      </c>
      <c r="BO100" s="97">
        <v>4</v>
      </c>
      <c r="BP100" s="97">
        <v>19</v>
      </c>
      <c r="BQ100" s="97">
        <v>449</v>
      </c>
      <c r="BR100" s="97">
        <v>26</v>
      </c>
      <c r="BS100" s="97">
        <v>97</v>
      </c>
    </row>
    <row r="101" spans="1:71" ht="15" customHeight="1">
      <c r="A101" s="97" t="s">
        <v>1644</v>
      </c>
      <c r="B101" s="97" t="s">
        <v>1644</v>
      </c>
      <c r="C101" s="97" t="s">
        <v>1645</v>
      </c>
      <c r="D101" s="97" t="s">
        <v>3198</v>
      </c>
      <c r="E101" s="97" t="s">
        <v>9</v>
      </c>
      <c r="F101" s="97">
        <v>110</v>
      </c>
      <c r="G101" s="97">
        <v>15</v>
      </c>
      <c r="H101" s="97">
        <v>159</v>
      </c>
      <c r="I101" s="97">
        <v>104</v>
      </c>
      <c r="J101" s="97">
        <v>10</v>
      </c>
      <c r="K101" s="97">
        <v>61</v>
      </c>
      <c r="L101" s="97">
        <v>103</v>
      </c>
      <c r="M101" s="97">
        <v>33</v>
      </c>
      <c r="N101" s="97">
        <v>205</v>
      </c>
      <c r="O101" s="97">
        <v>75</v>
      </c>
      <c r="P101" s="97">
        <v>39</v>
      </c>
      <c r="Q101" s="97">
        <v>299</v>
      </c>
      <c r="R101" s="97">
        <v>71</v>
      </c>
      <c r="S101" s="97">
        <v>32</v>
      </c>
      <c r="T101" s="97">
        <v>123</v>
      </c>
      <c r="U101" s="97">
        <v>80</v>
      </c>
      <c r="V101" s="97">
        <v>33</v>
      </c>
      <c r="W101" s="97">
        <v>205</v>
      </c>
      <c r="X101" s="97">
        <v>66</v>
      </c>
      <c r="Y101" s="97">
        <v>45</v>
      </c>
      <c r="Z101" s="97">
        <v>604</v>
      </c>
      <c r="AA101" s="97">
        <v>60</v>
      </c>
      <c r="AB101" s="97">
        <v>31</v>
      </c>
      <c r="AC101" s="97">
        <v>203</v>
      </c>
      <c r="AD101" s="97">
        <v>56</v>
      </c>
      <c r="AE101" s="97">
        <v>47</v>
      </c>
      <c r="AF101" s="97">
        <v>817</v>
      </c>
      <c r="AG101" s="97">
        <v>543</v>
      </c>
      <c r="AH101" s="97">
        <v>26</v>
      </c>
      <c r="AI101" s="97">
        <v>98</v>
      </c>
      <c r="AK101" s="97" t="s">
        <v>3163</v>
      </c>
      <c r="AL101" s="97" t="s">
        <v>3163</v>
      </c>
      <c r="AM101" s="97" t="s">
        <v>3164</v>
      </c>
      <c r="AN101" s="97" t="s">
        <v>3199</v>
      </c>
      <c r="AO101" s="97" t="s">
        <v>25</v>
      </c>
      <c r="AP101" s="97">
        <v>90</v>
      </c>
      <c r="AQ101" s="97">
        <v>42</v>
      </c>
      <c r="AR101" s="97">
        <v>133</v>
      </c>
      <c r="AS101" s="97">
        <v>78.5</v>
      </c>
      <c r="AT101" s="97">
        <v>35</v>
      </c>
      <c r="AU101" s="97">
        <v>120</v>
      </c>
      <c r="AV101" s="97">
        <v>65</v>
      </c>
      <c r="AW101" s="97">
        <v>25</v>
      </c>
      <c r="AX101" s="97">
        <v>81</v>
      </c>
      <c r="AY101" s="97">
        <v>57</v>
      </c>
      <c r="AZ101" s="97">
        <v>34</v>
      </c>
      <c r="BA101" s="97">
        <v>109</v>
      </c>
      <c r="BB101" s="97">
        <v>57</v>
      </c>
      <c r="BC101" s="97">
        <v>28</v>
      </c>
      <c r="BD101" s="97">
        <v>113</v>
      </c>
      <c r="BE101" s="97">
        <v>98</v>
      </c>
      <c r="BF101" s="97">
        <v>8</v>
      </c>
      <c r="BG101" s="97">
        <v>48</v>
      </c>
      <c r="BH101" s="97">
        <v>43</v>
      </c>
      <c r="BI101" s="97">
        <v>17</v>
      </c>
      <c r="BJ101" s="97">
        <v>60</v>
      </c>
      <c r="BK101" s="97">
        <v>72</v>
      </c>
      <c r="BL101" s="97">
        <v>4</v>
      </c>
      <c r="BM101" s="97">
        <v>16</v>
      </c>
      <c r="BN101" s="97">
        <v>57</v>
      </c>
      <c r="BO101" s="97">
        <v>6</v>
      </c>
      <c r="BP101" s="97">
        <v>16</v>
      </c>
      <c r="BQ101" s="97">
        <v>445.5</v>
      </c>
      <c r="BR101" s="97">
        <v>26</v>
      </c>
      <c r="BS101" s="97">
        <v>98</v>
      </c>
    </row>
    <row r="102" spans="1:71" ht="15" customHeight="1">
      <c r="A102" s="97" t="s">
        <v>1455</v>
      </c>
      <c r="B102" s="97" t="s">
        <v>1455</v>
      </c>
      <c r="C102" s="97" t="s">
        <v>177</v>
      </c>
      <c r="D102" s="97" t="s">
        <v>3198</v>
      </c>
      <c r="E102" s="97" t="s">
        <v>56</v>
      </c>
      <c r="F102" s="97">
        <v>101</v>
      </c>
      <c r="G102" s="97">
        <v>21</v>
      </c>
      <c r="H102" s="97">
        <v>481</v>
      </c>
      <c r="I102" s="97">
        <v>121</v>
      </c>
      <c r="J102" s="97">
        <v>1</v>
      </c>
      <c r="K102" s="97">
        <v>11</v>
      </c>
      <c r="L102" s="97">
        <v>89.5</v>
      </c>
      <c r="M102" s="97">
        <v>26</v>
      </c>
      <c r="N102" s="97">
        <v>493</v>
      </c>
      <c r="O102" s="97">
        <v>84</v>
      </c>
      <c r="P102" s="97">
        <v>7</v>
      </c>
      <c r="Q102" s="97">
        <v>147</v>
      </c>
      <c r="R102" s="97">
        <v>60</v>
      </c>
      <c r="S102" s="97">
        <v>10</v>
      </c>
      <c r="T102" s="97">
        <v>322</v>
      </c>
      <c r="U102" s="97">
        <v>86</v>
      </c>
      <c r="V102" s="97">
        <v>4</v>
      </c>
      <c r="W102" s="97">
        <v>77</v>
      </c>
      <c r="X102" s="97">
        <v>82</v>
      </c>
      <c r="Y102" s="97">
        <v>7</v>
      </c>
      <c r="Z102" s="97">
        <v>100</v>
      </c>
      <c r="AA102" s="97">
        <v>44</v>
      </c>
      <c r="AB102" s="97">
        <v>44</v>
      </c>
      <c r="AC102" s="97">
        <v>804</v>
      </c>
      <c r="AD102" s="97">
        <v>65</v>
      </c>
      <c r="AE102" s="97">
        <v>29</v>
      </c>
      <c r="AF102" s="97">
        <v>548</v>
      </c>
      <c r="AG102" s="97">
        <v>541.5</v>
      </c>
      <c r="AH102" s="97">
        <v>1</v>
      </c>
      <c r="AI102" s="97">
        <v>99</v>
      </c>
      <c r="AK102" s="97" t="s">
        <v>3105</v>
      </c>
      <c r="AL102" s="97" t="s">
        <v>3105</v>
      </c>
      <c r="AM102" s="97" t="s">
        <v>3079</v>
      </c>
      <c r="AN102" s="97" t="s">
        <v>3199</v>
      </c>
      <c r="AO102" s="97" t="s">
        <v>52</v>
      </c>
      <c r="AP102" s="97">
        <v>102</v>
      </c>
      <c r="AQ102" s="97">
        <v>25</v>
      </c>
      <c r="AR102" s="97">
        <v>86</v>
      </c>
      <c r="AS102" s="97">
        <v>75</v>
      </c>
      <c r="AT102" s="97">
        <v>43</v>
      </c>
      <c r="AU102" s="97">
        <v>126</v>
      </c>
      <c r="AV102" s="97">
        <v>61</v>
      </c>
      <c r="AW102" s="97">
        <v>28</v>
      </c>
      <c r="AX102" s="97">
        <v>106</v>
      </c>
      <c r="AY102" s="97">
        <v>58</v>
      </c>
      <c r="AZ102" s="97">
        <v>30</v>
      </c>
      <c r="BA102" s="97">
        <v>106</v>
      </c>
      <c r="BB102" s="97">
        <v>66</v>
      </c>
      <c r="BC102" s="97">
        <v>21</v>
      </c>
      <c r="BD102" s="97">
        <v>67</v>
      </c>
      <c r="BE102" s="97">
        <v>83</v>
      </c>
      <c r="BF102" s="97">
        <v>13</v>
      </c>
      <c r="BG102" s="97">
        <v>72</v>
      </c>
      <c r="BH102" s="97">
        <v>39</v>
      </c>
      <c r="BI102" s="97">
        <v>24</v>
      </c>
      <c r="BJ102" s="97">
        <v>87</v>
      </c>
      <c r="BK102" s="97">
        <v>76</v>
      </c>
      <c r="BL102" s="97">
        <v>2</v>
      </c>
      <c r="BM102" s="97">
        <v>9</v>
      </c>
      <c r="BN102" s="97">
        <v>63</v>
      </c>
      <c r="BO102" s="97">
        <v>1</v>
      </c>
      <c r="BP102" s="97">
        <v>2</v>
      </c>
      <c r="BQ102" s="97">
        <v>445</v>
      </c>
      <c r="BR102" s="97">
        <v>27</v>
      </c>
      <c r="BS102" s="97">
        <v>99</v>
      </c>
    </row>
    <row r="103" spans="1:71" ht="15" customHeight="1">
      <c r="A103" s="97" t="s">
        <v>509</v>
      </c>
      <c r="B103" s="97" t="s">
        <v>509</v>
      </c>
      <c r="C103" s="97" t="s">
        <v>519</v>
      </c>
      <c r="D103" s="97" t="s">
        <v>3198</v>
      </c>
      <c r="E103" s="97" t="s">
        <v>19</v>
      </c>
      <c r="F103" s="97">
        <v>115</v>
      </c>
      <c r="G103" s="97">
        <v>5</v>
      </c>
      <c r="H103" s="97">
        <v>65</v>
      </c>
      <c r="I103" s="97">
        <v>67</v>
      </c>
      <c r="J103" s="97">
        <v>30</v>
      </c>
      <c r="K103" s="97">
        <v>565</v>
      </c>
      <c r="L103" s="97">
        <v>115</v>
      </c>
      <c r="M103" s="97">
        <v>4</v>
      </c>
      <c r="N103" s="97">
        <v>58</v>
      </c>
      <c r="O103" s="97">
        <v>93</v>
      </c>
      <c r="P103" s="97">
        <v>4</v>
      </c>
      <c r="Q103" s="97">
        <v>68</v>
      </c>
      <c r="R103" s="97">
        <v>70</v>
      </c>
      <c r="S103" s="97">
        <v>5</v>
      </c>
      <c r="T103" s="97">
        <v>136</v>
      </c>
      <c r="U103" s="97">
        <v>81</v>
      </c>
      <c r="V103" s="97">
        <v>6</v>
      </c>
      <c r="W103" s="97">
        <v>183</v>
      </c>
      <c r="X103" s="97">
        <v>74</v>
      </c>
      <c r="Y103" s="97">
        <v>17</v>
      </c>
      <c r="Z103" s="97">
        <v>326</v>
      </c>
      <c r="AA103" s="97">
        <v>62</v>
      </c>
      <c r="AB103" s="97">
        <v>10</v>
      </c>
      <c r="AC103" s="97">
        <v>146</v>
      </c>
      <c r="AD103" s="97">
        <v>86</v>
      </c>
      <c r="AE103" s="97">
        <v>1</v>
      </c>
      <c r="AF103" s="97">
        <v>9</v>
      </c>
      <c r="AG103" s="97">
        <v>541</v>
      </c>
      <c r="AH103" s="97">
        <v>2</v>
      </c>
      <c r="AI103" s="97">
        <v>100</v>
      </c>
      <c r="AK103" s="97" t="s">
        <v>3284</v>
      </c>
      <c r="AL103" s="97" t="s">
        <v>3284</v>
      </c>
      <c r="AM103" s="97" t="s">
        <v>158</v>
      </c>
      <c r="AN103" s="97" t="s">
        <v>3199</v>
      </c>
      <c r="AO103" s="97" t="s">
        <v>52</v>
      </c>
      <c r="AP103" s="97">
        <v>99</v>
      </c>
      <c r="AQ103" s="97">
        <v>31</v>
      </c>
      <c r="AR103" s="97">
        <v>102</v>
      </c>
      <c r="AS103" s="97">
        <v>79.5</v>
      </c>
      <c r="AT103" s="97">
        <v>40</v>
      </c>
      <c r="AU103" s="97">
        <v>118</v>
      </c>
      <c r="AV103" s="97">
        <v>59</v>
      </c>
      <c r="AW103" s="97">
        <v>31</v>
      </c>
      <c r="AX103" s="97">
        <v>109</v>
      </c>
      <c r="AY103" s="97">
        <v>63</v>
      </c>
      <c r="AZ103" s="97">
        <v>16</v>
      </c>
      <c r="BA103" s="97">
        <v>81</v>
      </c>
      <c r="BB103" s="97">
        <v>76</v>
      </c>
      <c r="BC103" s="97">
        <v>5</v>
      </c>
      <c r="BD103" s="97">
        <v>20</v>
      </c>
      <c r="BE103" s="97">
        <v>68</v>
      </c>
      <c r="BF103" s="97">
        <v>31</v>
      </c>
      <c r="BG103" s="97">
        <v>102</v>
      </c>
      <c r="BH103" s="97">
        <v>40</v>
      </c>
      <c r="BI103" s="97">
        <v>19</v>
      </c>
      <c r="BJ103" s="97">
        <v>79</v>
      </c>
      <c r="BK103" s="97">
        <v>67</v>
      </c>
      <c r="BL103" s="97">
        <v>10</v>
      </c>
      <c r="BM103" s="97">
        <v>38</v>
      </c>
      <c r="BN103" s="97">
        <v>53</v>
      </c>
      <c r="BO103" s="97">
        <v>8</v>
      </c>
      <c r="BP103" s="97">
        <v>35</v>
      </c>
      <c r="BQ103" s="97">
        <v>444.5</v>
      </c>
      <c r="BR103" s="97">
        <v>28</v>
      </c>
      <c r="BS103" s="97">
        <v>100</v>
      </c>
    </row>
    <row r="104" spans="1:71" ht="15" customHeight="1">
      <c r="A104" s="97" t="s">
        <v>1792</v>
      </c>
      <c r="B104" s="97" t="s">
        <v>1792</v>
      </c>
      <c r="C104" s="97" t="s">
        <v>1793</v>
      </c>
      <c r="D104" s="97" t="s">
        <v>3198</v>
      </c>
      <c r="E104" s="97" t="s">
        <v>34</v>
      </c>
      <c r="F104" s="97">
        <v>114</v>
      </c>
      <c r="G104" s="97">
        <v>5</v>
      </c>
      <c r="H104" s="97">
        <v>80</v>
      </c>
      <c r="I104" s="97">
        <v>89</v>
      </c>
      <c r="J104" s="97">
        <v>7</v>
      </c>
      <c r="K104" s="97">
        <v>196</v>
      </c>
      <c r="L104" s="97">
        <v>115.5</v>
      </c>
      <c r="M104" s="97">
        <v>2</v>
      </c>
      <c r="N104" s="97">
        <v>55</v>
      </c>
      <c r="O104" s="97">
        <v>80</v>
      </c>
      <c r="P104" s="97">
        <v>3</v>
      </c>
      <c r="Q104" s="97">
        <v>207</v>
      </c>
      <c r="R104" s="97">
        <v>63</v>
      </c>
      <c r="S104" s="97">
        <v>10</v>
      </c>
      <c r="T104" s="97">
        <v>262</v>
      </c>
      <c r="U104" s="97">
        <v>79</v>
      </c>
      <c r="V104" s="97">
        <v>6</v>
      </c>
      <c r="W104" s="97">
        <v>229</v>
      </c>
      <c r="X104" s="97">
        <v>75</v>
      </c>
      <c r="Y104" s="97">
        <v>26</v>
      </c>
      <c r="Z104" s="97">
        <v>289</v>
      </c>
      <c r="AA104" s="97">
        <v>56</v>
      </c>
      <c r="AB104" s="97">
        <v>19</v>
      </c>
      <c r="AC104" s="97">
        <v>352</v>
      </c>
      <c r="AD104" s="97">
        <v>69</v>
      </c>
      <c r="AE104" s="97">
        <v>16</v>
      </c>
      <c r="AF104" s="97">
        <v>367</v>
      </c>
      <c r="AG104" s="97">
        <v>540.5</v>
      </c>
      <c r="AH104" s="97">
        <v>1</v>
      </c>
      <c r="AI104" s="97">
        <v>101</v>
      </c>
      <c r="AK104" s="97" t="s">
        <v>3275</v>
      </c>
      <c r="AL104" s="97" t="s">
        <v>3275</v>
      </c>
      <c r="AM104" s="97" t="s">
        <v>3101</v>
      </c>
      <c r="AN104" s="97" t="s">
        <v>3199</v>
      </c>
      <c r="AO104" s="97" t="s">
        <v>52</v>
      </c>
      <c r="AP104" s="97">
        <v>94</v>
      </c>
      <c r="AQ104" s="97">
        <v>40</v>
      </c>
      <c r="AR104" s="97">
        <v>123</v>
      </c>
      <c r="AS104" s="97">
        <v>90.5</v>
      </c>
      <c r="AT104" s="97">
        <v>23</v>
      </c>
      <c r="AU104" s="97">
        <v>80</v>
      </c>
      <c r="AV104" s="97">
        <v>65</v>
      </c>
      <c r="AW104" s="97">
        <v>16</v>
      </c>
      <c r="AX104" s="97">
        <v>81</v>
      </c>
      <c r="AY104" s="97">
        <v>61</v>
      </c>
      <c r="AZ104" s="97">
        <v>21</v>
      </c>
      <c r="BA104" s="97">
        <v>89</v>
      </c>
      <c r="BB104" s="97">
        <v>63</v>
      </c>
      <c r="BC104" s="97">
        <v>28</v>
      </c>
      <c r="BD104" s="97">
        <v>86</v>
      </c>
      <c r="BE104" s="97">
        <v>70</v>
      </c>
      <c r="BF104" s="97">
        <v>28</v>
      </c>
      <c r="BG104" s="97">
        <v>98</v>
      </c>
      <c r="BH104" s="97">
        <v>43</v>
      </c>
      <c r="BI104" s="97">
        <v>14</v>
      </c>
      <c r="BJ104" s="97">
        <v>60</v>
      </c>
      <c r="BK104" s="97">
        <v>68</v>
      </c>
      <c r="BL104" s="97">
        <v>7</v>
      </c>
      <c r="BM104" s="97">
        <v>31</v>
      </c>
      <c r="BN104" s="97">
        <v>44</v>
      </c>
      <c r="BO104" s="97">
        <v>30</v>
      </c>
      <c r="BP104" s="97">
        <v>98</v>
      </c>
      <c r="BQ104" s="97">
        <v>443.5</v>
      </c>
      <c r="BR104" s="97">
        <v>29</v>
      </c>
      <c r="BS104" s="97">
        <v>101</v>
      </c>
    </row>
    <row r="105" spans="1:71" ht="15" customHeight="1">
      <c r="A105" s="97" t="s">
        <v>2039</v>
      </c>
      <c r="B105" s="97" t="s">
        <v>2039</v>
      </c>
      <c r="C105" s="97" t="s">
        <v>2040</v>
      </c>
      <c r="D105" s="97" t="s">
        <v>3198</v>
      </c>
      <c r="E105" s="97" t="s">
        <v>109</v>
      </c>
      <c r="F105" s="97">
        <v>107</v>
      </c>
      <c r="G105" s="97">
        <v>16</v>
      </c>
      <c r="H105" s="97">
        <v>242</v>
      </c>
      <c r="I105" s="97">
        <v>104</v>
      </c>
      <c r="J105" s="97">
        <v>1</v>
      </c>
      <c r="K105" s="97">
        <v>61</v>
      </c>
      <c r="L105" s="97">
        <v>97.5</v>
      </c>
      <c r="M105" s="97">
        <v>17</v>
      </c>
      <c r="N105" s="97">
        <v>310</v>
      </c>
      <c r="O105" s="97">
        <v>86</v>
      </c>
      <c r="P105" s="97">
        <v>5</v>
      </c>
      <c r="Q105" s="97">
        <v>126</v>
      </c>
      <c r="R105" s="97">
        <v>56</v>
      </c>
      <c r="S105" s="97">
        <v>24</v>
      </c>
      <c r="T105" s="97">
        <v>433</v>
      </c>
      <c r="U105" s="97">
        <v>90</v>
      </c>
      <c r="V105" s="97">
        <v>2</v>
      </c>
      <c r="W105" s="97">
        <v>19</v>
      </c>
      <c r="X105" s="97">
        <v>62</v>
      </c>
      <c r="Y105" s="97">
        <v>41</v>
      </c>
      <c r="Z105" s="97">
        <v>729</v>
      </c>
      <c r="AA105" s="97">
        <v>44</v>
      </c>
      <c r="AB105" s="97">
        <v>45</v>
      </c>
      <c r="AC105" s="97">
        <v>804</v>
      </c>
      <c r="AD105" s="97">
        <v>54</v>
      </c>
      <c r="AE105" s="97">
        <v>49</v>
      </c>
      <c r="AF105" s="97">
        <v>855</v>
      </c>
      <c r="AG105" s="97">
        <v>540.5</v>
      </c>
      <c r="AH105" s="97">
        <v>4</v>
      </c>
      <c r="AI105" s="97">
        <v>101</v>
      </c>
      <c r="AK105" s="97" t="s">
        <v>3042</v>
      </c>
      <c r="AL105" s="97" t="s">
        <v>3042</v>
      </c>
      <c r="AM105" s="97" t="s">
        <v>1220</v>
      </c>
      <c r="AN105" s="97" t="s">
        <v>3199</v>
      </c>
      <c r="AO105" s="97" t="s">
        <v>52</v>
      </c>
      <c r="AP105" s="97">
        <v>100</v>
      </c>
      <c r="AQ105" s="97">
        <v>29</v>
      </c>
      <c r="AR105" s="97">
        <v>97</v>
      </c>
      <c r="AS105" s="97">
        <v>88.5</v>
      </c>
      <c r="AT105" s="97">
        <v>29</v>
      </c>
      <c r="AU105" s="97">
        <v>89</v>
      </c>
      <c r="AV105" s="97">
        <v>62</v>
      </c>
      <c r="AW105" s="97">
        <v>24</v>
      </c>
      <c r="AX105" s="97">
        <v>98</v>
      </c>
      <c r="AY105" s="97">
        <v>51</v>
      </c>
      <c r="AZ105" s="97">
        <v>38</v>
      </c>
      <c r="BA105" s="97">
        <v>122</v>
      </c>
      <c r="BB105" s="97">
        <v>66</v>
      </c>
      <c r="BC105" s="97">
        <v>21</v>
      </c>
      <c r="BD105" s="97">
        <v>67</v>
      </c>
      <c r="BE105" s="97">
        <v>76</v>
      </c>
      <c r="BF105" s="97">
        <v>24</v>
      </c>
      <c r="BG105" s="97">
        <v>92</v>
      </c>
      <c r="BH105" s="97">
        <v>43</v>
      </c>
      <c r="BI105" s="97">
        <v>14</v>
      </c>
      <c r="BJ105" s="97">
        <v>60</v>
      </c>
      <c r="BK105" s="97">
        <v>68</v>
      </c>
      <c r="BL105" s="97">
        <v>7</v>
      </c>
      <c r="BM105" s="97">
        <v>31</v>
      </c>
      <c r="BN105" s="97">
        <v>43</v>
      </c>
      <c r="BO105" s="97">
        <v>33</v>
      </c>
      <c r="BP105" s="97">
        <v>102</v>
      </c>
      <c r="BQ105" s="97">
        <v>443.5</v>
      </c>
      <c r="BR105" s="97">
        <v>29</v>
      </c>
      <c r="BS105" s="97">
        <v>101</v>
      </c>
    </row>
    <row r="106" spans="1:71" ht="15" customHeight="1">
      <c r="A106" s="97" t="s">
        <v>2746</v>
      </c>
      <c r="B106" s="97" t="s">
        <v>2746</v>
      </c>
      <c r="C106" s="97" t="s">
        <v>2747</v>
      </c>
      <c r="D106" s="97" t="s">
        <v>3198</v>
      </c>
      <c r="E106" s="97" t="s">
        <v>49</v>
      </c>
      <c r="F106" s="97">
        <v>120</v>
      </c>
      <c r="G106" s="97">
        <v>2</v>
      </c>
      <c r="H106" s="97">
        <v>21</v>
      </c>
      <c r="I106" s="97">
        <v>97</v>
      </c>
      <c r="J106" s="97">
        <v>7</v>
      </c>
      <c r="K106" s="97">
        <v>112</v>
      </c>
      <c r="L106" s="97">
        <v>112.5</v>
      </c>
      <c r="M106" s="97">
        <v>5</v>
      </c>
      <c r="N106" s="97">
        <v>77</v>
      </c>
      <c r="O106" s="97">
        <v>64</v>
      </c>
      <c r="P106" s="97">
        <v>34</v>
      </c>
      <c r="Q106" s="97">
        <v>517</v>
      </c>
      <c r="R106" s="97">
        <v>69</v>
      </c>
      <c r="S106" s="97">
        <v>6</v>
      </c>
      <c r="T106" s="97">
        <v>152</v>
      </c>
      <c r="U106" s="97">
        <v>78</v>
      </c>
      <c r="V106" s="97">
        <v>13</v>
      </c>
      <c r="W106" s="97">
        <v>250</v>
      </c>
      <c r="X106" s="97">
        <v>78</v>
      </c>
      <c r="Y106" s="97">
        <v>4</v>
      </c>
      <c r="Z106" s="97">
        <v>209</v>
      </c>
      <c r="AA106" s="97">
        <v>46</v>
      </c>
      <c r="AB106" s="97">
        <v>36</v>
      </c>
      <c r="AC106" s="97">
        <v>755</v>
      </c>
      <c r="AD106" s="97">
        <v>66</v>
      </c>
      <c r="AE106" s="97">
        <v>20</v>
      </c>
      <c r="AF106" s="97">
        <v>511</v>
      </c>
      <c r="AG106" s="97">
        <v>540.5</v>
      </c>
      <c r="AH106" s="97">
        <v>4</v>
      </c>
      <c r="AI106" s="97">
        <v>101</v>
      </c>
      <c r="AK106" s="97" t="s">
        <v>3286</v>
      </c>
      <c r="AL106" s="97" t="s">
        <v>3286</v>
      </c>
      <c r="AM106" s="97" t="s">
        <v>3287</v>
      </c>
      <c r="AN106" s="97" t="s">
        <v>3199</v>
      </c>
      <c r="AO106" s="97" t="s">
        <v>52</v>
      </c>
      <c r="AP106" s="97">
        <v>99</v>
      </c>
      <c r="AQ106" s="97">
        <v>31</v>
      </c>
      <c r="AR106" s="97">
        <v>102</v>
      </c>
      <c r="AS106" s="97">
        <v>111</v>
      </c>
      <c r="AT106" s="97">
        <v>4</v>
      </c>
      <c r="AU106" s="97">
        <v>21</v>
      </c>
      <c r="AV106" s="97">
        <v>58</v>
      </c>
      <c r="AW106" s="97">
        <v>32</v>
      </c>
      <c r="AX106" s="97">
        <v>112</v>
      </c>
      <c r="AY106" s="97">
        <v>45</v>
      </c>
      <c r="AZ106" s="97">
        <v>43</v>
      </c>
      <c r="BA106" s="97">
        <v>129</v>
      </c>
      <c r="BB106" s="97">
        <v>57</v>
      </c>
      <c r="BC106" s="97">
        <v>40</v>
      </c>
      <c r="BD106" s="97">
        <v>113</v>
      </c>
      <c r="BE106" s="97">
        <v>73</v>
      </c>
      <c r="BF106" s="97">
        <v>26</v>
      </c>
      <c r="BG106" s="97">
        <v>94</v>
      </c>
      <c r="BH106" s="97">
        <v>40</v>
      </c>
      <c r="BI106" s="97">
        <v>19</v>
      </c>
      <c r="BJ106" s="97">
        <v>79</v>
      </c>
      <c r="BK106" s="97">
        <v>50</v>
      </c>
      <c r="BL106" s="97">
        <v>42</v>
      </c>
      <c r="BM106" s="97">
        <v>121</v>
      </c>
      <c r="BN106" s="97">
        <v>23</v>
      </c>
      <c r="BO106" s="97">
        <v>44</v>
      </c>
      <c r="BP106" s="97">
        <v>133</v>
      </c>
      <c r="BQ106" s="97">
        <v>443</v>
      </c>
      <c r="BR106" s="97">
        <v>31</v>
      </c>
      <c r="BS106" s="97">
        <v>103</v>
      </c>
    </row>
    <row r="107" spans="1:71" ht="15" customHeight="1">
      <c r="A107" s="97" t="s">
        <v>1919</v>
      </c>
      <c r="B107" s="97" t="s">
        <v>1919</v>
      </c>
      <c r="C107" s="97" t="s">
        <v>196</v>
      </c>
      <c r="D107" s="97" t="s">
        <v>3198</v>
      </c>
      <c r="E107" s="97" t="s">
        <v>34</v>
      </c>
      <c r="F107" s="97">
        <v>111</v>
      </c>
      <c r="G107" s="97">
        <v>8</v>
      </c>
      <c r="H107" s="97">
        <v>136</v>
      </c>
      <c r="I107" s="97">
        <v>102</v>
      </c>
      <c r="J107" s="97">
        <v>2</v>
      </c>
      <c r="K107" s="97">
        <v>72</v>
      </c>
      <c r="L107" s="97">
        <v>114</v>
      </c>
      <c r="M107" s="97">
        <v>4</v>
      </c>
      <c r="N107" s="97">
        <v>67</v>
      </c>
      <c r="O107" s="97">
        <v>79</v>
      </c>
      <c r="P107" s="97">
        <v>5</v>
      </c>
      <c r="Q107" s="97">
        <v>228</v>
      </c>
      <c r="R107" s="97">
        <v>61</v>
      </c>
      <c r="S107" s="97">
        <v>14</v>
      </c>
      <c r="T107" s="97">
        <v>300</v>
      </c>
      <c r="U107" s="97">
        <v>73</v>
      </c>
      <c r="V107" s="97">
        <v>16</v>
      </c>
      <c r="W107" s="97">
        <v>393</v>
      </c>
      <c r="X107" s="97">
        <v>71</v>
      </c>
      <c r="Y107" s="97">
        <v>30</v>
      </c>
      <c r="Z107" s="97">
        <v>439</v>
      </c>
      <c r="AA107" s="97">
        <v>60</v>
      </c>
      <c r="AB107" s="97">
        <v>9</v>
      </c>
      <c r="AC107" s="97">
        <v>203</v>
      </c>
      <c r="AD107" s="97">
        <v>74</v>
      </c>
      <c r="AE107" s="97">
        <v>6</v>
      </c>
      <c r="AF107" s="97">
        <v>174</v>
      </c>
      <c r="AG107" s="97">
        <v>540</v>
      </c>
      <c r="AH107" s="97">
        <v>2</v>
      </c>
      <c r="AI107" s="97">
        <v>104</v>
      </c>
      <c r="AK107" s="97" t="s">
        <v>3131</v>
      </c>
      <c r="AL107" s="97" t="s">
        <v>3131</v>
      </c>
      <c r="AM107" s="97" t="s">
        <v>3132</v>
      </c>
      <c r="AN107" s="97" t="s">
        <v>3199</v>
      </c>
      <c r="AO107" s="97" t="s">
        <v>25</v>
      </c>
      <c r="AP107" s="97">
        <v>100</v>
      </c>
      <c r="AQ107" s="97">
        <v>27</v>
      </c>
      <c r="AR107" s="97">
        <v>97</v>
      </c>
      <c r="AS107" s="97">
        <v>79.5</v>
      </c>
      <c r="AT107" s="97">
        <v>34</v>
      </c>
      <c r="AU107" s="97">
        <v>118</v>
      </c>
      <c r="AV107" s="97">
        <v>71</v>
      </c>
      <c r="AW107" s="97">
        <v>10</v>
      </c>
      <c r="AX107" s="97">
        <v>46</v>
      </c>
      <c r="AY107" s="97">
        <v>66</v>
      </c>
      <c r="AZ107" s="97">
        <v>15</v>
      </c>
      <c r="BA107" s="97">
        <v>60</v>
      </c>
      <c r="BB107" s="97">
        <v>63</v>
      </c>
      <c r="BC107" s="97">
        <v>17</v>
      </c>
      <c r="BD107" s="97">
        <v>86</v>
      </c>
      <c r="BE107" s="97">
        <v>61</v>
      </c>
      <c r="BF107" s="97">
        <v>32</v>
      </c>
      <c r="BG107" s="97">
        <v>115</v>
      </c>
      <c r="BH107" s="97">
        <v>39</v>
      </c>
      <c r="BI107" s="97">
        <v>26</v>
      </c>
      <c r="BJ107" s="97">
        <v>87</v>
      </c>
      <c r="BK107" s="97">
        <v>59</v>
      </c>
      <c r="BL107" s="97">
        <v>24</v>
      </c>
      <c r="BM107" s="97">
        <v>84</v>
      </c>
      <c r="BN107" s="97">
        <v>49</v>
      </c>
      <c r="BO107" s="97">
        <v>22</v>
      </c>
      <c r="BP107" s="97">
        <v>70</v>
      </c>
      <c r="BQ107" s="97">
        <v>440.5</v>
      </c>
      <c r="BR107" s="97">
        <v>27</v>
      </c>
      <c r="BS107" s="97">
        <v>104</v>
      </c>
    </row>
    <row r="108" spans="1:71" ht="15" customHeight="1">
      <c r="A108" s="97" t="s">
        <v>1286</v>
      </c>
      <c r="B108" s="97" t="s">
        <v>1286</v>
      </c>
      <c r="C108" s="97" t="s">
        <v>1287</v>
      </c>
      <c r="D108" s="97" t="s">
        <v>3198</v>
      </c>
      <c r="E108" s="97" t="s">
        <v>54</v>
      </c>
      <c r="F108" s="97">
        <v>105</v>
      </c>
      <c r="G108" s="97">
        <v>23</v>
      </c>
      <c r="H108" s="97">
        <v>325</v>
      </c>
      <c r="I108" s="97">
        <v>94</v>
      </c>
      <c r="J108" s="97">
        <v>6</v>
      </c>
      <c r="K108" s="97">
        <v>141</v>
      </c>
      <c r="L108" s="97">
        <v>95</v>
      </c>
      <c r="M108" s="97">
        <v>14</v>
      </c>
      <c r="N108" s="97">
        <v>364</v>
      </c>
      <c r="O108" s="97">
        <v>84</v>
      </c>
      <c r="P108" s="97">
        <v>7</v>
      </c>
      <c r="Q108" s="97">
        <v>147</v>
      </c>
      <c r="R108" s="97">
        <v>76</v>
      </c>
      <c r="S108" s="97">
        <v>2</v>
      </c>
      <c r="T108" s="97">
        <v>73</v>
      </c>
      <c r="U108" s="97">
        <v>86</v>
      </c>
      <c r="V108" s="97">
        <v>3</v>
      </c>
      <c r="W108" s="97">
        <v>77</v>
      </c>
      <c r="X108" s="97">
        <v>66</v>
      </c>
      <c r="Y108" s="97">
        <v>32</v>
      </c>
      <c r="Z108" s="97">
        <v>604</v>
      </c>
      <c r="AA108" s="97">
        <v>56</v>
      </c>
      <c r="AB108" s="97">
        <v>13</v>
      </c>
      <c r="AC108" s="97">
        <v>352</v>
      </c>
      <c r="AD108" s="97">
        <v>67</v>
      </c>
      <c r="AE108" s="97">
        <v>26</v>
      </c>
      <c r="AF108" s="97">
        <v>471</v>
      </c>
      <c r="AG108" s="97">
        <v>540</v>
      </c>
      <c r="AH108" s="97">
        <v>2</v>
      </c>
      <c r="AI108" s="97">
        <v>104</v>
      </c>
      <c r="AK108" s="97" t="s">
        <v>3194</v>
      </c>
      <c r="AL108" s="97" t="s">
        <v>3194</v>
      </c>
      <c r="AM108" s="97" t="s">
        <v>3195</v>
      </c>
      <c r="AN108" s="97" t="s">
        <v>3199</v>
      </c>
      <c r="AO108" s="97" t="s">
        <v>25</v>
      </c>
      <c r="AP108" s="97">
        <v>99</v>
      </c>
      <c r="AQ108" s="97">
        <v>29</v>
      </c>
      <c r="AR108" s="97">
        <v>102</v>
      </c>
      <c r="AS108" s="97">
        <v>90.5</v>
      </c>
      <c r="AT108" s="97">
        <v>18</v>
      </c>
      <c r="AU108" s="97">
        <v>80</v>
      </c>
      <c r="AV108" s="97">
        <v>72</v>
      </c>
      <c r="AW108" s="97">
        <v>8</v>
      </c>
      <c r="AX108" s="97">
        <v>41</v>
      </c>
      <c r="AY108" s="97">
        <v>66</v>
      </c>
      <c r="AZ108" s="97">
        <v>15</v>
      </c>
      <c r="BA108" s="97">
        <v>60</v>
      </c>
      <c r="BB108" s="97">
        <v>61</v>
      </c>
      <c r="BC108" s="97">
        <v>19</v>
      </c>
      <c r="BD108" s="97">
        <v>94</v>
      </c>
      <c r="BE108" s="97">
        <v>52</v>
      </c>
      <c r="BF108" s="97">
        <v>38</v>
      </c>
      <c r="BG108" s="97">
        <v>125</v>
      </c>
      <c r="BH108" s="97">
        <v>33</v>
      </c>
      <c r="BI108" s="97">
        <v>37</v>
      </c>
      <c r="BJ108" s="97">
        <v>115</v>
      </c>
      <c r="BK108" s="97">
        <v>51</v>
      </c>
      <c r="BL108" s="97">
        <v>38</v>
      </c>
      <c r="BM108" s="97">
        <v>120</v>
      </c>
      <c r="BN108" s="97">
        <v>59</v>
      </c>
      <c r="BO108" s="97">
        <v>2</v>
      </c>
      <c r="BP108" s="97">
        <v>9</v>
      </c>
      <c r="BQ108" s="97">
        <v>440.5</v>
      </c>
      <c r="BR108" s="97">
        <v>27</v>
      </c>
      <c r="BS108" s="97">
        <v>104</v>
      </c>
    </row>
    <row r="109" spans="1:71" ht="15" customHeight="1">
      <c r="A109" s="97" t="s">
        <v>277</v>
      </c>
      <c r="B109" s="97" t="s">
        <v>277</v>
      </c>
      <c r="C109" s="97" t="s">
        <v>148</v>
      </c>
      <c r="D109" s="97" t="s">
        <v>3198</v>
      </c>
      <c r="E109" s="97" t="s">
        <v>28</v>
      </c>
      <c r="F109" s="97">
        <v>111</v>
      </c>
      <c r="G109" s="97">
        <v>7</v>
      </c>
      <c r="H109" s="97">
        <v>136</v>
      </c>
      <c r="I109" s="97">
        <v>99</v>
      </c>
      <c r="J109" s="97">
        <v>3</v>
      </c>
      <c r="K109" s="97">
        <v>93</v>
      </c>
      <c r="L109" s="97">
        <v>98</v>
      </c>
      <c r="M109" s="97">
        <v>16</v>
      </c>
      <c r="N109" s="97">
        <v>294</v>
      </c>
      <c r="O109" s="97">
        <v>92</v>
      </c>
      <c r="P109" s="97">
        <v>3</v>
      </c>
      <c r="Q109" s="97">
        <v>74</v>
      </c>
      <c r="R109" s="97">
        <v>68</v>
      </c>
      <c r="S109" s="97">
        <v>4</v>
      </c>
      <c r="T109" s="97">
        <v>165</v>
      </c>
      <c r="U109" s="97">
        <v>72</v>
      </c>
      <c r="V109" s="97">
        <v>25</v>
      </c>
      <c r="W109" s="97">
        <v>433</v>
      </c>
      <c r="X109" s="97">
        <v>82</v>
      </c>
      <c r="Y109" s="97">
        <v>4</v>
      </c>
      <c r="Z109" s="97">
        <v>100</v>
      </c>
      <c r="AA109" s="97">
        <v>59</v>
      </c>
      <c r="AB109" s="97">
        <v>17</v>
      </c>
      <c r="AC109" s="97">
        <v>233</v>
      </c>
      <c r="AD109" s="97">
        <v>76</v>
      </c>
      <c r="AE109" s="97">
        <v>5</v>
      </c>
      <c r="AF109" s="97">
        <v>125</v>
      </c>
      <c r="AG109" s="97">
        <v>540</v>
      </c>
      <c r="AH109" s="97">
        <v>2</v>
      </c>
      <c r="AI109" s="97">
        <v>104</v>
      </c>
      <c r="AK109" s="97" t="s">
        <v>3188</v>
      </c>
      <c r="AL109" s="97" t="s">
        <v>3188</v>
      </c>
      <c r="AM109" s="97" t="s">
        <v>3189</v>
      </c>
      <c r="AN109" s="97" t="s">
        <v>3199</v>
      </c>
      <c r="AO109" s="97" t="s">
        <v>25</v>
      </c>
      <c r="AP109" s="97">
        <v>108</v>
      </c>
      <c r="AQ109" s="97">
        <v>13</v>
      </c>
      <c r="AR109" s="97">
        <v>54</v>
      </c>
      <c r="AS109" s="97">
        <v>92</v>
      </c>
      <c r="AT109" s="97">
        <v>17</v>
      </c>
      <c r="AU109" s="97">
        <v>76</v>
      </c>
      <c r="AV109" s="97">
        <v>59</v>
      </c>
      <c r="AW109" s="97">
        <v>35</v>
      </c>
      <c r="AX109" s="97">
        <v>109</v>
      </c>
      <c r="AY109" s="97">
        <v>65</v>
      </c>
      <c r="AZ109" s="97">
        <v>20</v>
      </c>
      <c r="BA109" s="97">
        <v>69</v>
      </c>
      <c r="BB109" s="97">
        <v>57</v>
      </c>
      <c r="BC109" s="97">
        <v>28</v>
      </c>
      <c r="BD109" s="97">
        <v>113</v>
      </c>
      <c r="BE109" s="97">
        <v>59</v>
      </c>
      <c r="BF109" s="97">
        <v>34</v>
      </c>
      <c r="BG109" s="97">
        <v>118</v>
      </c>
      <c r="BH109" s="97">
        <v>34</v>
      </c>
      <c r="BI109" s="97">
        <v>36</v>
      </c>
      <c r="BJ109" s="97">
        <v>112</v>
      </c>
      <c r="BK109" s="97">
        <v>54</v>
      </c>
      <c r="BL109" s="97">
        <v>35</v>
      </c>
      <c r="BM109" s="97">
        <v>114</v>
      </c>
      <c r="BN109" s="97">
        <v>51</v>
      </c>
      <c r="BO109" s="97">
        <v>15</v>
      </c>
      <c r="BP109" s="97">
        <v>52</v>
      </c>
      <c r="BQ109" s="97">
        <v>440</v>
      </c>
      <c r="BR109" s="97">
        <v>29</v>
      </c>
      <c r="BS109" s="97">
        <v>106</v>
      </c>
    </row>
    <row r="110" spans="1:71" ht="15" customHeight="1">
      <c r="A110" s="97" t="s">
        <v>1411</v>
      </c>
      <c r="B110" s="97" t="s">
        <v>1411</v>
      </c>
      <c r="C110" s="97" t="s">
        <v>1412</v>
      </c>
      <c r="D110" s="97" t="s">
        <v>3198</v>
      </c>
      <c r="E110" s="97" t="s">
        <v>56</v>
      </c>
      <c r="F110" s="97">
        <v>99</v>
      </c>
      <c r="G110" s="97">
        <v>29</v>
      </c>
      <c r="H110" s="97">
        <v>571</v>
      </c>
      <c r="I110" s="97">
        <v>120</v>
      </c>
      <c r="J110" s="97">
        <v>2</v>
      </c>
      <c r="K110" s="97">
        <v>13</v>
      </c>
      <c r="L110" s="97">
        <v>90.5</v>
      </c>
      <c r="M110" s="97">
        <v>23</v>
      </c>
      <c r="N110" s="97">
        <v>470</v>
      </c>
      <c r="O110" s="97">
        <v>92</v>
      </c>
      <c r="P110" s="97">
        <v>1</v>
      </c>
      <c r="Q110" s="97">
        <v>74</v>
      </c>
      <c r="R110" s="97">
        <v>60</v>
      </c>
      <c r="S110" s="97">
        <v>10</v>
      </c>
      <c r="T110" s="97">
        <v>322</v>
      </c>
      <c r="U110" s="97">
        <v>78</v>
      </c>
      <c r="V110" s="97">
        <v>25</v>
      </c>
      <c r="W110" s="97">
        <v>250</v>
      </c>
      <c r="X110" s="97">
        <v>59</v>
      </c>
      <c r="Y110" s="97">
        <v>51</v>
      </c>
      <c r="Z110" s="97">
        <v>799</v>
      </c>
      <c r="AA110" s="97">
        <v>54</v>
      </c>
      <c r="AB110" s="97">
        <v>15</v>
      </c>
      <c r="AC110" s="97">
        <v>428</v>
      </c>
      <c r="AD110" s="97">
        <v>60</v>
      </c>
      <c r="AE110" s="97">
        <v>43</v>
      </c>
      <c r="AF110" s="97">
        <v>727</v>
      </c>
      <c r="AG110" s="97">
        <v>539.5</v>
      </c>
      <c r="AH110" s="97">
        <v>2</v>
      </c>
      <c r="AI110" s="97">
        <v>107</v>
      </c>
      <c r="AK110" s="97" t="s">
        <v>3146</v>
      </c>
      <c r="AL110" s="97" t="s">
        <v>3146</v>
      </c>
      <c r="AM110" s="97" t="s">
        <v>3147</v>
      </c>
      <c r="AN110" s="97" t="s">
        <v>3199</v>
      </c>
      <c r="AO110" s="97" t="s">
        <v>25</v>
      </c>
      <c r="AP110" s="97">
        <v>95</v>
      </c>
      <c r="AQ110" s="97">
        <v>35</v>
      </c>
      <c r="AR110" s="97">
        <v>119</v>
      </c>
      <c r="AS110" s="97">
        <v>75.5</v>
      </c>
      <c r="AT110" s="97">
        <v>37</v>
      </c>
      <c r="AU110" s="97">
        <v>124</v>
      </c>
      <c r="AV110" s="97">
        <v>73</v>
      </c>
      <c r="AW110" s="97">
        <v>7</v>
      </c>
      <c r="AX110" s="97">
        <v>37</v>
      </c>
      <c r="AY110" s="97">
        <v>66</v>
      </c>
      <c r="AZ110" s="97">
        <v>15</v>
      </c>
      <c r="BA110" s="97">
        <v>60</v>
      </c>
      <c r="BB110" s="97">
        <v>50</v>
      </c>
      <c r="BC110" s="97">
        <v>36</v>
      </c>
      <c r="BD110" s="97">
        <v>125</v>
      </c>
      <c r="BE110" s="97">
        <v>80</v>
      </c>
      <c r="BF110" s="97">
        <v>19</v>
      </c>
      <c r="BG110" s="97">
        <v>83</v>
      </c>
      <c r="BH110" s="97">
        <v>52</v>
      </c>
      <c r="BI110" s="97">
        <v>5</v>
      </c>
      <c r="BJ110" s="97">
        <v>12</v>
      </c>
      <c r="BK110" s="97">
        <v>66</v>
      </c>
      <c r="BL110" s="97">
        <v>14</v>
      </c>
      <c r="BM110" s="97">
        <v>44</v>
      </c>
      <c r="BN110" s="97">
        <v>51</v>
      </c>
      <c r="BO110" s="97">
        <v>15</v>
      </c>
      <c r="BP110" s="97">
        <v>52</v>
      </c>
      <c r="BQ110" s="97">
        <v>439.5</v>
      </c>
      <c r="BR110" s="97">
        <v>30</v>
      </c>
      <c r="BS110" s="97">
        <v>107</v>
      </c>
    </row>
    <row r="111" spans="1:71" ht="15" customHeight="1">
      <c r="A111" s="97" t="s">
        <v>1855</v>
      </c>
      <c r="B111" s="97" t="s">
        <v>1855</v>
      </c>
      <c r="C111" s="97" t="s">
        <v>1856</v>
      </c>
      <c r="D111" s="97" t="s">
        <v>3198</v>
      </c>
      <c r="E111" s="97" t="s">
        <v>34</v>
      </c>
      <c r="F111" s="97">
        <v>109</v>
      </c>
      <c r="G111" s="97">
        <v>15</v>
      </c>
      <c r="H111" s="97">
        <v>185</v>
      </c>
      <c r="I111" s="97">
        <v>76</v>
      </c>
      <c r="J111" s="97">
        <v>22</v>
      </c>
      <c r="K111" s="97">
        <v>391</v>
      </c>
      <c r="L111" s="97">
        <v>102.5</v>
      </c>
      <c r="M111" s="97">
        <v>11</v>
      </c>
      <c r="N111" s="97">
        <v>210</v>
      </c>
      <c r="O111" s="97">
        <v>85</v>
      </c>
      <c r="P111" s="97">
        <v>1</v>
      </c>
      <c r="Q111" s="97">
        <v>135</v>
      </c>
      <c r="R111" s="97">
        <v>79</v>
      </c>
      <c r="S111" s="97">
        <v>1</v>
      </c>
      <c r="T111" s="97">
        <v>49</v>
      </c>
      <c r="U111" s="97">
        <v>88</v>
      </c>
      <c r="V111" s="97">
        <v>2</v>
      </c>
      <c r="W111" s="97">
        <v>44</v>
      </c>
      <c r="X111" s="97">
        <v>58</v>
      </c>
      <c r="Y111" s="97">
        <v>51</v>
      </c>
      <c r="Z111" s="97">
        <v>820</v>
      </c>
      <c r="AA111" s="97">
        <v>70</v>
      </c>
      <c r="AB111" s="97">
        <v>1</v>
      </c>
      <c r="AC111" s="97">
        <v>37</v>
      </c>
      <c r="AD111" s="97">
        <v>66</v>
      </c>
      <c r="AE111" s="97">
        <v>26</v>
      </c>
      <c r="AF111" s="97">
        <v>511</v>
      </c>
      <c r="AG111" s="97">
        <v>539.5</v>
      </c>
      <c r="AH111" s="97">
        <v>3</v>
      </c>
      <c r="AI111" s="97">
        <v>107</v>
      </c>
      <c r="AK111" s="97" t="s">
        <v>3088</v>
      </c>
      <c r="AL111" s="97" t="s">
        <v>3088</v>
      </c>
      <c r="AM111" s="97" t="s">
        <v>3070</v>
      </c>
      <c r="AN111" s="97" t="s">
        <v>3199</v>
      </c>
      <c r="AO111" s="97" t="s">
        <v>52</v>
      </c>
      <c r="AP111" s="97">
        <v>107</v>
      </c>
      <c r="AQ111" s="97">
        <v>18</v>
      </c>
      <c r="AR111" s="97">
        <v>68</v>
      </c>
      <c r="AS111" s="97">
        <v>83.5</v>
      </c>
      <c r="AT111" s="97">
        <v>37</v>
      </c>
      <c r="AU111" s="97">
        <v>106</v>
      </c>
      <c r="AV111" s="97">
        <v>54</v>
      </c>
      <c r="AW111" s="97">
        <v>39</v>
      </c>
      <c r="AX111" s="97">
        <v>124</v>
      </c>
      <c r="AY111" s="97">
        <v>62</v>
      </c>
      <c r="AZ111" s="97">
        <v>19</v>
      </c>
      <c r="BA111" s="97">
        <v>85</v>
      </c>
      <c r="BB111" s="97">
        <v>66</v>
      </c>
      <c r="BC111" s="97">
        <v>21</v>
      </c>
      <c r="BD111" s="97">
        <v>67</v>
      </c>
      <c r="BE111" s="97">
        <v>67</v>
      </c>
      <c r="BF111" s="97">
        <v>33</v>
      </c>
      <c r="BG111" s="97">
        <v>105</v>
      </c>
      <c r="BH111" s="97">
        <v>36</v>
      </c>
      <c r="BI111" s="97">
        <v>31</v>
      </c>
      <c r="BJ111" s="97">
        <v>105</v>
      </c>
      <c r="BK111" s="97">
        <v>50</v>
      </c>
      <c r="BL111" s="97">
        <v>42</v>
      </c>
      <c r="BM111" s="97">
        <v>121</v>
      </c>
      <c r="BN111" s="97">
        <v>39</v>
      </c>
      <c r="BO111" s="97">
        <v>39</v>
      </c>
      <c r="BP111" s="97">
        <v>121</v>
      </c>
      <c r="BQ111" s="97">
        <v>439.5</v>
      </c>
      <c r="BR111" s="97">
        <v>32</v>
      </c>
      <c r="BS111" s="97">
        <v>107</v>
      </c>
    </row>
    <row r="112" spans="1:71" ht="15" customHeight="1">
      <c r="A112" s="97" t="s">
        <v>2834</v>
      </c>
      <c r="B112" s="97" t="s">
        <v>2834</v>
      </c>
      <c r="C112" s="97" t="s">
        <v>2835</v>
      </c>
      <c r="D112" s="97" t="s">
        <v>3198</v>
      </c>
      <c r="E112" s="97" t="s">
        <v>38</v>
      </c>
      <c r="F112" s="97">
        <v>109</v>
      </c>
      <c r="G112" s="97">
        <v>8</v>
      </c>
      <c r="H112" s="97">
        <v>185</v>
      </c>
      <c r="I112" s="97">
        <v>97</v>
      </c>
      <c r="J112" s="97">
        <v>4</v>
      </c>
      <c r="K112" s="97">
        <v>112</v>
      </c>
      <c r="L112" s="97">
        <v>75.5</v>
      </c>
      <c r="M112" s="97">
        <v>47</v>
      </c>
      <c r="N112" s="97">
        <v>763</v>
      </c>
      <c r="O112" s="97">
        <v>101</v>
      </c>
      <c r="P112" s="97">
        <v>2</v>
      </c>
      <c r="Q112" s="97">
        <v>16</v>
      </c>
      <c r="R112" s="97">
        <v>72</v>
      </c>
      <c r="S112" s="97">
        <v>5</v>
      </c>
      <c r="T112" s="97">
        <v>115</v>
      </c>
      <c r="U112" s="97">
        <v>85</v>
      </c>
      <c r="V112" s="97">
        <v>1</v>
      </c>
      <c r="W112" s="97">
        <v>96</v>
      </c>
      <c r="X112" s="97">
        <v>63</v>
      </c>
      <c r="Y112" s="97">
        <v>40</v>
      </c>
      <c r="Z112" s="97">
        <v>712</v>
      </c>
      <c r="AA112" s="97">
        <v>68</v>
      </c>
      <c r="AB112" s="97">
        <v>3</v>
      </c>
      <c r="AC112" s="97">
        <v>54</v>
      </c>
      <c r="AD112" s="97">
        <v>73</v>
      </c>
      <c r="AE112" s="97">
        <v>13</v>
      </c>
      <c r="AF112" s="97">
        <v>216</v>
      </c>
      <c r="AG112" s="97">
        <v>539.5</v>
      </c>
      <c r="AH112" s="97">
        <v>3</v>
      </c>
      <c r="AI112" s="97">
        <v>107</v>
      </c>
      <c r="AK112" s="97" t="s">
        <v>3034</v>
      </c>
      <c r="AL112" s="97" t="s">
        <v>3034</v>
      </c>
      <c r="AM112" s="97" t="s">
        <v>3026</v>
      </c>
      <c r="AN112" s="97" t="s">
        <v>3199</v>
      </c>
      <c r="AO112" s="97" t="s">
        <v>52</v>
      </c>
      <c r="AP112" s="97">
        <v>110</v>
      </c>
      <c r="AQ112" s="97">
        <v>10</v>
      </c>
      <c r="AR112" s="97">
        <v>39</v>
      </c>
      <c r="AS112" s="97">
        <v>76.5</v>
      </c>
      <c r="AT112" s="97">
        <v>42</v>
      </c>
      <c r="AU112" s="97">
        <v>123</v>
      </c>
      <c r="AV112" s="97">
        <v>56</v>
      </c>
      <c r="AW112" s="97">
        <v>36</v>
      </c>
      <c r="AX112" s="97">
        <v>117</v>
      </c>
      <c r="AY112" s="97">
        <v>57</v>
      </c>
      <c r="AZ112" s="97">
        <v>31</v>
      </c>
      <c r="BA112" s="97">
        <v>109</v>
      </c>
      <c r="BB112" s="97">
        <v>50</v>
      </c>
      <c r="BC112" s="97">
        <v>44</v>
      </c>
      <c r="BD112" s="97">
        <v>125</v>
      </c>
      <c r="BE112" s="97">
        <v>89</v>
      </c>
      <c r="BF112" s="97">
        <v>8</v>
      </c>
      <c r="BG112" s="97">
        <v>63</v>
      </c>
      <c r="BH112" s="97">
        <v>24</v>
      </c>
      <c r="BI112" s="97">
        <v>45</v>
      </c>
      <c r="BJ112" s="97">
        <v>134</v>
      </c>
      <c r="BK112" s="97">
        <v>55</v>
      </c>
      <c r="BL112" s="97">
        <v>37</v>
      </c>
      <c r="BM112" s="97">
        <v>110</v>
      </c>
      <c r="BN112" s="97">
        <v>42</v>
      </c>
      <c r="BO112" s="97">
        <v>36</v>
      </c>
      <c r="BP112" s="97">
        <v>112</v>
      </c>
      <c r="BQ112" s="97">
        <v>438.5</v>
      </c>
      <c r="BR112" s="97">
        <v>33</v>
      </c>
      <c r="BS112" s="97">
        <v>109</v>
      </c>
    </row>
    <row r="113" spans="1:71" ht="15" customHeight="1">
      <c r="A113" s="97" t="s">
        <v>3332</v>
      </c>
      <c r="B113" s="97" t="s">
        <v>3332</v>
      </c>
      <c r="C113" s="97" t="s">
        <v>2606</v>
      </c>
      <c r="D113" s="97" t="s">
        <v>3198</v>
      </c>
      <c r="E113" s="97" t="s">
        <v>49</v>
      </c>
      <c r="F113" s="97">
        <v>99</v>
      </c>
      <c r="G113" s="97">
        <v>30</v>
      </c>
      <c r="H113" s="97">
        <v>571</v>
      </c>
      <c r="I113" s="97">
        <v>101</v>
      </c>
      <c r="J113" s="97">
        <v>5</v>
      </c>
      <c r="K113" s="97">
        <v>81</v>
      </c>
      <c r="L113" s="97">
        <v>92</v>
      </c>
      <c r="M113" s="97">
        <v>29</v>
      </c>
      <c r="N113" s="97">
        <v>426</v>
      </c>
      <c r="O113" s="97">
        <v>89</v>
      </c>
      <c r="P113" s="97">
        <v>6</v>
      </c>
      <c r="Q113" s="97">
        <v>97</v>
      </c>
      <c r="R113" s="97">
        <v>73</v>
      </c>
      <c r="S113" s="97">
        <v>4</v>
      </c>
      <c r="T113" s="97">
        <v>106</v>
      </c>
      <c r="U113" s="97">
        <v>85</v>
      </c>
      <c r="V113" s="97">
        <v>4</v>
      </c>
      <c r="W113" s="97">
        <v>96</v>
      </c>
      <c r="X113" s="97">
        <v>71</v>
      </c>
      <c r="Y113" s="97">
        <v>11</v>
      </c>
      <c r="Z113" s="97">
        <v>439</v>
      </c>
      <c r="AA113" s="97">
        <v>63</v>
      </c>
      <c r="AB113" s="97">
        <v>5</v>
      </c>
      <c r="AC113" s="97">
        <v>123</v>
      </c>
      <c r="AD113" s="97">
        <v>51</v>
      </c>
      <c r="AE113" s="97">
        <v>49</v>
      </c>
      <c r="AF113" s="97">
        <v>890</v>
      </c>
      <c r="AG113" s="97">
        <v>539</v>
      </c>
      <c r="AH113" s="97">
        <v>5</v>
      </c>
      <c r="AI113" s="97">
        <v>110</v>
      </c>
      <c r="AK113" s="97" t="s">
        <v>3028</v>
      </c>
      <c r="AL113" s="97" t="s">
        <v>3028</v>
      </c>
      <c r="AM113" s="97" t="s">
        <v>2288</v>
      </c>
      <c r="AN113" s="97" t="s">
        <v>3199</v>
      </c>
      <c r="AO113" s="97" t="s">
        <v>52</v>
      </c>
      <c r="AP113" s="97">
        <v>113</v>
      </c>
      <c r="AQ113" s="97">
        <v>6</v>
      </c>
      <c r="AR113" s="97">
        <v>27</v>
      </c>
      <c r="AS113" s="97">
        <v>102.5</v>
      </c>
      <c r="AT113" s="97">
        <v>10</v>
      </c>
      <c r="AU113" s="97">
        <v>44</v>
      </c>
      <c r="AV113" s="97">
        <v>57</v>
      </c>
      <c r="AW113" s="97">
        <v>34</v>
      </c>
      <c r="AX113" s="97">
        <v>115</v>
      </c>
      <c r="AY113" s="97">
        <v>48</v>
      </c>
      <c r="AZ113" s="97">
        <v>42</v>
      </c>
      <c r="BA113" s="97">
        <v>126</v>
      </c>
      <c r="BB113" s="97">
        <v>39</v>
      </c>
      <c r="BC113" s="97">
        <v>45</v>
      </c>
      <c r="BD113" s="97">
        <v>133</v>
      </c>
      <c r="BE113" s="97">
        <v>79</v>
      </c>
      <c r="BF113" s="97">
        <v>20</v>
      </c>
      <c r="BG113" s="97">
        <v>84</v>
      </c>
      <c r="BH113" s="97">
        <v>35</v>
      </c>
      <c r="BI113" s="97">
        <v>33</v>
      </c>
      <c r="BJ113" s="97">
        <v>109</v>
      </c>
      <c r="BK113" s="97">
        <v>59</v>
      </c>
      <c r="BL113" s="97">
        <v>26</v>
      </c>
      <c r="BM113" s="97">
        <v>84</v>
      </c>
      <c r="BN113" s="97">
        <v>49</v>
      </c>
      <c r="BO113" s="97">
        <v>22</v>
      </c>
      <c r="BP113" s="97">
        <v>70</v>
      </c>
      <c r="BQ113" s="97">
        <v>438.5</v>
      </c>
      <c r="BR113" s="97">
        <v>33</v>
      </c>
      <c r="BS113" s="97">
        <v>109</v>
      </c>
    </row>
    <row r="114" spans="1:71" ht="15" customHeight="1">
      <c r="A114" s="97" t="s">
        <v>1669</v>
      </c>
      <c r="B114" s="97" t="s">
        <v>1669</v>
      </c>
      <c r="C114" s="97" t="s">
        <v>1664</v>
      </c>
      <c r="D114" s="97" t="s">
        <v>3198</v>
      </c>
      <c r="E114" s="97" t="s">
        <v>9</v>
      </c>
      <c r="F114" s="97">
        <v>104</v>
      </c>
      <c r="G114" s="97">
        <v>30</v>
      </c>
      <c r="H114" s="97">
        <v>357</v>
      </c>
      <c r="I114" s="97">
        <v>93</v>
      </c>
      <c r="J114" s="97">
        <v>24</v>
      </c>
      <c r="K114" s="97">
        <v>155</v>
      </c>
      <c r="L114" s="97">
        <v>102</v>
      </c>
      <c r="M114" s="97">
        <v>34</v>
      </c>
      <c r="N114" s="97">
        <v>219</v>
      </c>
      <c r="O114" s="97">
        <v>75</v>
      </c>
      <c r="P114" s="97">
        <v>39</v>
      </c>
      <c r="Q114" s="97">
        <v>299</v>
      </c>
      <c r="R114" s="97">
        <v>89</v>
      </c>
      <c r="S114" s="97">
        <v>3</v>
      </c>
      <c r="T114" s="97">
        <v>8</v>
      </c>
      <c r="U114" s="97">
        <v>75</v>
      </c>
      <c r="V114" s="97">
        <v>43</v>
      </c>
      <c r="W114" s="97">
        <v>342</v>
      </c>
      <c r="X114" s="97">
        <v>64</v>
      </c>
      <c r="Y114" s="97">
        <v>47</v>
      </c>
      <c r="Z114" s="97">
        <v>680</v>
      </c>
      <c r="AA114" s="97">
        <v>63</v>
      </c>
      <c r="AB114" s="97">
        <v>21</v>
      </c>
      <c r="AC114" s="97">
        <v>123</v>
      </c>
      <c r="AD114" s="97">
        <v>71</v>
      </c>
      <c r="AE114" s="97">
        <v>28</v>
      </c>
      <c r="AF114" s="97">
        <v>290</v>
      </c>
      <c r="AG114" s="97">
        <v>538</v>
      </c>
      <c r="AH114" s="97">
        <v>27</v>
      </c>
      <c r="AI114" s="97">
        <v>111</v>
      </c>
      <c r="AK114" s="97" t="s">
        <v>3072</v>
      </c>
      <c r="AL114" s="97" t="s">
        <v>3072</v>
      </c>
      <c r="AM114" s="97" t="s">
        <v>3055</v>
      </c>
      <c r="AN114" s="97" t="s">
        <v>3199</v>
      </c>
      <c r="AO114" s="97" t="s">
        <v>52</v>
      </c>
      <c r="AP114" s="97">
        <v>116</v>
      </c>
      <c r="AQ114" s="97">
        <v>3</v>
      </c>
      <c r="AR114" s="97">
        <v>17</v>
      </c>
      <c r="AS114" s="97">
        <v>102.5</v>
      </c>
      <c r="AT114" s="97">
        <v>10</v>
      </c>
      <c r="AU114" s="97">
        <v>44</v>
      </c>
      <c r="AV114" s="97">
        <v>57</v>
      </c>
      <c r="AW114" s="97">
        <v>34</v>
      </c>
      <c r="AX114" s="97">
        <v>115</v>
      </c>
      <c r="AY114" s="97">
        <v>60</v>
      </c>
      <c r="AZ114" s="97">
        <v>27</v>
      </c>
      <c r="BA114" s="97">
        <v>96</v>
      </c>
      <c r="BB114" s="97">
        <v>58</v>
      </c>
      <c r="BC114" s="97">
        <v>36</v>
      </c>
      <c r="BD114" s="97">
        <v>107</v>
      </c>
      <c r="BE114" s="97">
        <v>41</v>
      </c>
      <c r="BF114" s="97">
        <v>44</v>
      </c>
      <c r="BG114" s="97">
        <v>132</v>
      </c>
      <c r="BH114" s="97">
        <v>38</v>
      </c>
      <c r="BI114" s="97">
        <v>25</v>
      </c>
      <c r="BJ114" s="97">
        <v>91</v>
      </c>
      <c r="BK114" s="97">
        <v>56</v>
      </c>
      <c r="BL114" s="97">
        <v>35</v>
      </c>
      <c r="BM114" s="97">
        <v>106</v>
      </c>
      <c r="BN114" s="97">
        <v>50</v>
      </c>
      <c r="BO114" s="97">
        <v>19</v>
      </c>
      <c r="BP114" s="97">
        <v>63</v>
      </c>
      <c r="BQ114" s="97">
        <v>434.5</v>
      </c>
      <c r="BR114" s="97">
        <v>35</v>
      </c>
      <c r="BS114" s="97">
        <v>111</v>
      </c>
    </row>
    <row r="115" spans="1:71" ht="15" customHeight="1">
      <c r="A115" s="97" t="s">
        <v>1762</v>
      </c>
      <c r="B115" s="97" t="s">
        <v>1762</v>
      </c>
      <c r="C115" s="97" t="s">
        <v>2550</v>
      </c>
      <c r="D115" s="97" t="s">
        <v>3198</v>
      </c>
      <c r="E115" s="97" t="s">
        <v>9</v>
      </c>
      <c r="F115" s="97">
        <v>111</v>
      </c>
      <c r="G115" s="97">
        <v>12</v>
      </c>
      <c r="H115" s="97">
        <v>136</v>
      </c>
      <c r="I115" s="97">
        <v>89</v>
      </c>
      <c r="J115" s="97">
        <v>31</v>
      </c>
      <c r="K115" s="97">
        <v>196</v>
      </c>
      <c r="L115" s="97">
        <v>96.5</v>
      </c>
      <c r="M115" s="97">
        <v>44</v>
      </c>
      <c r="N115" s="97">
        <v>337</v>
      </c>
      <c r="O115" s="97">
        <v>80</v>
      </c>
      <c r="P115" s="97">
        <v>29</v>
      </c>
      <c r="Q115" s="97">
        <v>207</v>
      </c>
      <c r="R115" s="97">
        <v>73</v>
      </c>
      <c r="S115" s="97">
        <v>28</v>
      </c>
      <c r="T115" s="97">
        <v>106</v>
      </c>
      <c r="U115" s="97">
        <v>88</v>
      </c>
      <c r="V115" s="97">
        <v>8</v>
      </c>
      <c r="W115" s="97">
        <v>44</v>
      </c>
      <c r="X115" s="97">
        <v>79</v>
      </c>
      <c r="Y115" s="97">
        <v>23</v>
      </c>
      <c r="Z115" s="97">
        <v>175</v>
      </c>
      <c r="AA115" s="97">
        <v>73</v>
      </c>
      <c r="AB115" s="97">
        <v>5</v>
      </c>
      <c r="AC115" s="97">
        <v>19</v>
      </c>
      <c r="AD115" s="97">
        <v>67</v>
      </c>
      <c r="AE115" s="97">
        <v>38</v>
      </c>
      <c r="AF115" s="97">
        <v>471</v>
      </c>
      <c r="AG115" s="97">
        <v>537.5</v>
      </c>
      <c r="AH115" s="97">
        <v>28</v>
      </c>
      <c r="AI115" s="97">
        <v>112</v>
      </c>
      <c r="AK115" s="97" t="s">
        <v>3283</v>
      </c>
      <c r="AL115" s="97" t="s">
        <v>3283</v>
      </c>
      <c r="AM115" s="97" t="s">
        <v>3094</v>
      </c>
      <c r="AN115" s="97" t="s">
        <v>3199</v>
      </c>
      <c r="AO115" s="97" t="s">
        <v>52</v>
      </c>
      <c r="AP115" s="97">
        <v>103</v>
      </c>
      <c r="AQ115" s="97">
        <v>22</v>
      </c>
      <c r="AR115" s="97">
        <v>82</v>
      </c>
      <c r="AS115" s="97">
        <v>91</v>
      </c>
      <c r="AT115" s="97">
        <v>22</v>
      </c>
      <c r="AU115" s="97">
        <v>79</v>
      </c>
      <c r="AV115" s="97">
        <v>62</v>
      </c>
      <c r="AW115" s="97">
        <v>24</v>
      </c>
      <c r="AX115" s="97">
        <v>98</v>
      </c>
      <c r="AY115" s="97">
        <v>63</v>
      </c>
      <c r="AZ115" s="97">
        <v>16</v>
      </c>
      <c r="BA115" s="97">
        <v>81</v>
      </c>
      <c r="BB115" s="97">
        <v>52</v>
      </c>
      <c r="BC115" s="97">
        <v>43</v>
      </c>
      <c r="BD115" s="97">
        <v>124</v>
      </c>
      <c r="BE115" s="97">
        <v>63</v>
      </c>
      <c r="BF115" s="97">
        <v>35</v>
      </c>
      <c r="BG115" s="97">
        <v>110</v>
      </c>
      <c r="BH115" s="97">
        <v>30</v>
      </c>
      <c r="BI115" s="97">
        <v>39</v>
      </c>
      <c r="BJ115" s="97">
        <v>125</v>
      </c>
      <c r="BK115" s="97">
        <v>60</v>
      </c>
      <c r="BL115" s="97">
        <v>22</v>
      </c>
      <c r="BM115" s="97">
        <v>76</v>
      </c>
      <c r="BN115" s="97">
        <v>53</v>
      </c>
      <c r="BO115" s="97">
        <v>8</v>
      </c>
      <c r="BP115" s="97">
        <v>35</v>
      </c>
      <c r="BQ115" s="97">
        <v>434</v>
      </c>
      <c r="BR115" s="97">
        <v>36</v>
      </c>
      <c r="BS115" s="97">
        <v>112</v>
      </c>
    </row>
    <row r="116" spans="1:71" ht="15" customHeight="1">
      <c r="A116" s="97" t="s">
        <v>1610</v>
      </c>
      <c r="B116" s="97" t="s">
        <v>1610</v>
      </c>
      <c r="C116" s="97" t="s">
        <v>1737</v>
      </c>
      <c r="D116" s="97" t="s">
        <v>3198</v>
      </c>
      <c r="E116" s="97" t="s">
        <v>10</v>
      </c>
      <c r="F116" s="97">
        <v>103</v>
      </c>
      <c r="G116" s="97">
        <v>42</v>
      </c>
      <c r="H116" s="97">
        <v>400</v>
      </c>
      <c r="I116" s="97">
        <v>118</v>
      </c>
      <c r="J116" s="97">
        <v>12</v>
      </c>
      <c r="K116" s="97">
        <v>17</v>
      </c>
      <c r="L116" s="97">
        <v>83.5</v>
      </c>
      <c r="M116" s="97">
        <v>52</v>
      </c>
      <c r="N116" s="97">
        <v>632</v>
      </c>
      <c r="O116" s="97">
        <v>96</v>
      </c>
      <c r="P116" s="97">
        <v>21</v>
      </c>
      <c r="Q116" s="97">
        <v>43</v>
      </c>
      <c r="R116" s="97">
        <v>60</v>
      </c>
      <c r="S116" s="97">
        <v>52</v>
      </c>
      <c r="T116" s="97">
        <v>322</v>
      </c>
      <c r="U116" s="97">
        <v>77</v>
      </c>
      <c r="V116" s="97">
        <v>50</v>
      </c>
      <c r="W116" s="97">
        <v>275</v>
      </c>
      <c r="X116" s="97">
        <v>66</v>
      </c>
      <c r="Y116" s="97">
        <v>46</v>
      </c>
      <c r="Z116" s="97">
        <v>604</v>
      </c>
      <c r="AA116" s="97">
        <v>60</v>
      </c>
      <c r="AB116" s="97">
        <v>38</v>
      </c>
      <c r="AC116" s="97">
        <v>203</v>
      </c>
      <c r="AD116" s="97">
        <v>66</v>
      </c>
      <c r="AE116" s="97">
        <v>45</v>
      </c>
      <c r="AF116" s="97">
        <v>511</v>
      </c>
      <c r="AG116" s="97">
        <v>537.5</v>
      </c>
      <c r="AH116" s="97">
        <v>50</v>
      </c>
      <c r="AI116" s="97">
        <v>112</v>
      </c>
      <c r="AK116" s="97" t="s">
        <v>3046</v>
      </c>
      <c r="AL116" s="97" t="s">
        <v>3046</v>
      </c>
      <c r="AM116" s="97" t="s">
        <v>3035</v>
      </c>
      <c r="AN116" s="97" t="s">
        <v>3199</v>
      </c>
      <c r="AO116" s="97" t="s">
        <v>52</v>
      </c>
      <c r="AP116" s="97">
        <v>95</v>
      </c>
      <c r="AQ116" s="97">
        <v>39</v>
      </c>
      <c r="AR116" s="97">
        <v>119</v>
      </c>
      <c r="AS116" s="97">
        <v>80.5</v>
      </c>
      <c r="AT116" s="97">
        <v>39</v>
      </c>
      <c r="AU116" s="97">
        <v>116</v>
      </c>
      <c r="AV116" s="97">
        <v>62</v>
      </c>
      <c r="AW116" s="97">
        <v>24</v>
      </c>
      <c r="AX116" s="97">
        <v>98</v>
      </c>
      <c r="AY116" s="97">
        <v>44</v>
      </c>
      <c r="AZ116" s="97">
        <v>44</v>
      </c>
      <c r="BA116" s="97">
        <v>131</v>
      </c>
      <c r="BB116" s="97">
        <v>75</v>
      </c>
      <c r="BC116" s="97">
        <v>8</v>
      </c>
      <c r="BD116" s="97">
        <v>29</v>
      </c>
      <c r="BE116" s="97">
        <v>77</v>
      </c>
      <c r="BF116" s="97">
        <v>22</v>
      </c>
      <c r="BG116" s="97">
        <v>90</v>
      </c>
      <c r="BH116" s="97">
        <v>42</v>
      </c>
      <c r="BI116" s="97">
        <v>18</v>
      </c>
      <c r="BJ116" s="97">
        <v>68</v>
      </c>
      <c r="BK116" s="97">
        <v>64</v>
      </c>
      <c r="BL116" s="97">
        <v>18</v>
      </c>
      <c r="BM116" s="97">
        <v>58</v>
      </c>
      <c r="BN116" s="97">
        <v>50</v>
      </c>
      <c r="BO116" s="97">
        <v>19</v>
      </c>
      <c r="BP116" s="97">
        <v>63</v>
      </c>
      <c r="BQ116" s="97">
        <v>433.5</v>
      </c>
      <c r="BR116" s="97">
        <v>37</v>
      </c>
      <c r="BS116" s="97">
        <v>113</v>
      </c>
    </row>
    <row r="117" spans="1:71" ht="15" customHeight="1">
      <c r="A117" s="97" t="s">
        <v>1391</v>
      </c>
      <c r="B117" s="97" t="s">
        <v>1391</v>
      </c>
      <c r="C117" s="97" t="s">
        <v>147</v>
      </c>
      <c r="D117" s="97" t="s">
        <v>3198</v>
      </c>
      <c r="E117" s="97" t="s">
        <v>56</v>
      </c>
      <c r="F117" s="97">
        <v>90</v>
      </c>
      <c r="G117" s="97">
        <v>47</v>
      </c>
      <c r="H117" s="97">
        <v>815</v>
      </c>
      <c r="I117" s="97">
        <v>107</v>
      </c>
      <c r="J117" s="97">
        <v>3</v>
      </c>
      <c r="K117" s="97">
        <v>46</v>
      </c>
      <c r="L117" s="97">
        <v>108.5</v>
      </c>
      <c r="M117" s="97">
        <v>4</v>
      </c>
      <c r="N117" s="97">
        <v>123</v>
      </c>
      <c r="O117" s="97">
        <v>88</v>
      </c>
      <c r="P117" s="97">
        <v>4</v>
      </c>
      <c r="Q117" s="97">
        <v>106</v>
      </c>
      <c r="R117" s="97">
        <v>60</v>
      </c>
      <c r="S117" s="97">
        <v>10</v>
      </c>
      <c r="T117" s="97">
        <v>322</v>
      </c>
      <c r="U117" s="97">
        <v>84</v>
      </c>
      <c r="V117" s="97">
        <v>8</v>
      </c>
      <c r="W117" s="97">
        <v>123</v>
      </c>
      <c r="X117" s="97">
        <v>75</v>
      </c>
      <c r="Y117" s="97">
        <v>19</v>
      </c>
      <c r="Z117" s="97">
        <v>289</v>
      </c>
      <c r="AA117" s="97">
        <v>52</v>
      </c>
      <c r="AB117" s="97">
        <v>20</v>
      </c>
      <c r="AC117" s="97">
        <v>509</v>
      </c>
      <c r="AD117" s="97">
        <v>67</v>
      </c>
      <c r="AE117" s="97">
        <v>27</v>
      </c>
      <c r="AF117" s="97">
        <v>471</v>
      </c>
      <c r="AG117" s="97">
        <v>537.5</v>
      </c>
      <c r="AH117" s="97">
        <v>3</v>
      </c>
      <c r="AI117" s="97">
        <v>112</v>
      </c>
      <c r="AK117" s="97" t="s">
        <v>3243</v>
      </c>
      <c r="AL117" s="97" t="s">
        <v>3243</v>
      </c>
      <c r="AM117" s="97" t="s">
        <v>490</v>
      </c>
      <c r="AN117" s="97" t="s">
        <v>3199</v>
      </c>
      <c r="AO117" s="97" t="s">
        <v>25</v>
      </c>
      <c r="AP117" s="97">
        <v>103</v>
      </c>
      <c r="AQ117" s="97">
        <v>25</v>
      </c>
      <c r="AR117" s="97">
        <v>82</v>
      </c>
      <c r="AS117" s="97">
        <v>95.5</v>
      </c>
      <c r="AT117" s="97">
        <v>14</v>
      </c>
      <c r="AU117" s="97">
        <v>68</v>
      </c>
      <c r="AV117" s="97">
        <v>56</v>
      </c>
      <c r="AW117" s="97">
        <v>37</v>
      </c>
      <c r="AX117" s="97">
        <v>117</v>
      </c>
      <c r="AY117" s="97">
        <v>68</v>
      </c>
      <c r="AZ117" s="97">
        <v>12</v>
      </c>
      <c r="BA117" s="97">
        <v>52</v>
      </c>
      <c r="BB117" s="97">
        <v>61</v>
      </c>
      <c r="BC117" s="97">
        <v>19</v>
      </c>
      <c r="BD117" s="97">
        <v>94</v>
      </c>
      <c r="BE117" s="97">
        <v>46</v>
      </c>
      <c r="BF117" s="97">
        <v>40</v>
      </c>
      <c r="BG117" s="97">
        <v>128</v>
      </c>
      <c r="BH117" s="97">
        <v>32</v>
      </c>
      <c r="BI117" s="97">
        <v>39</v>
      </c>
      <c r="BJ117" s="97">
        <v>118</v>
      </c>
      <c r="BK117" s="97">
        <v>54</v>
      </c>
      <c r="BL117" s="97">
        <v>35</v>
      </c>
      <c r="BM117" s="97">
        <v>114</v>
      </c>
      <c r="BN117" s="97">
        <v>34</v>
      </c>
      <c r="BO117" s="97">
        <v>43</v>
      </c>
      <c r="BP117" s="97">
        <v>128</v>
      </c>
      <c r="BQ117" s="97">
        <v>429.5</v>
      </c>
      <c r="BR117" s="97">
        <v>31</v>
      </c>
      <c r="BS117" s="97">
        <v>114</v>
      </c>
    </row>
    <row r="118" spans="1:71" ht="15" customHeight="1">
      <c r="A118" s="97" t="s">
        <v>1065</v>
      </c>
      <c r="B118" s="97" t="s">
        <v>1065</v>
      </c>
      <c r="C118" s="97" t="s">
        <v>1066</v>
      </c>
      <c r="D118" s="97" t="s">
        <v>3198</v>
      </c>
      <c r="E118" s="97" t="s">
        <v>68</v>
      </c>
      <c r="F118" s="97">
        <v>97</v>
      </c>
      <c r="G118" s="97">
        <v>43</v>
      </c>
      <c r="H118" s="97">
        <v>645</v>
      </c>
      <c r="I118" s="97">
        <v>97</v>
      </c>
      <c r="J118" s="97">
        <v>8</v>
      </c>
      <c r="K118" s="97">
        <v>112</v>
      </c>
      <c r="L118" s="97">
        <v>89.5</v>
      </c>
      <c r="M118" s="97">
        <v>19</v>
      </c>
      <c r="N118" s="97">
        <v>493</v>
      </c>
      <c r="O118" s="97">
        <v>99</v>
      </c>
      <c r="P118" s="97">
        <v>2</v>
      </c>
      <c r="Q118" s="97">
        <v>25</v>
      </c>
      <c r="R118" s="97">
        <v>75</v>
      </c>
      <c r="S118" s="97">
        <v>2</v>
      </c>
      <c r="T118" s="97">
        <v>83</v>
      </c>
      <c r="U118" s="97">
        <v>80</v>
      </c>
      <c r="V118" s="97">
        <v>10</v>
      </c>
      <c r="W118" s="97">
        <v>205</v>
      </c>
      <c r="X118" s="97">
        <v>69</v>
      </c>
      <c r="Y118" s="97">
        <v>26</v>
      </c>
      <c r="Z118" s="97">
        <v>504</v>
      </c>
      <c r="AA118" s="97">
        <v>55</v>
      </c>
      <c r="AB118" s="97">
        <v>15</v>
      </c>
      <c r="AC118" s="97">
        <v>392</v>
      </c>
      <c r="AD118" s="97">
        <v>69</v>
      </c>
      <c r="AE118" s="97">
        <v>21</v>
      </c>
      <c r="AF118" s="97">
        <v>367</v>
      </c>
      <c r="AG118" s="97">
        <v>537.5</v>
      </c>
      <c r="AH118" s="97">
        <v>4</v>
      </c>
      <c r="AI118" s="97">
        <v>112</v>
      </c>
      <c r="AK118" s="97" t="s">
        <v>3149</v>
      </c>
      <c r="AL118" s="97" t="s">
        <v>3149</v>
      </c>
      <c r="AM118" s="97" t="s">
        <v>3150</v>
      </c>
      <c r="AN118" s="97" t="s">
        <v>3199</v>
      </c>
      <c r="AO118" s="97" t="s">
        <v>25</v>
      </c>
      <c r="AP118" s="97">
        <v>108</v>
      </c>
      <c r="AQ118" s="97">
        <v>13</v>
      </c>
      <c r="AR118" s="97">
        <v>54</v>
      </c>
      <c r="AS118" s="97">
        <v>81</v>
      </c>
      <c r="AT118" s="97">
        <v>31</v>
      </c>
      <c r="AU118" s="97">
        <v>114</v>
      </c>
      <c r="AV118" s="97">
        <v>56</v>
      </c>
      <c r="AW118" s="97">
        <v>37</v>
      </c>
      <c r="AX118" s="97">
        <v>117</v>
      </c>
      <c r="AY118" s="97">
        <v>70</v>
      </c>
      <c r="AZ118" s="97">
        <v>8</v>
      </c>
      <c r="BA118" s="97">
        <v>44</v>
      </c>
      <c r="BB118" s="97">
        <v>48</v>
      </c>
      <c r="BC118" s="97">
        <v>37</v>
      </c>
      <c r="BD118" s="97">
        <v>127</v>
      </c>
      <c r="BE118" s="97">
        <v>65</v>
      </c>
      <c r="BF118" s="97">
        <v>28</v>
      </c>
      <c r="BG118" s="97">
        <v>107</v>
      </c>
      <c r="BH118" s="97">
        <v>47</v>
      </c>
      <c r="BI118" s="97">
        <v>10</v>
      </c>
      <c r="BJ118" s="97">
        <v>33</v>
      </c>
      <c r="BK118" s="97">
        <v>67</v>
      </c>
      <c r="BL118" s="97">
        <v>11</v>
      </c>
      <c r="BM118" s="97">
        <v>38</v>
      </c>
      <c r="BN118" s="97">
        <v>47</v>
      </c>
      <c r="BO118" s="97">
        <v>28</v>
      </c>
      <c r="BP118" s="97">
        <v>82</v>
      </c>
      <c r="BQ118" s="97">
        <v>428</v>
      </c>
      <c r="BR118" s="97">
        <v>32</v>
      </c>
      <c r="BS118" s="97">
        <v>115</v>
      </c>
    </row>
    <row r="119" spans="1:71" ht="15" customHeight="1">
      <c r="A119" s="97" t="s">
        <v>1164</v>
      </c>
      <c r="B119" s="97" t="s">
        <v>1164</v>
      </c>
      <c r="C119" s="97" t="s">
        <v>1165</v>
      </c>
      <c r="D119" s="97" t="s">
        <v>3198</v>
      </c>
      <c r="E119" s="97" t="s">
        <v>68</v>
      </c>
      <c r="F119" s="97">
        <v>104</v>
      </c>
      <c r="G119" s="97">
        <v>21</v>
      </c>
      <c r="H119" s="97">
        <v>357</v>
      </c>
      <c r="I119" s="97">
        <v>97</v>
      </c>
      <c r="J119" s="97">
        <v>8</v>
      </c>
      <c r="K119" s="97">
        <v>112</v>
      </c>
      <c r="L119" s="97">
        <v>108.5</v>
      </c>
      <c r="M119" s="97">
        <v>3</v>
      </c>
      <c r="N119" s="97">
        <v>123</v>
      </c>
      <c r="O119" s="97">
        <v>79</v>
      </c>
      <c r="P119" s="97">
        <v>10</v>
      </c>
      <c r="Q119" s="97">
        <v>228</v>
      </c>
      <c r="R119" s="97">
        <v>63</v>
      </c>
      <c r="S119" s="97">
        <v>13</v>
      </c>
      <c r="T119" s="97">
        <v>262</v>
      </c>
      <c r="U119" s="97">
        <v>85</v>
      </c>
      <c r="V119" s="97">
        <v>4</v>
      </c>
      <c r="W119" s="97">
        <v>96</v>
      </c>
      <c r="X119" s="97">
        <v>77</v>
      </c>
      <c r="Y119" s="97">
        <v>11</v>
      </c>
      <c r="Z119" s="97">
        <v>240</v>
      </c>
      <c r="AA119" s="97">
        <v>62</v>
      </c>
      <c r="AB119" s="97">
        <v>3</v>
      </c>
      <c r="AC119" s="97">
        <v>146</v>
      </c>
      <c r="AD119" s="97">
        <v>87</v>
      </c>
      <c r="AE119" s="97">
        <v>1</v>
      </c>
      <c r="AF119" s="97">
        <v>6</v>
      </c>
      <c r="AG119" s="97">
        <v>536.5</v>
      </c>
      <c r="AH119" s="97">
        <v>5</v>
      </c>
      <c r="AI119" s="97">
        <v>116</v>
      </c>
      <c r="AK119" s="97" t="s">
        <v>3075</v>
      </c>
      <c r="AL119" s="97" t="s">
        <v>3075</v>
      </c>
      <c r="AM119" s="97" t="s">
        <v>3061</v>
      </c>
      <c r="AN119" s="97" t="s">
        <v>3199</v>
      </c>
      <c r="AO119" s="97" t="s">
        <v>52</v>
      </c>
      <c r="AP119" s="97">
        <v>92</v>
      </c>
      <c r="AQ119" s="97">
        <v>43</v>
      </c>
      <c r="AR119" s="97">
        <v>130</v>
      </c>
      <c r="AS119" s="97">
        <v>94</v>
      </c>
      <c r="AT119" s="97">
        <v>18</v>
      </c>
      <c r="AU119" s="97">
        <v>72</v>
      </c>
      <c r="AV119" s="97">
        <v>58</v>
      </c>
      <c r="AW119" s="97">
        <v>32</v>
      </c>
      <c r="AX119" s="97">
        <v>112</v>
      </c>
      <c r="AY119" s="97">
        <v>66</v>
      </c>
      <c r="AZ119" s="97">
        <v>11</v>
      </c>
      <c r="BA119" s="97">
        <v>60</v>
      </c>
      <c r="BB119" s="97">
        <v>55</v>
      </c>
      <c r="BC119" s="97">
        <v>41</v>
      </c>
      <c r="BD119" s="97">
        <v>119</v>
      </c>
      <c r="BE119" s="97">
        <v>63</v>
      </c>
      <c r="BF119" s="97">
        <v>35</v>
      </c>
      <c r="BG119" s="97">
        <v>110</v>
      </c>
      <c r="BH119" s="97">
        <v>29</v>
      </c>
      <c r="BI119" s="97">
        <v>41</v>
      </c>
      <c r="BJ119" s="97">
        <v>130</v>
      </c>
      <c r="BK119" s="97">
        <v>57</v>
      </c>
      <c r="BL119" s="97">
        <v>30</v>
      </c>
      <c r="BM119" s="97">
        <v>97</v>
      </c>
      <c r="BN119" s="97">
        <v>41</v>
      </c>
      <c r="BO119" s="97">
        <v>38</v>
      </c>
      <c r="BP119" s="97">
        <v>115</v>
      </c>
      <c r="BQ119" s="97">
        <v>428</v>
      </c>
      <c r="BR119" s="97">
        <v>38</v>
      </c>
      <c r="BS119" s="97">
        <v>115</v>
      </c>
    </row>
    <row r="120" spans="1:71" ht="15" customHeight="1">
      <c r="A120" s="97" t="s">
        <v>649</v>
      </c>
      <c r="B120" s="97" t="s">
        <v>649</v>
      </c>
      <c r="C120" s="97" t="s">
        <v>650</v>
      </c>
      <c r="D120" s="97" t="s">
        <v>3198</v>
      </c>
      <c r="E120" s="97" t="s">
        <v>17</v>
      </c>
      <c r="F120" s="97">
        <v>105</v>
      </c>
      <c r="G120" s="97">
        <v>21</v>
      </c>
      <c r="H120" s="97">
        <v>325</v>
      </c>
      <c r="I120" s="97">
        <v>94</v>
      </c>
      <c r="J120" s="97">
        <v>8</v>
      </c>
      <c r="K120" s="97">
        <v>141</v>
      </c>
      <c r="L120" s="97">
        <v>110.5</v>
      </c>
      <c r="M120" s="97">
        <v>5</v>
      </c>
      <c r="N120" s="97">
        <v>102</v>
      </c>
      <c r="O120" s="97">
        <v>65</v>
      </c>
      <c r="P120" s="97">
        <v>30</v>
      </c>
      <c r="Q120" s="97">
        <v>501</v>
      </c>
      <c r="R120" s="97">
        <v>78</v>
      </c>
      <c r="S120" s="97">
        <v>5</v>
      </c>
      <c r="T120" s="97">
        <v>61</v>
      </c>
      <c r="U120" s="97">
        <v>84</v>
      </c>
      <c r="V120" s="97">
        <v>4</v>
      </c>
      <c r="W120" s="97">
        <v>123</v>
      </c>
      <c r="X120" s="97">
        <v>67</v>
      </c>
      <c r="Y120" s="97">
        <v>38</v>
      </c>
      <c r="Z120" s="97">
        <v>570</v>
      </c>
      <c r="AA120" s="97">
        <v>57</v>
      </c>
      <c r="AB120" s="97">
        <v>20</v>
      </c>
      <c r="AC120" s="97">
        <v>306</v>
      </c>
      <c r="AD120" s="97">
        <v>68</v>
      </c>
      <c r="AE120" s="97">
        <v>27</v>
      </c>
      <c r="AF120" s="97">
        <v>412</v>
      </c>
      <c r="AG120" s="97">
        <v>536.5</v>
      </c>
      <c r="AH120" s="97">
        <v>4</v>
      </c>
      <c r="AI120" s="97">
        <v>116</v>
      </c>
      <c r="AK120" s="97" t="s">
        <v>3031</v>
      </c>
      <c r="AL120" s="97" t="s">
        <v>3031</v>
      </c>
      <c r="AM120" s="97" t="s">
        <v>3023</v>
      </c>
      <c r="AN120" s="97" t="s">
        <v>3199</v>
      </c>
      <c r="AO120" s="97" t="s">
        <v>52</v>
      </c>
      <c r="AP120" s="97">
        <v>92</v>
      </c>
      <c r="AQ120" s="97">
        <v>43</v>
      </c>
      <c r="AR120" s="97">
        <v>130</v>
      </c>
      <c r="AS120" s="97">
        <v>102</v>
      </c>
      <c r="AT120" s="97">
        <v>12</v>
      </c>
      <c r="AU120" s="97">
        <v>46</v>
      </c>
      <c r="AV120" s="97">
        <v>62</v>
      </c>
      <c r="AW120" s="97">
        <v>24</v>
      </c>
      <c r="AX120" s="97">
        <v>98</v>
      </c>
      <c r="AY120" s="97">
        <v>51</v>
      </c>
      <c r="AZ120" s="97">
        <v>38</v>
      </c>
      <c r="BA120" s="97">
        <v>122</v>
      </c>
      <c r="BB120" s="97">
        <v>70</v>
      </c>
      <c r="BC120" s="97">
        <v>14</v>
      </c>
      <c r="BD120" s="97">
        <v>50</v>
      </c>
      <c r="BE120" s="97">
        <v>50</v>
      </c>
      <c r="BF120" s="97">
        <v>42</v>
      </c>
      <c r="BG120" s="97">
        <v>127</v>
      </c>
      <c r="BH120" s="97">
        <v>48</v>
      </c>
      <c r="BI120" s="97">
        <v>6</v>
      </c>
      <c r="BJ120" s="97">
        <v>26</v>
      </c>
      <c r="BK120" s="97">
        <v>61</v>
      </c>
      <c r="BL120" s="97">
        <v>20</v>
      </c>
      <c r="BM120" s="97">
        <v>73</v>
      </c>
      <c r="BN120" s="97">
        <v>52</v>
      </c>
      <c r="BO120" s="97">
        <v>13</v>
      </c>
      <c r="BP120" s="97">
        <v>43</v>
      </c>
      <c r="BQ120" s="97">
        <v>427</v>
      </c>
      <c r="BR120" s="97">
        <v>39</v>
      </c>
      <c r="BS120" s="97">
        <v>117</v>
      </c>
    </row>
    <row r="121" spans="1:71" ht="15" customHeight="1">
      <c r="A121" s="97" t="s">
        <v>1960</v>
      </c>
      <c r="B121" s="97" t="s">
        <v>1960</v>
      </c>
      <c r="C121" s="97" t="s">
        <v>1723</v>
      </c>
      <c r="D121" s="97" t="s">
        <v>3198</v>
      </c>
      <c r="E121" s="97" t="s">
        <v>109</v>
      </c>
      <c r="F121" s="97">
        <v>106</v>
      </c>
      <c r="G121" s="97">
        <v>20</v>
      </c>
      <c r="H121" s="97">
        <v>287</v>
      </c>
      <c r="I121" s="97">
        <v>86</v>
      </c>
      <c r="J121" s="97">
        <v>11</v>
      </c>
      <c r="K121" s="97">
        <v>233</v>
      </c>
      <c r="L121" s="97">
        <v>94.5</v>
      </c>
      <c r="M121" s="97">
        <v>22</v>
      </c>
      <c r="N121" s="97">
        <v>377</v>
      </c>
      <c r="O121" s="97">
        <v>85</v>
      </c>
      <c r="P121" s="97">
        <v>6</v>
      </c>
      <c r="Q121" s="97">
        <v>135</v>
      </c>
      <c r="R121" s="97">
        <v>75</v>
      </c>
      <c r="S121" s="97">
        <v>2</v>
      </c>
      <c r="T121" s="97">
        <v>83</v>
      </c>
      <c r="U121" s="97">
        <v>90</v>
      </c>
      <c r="V121" s="97">
        <v>2</v>
      </c>
      <c r="W121" s="97">
        <v>19</v>
      </c>
      <c r="X121" s="97">
        <v>57</v>
      </c>
      <c r="Y121" s="97">
        <v>48</v>
      </c>
      <c r="Z121" s="97">
        <v>838</v>
      </c>
      <c r="AA121" s="97">
        <v>54</v>
      </c>
      <c r="AB121" s="97">
        <v>20</v>
      </c>
      <c r="AC121" s="97">
        <v>428</v>
      </c>
      <c r="AD121" s="97">
        <v>78</v>
      </c>
      <c r="AE121" s="97">
        <v>6</v>
      </c>
      <c r="AF121" s="97">
        <v>86</v>
      </c>
      <c r="AG121" s="97">
        <v>536.5</v>
      </c>
      <c r="AH121" s="97">
        <v>5</v>
      </c>
      <c r="AI121" s="97">
        <v>116</v>
      </c>
      <c r="AK121" s="97" t="s">
        <v>3128</v>
      </c>
      <c r="AL121" s="97" t="s">
        <v>3128</v>
      </c>
      <c r="AM121" s="97" t="s">
        <v>3129</v>
      </c>
      <c r="AN121" s="97" t="s">
        <v>3199</v>
      </c>
      <c r="AO121" s="97" t="s">
        <v>25</v>
      </c>
      <c r="AP121" s="97">
        <v>93</v>
      </c>
      <c r="AQ121" s="97">
        <v>41</v>
      </c>
      <c r="AR121" s="97">
        <v>129</v>
      </c>
      <c r="AS121" s="97">
        <v>70.5</v>
      </c>
      <c r="AT121" s="97">
        <v>41</v>
      </c>
      <c r="AU121" s="97">
        <v>130</v>
      </c>
      <c r="AV121" s="97">
        <v>65</v>
      </c>
      <c r="AW121" s="97">
        <v>25</v>
      </c>
      <c r="AX121" s="97">
        <v>81</v>
      </c>
      <c r="AY121" s="97">
        <v>59</v>
      </c>
      <c r="AZ121" s="97">
        <v>32</v>
      </c>
      <c r="BA121" s="97">
        <v>104</v>
      </c>
      <c r="BB121" s="97">
        <v>54</v>
      </c>
      <c r="BC121" s="97">
        <v>34</v>
      </c>
      <c r="BD121" s="97">
        <v>122</v>
      </c>
      <c r="BE121" s="97">
        <v>84</v>
      </c>
      <c r="BF121" s="97">
        <v>15</v>
      </c>
      <c r="BG121" s="97">
        <v>70</v>
      </c>
      <c r="BH121" s="97">
        <v>44</v>
      </c>
      <c r="BI121" s="97">
        <v>15</v>
      </c>
      <c r="BJ121" s="97">
        <v>55</v>
      </c>
      <c r="BK121" s="97">
        <v>58</v>
      </c>
      <c r="BL121" s="97">
        <v>27</v>
      </c>
      <c r="BM121" s="97">
        <v>90</v>
      </c>
      <c r="BN121" s="97">
        <v>49</v>
      </c>
      <c r="BO121" s="97">
        <v>22</v>
      </c>
      <c r="BP121" s="97">
        <v>70</v>
      </c>
      <c r="BQ121" s="97">
        <v>425.5</v>
      </c>
      <c r="BR121" s="97">
        <v>33</v>
      </c>
      <c r="BS121" s="97">
        <v>118</v>
      </c>
    </row>
    <row r="122" spans="1:71" ht="15" customHeight="1">
      <c r="A122" s="97" t="s">
        <v>2025</v>
      </c>
      <c r="B122" s="97" t="s">
        <v>2025</v>
      </c>
      <c r="C122" s="97" t="s">
        <v>2026</v>
      </c>
      <c r="D122" s="97" t="s">
        <v>3198</v>
      </c>
      <c r="E122" s="97" t="s">
        <v>109</v>
      </c>
      <c r="F122" s="97">
        <v>112</v>
      </c>
      <c r="G122" s="97">
        <v>9</v>
      </c>
      <c r="H122" s="97">
        <v>114</v>
      </c>
      <c r="I122" s="97">
        <v>102</v>
      </c>
      <c r="J122" s="97">
        <v>2</v>
      </c>
      <c r="K122" s="97">
        <v>72</v>
      </c>
      <c r="L122" s="97">
        <v>110.5</v>
      </c>
      <c r="M122" s="97">
        <v>8</v>
      </c>
      <c r="N122" s="97">
        <v>102</v>
      </c>
      <c r="O122" s="97">
        <v>81</v>
      </c>
      <c r="P122" s="97">
        <v>13</v>
      </c>
      <c r="Q122" s="97">
        <v>195</v>
      </c>
      <c r="R122" s="97">
        <v>67</v>
      </c>
      <c r="S122" s="97">
        <v>9</v>
      </c>
      <c r="T122" s="97">
        <v>177</v>
      </c>
      <c r="U122" s="97">
        <v>64</v>
      </c>
      <c r="V122" s="97">
        <v>40</v>
      </c>
      <c r="W122" s="97">
        <v>667</v>
      </c>
      <c r="X122" s="97">
        <v>76</v>
      </c>
      <c r="Y122" s="97">
        <v>14</v>
      </c>
      <c r="Z122" s="97">
        <v>260</v>
      </c>
      <c r="AA122" s="97">
        <v>46</v>
      </c>
      <c r="AB122" s="97">
        <v>43</v>
      </c>
      <c r="AC122" s="97">
        <v>755</v>
      </c>
      <c r="AD122" s="97">
        <v>58</v>
      </c>
      <c r="AE122" s="97">
        <v>40</v>
      </c>
      <c r="AF122" s="97">
        <v>770</v>
      </c>
      <c r="AG122" s="97">
        <v>536.5</v>
      </c>
      <c r="AH122" s="97">
        <v>5</v>
      </c>
      <c r="AI122" s="97">
        <v>116</v>
      </c>
      <c r="AK122" s="97" t="s">
        <v>3281</v>
      </c>
      <c r="AL122" s="97" t="s">
        <v>3281</v>
      </c>
      <c r="AM122" s="97" t="s">
        <v>157</v>
      </c>
      <c r="AN122" s="97" t="s">
        <v>3199</v>
      </c>
      <c r="AO122" s="97" t="s">
        <v>25</v>
      </c>
      <c r="AP122" s="97">
        <v>99</v>
      </c>
      <c r="AQ122" s="97">
        <v>29</v>
      </c>
      <c r="AR122" s="97">
        <v>102</v>
      </c>
      <c r="AS122" s="97">
        <v>77.5</v>
      </c>
      <c r="AT122" s="97">
        <v>36</v>
      </c>
      <c r="AU122" s="97">
        <v>122</v>
      </c>
      <c r="AV122" s="97">
        <v>70</v>
      </c>
      <c r="AW122" s="97">
        <v>14</v>
      </c>
      <c r="AX122" s="97">
        <v>57</v>
      </c>
      <c r="AY122" s="97">
        <v>72</v>
      </c>
      <c r="AZ122" s="97">
        <v>3</v>
      </c>
      <c r="BA122" s="97">
        <v>33</v>
      </c>
      <c r="BB122" s="97">
        <v>56</v>
      </c>
      <c r="BC122" s="97">
        <v>30</v>
      </c>
      <c r="BD122" s="97">
        <v>116</v>
      </c>
      <c r="BE122" s="97">
        <v>51</v>
      </c>
      <c r="BF122" s="97">
        <v>39</v>
      </c>
      <c r="BG122" s="97">
        <v>126</v>
      </c>
      <c r="BH122" s="97">
        <v>43</v>
      </c>
      <c r="BI122" s="97">
        <v>17</v>
      </c>
      <c r="BJ122" s="97">
        <v>60</v>
      </c>
      <c r="BK122" s="97">
        <v>61</v>
      </c>
      <c r="BL122" s="97">
        <v>23</v>
      </c>
      <c r="BM122" s="97">
        <v>73</v>
      </c>
      <c r="BN122" s="97">
        <v>51</v>
      </c>
      <c r="BO122" s="97">
        <v>15</v>
      </c>
      <c r="BP122" s="97">
        <v>52</v>
      </c>
      <c r="BQ122" s="97">
        <v>425.5</v>
      </c>
      <c r="BR122" s="97">
        <v>33</v>
      </c>
      <c r="BS122" s="97">
        <v>118</v>
      </c>
    </row>
    <row r="123" spans="1:71" ht="15" customHeight="1">
      <c r="A123" s="97" t="s">
        <v>1704</v>
      </c>
      <c r="B123" s="97" t="s">
        <v>1704</v>
      </c>
      <c r="C123" s="97" t="s">
        <v>197</v>
      </c>
      <c r="D123" s="97" t="s">
        <v>3198</v>
      </c>
      <c r="E123" s="97" t="s">
        <v>9</v>
      </c>
      <c r="F123" s="97">
        <v>97</v>
      </c>
      <c r="G123" s="97">
        <v>42</v>
      </c>
      <c r="H123" s="97">
        <v>645</v>
      </c>
      <c r="I123" s="97">
        <v>88</v>
      </c>
      <c r="J123" s="97">
        <v>34</v>
      </c>
      <c r="K123" s="97">
        <v>206</v>
      </c>
      <c r="L123" s="97">
        <v>105</v>
      </c>
      <c r="M123" s="97">
        <v>29</v>
      </c>
      <c r="N123" s="97">
        <v>172</v>
      </c>
      <c r="O123" s="97">
        <v>89</v>
      </c>
      <c r="P123" s="97">
        <v>12</v>
      </c>
      <c r="Q123" s="97">
        <v>97</v>
      </c>
      <c r="R123" s="97">
        <v>78</v>
      </c>
      <c r="S123" s="97">
        <v>16</v>
      </c>
      <c r="T123" s="97">
        <v>61</v>
      </c>
      <c r="U123" s="97">
        <v>79</v>
      </c>
      <c r="V123" s="97">
        <v>36</v>
      </c>
      <c r="W123" s="97">
        <v>229</v>
      </c>
      <c r="X123" s="97">
        <v>76</v>
      </c>
      <c r="Y123" s="97">
        <v>32</v>
      </c>
      <c r="Z123" s="97">
        <v>260</v>
      </c>
      <c r="AA123" s="97">
        <v>76</v>
      </c>
      <c r="AB123" s="97">
        <v>1</v>
      </c>
      <c r="AC123" s="97">
        <v>6</v>
      </c>
      <c r="AD123" s="97">
        <v>71</v>
      </c>
      <c r="AE123" s="97">
        <v>28</v>
      </c>
      <c r="AF123" s="97">
        <v>290</v>
      </c>
      <c r="AG123" s="97">
        <v>536</v>
      </c>
      <c r="AH123" s="97">
        <v>29</v>
      </c>
      <c r="AI123" s="97">
        <v>120</v>
      </c>
      <c r="AK123" s="97" t="s">
        <v>3096</v>
      </c>
      <c r="AL123" s="97" t="s">
        <v>3096</v>
      </c>
      <c r="AM123" s="97" t="s">
        <v>3073</v>
      </c>
      <c r="AN123" s="97" t="s">
        <v>3199</v>
      </c>
      <c r="AO123" s="97" t="s">
        <v>52</v>
      </c>
      <c r="AP123" s="97">
        <v>91</v>
      </c>
      <c r="AQ123" s="97">
        <v>45</v>
      </c>
      <c r="AR123" s="97">
        <v>132</v>
      </c>
      <c r="AS123" s="97">
        <v>115.5</v>
      </c>
      <c r="AT123" s="97">
        <v>2</v>
      </c>
      <c r="AU123" s="97">
        <v>12</v>
      </c>
      <c r="AV123" s="97">
        <v>55</v>
      </c>
      <c r="AW123" s="97">
        <v>38</v>
      </c>
      <c r="AX123" s="97">
        <v>123</v>
      </c>
      <c r="AY123" s="97">
        <v>51</v>
      </c>
      <c r="AZ123" s="97">
        <v>38</v>
      </c>
      <c r="BA123" s="97">
        <v>122</v>
      </c>
      <c r="BB123" s="97">
        <v>58</v>
      </c>
      <c r="BC123" s="97">
        <v>36</v>
      </c>
      <c r="BD123" s="97">
        <v>107</v>
      </c>
      <c r="BE123" s="97">
        <v>54</v>
      </c>
      <c r="BF123" s="97">
        <v>41</v>
      </c>
      <c r="BG123" s="97">
        <v>123</v>
      </c>
      <c r="BH123" s="97">
        <v>34</v>
      </c>
      <c r="BI123" s="97">
        <v>34</v>
      </c>
      <c r="BJ123" s="97">
        <v>112</v>
      </c>
      <c r="BK123" s="97">
        <v>58</v>
      </c>
      <c r="BL123" s="97">
        <v>28</v>
      </c>
      <c r="BM123" s="97">
        <v>90</v>
      </c>
      <c r="BN123" s="97">
        <v>34</v>
      </c>
      <c r="BO123" s="97">
        <v>42</v>
      </c>
      <c r="BP123" s="97">
        <v>128</v>
      </c>
      <c r="BQ123" s="97">
        <v>424.5</v>
      </c>
      <c r="BR123" s="97">
        <v>40</v>
      </c>
      <c r="BS123" s="97">
        <v>120</v>
      </c>
    </row>
    <row r="124" spans="1:71" ht="15" customHeight="1">
      <c r="A124" s="97" t="s">
        <v>1736</v>
      </c>
      <c r="B124" s="97" t="s">
        <v>1736</v>
      </c>
      <c r="C124" s="97" t="s">
        <v>188</v>
      </c>
      <c r="D124" s="97" t="s">
        <v>3198</v>
      </c>
      <c r="E124" s="97" t="s">
        <v>9</v>
      </c>
      <c r="F124" s="97">
        <v>105</v>
      </c>
      <c r="G124" s="97">
        <v>28</v>
      </c>
      <c r="H124" s="97">
        <v>325</v>
      </c>
      <c r="I124" s="97">
        <v>80</v>
      </c>
      <c r="J124" s="97">
        <v>41</v>
      </c>
      <c r="K124" s="97">
        <v>325</v>
      </c>
      <c r="L124" s="97">
        <v>100.5</v>
      </c>
      <c r="M124" s="97">
        <v>38</v>
      </c>
      <c r="N124" s="97">
        <v>247</v>
      </c>
      <c r="O124" s="97">
        <v>82</v>
      </c>
      <c r="P124" s="97">
        <v>22</v>
      </c>
      <c r="Q124" s="97">
        <v>174</v>
      </c>
      <c r="R124" s="97">
        <v>84</v>
      </c>
      <c r="S124" s="97">
        <v>8</v>
      </c>
      <c r="T124" s="97">
        <v>25</v>
      </c>
      <c r="U124" s="97">
        <v>84</v>
      </c>
      <c r="V124" s="97">
        <v>23</v>
      </c>
      <c r="W124" s="97">
        <v>123</v>
      </c>
      <c r="X124" s="97">
        <v>75</v>
      </c>
      <c r="Y124" s="97">
        <v>33</v>
      </c>
      <c r="Z124" s="97">
        <v>289</v>
      </c>
      <c r="AA124" s="97">
        <v>74</v>
      </c>
      <c r="AB124" s="97">
        <v>4</v>
      </c>
      <c r="AC124" s="97">
        <v>14</v>
      </c>
      <c r="AD124" s="97">
        <v>83</v>
      </c>
      <c r="AE124" s="97">
        <v>3</v>
      </c>
      <c r="AF124" s="97">
        <v>22</v>
      </c>
      <c r="AG124" s="97">
        <v>535.5</v>
      </c>
      <c r="AH124" s="97">
        <v>30</v>
      </c>
      <c r="AI124" s="97">
        <v>121</v>
      </c>
      <c r="AK124" s="97" t="s">
        <v>3125</v>
      </c>
      <c r="AL124" s="97" t="s">
        <v>3125</v>
      </c>
      <c r="AM124" s="97" t="s">
        <v>3126</v>
      </c>
      <c r="AN124" s="97" t="s">
        <v>3199</v>
      </c>
      <c r="AO124" s="97" t="s">
        <v>25</v>
      </c>
      <c r="AP124" s="97">
        <v>94</v>
      </c>
      <c r="AQ124" s="97">
        <v>38</v>
      </c>
      <c r="AR124" s="97">
        <v>123</v>
      </c>
      <c r="AS124" s="97">
        <v>83</v>
      </c>
      <c r="AT124" s="97">
        <v>26</v>
      </c>
      <c r="AU124" s="97">
        <v>107</v>
      </c>
      <c r="AV124" s="97">
        <v>70</v>
      </c>
      <c r="AW124" s="97">
        <v>14</v>
      </c>
      <c r="AX124" s="97">
        <v>57</v>
      </c>
      <c r="AY124" s="97">
        <v>46</v>
      </c>
      <c r="AZ124" s="97">
        <v>40</v>
      </c>
      <c r="BA124" s="97">
        <v>128</v>
      </c>
      <c r="BB124" s="97">
        <v>56</v>
      </c>
      <c r="BC124" s="97">
        <v>30</v>
      </c>
      <c r="BD124" s="97">
        <v>116</v>
      </c>
      <c r="BE124" s="97">
        <v>71</v>
      </c>
      <c r="BF124" s="97">
        <v>25</v>
      </c>
      <c r="BG124" s="97">
        <v>97</v>
      </c>
      <c r="BH124" s="97">
        <v>42</v>
      </c>
      <c r="BI124" s="97">
        <v>20</v>
      </c>
      <c r="BJ124" s="97">
        <v>68</v>
      </c>
      <c r="BK124" s="97">
        <v>50</v>
      </c>
      <c r="BL124" s="97">
        <v>39</v>
      </c>
      <c r="BM124" s="97">
        <v>121</v>
      </c>
      <c r="BN124" s="97">
        <v>37</v>
      </c>
      <c r="BO124" s="97">
        <v>42</v>
      </c>
      <c r="BP124" s="97">
        <v>124</v>
      </c>
      <c r="BQ124" s="97">
        <v>420</v>
      </c>
      <c r="BR124" s="97">
        <v>35</v>
      </c>
      <c r="BS124" s="97">
        <v>121</v>
      </c>
    </row>
    <row r="125" spans="1:71" ht="15" customHeight="1">
      <c r="A125" s="97" t="s">
        <v>1685</v>
      </c>
      <c r="B125" s="97" t="s">
        <v>1685</v>
      </c>
      <c r="C125" s="97" t="s">
        <v>2154</v>
      </c>
      <c r="D125" s="97" t="s">
        <v>3198</v>
      </c>
      <c r="E125" s="97" t="s">
        <v>9</v>
      </c>
      <c r="F125" s="97">
        <v>91</v>
      </c>
      <c r="G125" s="97">
        <v>48</v>
      </c>
      <c r="H125" s="97">
        <v>799</v>
      </c>
      <c r="I125" s="97">
        <v>92</v>
      </c>
      <c r="J125" s="97">
        <v>27</v>
      </c>
      <c r="K125" s="97">
        <v>166</v>
      </c>
      <c r="L125" s="97">
        <v>100.5</v>
      </c>
      <c r="M125" s="97">
        <v>38</v>
      </c>
      <c r="N125" s="97">
        <v>247</v>
      </c>
      <c r="O125" s="97">
        <v>100</v>
      </c>
      <c r="P125" s="97">
        <v>1</v>
      </c>
      <c r="Q125" s="97">
        <v>19</v>
      </c>
      <c r="R125" s="97">
        <v>76</v>
      </c>
      <c r="S125" s="97">
        <v>21</v>
      </c>
      <c r="T125" s="97">
        <v>73</v>
      </c>
      <c r="U125" s="97">
        <v>75</v>
      </c>
      <c r="V125" s="97">
        <v>43</v>
      </c>
      <c r="W125" s="97">
        <v>342</v>
      </c>
      <c r="X125" s="97">
        <v>73</v>
      </c>
      <c r="Y125" s="97">
        <v>36</v>
      </c>
      <c r="Z125" s="97">
        <v>359</v>
      </c>
      <c r="AA125" s="97">
        <v>54</v>
      </c>
      <c r="AB125" s="97">
        <v>38</v>
      </c>
      <c r="AC125" s="97">
        <v>428</v>
      </c>
      <c r="AD125" s="97">
        <v>71</v>
      </c>
      <c r="AE125" s="97">
        <v>28</v>
      </c>
      <c r="AF125" s="97">
        <v>290</v>
      </c>
      <c r="AG125" s="97">
        <v>534.5</v>
      </c>
      <c r="AH125" s="97">
        <v>31</v>
      </c>
      <c r="AI125" s="97">
        <v>122</v>
      </c>
      <c r="AK125" s="97" t="s">
        <v>3299</v>
      </c>
      <c r="AL125" s="97" t="s">
        <v>3299</v>
      </c>
      <c r="AM125" s="97" t="s">
        <v>2306</v>
      </c>
      <c r="AN125" s="97" t="s">
        <v>3199</v>
      </c>
      <c r="AO125" s="97" t="s">
        <v>25</v>
      </c>
      <c r="AP125" s="97">
        <v>99</v>
      </c>
      <c r="AQ125" s="97">
        <v>29</v>
      </c>
      <c r="AR125" s="97">
        <v>102</v>
      </c>
      <c r="AS125" s="97">
        <v>82.5</v>
      </c>
      <c r="AT125" s="97">
        <v>28</v>
      </c>
      <c r="AU125" s="97">
        <v>109</v>
      </c>
      <c r="AV125" s="97">
        <v>67</v>
      </c>
      <c r="AW125" s="97">
        <v>22</v>
      </c>
      <c r="AX125" s="97">
        <v>74</v>
      </c>
      <c r="AY125" s="97">
        <v>61</v>
      </c>
      <c r="AZ125" s="97">
        <v>25</v>
      </c>
      <c r="BA125" s="97">
        <v>89</v>
      </c>
      <c r="BB125" s="97">
        <v>47</v>
      </c>
      <c r="BC125" s="97">
        <v>39</v>
      </c>
      <c r="BD125" s="97">
        <v>129</v>
      </c>
      <c r="BE125" s="97">
        <v>63</v>
      </c>
      <c r="BF125" s="97">
        <v>30</v>
      </c>
      <c r="BG125" s="97">
        <v>110</v>
      </c>
      <c r="BH125" s="97">
        <v>55</v>
      </c>
      <c r="BI125" s="97">
        <v>3</v>
      </c>
      <c r="BJ125" s="97">
        <v>9</v>
      </c>
      <c r="BK125" s="97">
        <v>79</v>
      </c>
      <c r="BL125" s="97">
        <v>1</v>
      </c>
      <c r="BM125" s="97">
        <v>5</v>
      </c>
      <c r="BN125" s="97">
        <v>52</v>
      </c>
      <c r="BO125" s="97">
        <v>13</v>
      </c>
      <c r="BP125" s="97">
        <v>43</v>
      </c>
      <c r="BQ125" s="97">
        <v>419.5</v>
      </c>
      <c r="BR125" s="97">
        <v>36</v>
      </c>
      <c r="BS125" s="97">
        <v>122</v>
      </c>
    </row>
    <row r="126" spans="1:71" ht="15" customHeight="1">
      <c r="A126" s="97" t="s">
        <v>1642</v>
      </c>
      <c r="B126" s="97" t="s">
        <v>1642</v>
      </c>
      <c r="C126" s="97" t="s">
        <v>1046</v>
      </c>
      <c r="D126" s="97" t="s">
        <v>3198</v>
      </c>
      <c r="E126" s="97" t="s">
        <v>9</v>
      </c>
      <c r="F126" s="97">
        <v>114</v>
      </c>
      <c r="G126" s="97">
        <v>7</v>
      </c>
      <c r="H126" s="97">
        <v>80</v>
      </c>
      <c r="I126" s="97">
        <v>89</v>
      </c>
      <c r="J126" s="97">
        <v>31</v>
      </c>
      <c r="K126" s="97">
        <v>196</v>
      </c>
      <c r="L126" s="97">
        <v>116.5</v>
      </c>
      <c r="M126" s="97">
        <v>11</v>
      </c>
      <c r="N126" s="97">
        <v>46</v>
      </c>
      <c r="O126" s="97">
        <v>65</v>
      </c>
      <c r="P126" s="97">
        <v>48</v>
      </c>
      <c r="Q126" s="97">
        <v>501</v>
      </c>
      <c r="R126" s="97">
        <v>64</v>
      </c>
      <c r="S126" s="97">
        <v>46</v>
      </c>
      <c r="T126" s="97">
        <v>244</v>
      </c>
      <c r="U126" s="97">
        <v>86</v>
      </c>
      <c r="V126" s="97">
        <v>14</v>
      </c>
      <c r="W126" s="97">
        <v>77</v>
      </c>
      <c r="X126" s="97">
        <v>81</v>
      </c>
      <c r="Y126" s="97">
        <v>17</v>
      </c>
      <c r="Z126" s="97">
        <v>124</v>
      </c>
      <c r="AA126" s="97">
        <v>72</v>
      </c>
      <c r="AB126" s="97">
        <v>8</v>
      </c>
      <c r="AC126" s="97">
        <v>25</v>
      </c>
      <c r="AD126" s="97">
        <v>69</v>
      </c>
      <c r="AE126" s="97">
        <v>34</v>
      </c>
      <c r="AF126" s="97">
        <v>367</v>
      </c>
      <c r="AG126" s="97">
        <v>534.5</v>
      </c>
      <c r="AH126" s="97">
        <v>31</v>
      </c>
      <c r="AI126" s="97">
        <v>122</v>
      </c>
      <c r="AK126" s="97" t="s">
        <v>3078</v>
      </c>
      <c r="AL126" s="97" t="s">
        <v>3078</v>
      </c>
      <c r="AM126" s="97" t="s">
        <v>3064</v>
      </c>
      <c r="AN126" s="97" t="s">
        <v>3199</v>
      </c>
      <c r="AO126" s="97" t="s">
        <v>52</v>
      </c>
      <c r="AP126" s="97">
        <v>94</v>
      </c>
      <c r="AQ126" s="97">
        <v>40</v>
      </c>
      <c r="AR126" s="97">
        <v>123</v>
      </c>
      <c r="AS126" s="97">
        <v>84.5</v>
      </c>
      <c r="AT126" s="97">
        <v>34</v>
      </c>
      <c r="AU126" s="97">
        <v>101</v>
      </c>
      <c r="AV126" s="97">
        <v>64</v>
      </c>
      <c r="AW126" s="97">
        <v>18</v>
      </c>
      <c r="AX126" s="97">
        <v>87</v>
      </c>
      <c r="AY126" s="97">
        <v>62</v>
      </c>
      <c r="AZ126" s="97">
        <v>19</v>
      </c>
      <c r="BA126" s="97">
        <v>85</v>
      </c>
      <c r="BB126" s="97">
        <v>67</v>
      </c>
      <c r="BC126" s="97">
        <v>18</v>
      </c>
      <c r="BD126" s="97">
        <v>60</v>
      </c>
      <c r="BE126" s="97">
        <v>46</v>
      </c>
      <c r="BF126" s="97">
        <v>43</v>
      </c>
      <c r="BG126" s="97">
        <v>128</v>
      </c>
      <c r="BH126" s="97">
        <v>32</v>
      </c>
      <c r="BI126" s="97">
        <v>37</v>
      </c>
      <c r="BJ126" s="97">
        <v>118</v>
      </c>
      <c r="BK126" s="97">
        <v>56</v>
      </c>
      <c r="BL126" s="97">
        <v>35</v>
      </c>
      <c r="BM126" s="97">
        <v>106</v>
      </c>
      <c r="BN126" s="97">
        <v>26</v>
      </c>
      <c r="BO126" s="97">
        <v>43</v>
      </c>
      <c r="BP126" s="97">
        <v>132</v>
      </c>
      <c r="BQ126" s="97">
        <v>417.5</v>
      </c>
      <c r="BR126" s="97">
        <v>41</v>
      </c>
      <c r="BS126" s="97">
        <v>123</v>
      </c>
    </row>
    <row r="127" spans="1:71" ht="15" customHeight="1">
      <c r="A127" s="97" t="s">
        <v>294</v>
      </c>
      <c r="B127" s="97" t="s">
        <v>294</v>
      </c>
      <c r="C127" s="97" t="s">
        <v>1605</v>
      </c>
      <c r="D127" s="97" t="s">
        <v>3198</v>
      </c>
      <c r="E127" s="97" t="s">
        <v>28</v>
      </c>
      <c r="F127" s="97">
        <v>109</v>
      </c>
      <c r="G127" s="97">
        <v>9</v>
      </c>
      <c r="H127" s="97">
        <v>185</v>
      </c>
      <c r="I127" s="97">
        <v>95</v>
      </c>
      <c r="J127" s="97">
        <v>6</v>
      </c>
      <c r="K127" s="97">
        <v>128</v>
      </c>
      <c r="L127" s="97">
        <v>101</v>
      </c>
      <c r="M127" s="97">
        <v>12</v>
      </c>
      <c r="N127" s="97">
        <v>234</v>
      </c>
      <c r="O127" s="97">
        <v>74</v>
      </c>
      <c r="P127" s="97">
        <v>16</v>
      </c>
      <c r="Q127" s="97">
        <v>317</v>
      </c>
      <c r="R127" s="97">
        <v>65</v>
      </c>
      <c r="S127" s="97">
        <v>7</v>
      </c>
      <c r="T127" s="97">
        <v>223</v>
      </c>
      <c r="U127" s="97">
        <v>90</v>
      </c>
      <c r="V127" s="97">
        <v>2</v>
      </c>
      <c r="W127" s="97">
        <v>19</v>
      </c>
      <c r="X127" s="97">
        <v>75</v>
      </c>
      <c r="Y127" s="97">
        <v>15</v>
      </c>
      <c r="Z127" s="97">
        <v>289</v>
      </c>
      <c r="AA127" s="97">
        <v>67</v>
      </c>
      <c r="AB127" s="97">
        <v>3</v>
      </c>
      <c r="AC127" s="97">
        <v>66</v>
      </c>
      <c r="AD127" s="97">
        <v>69</v>
      </c>
      <c r="AE127" s="97">
        <v>18</v>
      </c>
      <c r="AF127" s="97">
        <v>367</v>
      </c>
      <c r="AG127" s="97">
        <v>534</v>
      </c>
      <c r="AH127" s="97">
        <v>3</v>
      </c>
      <c r="AI127" s="97">
        <v>124</v>
      </c>
      <c r="AK127" s="97" t="s">
        <v>3285</v>
      </c>
      <c r="AL127" s="97" t="s">
        <v>3285</v>
      </c>
      <c r="AM127" s="97" t="s">
        <v>3086</v>
      </c>
      <c r="AN127" s="97" t="s">
        <v>3199</v>
      </c>
      <c r="AO127" s="97" t="s">
        <v>52</v>
      </c>
      <c r="AP127" s="97">
        <v>98</v>
      </c>
      <c r="AQ127" s="97">
        <v>34</v>
      </c>
      <c r="AR127" s="97">
        <v>109</v>
      </c>
      <c r="AS127" s="97">
        <v>96</v>
      </c>
      <c r="AT127" s="97">
        <v>16</v>
      </c>
      <c r="AU127" s="97">
        <v>66</v>
      </c>
      <c r="AV127" s="97">
        <v>56</v>
      </c>
      <c r="AW127" s="97">
        <v>36</v>
      </c>
      <c r="AX127" s="97">
        <v>117</v>
      </c>
      <c r="AY127" s="97">
        <v>65</v>
      </c>
      <c r="AZ127" s="97">
        <v>12</v>
      </c>
      <c r="BA127" s="97">
        <v>69</v>
      </c>
      <c r="BB127" s="97">
        <v>63</v>
      </c>
      <c r="BC127" s="97">
        <v>28</v>
      </c>
      <c r="BD127" s="97">
        <v>86</v>
      </c>
      <c r="BE127" s="97">
        <v>37</v>
      </c>
      <c r="BF127" s="97">
        <v>45</v>
      </c>
      <c r="BG127" s="97">
        <v>133</v>
      </c>
      <c r="BH127" s="97">
        <v>28</v>
      </c>
      <c r="BI127" s="97">
        <v>42</v>
      </c>
      <c r="BJ127" s="97">
        <v>131</v>
      </c>
      <c r="BK127" s="97">
        <v>58</v>
      </c>
      <c r="BL127" s="97">
        <v>28</v>
      </c>
      <c r="BM127" s="97">
        <v>90</v>
      </c>
      <c r="BN127" s="97">
        <v>35</v>
      </c>
      <c r="BO127" s="97">
        <v>40</v>
      </c>
      <c r="BP127" s="97">
        <v>126</v>
      </c>
      <c r="BQ127" s="97">
        <v>415</v>
      </c>
      <c r="BR127" s="97">
        <v>42</v>
      </c>
      <c r="BS127" s="97">
        <v>124</v>
      </c>
    </row>
    <row r="128" spans="1:71" ht="15" customHeight="1">
      <c r="A128" s="97" t="s">
        <v>1770</v>
      </c>
      <c r="B128" s="97" t="s">
        <v>1770</v>
      </c>
      <c r="C128" s="97" t="s">
        <v>1935</v>
      </c>
      <c r="D128" s="97" t="s">
        <v>3198</v>
      </c>
      <c r="E128" s="97" t="s">
        <v>9</v>
      </c>
      <c r="F128" s="97">
        <v>104</v>
      </c>
      <c r="G128" s="97">
        <v>30</v>
      </c>
      <c r="H128" s="97">
        <v>357</v>
      </c>
      <c r="I128" s="97">
        <v>101</v>
      </c>
      <c r="J128" s="97">
        <v>13</v>
      </c>
      <c r="K128" s="97">
        <v>81</v>
      </c>
      <c r="L128" s="97">
        <v>87.5</v>
      </c>
      <c r="M128" s="97">
        <v>49</v>
      </c>
      <c r="N128" s="97">
        <v>541</v>
      </c>
      <c r="O128" s="97">
        <v>80</v>
      </c>
      <c r="P128" s="97">
        <v>29</v>
      </c>
      <c r="Q128" s="97">
        <v>207</v>
      </c>
      <c r="R128" s="97">
        <v>71</v>
      </c>
      <c r="S128" s="97">
        <v>32</v>
      </c>
      <c r="T128" s="97">
        <v>123</v>
      </c>
      <c r="U128" s="97">
        <v>90</v>
      </c>
      <c r="V128" s="97">
        <v>5</v>
      </c>
      <c r="W128" s="97">
        <v>19</v>
      </c>
      <c r="X128" s="97">
        <v>72</v>
      </c>
      <c r="Y128" s="97">
        <v>39</v>
      </c>
      <c r="Z128" s="97">
        <v>396</v>
      </c>
      <c r="AA128" s="97">
        <v>71</v>
      </c>
      <c r="AB128" s="97">
        <v>11</v>
      </c>
      <c r="AC128" s="97">
        <v>32</v>
      </c>
      <c r="AD128" s="97">
        <v>75</v>
      </c>
      <c r="AE128" s="97">
        <v>15</v>
      </c>
      <c r="AF128" s="97">
        <v>146</v>
      </c>
      <c r="AG128" s="97">
        <v>533.5</v>
      </c>
      <c r="AH128" s="97">
        <v>33</v>
      </c>
      <c r="AI128" s="97">
        <v>125</v>
      </c>
      <c r="AK128" s="97" t="s">
        <v>3122</v>
      </c>
      <c r="AL128" s="97" t="s">
        <v>3122</v>
      </c>
      <c r="AM128" s="97" t="s">
        <v>3123</v>
      </c>
      <c r="AN128" s="97" t="s">
        <v>3199</v>
      </c>
      <c r="AO128" s="97" t="s">
        <v>25</v>
      </c>
      <c r="AP128" s="97">
        <v>117</v>
      </c>
      <c r="AQ128" s="97">
        <v>2</v>
      </c>
      <c r="AR128" s="97">
        <v>13</v>
      </c>
      <c r="AS128" s="97">
        <v>72.5</v>
      </c>
      <c r="AT128" s="97">
        <v>39</v>
      </c>
      <c r="AU128" s="97">
        <v>128</v>
      </c>
      <c r="AV128" s="97">
        <v>54</v>
      </c>
      <c r="AW128" s="97">
        <v>40</v>
      </c>
      <c r="AX128" s="97">
        <v>124</v>
      </c>
      <c r="AY128" s="97">
        <v>60</v>
      </c>
      <c r="AZ128" s="97">
        <v>26</v>
      </c>
      <c r="BA128" s="97">
        <v>96</v>
      </c>
      <c r="BB128" s="97">
        <v>65</v>
      </c>
      <c r="BC128" s="97">
        <v>13</v>
      </c>
      <c r="BD128" s="97">
        <v>77</v>
      </c>
      <c r="BE128" s="97">
        <v>46</v>
      </c>
      <c r="BF128" s="97">
        <v>40</v>
      </c>
      <c r="BG128" s="97">
        <v>128</v>
      </c>
      <c r="BH128" s="97">
        <v>32</v>
      </c>
      <c r="BI128" s="97">
        <v>39</v>
      </c>
      <c r="BJ128" s="97">
        <v>118</v>
      </c>
      <c r="BK128" s="97">
        <v>57</v>
      </c>
      <c r="BL128" s="97">
        <v>30</v>
      </c>
      <c r="BM128" s="97">
        <v>97</v>
      </c>
      <c r="BN128" s="97">
        <v>45</v>
      </c>
      <c r="BO128" s="97">
        <v>33</v>
      </c>
      <c r="BP128" s="97">
        <v>92</v>
      </c>
      <c r="BQ128" s="97">
        <v>414.5</v>
      </c>
      <c r="BR128" s="97">
        <v>37</v>
      </c>
      <c r="BS128" s="97">
        <v>125</v>
      </c>
    </row>
    <row r="129" spans="1:71" ht="15" customHeight="1">
      <c r="A129" s="97" t="s">
        <v>1347</v>
      </c>
      <c r="B129" s="97" t="s">
        <v>1347</v>
      </c>
      <c r="C129" s="97" t="s">
        <v>1348</v>
      </c>
      <c r="D129" s="97" t="s">
        <v>3198</v>
      </c>
      <c r="E129" s="97" t="s">
        <v>54</v>
      </c>
      <c r="F129" s="97">
        <v>115</v>
      </c>
      <c r="G129" s="97">
        <v>9</v>
      </c>
      <c r="H129" s="97">
        <v>65</v>
      </c>
      <c r="I129" s="97">
        <v>100</v>
      </c>
      <c r="J129" s="97">
        <v>3</v>
      </c>
      <c r="K129" s="97">
        <v>86</v>
      </c>
      <c r="L129" s="97">
        <v>83</v>
      </c>
      <c r="M129" s="97">
        <v>31</v>
      </c>
      <c r="N129" s="97">
        <v>642</v>
      </c>
      <c r="O129" s="97">
        <v>73</v>
      </c>
      <c r="P129" s="97">
        <v>17</v>
      </c>
      <c r="Q129" s="97">
        <v>339</v>
      </c>
      <c r="R129" s="97">
        <v>76</v>
      </c>
      <c r="S129" s="97">
        <v>2</v>
      </c>
      <c r="T129" s="97">
        <v>73</v>
      </c>
      <c r="U129" s="97">
        <v>86</v>
      </c>
      <c r="V129" s="97">
        <v>3</v>
      </c>
      <c r="W129" s="97">
        <v>77</v>
      </c>
      <c r="X129" s="97">
        <v>68</v>
      </c>
      <c r="Y129" s="97">
        <v>26</v>
      </c>
      <c r="Z129" s="97">
        <v>541</v>
      </c>
      <c r="AA129" s="97">
        <v>57</v>
      </c>
      <c r="AB129" s="97">
        <v>10</v>
      </c>
      <c r="AC129" s="97">
        <v>306</v>
      </c>
      <c r="AD129" s="97">
        <v>61</v>
      </c>
      <c r="AE129" s="97">
        <v>41</v>
      </c>
      <c r="AF129" s="97">
        <v>703</v>
      </c>
      <c r="AG129" s="97">
        <v>533</v>
      </c>
      <c r="AH129" s="97">
        <v>3</v>
      </c>
      <c r="AI129" s="97">
        <v>126</v>
      </c>
      <c r="AK129" s="97" t="s">
        <v>3191</v>
      </c>
      <c r="AL129" s="97" t="s">
        <v>3191</v>
      </c>
      <c r="AM129" s="97" t="s">
        <v>3192</v>
      </c>
      <c r="AN129" s="97" t="s">
        <v>3199</v>
      </c>
      <c r="AO129" s="97" t="s">
        <v>25</v>
      </c>
      <c r="AP129" s="97">
        <v>100</v>
      </c>
      <c r="AQ129" s="97">
        <v>27</v>
      </c>
      <c r="AR129" s="97">
        <v>97</v>
      </c>
      <c r="AS129" s="97">
        <v>66</v>
      </c>
      <c r="AT129" s="97">
        <v>42</v>
      </c>
      <c r="AU129" s="97">
        <v>133</v>
      </c>
      <c r="AV129" s="97">
        <v>59</v>
      </c>
      <c r="AW129" s="97">
        <v>35</v>
      </c>
      <c r="AX129" s="97">
        <v>109</v>
      </c>
      <c r="AY129" s="97">
        <v>60</v>
      </c>
      <c r="AZ129" s="97">
        <v>26</v>
      </c>
      <c r="BA129" s="97">
        <v>96</v>
      </c>
      <c r="BB129" s="97">
        <v>70</v>
      </c>
      <c r="BC129" s="97">
        <v>9</v>
      </c>
      <c r="BD129" s="97">
        <v>50</v>
      </c>
      <c r="BE129" s="97">
        <v>59</v>
      </c>
      <c r="BF129" s="97">
        <v>34</v>
      </c>
      <c r="BG129" s="97">
        <v>118</v>
      </c>
      <c r="BH129" s="97">
        <v>33</v>
      </c>
      <c r="BI129" s="97">
        <v>37</v>
      </c>
      <c r="BJ129" s="97">
        <v>115</v>
      </c>
      <c r="BK129" s="97">
        <v>62</v>
      </c>
      <c r="BL129" s="97">
        <v>20</v>
      </c>
      <c r="BM129" s="97">
        <v>69</v>
      </c>
      <c r="BN129" s="97">
        <v>47</v>
      </c>
      <c r="BO129" s="97">
        <v>28</v>
      </c>
      <c r="BP129" s="97">
        <v>82</v>
      </c>
      <c r="BQ129" s="97">
        <v>414</v>
      </c>
      <c r="BR129" s="97">
        <v>38</v>
      </c>
      <c r="BS129" s="97">
        <v>126</v>
      </c>
    </row>
    <row r="130" spans="1:71" ht="15" customHeight="1">
      <c r="A130" s="97" t="s">
        <v>1694</v>
      </c>
      <c r="B130" s="97" t="s">
        <v>1694</v>
      </c>
      <c r="C130" s="97" t="s">
        <v>31</v>
      </c>
      <c r="D130" s="97" t="s">
        <v>3198</v>
      </c>
      <c r="E130" s="97" t="s">
        <v>9</v>
      </c>
      <c r="F130" s="97">
        <v>104</v>
      </c>
      <c r="G130" s="97">
        <v>30</v>
      </c>
      <c r="H130" s="97">
        <v>357</v>
      </c>
      <c r="I130" s="97">
        <v>84</v>
      </c>
      <c r="J130" s="97">
        <v>37</v>
      </c>
      <c r="K130" s="97">
        <v>251</v>
      </c>
      <c r="L130" s="97">
        <v>108</v>
      </c>
      <c r="M130" s="97">
        <v>24</v>
      </c>
      <c r="N130" s="97">
        <v>134</v>
      </c>
      <c r="O130" s="97">
        <v>84</v>
      </c>
      <c r="P130" s="97">
        <v>18</v>
      </c>
      <c r="Q130" s="97">
        <v>147</v>
      </c>
      <c r="R130" s="97">
        <v>70</v>
      </c>
      <c r="S130" s="97">
        <v>34</v>
      </c>
      <c r="T130" s="97">
        <v>136</v>
      </c>
      <c r="U130" s="97">
        <v>82</v>
      </c>
      <c r="V130" s="97">
        <v>27</v>
      </c>
      <c r="W130" s="97">
        <v>166</v>
      </c>
      <c r="X130" s="97">
        <v>77</v>
      </c>
      <c r="Y130" s="97">
        <v>30</v>
      </c>
      <c r="Z130" s="97">
        <v>240</v>
      </c>
      <c r="AA130" s="97">
        <v>64</v>
      </c>
      <c r="AB130" s="97">
        <v>18</v>
      </c>
      <c r="AC130" s="97">
        <v>103</v>
      </c>
      <c r="AD130" s="97">
        <v>67</v>
      </c>
      <c r="AE130" s="97">
        <v>38</v>
      </c>
      <c r="AF130" s="97">
        <v>471</v>
      </c>
      <c r="AG130" s="97">
        <v>532</v>
      </c>
      <c r="AH130" s="97">
        <v>34</v>
      </c>
      <c r="AI130" s="97">
        <v>127</v>
      </c>
      <c r="AK130" s="97" t="s">
        <v>3134</v>
      </c>
      <c r="AL130" s="97" t="s">
        <v>3134</v>
      </c>
      <c r="AM130" s="97" t="s">
        <v>3135</v>
      </c>
      <c r="AN130" s="97" t="s">
        <v>3199</v>
      </c>
      <c r="AO130" s="97" t="s">
        <v>25</v>
      </c>
      <c r="AP130" s="97">
        <v>102</v>
      </c>
      <c r="AQ130" s="97">
        <v>26</v>
      </c>
      <c r="AR130" s="97">
        <v>86</v>
      </c>
      <c r="AS130" s="97">
        <v>80</v>
      </c>
      <c r="AT130" s="97">
        <v>33</v>
      </c>
      <c r="AU130" s="97">
        <v>117</v>
      </c>
      <c r="AV130" s="97">
        <v>64</v>
      </c>
      <c r="AW130" s="97">
        <v>29</v>
      </c>
      <c r="AX130" s="97">
        <v>87</v>
      </c>
      <c r="AY130" s="97">
        <v>72</v>
      </c>
      <c r="AZ130" s="97">
        <v>3</v>
      </c>
      <c r="BA130" s="97">
        <v>33</v>
      </c>
      <c r="BB130" s="97">
        <v>54</v>
      </c>
      <c r="BC130" s="97">
        <v>34</v>
      </c>
      <c r="BD130" s="97">
        <v>122</v>
      </c>
      <c r="BE130" s="97">
        <v>42</v>
      </c>
      <c r="BF130" s="97">
        <v>42</v>
      </c>
      <c r="BG130" s="97">
        <v>131</v>
      </c>
      <c r="BH130" s="97">
        <v>46</v>
      </c>
      <c r="BI130" s="97">
        <v>12</v>
      </c>
      <c r="BJ130" s="97">
        <v>40</v>
      </c>
      <c r="BK130" s="97">
        <v>69</v>
      </c>
      <c r="BL130" s="97">
        <v>8</v>
      </c>
      <c r="BM130" s="97">
        <v>26</v>
      </c>
      <c r="BN130" s="97">
        <v>48</v>
      </c>
      <c r="BO130" s="97">
        <v>25</v>
      </c>
      <c r="BP130" s="97">
        <v>77</v>
      </c>
      <c r="BQ130" s="97">
        <v>414</v>
      </c>
      <c r="BR130" s="97">
        <v>38</v>
      </c>
      <c r="BS130" s="97">
        <v>126</v>
      </c>
    </row>
    <row r="131" spans="1:71" ht="15" customHeight="1">
      <c r="A131" s="97" t="s">
        <v>1757</v>
      </c>
      <c r="B131" s="97" t="s">
        <v>1757</v>
      </c>
      <c r="C131" s="97" t="s">
        <v>98</v>
      </c>
      <c r="D131" s="97" t="s">
        <v>3198</v>
      </c>
      <c r="E131" s="97" t="s">
        <v>9</v>
      </c>
      <c r="F131" s="97">
        <v>107</v>
      </c>
      <c r="G131" s="97">
        <v>21</v>
      </c>
      <c r="H131" s="97">
        <v>242</v>
      </c>
      <c r="I131" s="97">
        <v>94</v>
      </c>
      <c r="J131" s="97">
        <v>22</v>
      </c>
      <c r="K131" s="97">
        <v>141</v>
      </c>
      <c r="L131" s="97">
        <v>108</v>
      </c>
      <c r="M131" s="97">
        <v>24</v>
      </c>
      <c r="N131" s="97">
        <v>134</v>
      </c>
      <c r="O131" s="97">
        <v>71</v>
      </c>
      <c r="P131" s="97">
        <v>45</v>
      </c>
      <c r="Q131" s="97">
        <v>378</v>
      </c>
      <c r="R131" s="97">
        <v>75</v>
      </c>
      <c r="S131" s="97">
        <v>24</v>
      </c>
      <c r="T131" s="97">
        <v>83</v>
      </c>
      <c r="U131" s="97">
        <v>77</v>
      </c>
      <c r="V131" s="97">
        <v>39</v>
      </c>
      <c r="W131" s="97">
        <v>275</v>
      </c>
      <c r="X131" s="97">
        <v>82</v>
      </c>
      <c r="Y131" s="97">
        <v>14</v>
      </c>
      <c r="Z131" s="97">
        <v>100</v>
      </c>
      <c r="AA131" s="97">
        <v>54</v>
      </c>
      <c r="AB131" s="97">
        <v>38</v>
      </c>
      <c r="AC131" s="97">
        <v>428</v>
      </c>
      <c r="AD131" s="97">
        <v>68</v>
      </c>
      <c r="AE131" s="97">
        <v>36</v>
      </c>
      <c r="AF131" s="97">
        <v>412</v>
      </c>
      <c r="AG131" s="97">
        <v>532</v>
      </c>
      <c r="AH131" s="97">
        <v>34</v>
      </c>
      <c r="AI131" s="97">
        <v>127</v>
      </c>
      <c r="AK131" s="97" t="s">
        <v>3173</v>
      </c>
      <c r="AL131" s="97" t="s">
        <v>3173</v>
      </c>
      <c r="AM131" s="97" t="s">
        <v>45</v>
      </c>
      <c r="AN131" s="97" t="s">
        <v>3199</v>
      </c>
      <c r="AO131" s="97" t="s">
        <v>25</v>
      </c>
      <c r="AP131" s="97">
        <v>90</v>
      </c>
      <c r="AQ131" s="97">
        <v>42</v>
      </c>
      <c r="AR131" s="97">
        <v>133</v>
      </c>
      <c r="AS131" s="97">
        <v>101.5</v>
      </c>
      <c r="AT131" s="97">
        <v>6</v>
      </c>
      <c r="AU131" s="97">
        <v>47</v>
      </c>
      <c r="AV131" s="97">
        <v>64</v>
      </c>
      <c r="AW131" s="97">
        <v>29</v>
      </c>
      <c r="AX131" s="97">
        <v>87</v>
      </c>
      <c r="AY131" s="97">
        <v>39</v>
      </c>
      <c r="AZ131" s="97">
        <v>43</v>
      </c>
      <c r="BA131" s="97">
        <v>133</v>
      </c>
      <c r="BB131" s="97">
        <v>40</v>
      </c>
      <c r="BC131" s="97">
        <v>42</v>
      </c>
      <c r="BD131" s="97">
        <v>132</v>
      </c>
      <c r="BE131" s="97">
        <v>79</v>
      </c>
      <c r="BF131" s="97">
        <v>20</v>
      </c>
      <c r="BG131" s="97">
        <v>84</v>
      </c>
      <c r="BH131" s="97">
        <v>42</v>
      </c>
      <c r="BI131" s="97">
        <v>20</v>
      </c>
      <c r="BJ131" s="97">
        <v>68</v>
      </c>
      <c r="BK131" s="97">
        <v>57</v>
      </c>
      <c r="BL131" s="97">
        <v>30</v>
      </c>
      <c r="BM131" s="97">
        <v>97</v>
      </c>
      <c r="BN131" s="97">
        <v>51</v>
      </c>
      <c r="BO131" s="97">
        <v>15</v>
      </c>
      <c r="BP131" s="97">
        <v>52</v>
      </c>
      <c r="BQ131" s="97">
        <v>413.5</v>
      </c>
      <c r="BR131" s="97">
        <v>40</v>
      </c>
      <c r="BS131" s="97">
        <v>128</v>
      </c>
    </row>
    <row r="132" spans="1:71" ht="15" customHeight="1">
      <c r="A132" s="97" t="s">
        <v>1338</v>
      </c>
      <c r="B132" s="97" t="s">
        <v>1338</v>
      </c>
      <c r="C132" s="97" t="s">
        <v>1339</v>
      </c>
      <c r="D132" s="97" t="s">
        <v>3198</v>
      </c>
      <c r="E132" s="97" t="s">
        <v>54</v>
      </c>
      <c r="F132" s="97">
        <v>117</v>
      </c>
      <c r="G132" s="97">
        <v>4</v>
      </c>
      <c r="H132" s="97">
        <v>40</v>
      </c>
      <c r="I132" s="97">
        <v>100</v>
      </c>
      <c r="J132" s="97">
        <v>3</v>
      </c>
      <c r="K132" s="97">
        <v>86</v>
      </c>
      <c r="L132" s="97">
        <v>91.5</v>
      </c>
      <c r="M132" s="97">
        <v>17</v>
      </c>
      <c r="N132" s="97">
        <v>443</v>
      </c>
      <c r="O132" s="97">
        <v>77</v>
      </c>
      <c r="P132" s="97">
        <v>13</v>
      </c>
      <c r="Q132" s="97">
        <v>274</v>
      </c>
      <c r="R132" s="97">
        <v>62</v>
      </c>
      <c r="S132" s="97">
        <v>20</v>
      </c>
      <c r="T132" s="97">
        <v>277</v>
      </c>
      <c r="U132" s="97">
        <v>84</v>
      </c>
      <c r="V132" s="97">
        <v>7</v>
      </c>
      <c r="W132" s="97">
        <v>123</v>
      </c>
      <c r="X132" s="97">
        <v>82</v>
      </c>
      <c r="Y132" s="97">
        <v>2</v>
      </c>
      <c r="Z132" s="97">
        <v>100</v>
      </c>
      <c r="AA132" s="97">
        <v>54</v>
      </c>
      <c r="AB132" s="97">
        <v>18</v>
      </c>
      <c r="AC132" s="97">
        <v>428</v>
      </c>
      <c r="AD132" s="97">
        <v>77</v>
      </c>
      <c r="AE132" s="97">
        <v>5</v>
      </c>
      <c r="AF132" s="97">
        <v>102</v>
      </c>
      <c r="AG132" s="97">
        <v>531.5</v>
      </c>
      <c r="AH132" s="97">
        <v>4</v>
      </c>
      <c r="AI132" s="97">
        <v>129</v>
      </c>
      <c r="AK132" s="97" t="s">
        <v>3057</v>
      </c>
      <c r="AL132" s="97" t="s">
        <v>3057</v>
      </c>
      <c r="AM132" s="97" t="s">
        <v>3047</v>
      </c>
      <c r="AN132" s="97" t="s">
        <v>3199</v>
      </c>
      <c r="AO132" s="97" t="s">
        <v>52</v>
      </c>
      <c r="AP132" s="97">
        <v>100</v>
      </c>
      <c r="AQ132" s="97">
        <v>29</v>
      </c>
      <c r="AR132" s="97">
        <v>97</v>
      </c>
      <c r="AS132" s="97">
        <v>95.5</v>
      </c>
      <c r="AT132" s="97">
        <v>17</v>
      </c>
      <c r="AU132" s="97">
        <v>68</v>
      </c>
      <c r="AV132" s="97">
        <v>64</v>
      </c>
      <c r="AW132" s="97">
        <v>18</v>
      </c>
      <c r="AX132" s="97">
        <v>87</v>
      </c>
      <c r="AY132" s="97">
        <v>57</v>
      </c>
      <c r="AZ132" s="97">
        <v>31</v>
      </c>
      <c r="BA132" s="97">
        <v>109</v>
      </c>
      <c r="BB132" s="97">
        <v>64</v>
      </c>
      <c r="BC132" s="97">
        <v>26</v>
      </c>
      <c r="BD132" s="97">
        <v>82</v>
      </c>
      <c r="BE132" s="97">
        <v>27</v>
      </c>
      <c r="BF132" s="97">
        <v>46</v>
      </c>
      <c r="BG132" s="97">
        <v>135</v>
      </c>
      <c r="BH132" s="97">
        <v>40</v>
      </c>
      <c r="BI132" s="97">
        <v>19</v>
      </c>
      <c r="BJ132" s="97">
        <v>79</v>
      </c>
      <c r="BK132" s="97">
        <v>59</v>
      </c>
      <c r="BL132" s="97">
        <v>26</v>
      </c>
      <c r="BM132" s="97">
        <v>84</v>
      </c>
      <c r="BN132" s="97">
        <v>51</v>
      </c>
      <c r="BO132" s="97">
        <v>17</v>
      </c>
      <c r="BP132" s="97">
        <v>52</v>
      </c>
      <c r="BQ132" s="97">
        <v>407.5</v>
      </c>
      <c r="BR132" s="97">
        <v>43</v>
      </c>
      <c r="BS132" s="97">
        <v>129</v>
      </c>
    </row>
    <row r="133" spans="1:71" ht="15" customHeight="1">
      <c r="A133" s="97" t="s">
        <v>2180</v>
      </c>
      <c r="B133" s="97" t="s">
        <v>2180</v>
      </c>
      <c r="C133" s="97" t="s">
        <v>2181</v>
      </c>
      <c r="D133" s="97" t="s">
        <v>3198</v>
      </c>
      <c r="E133" s="97" t="s">
        <v>73</v>
      </c>
      <c r="F133" s="97">
        <v>104</v>
      </c>
      <c r="G133" s="97">
        <v>18</v>
      </c>
      <c r="H133" s="97">
        <v>357</v>
      </c>
      <c r="I133" s="97">
        <v>72</v>
      </c>
      <c r="J133" s="97">
        <v>17</v>
      </c>
      <c r="K133" s="97">
        <v>458</v>
      </c>
      <c r="L133" s="97">
        <v>92.5</v>
      </c>
      <c r="M133" s="97">
        <v>25</v>
      </c>
      <c r="N133" s="97">
        <v>414</v>
      </c>
      <c r="O133" s="97">
        <v>102</v>
      </c>
      <c r="P133" s="97">
        <v>2</v>
      </c>
      <c r="Q133" s="97">
        <v>12</v>
      </c>
      <c r="R133" s="97">
        <v>83</v>
      </c>
      <c r="S133" s="97">
        <v>1</v>
      </c>
      <c r="T133" s="97">
        <v>30</v>
      </c>
      <c r="U133" s="97">
        <v>78</v>
      </c>
      <c r="V133" s="97">
        <v>12</v>
      </c>
      <c r="W133" s="97">
        <v>250</v>
      </c>
      <c r="X133" s="97">
        <v>55</v>
      </c>
      <c r="Y133" s="97">
        <v>54</v>
      </c>
      <c r="Z133" s="97">
        <v>868</v>
      </c>
      <c r="AA133" s="97">
        <v>55</v>
      </c>
      <c r="AB133" s="97">
        <v>23</v>
      </c>
      <c r="AC133" s="97">
        <v>392</v>
      </c>
      <c r="AD133" s="97">
        <v>69</v>
      </c>
      <c r="AE133" s="97">
        <v>23</v>
      </c>
      <c r="AF133" s="97">
        <v>367</v>
      </c>
      <c r="AG133" s="97">
        <v>531.5</v>
      </c>
      <c r="AH133" s="97">
        <v>2</v>
      </c>
      <c r="AI133" s="97">
        <v>129</v>
      </c>
      <c r="AK133" s="97" t="s">
        <v>3137</v>
      </c>
      <c r="AL133" s="97" t="s">
        <v>3137</v>
      </c>
      <c r="AM133" s="97" t="s">
        <v>3138</v>
      </c>
      <c r="AN133" s="97" t="s">
        <v>3199</v>
      </c>
      <c r="AO133" s="97" t="s">
        <v>25</v>
      </c>
      <c r="AP133" s="97">
        <v>98</v>
      </c>
      <c r="AQ133" s="97">
        <v>32</v>
      </c>
      <c r="AR133" s="97">
        <v>109</v>
      </c>
      <c r="AS133" s="97">
        <v>87</v>
      </c>
      <c r="AT133" s="97">
        <v>21</v>
      </c>
      <c r="AU133" s="97">
        <v>94</v>
      </c>
      <c r="AV133" s="97">
        <v>49</v>
      </c>
      <c r="AW133" s="97">
        <v>43</v>
      </c>
      <c r="AX133" s="97">
        <v>134</v>
      </c>
      <c r="AY133" s="97">
        <v>43</v>
      </c>
      <c r="AZ133" s="97">
        <v>42</v>
      </c>
      <c r="BA133" s="97">
        <v>132</v>
      </c>
      <c r="BB133" s="97">
        <v>56</v>
      </c>
      <c r="BC133" s="97">
        <v>30</v>
      </c>
      <c r="BD133" s="97">
        <v>116</v>
      </c>
      <c r="BE133" s="97">
        <v>68</v>
      </c>
      <c r="BF133" s="97">
        <v>26</v>
      </c>
      <c r="BG133" s="97">
        <v>102</v>
      </c>
      <c r="BH133" s="97">
        <v>30</v>
      </c>
      <c r="BI133" s="97">
        <v>41</v>
      </c>
      <c r="BJ133" s="97">
        <v>125</v>
      </c>
      <c r="BK133" s="97">
        <v>62</v>
      </c>
      <c r="BL133" s="97">
        <v>20</v>
      </c>
      <c r="BM133" s="97">
        <v>69</v>
      </c>
      <c r="BN133" s="97">
        <v>41</v>
      </c>
      <c r="BO133" s="97">
        <v>41</v>
      </c>
      <c r="BP133" s="97">
        <v>115</v>
      </c>
      <c r="BQ133" s="97">
        <v>401</v>
      </c>
      <c r="BR133" s="97">
        <v>41</v>
      </c>
      <c r="BS133" s="97">
        <v>130</v>
      </c>
    </row>
    <row r="134" spans="1:71" ht="15" customHeight="1">
      <c r="A134" s="97" t="s">
        <v>2611</v>
      </c>
      <c r="B134" s="97" t="s">
        <v>2611</v>
      </c>
      <c r="C134" s="97" t="s">
        <v>2612</v>
      </c>
      <c r="D134" s="97" t="s">
        <v>3198</v>
      </c>
      <c r="E134" s="97" t="s">
        <v>49</v>
      </c>
      <c r="F134" s="97">
        <v>103</v>
      </c>
      <c r="G134" s="97">
        <v>19</v>
      </c>
      <c r="H134" s="97">
        <v>400</v>
      </c>
      <c r="I134" s="97">
        <v>90</v>
      </c>
      <c r="J134" s="97">
        <v>15</v>
      </c>
      <c r="K134" s="97">
        <v>183</v>
      </c>
      <c r="L134" s="97">
        <v>116.5</v>
      </c>
      <c r="M134" s="97">
        <v>3</v>
      </c>
      <c r="N134" s="97">
        <v>46</v>
      </c>
      <c r="O134" s="97">
        <v>82</v>
      </c>
      <c r="P134" s="97">
        <v>11</v>
      </c>
      <c r="Q134" s="97">
        <v>174</v>
      </c>
      <c r="R134" s="97">
        <v>59</v>
      </c>
      <c r="S134" s="97">
        <v>15</v>
      </c>
      <c r="T134" s="97">
        <v>348</v>
      </c>
      <c r="U134" s="97">
        <v>81</v>
      </c>
      <c r="V134" s="97">
        <v>10</v>
      </c>
      <c r="W134" s="97">
        <v>183</v>
      </c>
      <c r="X134" s="97">
        <v>70</v>
      </c>
      <c r="Y134" s="97">
        <v>13</v>
      </c>
      <c r="Z134" s="97">
        <v>473</v>
      </c>
      <c r="AA134" s="97">
        <v>51</v>
      </c>
      <c r="AB134" s="97">
        <v>23</v>
      </c>
      <c r="AC134" s="97">
        <v>555</v>
      </c>
      <c r="AD134" s="97">
        <v>68</v>
      </c>
      <c r="AE134" s="97">
        <v>15</v>
      </c>
      <c r="AF134" s="97">
        <v>412</v>
      </c>
      <c r="AG134" s="97">
        <v>531.5</v>
      </c>
      <c r="AH134" s="97">
        <v>6</v>
      </c>
      <c r="AI134" s="97">
        <v>129</v>
      </c>
      <c r="AK134" s="97" t="s">
        <v>3309</v>
      </c>
      <c r="AL134" s="97" t="s">
        <v>3309</v>
      </c>
      <c r="AM134" s="97" t="s">
        <v>2603</v>
      </c>
      <c r="AN134" s="97" t="s">
        <v>3199</v>
      </c>
      <c r="AO134" s="97" t="s">
        <v>25</v>
      </c>
      <c r="AP134" s="97">
        <v>95</v>
      </c>
      <c r="AQ134" s="97">
        <v>35</v>
      </c>
      <c r="AR134" s="97">
        <v>119</v>
      </c>
      <c r="AS134" s="97">
        <v>55</v>
      </c>
      <c r="AT134" s="97">
        <v>43</v>
      </c>
      <c r="AU134" s="97">
        <v>134</v>
      </c>
      <c r="AV134" s="97">
        <v>62</v>
      </c>
      <c r="AW134" s="97">
        <v>33</v>
      </c>
      <c r="AX134" s="97">
        <v>98</v>
      </c>
      <c r="AY134" s="97">
        <v>57</v>
      </c>
      <c r="AZ134" s="97">
        <v>34</v>
      </c>
      <c r="BA134" s="97">
        <v>109</v>
      </c>
      <c r="BB134" s="97">
        <v>47</v>
      </c>
      <c r="BC134" s="97">
        <v>39</v>
      </c>
      <c r="BD134" s="97">
        <v>129</v>
      </c>
      <c r="BE134" s="97">
        <v>83</v>
      </c>
      <c r="BF134" s="97">
        <v>16</v>
      </c>
      <c r="BG134" s="97">
        <v>72</v>
      </c>
      <c r="BH134" s="97">
        <v>48</v>
      </c>
      <c r="BI134" s="97">
        <v>8</v>
      </c>
      <c r="BJ134" s="97">
        <v>26</v>
      </c>
      <c r="BK134" s="97">
        <v>67</v>
      </c>
      <c r="BL134" s="97">
        <v>11</v>
      </c>
      <c r="BM134" s="97">
        <v>38</v>
      </c>
      <c r="BN134" s="97">
        <v>43</v>
      </c>
      <c r="BO134" s="97">
        <v>37</v>
      </c>
      <c r="BP134" s="97">
        <v>102</v>
      </c>
      <c r="BQ134" s="97">
        <v>399</v>
      </c>
      <c r="BR134" s="97">
        <v>42</v>
      </c>
      <c r="BS134" s="97">
        <v>131</v>
      </c>
    </row>
    <row r="135" spans="1:71" ht="15" customHeight="1">
      <c r="A135" s="97" t="s">
        <v>1672</v>
      </c>
      <c r="B135" s="97" t="s">
        <v>1672</v>
      </c>
      <c r="C135" s="97" t="s">
        <v>906</v>
      </c>
      <c r="D135" s="97" t="s">
        <v>3198</v>
      </c>
      <c r="E135" s="97" t="s">
        <v>9</v>
      </c>
      <c r="F135" s="97">
        <v>110</v>
      </c>
      <c r="G135" s="97">
        <v>15</v>
      </c>
      <c r="H135" s="97">
        <v>159</v>
      </c>
      <c r="I135" s="97">
        <v>109</v>
      </c>
      <c r="J135" s="97">
        <v>5</v>
      </c>
      <c r="K135" s="97">
        <v>42</v>
      </c>
      <c r="L135" s="97">
        <v>92</v>
      </c>
      <c r="M135" s="97">
        <v>46</v>
      </c>
      <c r="N135" s="97">
        <v>426</v>
      </c>
      <c r="O135" s="97">
        <v>82</v>
      </c>
      <c r="P135" s="97">
        <v>22</v>
      </c>
      <c r="Q135" s="97">
        <v>174</v>
      </c>
      <c r="R135" s="97">
        <v>65</v>
      </c>
      <c r="S135" s="97">
        <v>43</v>
      </c>
      <c r="T135" s="97">
        <v>223</v>
      </c>
      <c r="U135" s="97">
        <v>73</v>
      </c>
      <c r="V135" s="97">
        <v>47</v>
      </c>
      <c r="W135" s="97">
        <v>393</v>
      </c>
      <c r="X135" s="97">
        <v>64</v>
      </c>
      <c r="Y135" s="97">
        <v>47</v>
      </c>
      <c r="Z135" s="97">
        <v>680</v>
      </c>
      <c r="AA135" s="97">
        <v>53</v>
      </c>
      <c r="AB135" s="97">
        <v>42</v>
      </c>
      <c r="AC135" s="97">
        <v>470</v>
      </c>
      <c r="AD135" s="97">
        <v>55</v>
      </c>
      <c r="AE135" s="97">
        <v>49</v>
      </c>
      <c r="AF135" s="97">
        <v>835</v>
      </c>
      <c r="AG135" s="97">
        <v>531</v>
      </c>
      <c r="AH135" s="97">
        <v>36</v>
      </c>
      <c r="AI135" s="97">
        <v>132</v>
      </c>
      <c r="AK135" s="97" t="s">
        <v>3080</v>
      </c>
      <c r="AL135" s="97" t="s">
        <v>3080</v>
      </c>
      <c r="AM135" s="97" t="s">
        <v>1871</v>
      </c>
      <c r="AN135" s="97" t="s">
        <v>3199</v>
      </c>
      <c r="AO135" s="97" t="s">
        <v>52</v>
      </c>
      <c r="AP135" s="97">
        <v>96</v>
      </c>
      <c r="AQ135" s="97">
        <v>37</v>
      </c>
      <c r="AR135" s="97">
        <v>116</v>
      </c>
      <c r="AS135" s="97">
        <v>70</v>
      </c>
      <c r="AT135" s="97">
        <v>45</v>
      </c>
      <c r="AU135" s="97">
        <v>131</v>
      </c>
      <c r="AV135" s="97">
        <v>51</v>
      </c>
      <c r="AW135" s="97">
        <v>45</v>
      </c>
      <c r="AX135" s="97">
        <v>131</v>
      </c>
      <c r="AY135" s="97">
        <v>61</v>
      </c>
      <c r="AZ135" s="97">
        <v>21</v>
      </c>
      <c r="BA135" s="97">
        <v>89</v>
      </c>
      <c r="BB135" s="97">
        <v>55</v>
      </c>
      <c r="BC135" s="97">
        <v>41</v>
      </c>
      <c r="BD135" s="97">
        <v>119</v>
      </c>
      <c r="BE135" s="97">
        <v>61</v>
      </c>
      <c r="BF135" s="97">
        <v>38</v>
      </c>
      <c r="BG135" s="97">
        <v>115</v>
      </c>
      <c r="BH135" s="97">
        <v>38</v>
      </c>
      <c r="BI135" s="97">
        <v>25</v>
      </c>
      <c r="BJ135" s="97">
        <v>91</v>
      </c>
      <c r="BK135" s="97">
        <v>66</v>
      </c>
      <c r="BL135" s="97">
        <v>11</v>
      </c>
      <c r="BM135" s="97">
        <v>44</v>
      </c>
      <c r="BN135" s="97">
        <v>46</v>
      </c>
      <c r="BO135" s="97">
        <v>26</v>
      </c>
      <c r="BP135" s="97">
        <v>89</v>
      </c>
      <c r="BQ135" s="97">
        <v>394</v>
      </c>
      <c r="BR135" s="97">
        <v>44</v>
      </c>
      <c r="BS135" s="97">
        <v>132</v>
      </c>
    </row>
    <row r="136" spans="1:71" ht="15" customHeight="1">
      <c r="A136" s="97" t="s">
        <v>425</v>
      </c>
      <c r="B136" s="97" t="s">
        <v>425</v>
      </c>
      <c r="C136" s="97" t="s">
        <v>189</v>
      </c>
      <c r="D136" s="97" t="s">
        <v>3198</v>
      </c>
      <c r="E136" s="97" t="s">
        <v>19</v>
      </c>
      <c r="F136" s="97">
        <v>97</v>
      </c>
      <c r="G136" s="97">
        <v>40</v>
      </c>
      <c r="H136" s="97">
        <v>645</v>
      </c>
      <c r="I136" s="97">
        <v>94</v>
      </c>
      <c r="J136" s="97">
        <v>3</v>
      </c>
      <c r="K136" s="97">
        <v>141</v>
      </c>
      <c r="L136" s="97">
        <v>101</v>
      </c>
      <c r="M136" s="97">
        <v>10</v>
      </c>
      <c r="N136" s="97">
        <v>234</v>
      </c>
      <c r="O136" s="97">
        <v>99</v>
      </c>
      <c r="P136" s="97">
        <v>1</v>
      </c>
      <c r="Q136" s="97">
        <v>25</v>
      </c>
      <c r="R136" s="97">
        <v>53</v>
      </c>
      <c r="S136" s="97">
        <v>26</v>
      </c>
      <c r="T136" s="97">
        <v>526</v>
      </c>
      <c r="U136" s="97">
        <v>87</v>
      </c>
      <c r="V136" s="97">
        <v>2</v>
      </c>
      <c r="W136" s="97">
        <v>57</v>
      </c>
      <c r="X136" s="97">
        <v>78</v>
      </c>
      <c r="Y136" s="97">
        <v>10</v>
      </c>
      <c r="Z136" s="97">
        <v>209</v>
      </c>
      <c r="AA136" s="97">
        <v>50</v>
      </c>
      <c r="AB136" s="97">
        <v>38</v>
      </c>
      <c r="AC136" s="97">
        <v>591</v>
      </c>
      <c r="AD136" s="97">
        <v>68</v>
      </c>
      <c r="AE136" s="97">
        <v>21</v>
      </c>
      <c r="AF136" s="97">
        <v>412</v>
      </c>
      <c r="AG136" s="97">
        <v>531</v>
      </c>
      <c r="AH136" s="97">
        <v>3</v>
      </c>
      <c r="AI136" s="97">
        <v>132</v>
      </c>
      <c r="AK136" s="97" t="s">
        <v>3119</v>
      </c>
      <c r="AL136" s="97" t="s">
        <v>3119</v>
      </c>
      <c r="AM136" s="97" t="s">
        <v>3120</v>
      </c>
      <c r="AN136" s="97" t="s">
        <v>3199</v>
      </c>
      <c r="AO136" s="97" t="s">
        <v>25</v>
      </c>
      <c r="AP136" s="97">
        <v>106</v>
      </c>
      <c r="AQ136" s="97">
        <v>19</v>
      </c>
      <c r="AR136" s="97">
        <v>71</v>
      </c>
      <c r="AS136" s="97">
        <v>89</v>
      </c>
      <c r="AT136" s="97">
        <v>19</v>
      </c>
      <c r="AU136" s="97">
        <v>86</v>
      </c>
      <c r="AV136" s="97">
        <v>50</v>
      </c>
      <c r="AW136" s="97">
        <v>42</v>
      </c>
      <c r="AX136" s="97">
        <v>133</v>
      </c>
      <c r="AY136" s="97">
        <v>74</v>
      </c>
      <c r="AZ136" s="97">
        <v>1</v>
      </c>
      <c r="BA136" s="97">
        <v>27</v>
      </c>
      <c r="BB136" s="97">
        <v>38</v>
      </c>
      <c r="BC136" s="97">
        <v>43</v>
      </c>
      <c r="BD136" s="97">
        <v>134</v>
      </c>
      <c r="BE136" s="97">
        <v>31</v>
      </c>
      <c r="BF136" s="97">
        <v>43</v>
      </c>
      <c r="BG136" s="97">
        <v>134</v>
      </c>
      <c r="BH136" s="97">
        <v>46</v>
      </c>
      <c r="BI136" s="97">
        <v>12</v>
      </c>
      <c r="BJ136" s="97">
        <v>40</v>
      </c>
      <c r="BK136" s="97">
        <v>44</v>
      </c>
      <c r="BL136" s="97">
        <v>41</v>
      </c>
      <c r="BM136" s="97">
        <v>130</v>
      </c>
      <c r="BN136" s="97">
        <v>56</v>
      </c>
      <c r="BO136" s="97">
        <v>8</v>
      </c>
      <c r="BP136" s="97">
        <v>19</v>
      </c>
      <c r="BQ136" s="97">
        <v>388</v>
      </c>
      <c r="BR136" s="97">
        <v>43</v>
      </c>
      <c r="BS136" s="97">
        <v>133</v>
      </c>
    </row>
    <row r="137" spans="1:71" ht="15" customHeight="1">
      <c r="A137" s="97" t="s">
        <v>1023</v>
      </c>
      <c r="B137" s="97" t="s">
        <v>1023</v>
      </c>
      <c r="C137" s="97" t="s">
        <v>1024</v>
      </c>
      <c r="D137" s="97" t="s">
        <v>3198</v>
      </c>
      <c r="E137" s="97" t="s">
        <v>60</v>
      </c>
      <c r="F137" s="97">
        <v>124</v>
      </c>
      <c r="G137" s="97">
        <v>1</v>
      </c>
      <c r="H137" s="97">
        <v>4</v>
      </c>
      <c r="I137" s="97">
        <v>109</v>
      </c>
      <c r="J137" s="97">
        <v>1</v>
      </c>
      <c r="K137" s="97">
        <v>42</v>
      </c>
      <c r="L137" s="97">
        <v>74.5</v>
      </c>
      <c r="M137" s="97">
        <v>37</v>
      </c>
      <c r="N137" s="97">
        <v>784</v>
      </c>
      <c r="O137" s="97">
        <v>78</v>
      </c>
      <c r="P137" s="97">
        <v>15</v>
      </c>
      <c r="Q137" s="97">
        <v>250</v>
      </c>
      <c r="R137" s="97">
        <v>70</v>
      </c>
      <c r="S137" s="97">
        <v>4</v>
      </c>
      <c r="T137" s="97">
        <v>136</v>
      </c>
      <c r="U137" s="97">
        <v>75</v>
      </c>
      <c r="V137" s="97">
        <v>13</v>
      </c>
      <c r="W137" s="97">
        <v>342</v>
      </c>
      <c r="X137" s="97">
        <v>77</v>
      </c>
      <c r="Y137" s="97">
        <v>13</v>
      </c>
      <c r="Z137" s="97">
        <v>240</v>
      </c>
      <c r="AA137" s="97">
        <v>51</v>
      </c>
      <c r="AB137" s="97">
        <v>31</v>
      </c>
      <c r="AC137" s="97">
        <v>555</v>
      </c>
      <c r="AD137" s="97">
        <v>63</v>
      </c>
      <c r="AE137" s="97">
        <v>35</v>
      </c>
      <c r="AF137" s="97">
        <v>633</v>
      </c>
      <c r="AG137" s="97">
        <v>530.5</v>
      </c>
      <c r="AH137" s="97">
        <v>2</v>
      </c>
      <c r="AI137" s="97">
        <v>134</v>
      </c>
      <c r="AK137" s="97" t="s">
        <v>3279</v>
      </c>
      <c r="AL137" s="97" t="s">
        <v>3279</v>
      </c>
      <c r="AM137" s="97" t="s">
        <v>3091</v>
      </c>
      <c r="AN137" s="97" t="s">
        <v>3199</v>
      </c>
      <c r="AO137" s="97" t="s">
        <v>52</v>
      </c>
      <c r="AP137" s="97">
        <v>84</v>
      </c>
      <c r="AQ137" s="97">
        <v>46</v>
      </c>
      <c r="AR137" s="97">
        <v>135</v>
      </c>
      <c r="AS137" s="97">
        <v>66.5</v>
      </c>
      <c r="AT137" s="97">
        <v>46</v>
      </c>
      <c r="AU137" s="97">
        <v>132</v>
      </c>
      <c r="AV137" s="97">
        <v>54</v>
      </c>
      <c r="AW137" s="97">
        <v>39</v>
      </c>
      <c r="AX137" s="97">
        <v>124</v>
      </c>
      <c r="AY137" s="97">
        <v>61</v>
      </c>
      <c r="AZ137" s="97">
        <v>21</v>
      </c>
      <c r="BA137" s="97">
        <v>89</v>
      </c>
      <c r="BB137" s="97">
        <v>62</v>
      </c>
      <c r="BC137" s="97">
        <v>30</v>
      </c>
      <c r="BD137" s="97">
        <v>90</v>
      </c>
      <c r="BE137" s="97">
        <v>58</v>
      </c>
      <c r="BF137" s="97">
        <v>39</v>
      </c>
      <c r="BG137" s="97">
        <v>120</v>
      </c>
      <c r="BH137" s="97">
        <v>40</v>
      </c>
      <c r="BI137" s="97">
        <v>19</v>
      </c>
      <c r="BJ137" s="97">
        <v>79</v>
      </c>
      <c r="BK137" s="97">
        <v>68</v>
      </c>
      <c r="BL137" s="97">
        <v>7</v>
      </c>
      <c r="BM137" s="97">
        <v>31</v>
      </c>
      <c r="BN137" s="97">
        <v>52</v>
      </c>
      <c r="BO137" s="97">
        <v>13</v>
      </c>
      <c r="BP137" s="97">
        <v>43</v>
      </c>
      <c r="BQ137" s="97">
        <v>385.5</v>
      </c>
      <c r="BR137" s="97">
        <v>45</v>
      </c>
      <c r="BS137" s="97">
        <v>134</v>
      </c>
    </row>
    <row r="138" spans="1:71" ht="15" customHeight="1">
      <c r="A138" s="97" t="s">
        <v>1617</v>
      </c>
      <c r="B138" s="97" t="s">
        <v>1617</v>
      </c>
      <c r="C138" s="97" t="s">
        <v>204</v>
      </c>
      <c r="D138" s="97" t="s">
        <v>3198</v>
      </c>
      <c r="E138" s="97" t="s">
        <v>10</v>
      </c>
      <c r="F138" s="97">
        <v>106</v>
      </c>
      <c r="G138" s="97">
        <v>36</v>
      </c>
      <c r="H138" s="97">
        <v>287</v>
      </c>
      <c r="I138" s="97">
        <v>82</v>
      </c>
      <c r="J138" s="97">
        <v>48</v>
      </c>
      <c r="K138" s="97">
        <v>290</v>
      </c>
      <c r="L138" s="97">
        <v>120.5</v>
      </c>
      <c r="M138" s="97">
        <v>11</v>
      </c>
      <c r="N138" s="97">
        <v>25</v>
      </c>
      <c r="O138" s="97">
        <v>70</v>
      </c>
      <c r="P138" s="97">
        <v>51</v>
      </c>
      <c r="Q138" s="97">
        <v>400</v>
      </c>
      <c r="R138" s="97">
        <v>78</v>
      </c>
      <c r="S138" s="97">
        <v>29</v>
      </c>
      <c r="T138" s="97">
        <v>61</v>
      </c>
      <c r="U138" s="97">
        <v>74</v>
      </c>
      <c r="V138" s="97">
        <v>51</v>
      </c>
      <c r="W138" s="97">
        <v>366</v>
      </c>
      <c r="X138" s="97">
        <v>72</v>
      </c>
      <c r="Y138" s="97">
        <v>37</v>
      </c>
      <c r="Z138" s="97">
        <v>396</v>
      </c>
      <c r="AA138" s="97">
        <v>60</v>
      </c>
      <c r="AB138" s="97">
        <v>38</v>
      </c>
      <c r="AC138" s="97">
        <v>203</v>
      </c>
      <c r="AD138" s="97">
        <v>76</v>
      </c>
      <c r="AE138" s="97">
        <v>28</v>
      </c>
      <c r="AF138" s="97">
        <v>125</v>
      </c>
      <c r="AG138" s="97">
        <v>530.5</v>
      </c>
      <c r="AH138" s="97">
        <v>51</v>
      </c>
      <c r="AI138" s="97">
        <v>134</v>
      </c>
      <c r="AK138" s="97" t="s">
        <v>3082</v>
      </c>
      <c r="AL138" s="97" t="s">
        <v>3082</v>
      </c>
      <c r="AM138" s="97" t="s">
        <v>3067</v>
      </c>
      <c r="AN138" s="97" t="s">
        <v>3199</v>
      </c>
      <c r="AO138" s="97" t="s">
        <v>52</v>
      </c>
      <c r="AP138" s="97">
        <v>110</v>
      </c>
      <c r="AQ138" s="97">
        <v>10</v>
      </c>
      <c r="AR138" s="97">
        <v>39</v>
      </c>
      <c r="AS138" s="97">
        <v>87.5</v>
      </c>
      <c r="AT138" s="97">
        <v>30</v>
      </c>
      <c r="AU138" s="97">
        <v>92</v>
      </c>
      <c r="AV138" s="97"/>
      <c r="AW138" s="97" t="s">
        <v>3291</v>
      </c>
      <c r="AX138" s="97" t="s">
        <v>3291</v>
      </c>
      <c r="AY138" s="97"/>
      <c r="AZ138" s="97" t="s">
        <v>3291</v>
      </c>
      <c r="BA138" s="97" t="s">
        <v>3291</v>
      </c>
      <c r="BB138" s="97"/>
      <c r="BC138" s="97" t="s">
        <v>3291</v>
      </c>
      <c r="BD138" s="97" t="s">
        <v>3291</v>
      </c>
      <c r="BE138" s="97">
        <v>62</v>
      </c>
      <c r="BF138" s="97">
        <v>37</v>
      </c>
      <c r="BG138" s="97">
        <v>114</v>
      </c>
      <c r="BH138" s="97"/>
      <c r="BI138" s="97" t="s">
        <v>3291</v>
      </c>
      <c r="BJ138" s="97" t="s">
        <v>3291</v>
      </c>
      <c r="BK138" s="97"/>
      <c r="BL138" s="97" t="s">
        <v>3291</v>
      </c>
      <c r="BM138" s="97" t="s">
        <v>3291</v>
      </c>
      <c r="BN138" s="97"/>
      <c r="BO138" s="97" t="s">
        <v>3291</v>
      </c>
      <c r="BP138" s="97" t="s">
        <v>3291</v>
      </c>
      <c r="BQ138" s="97">
        <v>259.5</v>
      </c>
      <c r="BR138" s="97">
        <v>46</v>
      </c>
      <c r="BS138" s="97">
        <v>135</v>
      </c>
    </row>
    <row r="139" spans="1:71" ht="15" customHeight="1">
      <c r="A139" s="97" t="s">
        <v>1679</v>
      </c>
      <c r="B139" s="97" t="s">
        <v>1679</v>
      </c>
      <c r="C139" s="97" t="s">
        <v>1389</v>
      </c>
      <c r="D139" s="97" t="s">
        <v>3198</v>
      </c>
      <c r="E139" s="97" t="s">
        <v>9</v>
      </c>
      <c r="F139" s="97">
        <v>104</v>
      </c>
      <c r="G139" s="97">
        <v>30</v>
      </c>
      <c r="H139" s="97">
        <v>357</v>
      </c>
      <c r="I139" s="97">
        <v>87</v>
      </c>
      <c r="J139" s="97">
        <v>36</v>
      </c>
      <c r="K139" s="97">
        <v>220</v>
      </c>
      <c r="L139" s="97">
        <v>92</v>
      </c>
      <c r="M139" s="97">
        <v>46</v>
      </c>
      <c r="N139" s="97">
        <v>426</v>
      </c>
      <c r="O139" s="97">
        <v>78</v>
      </c>
      <c r="P139" s="97">
        <v>37</v>
      </c>
      <c r="Q139" s="97">
        <v>250</v>
      </c>
      <c r="R139" s="97">
        <v>78</v>
      </c>
      <c r="S139" s="97">
        <v>16</v>
      </c>
      <c r="T139" s="97">
        <v>61</v>
      </c>
      <c r="U139" s="97">
        <v>91</v>
      </c>
      <c r="V139" s="97">
        <v>4</v>
      </c>
      <c r="W139" s="97">
        <v>12</v>
      </c>
      <c r="X139" s="97">
        <v>72</v>
      </c>
      <c r="Y139" s="97">
        <v>39</v>
      </c>
      <c r="Z139" s="97">
        <v>396</v>
      </c>
      <c r="AA139" s="97">
        <v>54</v>
      </c>
      <c r="AB139" s="97">
        <v>38</v>
      </c>
      <c r="AC139" s="97">
        <v>428</v>
      </c>
      <c r="AD139" s="97">
        <v>71</v>
      </c>
      <c r="AE139" s="97">
        <v>28</v>
      </c>
      <c r="AF139" s="97">
        <v>290</v>
      </c>
      <c r="AG139" s="97">
        <v>530</v>
      </c>
      <c r="AH139" s="97">
        <v>37</v>
      </c>
      <c r="AI139" s="97">
        <v>136</v>
      </c>
    </row>
    <row r="140" spans="1:71" ht="15" customHeight="1">
      <c r="A140" s="97" t="s">
        <v>1939</v>
      </c>
      <c r="B140" s="97" t="s">
        <v>1939</v>
      </c>
      <c r="C140" s="97" t="s">
        <v>190</v>
      </c>
      <c r="D140" s="97" t="s">
        <v>3198</v>
      </c>
      <c r="E140" s="97" t="s">
        <v>109</v>
      </c>
      <c r="F140" s="97">
        <v>102</v>
      </c>
      <c r="G140" s="97">
        <v>30</v>
      </c>
      <c r="H140" s="97">
        <v>442</v>
      </c>
      <c r="I140" s="97">
        <v>86</v>
      </c>
      <c r="J140" s="97">
        <v>11</v>
      </c>
      <c r="K140" s="97">
        <v>233</v>
      </c>
      <c r="L140" s="97">
        <v>103</v>
      </c>
      <c r="M140" s="97">
        <v>12</v>
      </c>
      <c r="N140" s="97">
        <v>205</v>
      </c>
      <c r="O140" s="97">
        <v>87</v>
      </c>
      <c r="P140" s="97">
        <v>3</v>
      </c>
      <c r="Q140" s="97">
        <v>114</v>
      </c>
      <c r="R140" s="97">
        <v>75</v>
      </c>
      <c r="S140" s="97">
        <v>2</v>
      </c>
      <c r="T140" s="97">
        <v>83</v>
      </c>
      <c r="U140" s="97">
        <v>77</v>
      </c>
      <c r="V140" s="97">
        <v>14</v>
      </c>
      <c r="W140" s="97">
        <v>275</v>
      </c>
      <c r="X140" s="97">
        <v>58</v>
      </c>
      <c r="Y140" s="97">
        <v>45</v>
      </c>
      <c r="Z140" s="97">
        <v>820</v>
      </c>
      <c r="AA140" s="97">
        <v>50</v>
      </c>
      <c r="AB140" s="97">
        <v>29</v>
      </c>
      <c r="AC140" s="97">
        <v>591</v>
      </c>
      <c r="AD140" s="97">
        <v>74</v>
      </c>
      <c r="AE140" s="97">
        <v>12</v>
      </c>
      <c r="AF140" s="97">
        <v>174</v>
      </c>
      <c r="AG140" s="97">
        <v>530</v>
      </c>
      <c r="AH140" s="97">
        <v>7</v>
      </c>
      <c r="AI140" s="97">
        <v>136</v>
      </c>
    </row>
    <row r="141" spans="1:71" ht="15" customHeight="1">
      <c r="A141" s="97" t="s">
        <v>3333</v>
      </c>
      <c r="B141" s="97" t="s">
        <v>3333</v>
      </c>
      <c r="C141" s="97" t="s">
        <v>2841</v>
      </c>
      <c r="D141" s="97" t="s">
        <v>3198</v>
      </c>
      <c r="E141" s="97" t="s">
        <v>38</v>
      </c>
      <c r="F141" s="97">
        <v>108</v>
      </c>
      <c r="G141" s="97">
        <v>10</v>
      </c>
      <c r="H141" s="97">
        <v>212</v>
      </c>
      <c r="I141" s="97">
        <v>92</v>
      </c>
      <c r="J141" s="97">
        <v>6</v>
      </c>
      <c r="K141" s="97">
        <v>166</v>
      </c>
      <c r="L141" s="97">
        <v>81</v>
      </c>
      <c r="M141" s="97">
        <v>43</v>
      </c>
      <c r="N141" s="97">
        <v>679</v>
      </c>
      <c r="O141" s="97">
        <v>94</v>
      </c>
      <c r="P141" s="97">
        <v>4</v>
      </c>
      <c r="Q141" s="97">
        <v>61</v>
      </c>
      <c r="R141" s="97">
        <v>69</v>
      </c>
      <c r="S141" s="97">
        <v>6</v>
      </c>
      <c r="T141" s="97">
        <v>152</v>
      </c>
      <c r="U141" s="97">
        <v>84</v>
      </c>
      <c r="V141" s="97">
        <v>3</v>
      </c>
      <c r="W141" s="97">
        <v>123</v>
      </c>
      <c r="X141" s="97">
        <v>65</v>
      </c>
      <c r="Y141" s="97">
        <v>36</v>
      </c>
      <c r="Z141" s="97">
        <v>651</v>
      </c>
      <c r="AA141" s="97">
        <v>70</v>
      </c>
      <c r="AB141" s="97">
        <v>1</v>
      </c>
      <c r="AC141" s="97">
        <v>37</v>
      </c>
      <c r="AD141" s="97">
        <v>56</v>
      </c>
      <c r="AE141" s="97">
        <v>47</v>
      </c>
      <c r="AF141" s="97">
        <v>817</v>
      </c>
      <c r="AG141" s="97">
        <v>528</v>
      </c>
      <c r="AH141" s="97">
        <v>4</v>
      </c>
      <c r="AI141" s="97">
        <v>138</v>
      </c>
    </row>
    <row r="142" spans="1:71" ht="15" customHeight="1">
      <c r="A142" s="97" t="s">
        <v>1640</v>
      </c>
      <c r="B142" s="97" t="s">
        <v>1640</v>
      </c>
      <c r="C142" s="97" t="s">
        <v>1527</v>
      </c>
      <c r="D142" s="97" t="s">
        <v>3198</v>
      </c>
      <c r="E142" s="97" t="s">
        <v>9</v>
      </c>
      <c r="F142" s="97">
        <v>105</v>
      </c>
      <c r="G142" s="97">
        <v>28</v>
      </c>
      <c r="H142" s="97">
        <v>325</v>
      </c>
      <c r="I142" s="97">
        <v>80</v>
      </c>
      <c r="J142" s="97">
        <v>41</v>
      </c>
      <c r="K142" s="97">
        <v>325</v>
      </c>
      <c r="L142" s="97">
        <v>112.5</v>
      </c>
      <c r="M142" s="97">
        <v>14</v>
      </c>
      <c r="N142" s="97">
        <v>77</v>
      </c>
      <c r="O142" s="97">
        <v>79</v>
      </c>
      <c r="P142" s="97">
        <v>33</v>
      </c>
      <c r="Q142" s="97">
        <v>228</v>
      </c>
      <c r="R142" s="97">
        <v>66</v>
      </c>
      <c r="S142" s="97">
        <v>41</v>
      </c>
      <c r="T142" s="97">
        <v>204</v>
      </c>
      <c r="U142" s="97">
        <v>85</v>
      </c>
      <c r="V142" s="97">
        <v>15</v>
      </c>
      <c r="W142" s="97">
        <v>96</v>
      </c>
      <c r="X142" s="97">
        <v>74</v>
      </c>
      <c r="Y142" s="97">
        <v>34</v>
      </c>
      <c r="Z142" s="97">
        <v>326</v>
      </c>
      <c r="AA142" s="97">
        <v>53</v>
      </c>
      <c r="AB142" s="97">
        <v>42</v>
      </c>
      <c r="AC142" s="97">
        <v>470</v>
      </c>
      <c r="AD142" s="97">
        <v>76</v>
      </c>
      <c r="AE142" s="97">
        <v>14</v>
      </c>
      <c r="AF142" s="97">
        <v>125</v>
      </c>
      <c r="AG142" s="97">
        <v>527.5</v>
      </c>
      <c r="AH142" s="97">
        <v>38</v>
      </c>
      <c r="AI142" s="97">
        <v>139</v>
      </c>
    </row>
    <row r="143" spans="1:71" ht="15" customHeight="1">
      <c r="A143" s="97" t="s">
        <v>984</v>
      </c>
      <c r="B143" s="97" t="s">
        <v>984</v>
      </c>
      <c r="C143" s="97" t="s">
        <v>985</v>
      </c>
      <c r="D143" s="97" t="s">
        <v>3198</v>
      </c>
      <c r="E143" s="97" t="s">
        <v>60</v>
      </c>
      <c r="F143" s="97">
        <v>119</v>
      </c>
      <c r="G143" s="97">
        <v>3</v>
      </c>
      <c r="H143" s="97">
        <v>30</v>
      </c>
      <c r="I143" s="97">
        <v>97</v>
      </c>
      <c r="J143" s="97">
        <v>7</v>
      </c>
      <c r="K143" s="97">
        <v>112</v>
      </c>
      <c r="L143" s="97">
        <v>97.5</v>
      </c>
      <c r="M143" s="97">
        <v>14</v>
      </c>
      <c r="N143" s="97">
        <v>310</v>
      </c>
      <c r="O143" s="97">
        <v>71</v>
      </c>
      <c r="P143" s="97">
        <v>20</v>
      </c>
      <c r="Q143" s="97">
        <v>378</v>
      </c>
      <c r="R143" s="97">
        <v>67</v>
      </c>
      <c r="S143" s="97">
        <v>10</v>
      </c>
      <c r="T143" s="97">
        <v>177</v>
      </c>
      <c r="U143" s="97">
        <v>76</v>
      </c>
      <c r="V143" s="97">
        <v>11</v>
      </c>
      <c r="W143" s="97">
        <v>308</v>
      </c>
      <c r="X143" s="97">
        <v>79</v>
      </c>
      <c r="Y143" s="97">
        <v>6</v>
      </c>
      <c r="Z143" s="97">
        <v>175</v>
      </c>
      <c r="AA143" s="97">
        <v>53</v>
      </c>
      <c r="AB143" s="97">
        <v>21</v>
      </c>
      <c r="AC143" s="97">
        <v>470</v>
      </c>
      <c r="AD143" s="97">
        <v>64</v>
      </c>
      <c r="AE143" s="97">
        <v>28</v>
      </c>
      <c r="AF143" s="97">
        <v>586</v>
      </c>
      <c r="AG143" s="97">
        <v>527.5</v>
      </c>
      <c r="AH143" s="97">
        <v>3</v>
      </c>
      <c r="AI143" s="97">
        <v>139</v>
      </c>
    </row>
    <row r="144" spans="1:71" ht="15" customHeight="1">
      <c r="A144" s="97" t="s">
        <v>542</v>
      </c>
      <c r="B144" s="97" t="s">
        <v>542</v>
      </c>
      <c r="C144" s="97" t="s">
        <v>1559</v>
      </c>
      <c r="D144" s="97" t="s">
        <v>3198</v>
      </c>
      <c r="E144" s="97" t="s">
        <v>17</v>
      </c>
      <c r="F144" s="97">
        <v>102</v>
      </c>
      <c r="G144" s="97">
        <v>25</v>
      </c>
      <c r="H144" s="97">
        <v>442</v>
      </c>
      <c r="I144" s="97">
        <v>63</v>
      </c>
      <c r="J144" s="97">
        <v>38</v>
      </c>
      <c r="K144" s="97">
        <v>642</v>
      </c>
      <c r="L144" s="97">
        <v>112.5</v>
      </c>
      <c r="M144" s="97">
        <v>4</v>
      </c>
      <c r="N144" s="97">
        <v>77</v>
      </c>
      <c r="O144" s="97">
        <v>88</v>
      </c>
      <c r="P144" s="97">
        <v>2</v>
      </c>
      <c r="Q144" s="97">
        <v>106</v>
      </c>
      <c r="R144" s="97">
        <v>81</v>
      </c>
      <c r="S144" s="97">
        <v>2</v>
      </c>
      <c r="T144" s="97">
        <v>37</v>
      </c>
      <c r="U144" s="97">
        <v>81</v>
      </c>
      <c r="V144" s="97">
        <v>7</v>
      </c>
      <c r="W144" s="97">
        <v>183</v>
      </c>
      <c r="X144" s="97">
        <v>76</v>
      </c>
      <c r="Y144" s="97">
        <v>19</v>
      </c>
      <c r="Z144" s="97">
        <v>260</v>
      </c>
      <c r="AA144" s="97">
        <v>62</v>
      </c>
      <c r="AB144" s="97">
        <v>7</v>
      </c>
      <c r="AC144" s="97">
        <v>146</v>
      </c>
      <c r="AD144" s="97">
        <v>70</v>
      </c>
      <c r="AE144" s="97">
        <v>22</v>
      </c>
      <c r="AF144" s="97">
        <v>327</v>
      </c>
      <c r="AG144" s="97">
        <v>527.5</v>
      </c>
      <c r="AH144" s="97">
        <v>5</v>
      </c>
      <c r="AI144" s="97">
        <v>139</v>
      </c>
    </row>
    <row r="145" spans="1:35" ht="15" customHeight="1">
      <c r="A145" s="97" t="s">
        <v>880</v>
      </c>
      <c r="B145" s="97" t="s">
        <v>880</v>
      </c>
      <c r="C145" s="97" t="s">
        <v>881</v>
      </c>
      <c r="D145" s="97" t="s">
        <v>3198</v>
      </c>
      <c r="E145" s="97" t="s">
        <v>60</v>
      </c>
      <c r="F145" s="97">
        <v>106</v>
      </c>
      <c r="G145" s="97">
        <v>20</v>
      </c>
      <c r="H145" s="97">
        <v>287</v>
      </c>
      <c r="I145" s="97">
        <v>80</v>
      </c>
      <c r="J145" s="97">
        <v>17</v>
      </c>
      <c r="K145" s="97">
        <v>325</v>
      </c>
      <c r="L145" s="97">
        <v>107</v>
      </c>
      <c r="M145" s="97">
        <v>5</v>
      </c>
      <c r="N145" s="97">
        <v>148</v>
      </c>
      <c r="O145" s="97">
        <v>82</v>
      </c>
      <c r="P145" s="97">
        <v>9</v>
      </c>
      <c r="Q145" s="97">
        <v>174</v>
      </c>
      <c r="R145" s="97">
        <v>65</v>
      </c>
      <c r="S145" s="97">
        <v>15</v>
      </c>
      <c r="T145" s="97">
        <v>223</v>
      </c>
      <c r="U145" s="97">
        <v>87</v>
      </c>
      <c r="V145" s="97">
        <v>1</v>
      </c>
      <c r="W145" s="97">
        <v>57</v>
      </c>
      <c r="X145" s="97">
        <v>75</v>
      </c>
      <c r="Y145" s="97">
        <v>20</v>
      </c>
      <c r="Z145" s="97">
        <v>289</v>
      </c>
      <c r="AA145" s="97">
        <v>45</v>
      </c>
      <c r="AB145" s="97">
        <v>44</v>
      </c>
      <c r="AC145" s="97">
        <v>781</v>
      </c>
      <c r="AD145" s="97">
        <v>64</v>
      </c>
      <c r="AE145" s="97">
        <v>28</v>
      </c>
      <c r="AF145" s="97">
        <v>586</v>
      </c>
      <c r="AG145" s="97">
        <v>527</v>
      </c>
      <c r="AH145" s="97">
        <v>4</v>
      </c>
      <c r="AI145" s="97">
        <v>142</v>
      </c>
    </row>
    <row r="146" spans="1:35" ht="15" customHeight="1">
      <c r="A146" s="97" t="s">
        <v>1481</v>
      </c>
      <c r="B146" s="97" t="s">
        <v>1481</v>
      </c>
      <c r="C146" s="97" t="s">
        <v>1482</v>
      </c>
      <c r="D146" s="97" t="s">
        <v>3198</v>
      </c>
      <c r="E146" s="97" t="s">
        <v>56</v>
      </c>
      <c r="F146" s="97">
        <v>94</v>
      </c>
      <c r="G146" s="97">
        <v>37</v>
      </c>
      <c r="H146" s="97">
        <v>733</v>
      </c>
      <c r="I146" s="97">
        <v>95</v>
      </c>
      <c r="J146" s="97">
        <v>5</v>
      </c>
      <c r="K146" s="97">
        <v>128</v>
      </c>
      <c r="L146" s="97">
        <v>99</v>
      </c>
      <c r="M146" s="97">
        <v>14</v>
      </c>
      <c r="N146" s="97">
        <v>277</v>
      </c>
      <c r="O146" s="97">
        <v>92</v>
      </c>
      <c r="P146" s="97">
        <v>1</v>
      </c>
      <c r="Q146" s="97">
        <v>74</v>
      </c>
      <c r="R146" s="97">
        <v>57</v>
      </c>
      <c r="S146" s="97">
        <v>19</v>
      </c>
      <c r="T146" s="97">
        <v>409</v>
      </c>
      <c r="U146" s="97">
        <v>90</v>
      </c>
      <c r="V146" s="97">
        <v>1</v>
      </c>
      <c r="W146" s="97">
        <v>19</v>
      </c>
      <c r="X146" s="97">
        <v>80</v>
      </c>
      <c r="Y146" s="97">
        <v>10</v>
      </c>
      <c r="Z146" s="97">
        <v>151</v>
      </c>
      <c r="AA146" s="97">
        <v>50</v>
      </c>
      <c r="AB146" s="97">
        <v>27</v>
      </c>
      <c r="AC146" s="97">
        <v>591</v>
      </c>
      <c r="AD146" s="97">
        <v>78</v>
      </c>
      <c r="AE146" s="97">
        <v>4</v>
      </c>
      <c r="AF146" s="97">
        <v>86</v>
      </c>
      <c r="AG146" s="97">
        <v>527</v>
      </c>
      <c r="AH146" s="97">
        <v>4</v>
      </c>
      <c r="AI146" s="97">
        <v>142</v>
      </c>
    </row>
    <row r="147" spans="1:35" ht="15" customHeight="1">
      <c r="A147" s="97" t="s">
        <v>838</v>
      </c>
      <c r="B147" s="97" t="s">
        <v>838</v>
      </c>
      <c r="C147" s="97" t="s">
        <v>839</v>
      </c>
      <c r="D147" s="97" t="s">
        <v>3198</v>
      </c>
      <c r="E147" s="97" t="s">
        <v>117</v>
      </c>
      <c r="F147" s="97">
        <v>103</v>
      </c>
      <c r="G147" s="97">
        <v>22</v>
      </c>
      <c r="H147" s="97">
        <v>400</v>
      </c>
      <c r="I147" s="97">
        <v>104</v>
      </c>
      <c r="J147" s="97">
        <v>5</v>
      </c>
      <c r="K147" s="97">
        <v>61</v>
      </c>
      <c r="L147" s="97">
        <v>120.5</v>
      </c>
      <c r="M147" s="97">
        <v>1</v>
      </c>
      <c r="N147" s="97">
        <v>25</v>
      </c>
      <c r="O147" s="97">
        <v>70</v>
      </c>
      <c r="P147" s="97">
        <v>20</v>
      </c>
      <c r="Q147" s="97">
        <v>400</v>
      </c>
      <c r="R147" s="97">
        <v>61</v>
      </c>
      <c r="S147" s="97">
        <v>11</v>
      </c>
      <c r="T147" s="97">
        <v>300</v>
      </c>
      <c r="U147" s="97">
        <v>68</v>
      </c>
      <c r="V147" s="97">
        <v>27</v>
      </c>
      <c r="W147" s="97">
        <v>555</v>
      </c>
      <c r="X147" s="97">
        <v>88</v>
      </c>
      <c r="Y147" s="97">
        <v>1</v>
      </c>
      <c r="Z147" s="97">
        <v>15</v>
      </c>
      <c r="AA147" s="97">
        <v>53</v>
      </c>
      <c r="AB147" s="97">
        <v>25</v>
      </c>
      <c r="AC147" s="97">
        <v>470</v>
      </c>
      <c r="AD147" s="97">
        <v>79</v>
      </c>
      <c r="AE147" s="97">
        <v>6</v>
      </c>
      <c r="AF147" s="97">
        <v>73</v>
      </c>
      <c r="AG147" s="97">
        <v>526.5</v>
      </c>
      <c r="AH147" s="97">
        <v>4</v>
      </c>
      <c r="AI147" s="97">
        <v>144</v>
      </c>
    </row>
    <row r="148" spans="1:35" ht="15" customHeight="1">
      <c r="A148" s="97" t="s">
        <v>2689</v>
      </c>
      <c r="B148" s="97" t="s">
        <v>2689</v>
      </c>
      <c r="C148" s="97" t="s">
        <v>2687</v>
      </c>
      <c r="D148" s="97" t="s">
        <v>3198</v>
      </c>
      <c r="E148" s="97" t="s">
        <v>49</v>
      </c>
      <c r="F148" s="97">
        <v>109</v>
      </c>
      <c r="G148" s="97">
        <v>9</v>
      </c>
      <c r="H148" s="97">
        <v>185</v>
      </c>
      <c r="I148" s="97">
        <v>91</v>
      </c>
      <c r="J148" s="97">
        <v>14</v>
      </c>
      <c r="K148" s="97">
        <v>176</v>
      </c>
      <c r="L148" s="97">
        <v>100.5</v>
      </c>
      <c r="M148" s="97">
        <v>16</v>
      </c>
      <c r="N148" s="97">
        <v>247</v>
      </c>
      <c r="O148" s="97">
        <v>77</v>
      </c>
      <c r="P148" s="97">
        <v>17</v>
      </c>
      <c r="Q148" s="97">
        <v>274</v>
      </c>
      <c r="R148" s="97">
        <v>61</v>
      </c>
      <c r="S148" s="97">
        <v>13</v>
      </c>
      <c r="T148" s="97">
        <v>300</v>
      </c>
      <c r="U148" s="97">
        <v>88</v>
      </c>
      <c r="V148" s="97">
        <v>1</v>
      </c>
      <c r="W148" s="97">
        <v>44</v>
      </c>
      <c r="X148" s="97">
        <v>68</v>
      </c>
      <c r="Y148" s="97">
        <v>19</v>
      </c>
      <c r="Z148" s="97">
        <v>541</v>
      </c>
      <c r="AA148" s="97">
        <v>51</v>
      </c>
      <c r="AB148" s="97">
        <v>23</v>
      </c>
      <c r="AC148" s="97">
        <v>555</v>
      </c>
      <c r="AD148" s="97">
        <v>60</v>
      </c>
      <c r="AE148" s="97">
        <v>31</v>
      </c>
      <c r="AF148" s="97">
        <v>727</v>
      </c>
      <c r="AG148" s="97">
        <v>526.5</v>
      </c>
      <c r="AH148" s="97">
        <v>7</v>
      </c>
      <c r="AI148" s="97">
        <v>144</v>
      </c>
    </row>
    <row r="149" spans="1:35" ht="15" customHeight="1">
      <c r="A149" s="97" t="s">
        <v>2794</v>
      </c>
      <c r="B149" s="97" t="s">
        <v>2794</v>
      </c>
      <c r="C149" s="97" t="s">
        <v>2795</v>
      </c>
      <c r="D149" s="97" t="s">
        <v>3198</v>
      </c>
      <c r="E149" s="97" t="s">
        <v>38</v>
      </c>
      <c r="F149" s="97">
        <v>93</v>
      </c>
      <c r="G149" s="97">
        <v>41</v>
      </c>
      <c r="H149" s="97">
        <v>755</v>
      </c>
      <c r="I149" s="97">
        <v>95</v>
      </c>
      <c r="J149" s="97">
        <v>5</v>
      </c>
      <c r="K149" s="97">
        <v>128</v>
      </c>
      <c r="L149" s="97">
        <v>102</v>
      </c>
      <c r="M149" s="97">
        <v>9</v>
      </c>
      <c r="N149" s="97">
        <v>219</v>
      </c>
      <c r="O149" s="97">
        <v>83</v>
      </c>
      <c r="P149" s="97">
        <v>6</v>
      </c>
      <c r="Q149" s="97">
        <v>163</v>
      </c>
      <c r="R149" s="97">
        <v>78</v>
      </c>
      <c r="S149" s="97">
        <v>3</v>
      </c>
      <c r="T149" s="97">
        <v>61</v>
      </c>
      <c r="U149" s="97">
        <v>75</v>
      </c>
      <c r="V149" s="97">
        <v>16</v>
      </c>
      <c r="W149" s="97">
        <v>342</v>
      </c>
      <c r="X149" s="97">
        <v>71</v>
      </c>
      <c r="Y149" s="97">
        <v>17</v>
      </c>
      <c r="Z149" s="97">
        <v>439</v>
      </c>
      <c r="AA149" s="97">
        <v>63</v>
      </c>
      <c r="AB149" s="97">
        <v>6</v>
      </c>
      <c r="AC149" s="97">
        <v>123</v>
      </c>
      <c r="AD149" s="97">
        <v>74</v>
      </c>
      <c r="AE149" s="97">
        <v>10</v>
      </c>
      <c r="AF149" s="97">
        <v>174</v>
      </c>
      <c r="AG149" s="97">
        <v>526</v>
      </c>
      <c r="AH149" s="97">
        <v>5</v>
      </c>
      <c r="AI149" s="97">
        <v>146</v>
      </c>
    </row>
    <row r="150" spans="1:35" ht="15" customHeight="1">
      <c r="A150" s="97" t="s">
        <v>958</v>
      </c>
      <c r="B150" s="97" t="s">
        <v>958</v>
      </c>
      <c r="C150" s="97" t="s">
        <v>959</v>
      </c>
      <c r="D150" s="97" t="s">
        <v>3198</v>
      </c>
      <c r="E150" s="97" t="s">
        <v>60</v>
      </c>
      <c r="F150" s="97">
        <v>116</v>
      </c>
      <c r="G150" s="97">
        <v>5</v>
      </c>
      <c r="H150" s="97">
        <v>47</v>
      </c>
      <c r="I150" s="97">
        <v>92</v>
      </c>
      <c r="J150" s="97">
        <v>10</v>
      </c>
      <c r="K150" s="97">
        <v>166</v>
      </c>
      <c r="L150" s="97">
        <v>116</v>
      </c>
      <c r="M150" s="97">
        <v>2</v>
      </c>
      <c r="N150" s="97">
        <v>51</v>
      </c>
      <c r="O150" s="97">
        <v>72</v>
      </c>
      <c r="P150" s="97">
        <v>19</v>
      </c>
      <c r="Q150" s="97">
        <v>358</v>
      </c>
      <c r="R150" s="97">
        <v>53</v>
      </c>
      <c r="S150" s="97">
        <v>35</v>
      </c>
      <c r="T150" s="97">
        <v>526</v>
      </c>
      <c r="U150" s="97">
        <v>77</v>
      </c>
      <c r="V150" s="97">
        <v>10</v>
      </c>
      <c r="W150" s="97">
        <v>275</v>
      </c>
      <c r="X150" s="97">
        <v>82</v>
      </c>
      <c r="Y150" s="97">
        <v>3</v>
      </c>
      <c r="Z150" s="97">
        <v>100</v>
      </c>
      <c r="AA150" s="97">
        <v>59</v>
      </c>
      <c r="AB150" s="97">
        <v>7</v>
      </c>
      <c r="AC150" s="97">
        <v>233</v>
      </c>
      <c r="AD150" s="97">
        <v>73</v>
      </c>
      <c r="AE150" s="97">
        <v>9</v>
      </c>
      <c r="AF150" s="97">
        <v>216</v>
      </c>
      <c r="AG150" s="97">
        <v>526</v>
      </c>
      <c r="AH150" s="97">
        <v>5</v>
      </c>
      <c r="AI150" s="97">
        <v>146</v>
      </c>
    </row>
    <row r="151" spans="1:35" ht="15" customHeight="1">
      <c r="A151" s="97" t="s">
        <v>1647</v>
      </c>
      <c r="B151" s="97" t="s">
        <v>1647</v>
      </c>
      <c r="C151" s="97" t="s">
        <v>194</v>
      </c>
      <c r="D151" s="97" t="s">
        <v>3198</v>
      </c>
      <c r="E151" s="97" t="s">
        <v>9</v>
      </c>
      <c r="F151" s="97">
        <v>110</v>
      </c>
      <c r="G151" s="97">
        <v>15</v>
      </c>
      <c r="H151" s="97">
        <v>159</v>
      </c>
      <c r="I151" s="97">
        <v>96</v>
      </c>
      <c r="J151" s="97">
        <v>19</v>
      </c>
      <c r="K151" s="97">
        <v>122</v>
      </c>
      <c r="L151" s="97">
        <v>100</v>
      </c>
      <c r="M151" s="97">
        <v>40</v>
      </c>
      <c r="N151" s="97">
        <v>258</v>
      </c>
      <c r="O151" s="97">
        <v>78</v>
      </c>
      <c r="P151" s="97">
        <v>37</v>
      </c>
      <c r="Q151" s="97">
        <v>250</v>
      </c>
      <c r="R151" s="97">
        <v>61</v>
      </c>
      <c r="S151" s="97">
        <v>48</v>
      </c>
      <c r="T151" s="97">
        <v>300</v>
      </c>
      <c r="U151" s="97">
        <v>81</v>
      </c>
      <c r="V151" s="97">
        <v>29</v>
      </c>
      <c r="W151" s="97">
        <v>183</v>
      </c>
      <c r="X151" s="97">
        <v>85</v>
      </c>
      <c r="Y151" s="97">
        <v>7</v>
      </c>
      <c r="Z151" s="97">
        <v>45</v>
      </c>
      <c r="AA151" s="97">
        <v>55</v>
      </c>
      <c r="AB151" s="97">
        <v>35</v>
      </c>
      <c r="AC151" s="97">
        <v>392</v>
      </c>
      <c r="AD151" s="97">
        <v>69</v>
      </c>
      <c r="AE151" s="97">
        <v>34</v>
      </c>
      <c r="AF151" s="97">
        <v>367</v>
      </c>
      <c r="AG151" s="97">
        <v>526</v>
      </c>
      <c r="AH151" s="97">
        <v>39</v>
      </c>
      <c r="AI151" s="97">
        <v>146</v>
      </c>
    </row>
    <row r="152" spans="1:35" ht="15" customHeight="1">
      <c r="A152" s="97" t="s">
        <v>1129</v>
      </c>
      <c r="B152" s="97" t="s">
        <v>1129</v>
      </c>
      <c r="C152" s="97" t="s">
        <v>1130</v>
      </c>
      <c r="D152" s="97" t="s">
        <v>3198</v>
      </c>
      <c r="E152" s="97" t="s">
        <v>68</v>
      </c>
      <c r="F152" s="97">
        <v>103</v>
      </c>
      <c r="G152" s="97">
        <v>26</v>
      </c>
      <c r="H152" s="97">
        <v>400</v>
      </c>
      <c r="I152" s="97">
        <v>90</v>
      </c>
      <c r="J152" s="97">
        <v>13</v>
      </c>
      <c r="K152" s="97">
        <v>183</v>
      </c>
      <c r="L152" s="97">
        <v>102.5</v>
      </c>
      <c r="M152" s="97">
        <v>7</v>
      </c>
      <c r="N152" s="97">
        <v>210</v>
      </c>
      <c r="O152" s="97">
        <v>73</v>
      </c>
      <c r="P152" s="97">
        <v>17</v>
      </c>
      <c r="Q152" s="97">
        <v>339</v>
      </c>
      <c r="R152" s="97">
        <v>74</v>
      </c>
      <c r="S152" s="97">
        <v>3</v>
      </c>
      <c r="T152" s="97">
        <v>94</v>
      </c>
      <c r="U152" s="97">
        <v>83</v>
      </c>
      <c r="V152" s="97">
        <v>6</v>
      </c>
      <c r="W152" s="97">
        <v>145</v>
      </c>
      <c r="X152" s="97">
        <v>79</v>
      </c>
      <c r="Y152" s="97">
        <v>7</v>
      </c>
      <c r="Z152" s="97">
        <v>175</v>
      </c>
      <c r="AA152" s="97">
        <v>58</v>
      </c>
      <c r="AB152" s="97">
        <v>9</v>
      </c>
      <c r="AC152" s="97">
        <v>278</v>
      </c>
      <c r="AD152" s="97">
        <v>81</v>
      </c>
      <c r="AE152" s="97">
        <v>2</v>
      </c>
      <c r="AF152" s="97">
        <v>42</v>
      </c>
      <c r="AG152" s="97">
        <v>525.5</v>
      </c>
      <c r="AH152" s="97">
        <v>6</v>
      </c>
      <c r="AI152" s="97">
        <v>149</v>
      </c>
    </row>
    <row r="153" spans="1:35" ht="15" customHeight="1">
      <c r="A153" s="97" t="s">
        <v>2013</v>
      </c>
      <c r="B153" s="97" t="s">
        <v>2013</v>
      </c>
      <c r="C153" s="97" t="s">
        <v>2014</v>
      </c>
      <c r="D153" s="97" t="s">
        <v>3198</v>
      </c>
      <c r="E153" s="97" t="s">
        <v>109</v>
      </c>
      <c r="F153" s="97">
        <v>115</v>
      </c>
      <c r="G153" s="97">
        <v>6</v>
      </c>
      <c r="H153" s="97">
        <v>65</v>
      </c>
      <c r="I153" s="97">
        <v>67</v>
      </c>
      <c r="J153" s="97">
        <v>34</v>
      </c>
      <c r="K153" s="97">
        <v>565</v>
      </c>
      <c r="L153" s="97">
        <v>121.5</v>
      </c>
      <c r="M153" s="97">
        <v>2</v>
      </c>
      <c r="N153" s="97">
        <v>21</v>
      </c>
      <c r="O153" s="97">
        <v>83</v>
      </c>
      <c r="P153" s="97">
        <v>9</v>
      </c>
      <c r="Q153" s="97">
        <v>163</v>
      </c>
      <c r="R153" s="97">
        <v>55</v>
      </c>
      <c r="S153" s="97">
        <v>27</v>
      </c>
      <c r="T153" s="97">
        <v>470</v>
      </c>
      <c r="U153" s="97">
        <v>84</v>
      </c>
      <c r="V153" s="97">
        <v>9</v>
      </c>
      <c r="W153" s="97">
        <v>123</v>
      </c>
      <c r="X153" s="97">
        <v>85</v>
      </c>
      <c r="Y153" s="97">
        <v>1</v>
      </c>
      <c r="Z153" s="97">
        <v>45</v>
      </c>
      <c r="AA153" s="97">
        <v>53</v>
      </c>
      <c r="AB153" s="97">
        <v>24</v>
      </c>
      <c r="AC153" s="97">
        <v>470</v>
      </c>
      <c r="AD153" s="97">
        <v>63</v>
      </c>
      <c r="AE153" s="97">
        <v>35</v>
      </c>
      <c r="AF153" s="97">
        <v>633</v>
      </c>
      <c r="AG153" s="97">
        <v>525.5</v>
      </c>
      <c r="AH153" s="97">
        <v>8</v>
      </c>
      <c r="AI153" s="97">
        <v>149</v>
      </c>
    </row>
    <row r="154" spans="1:35" ht="15" customHeight="1">
      <c r="A154" s="97" t="s">
        <v>1962</v>
      </c>
      <c r="B154" s="97" t="s">
        <v>1962</v>
      </c>
      <c r="C154" s="97" t="s">
        <v>187</v>
      </c>
      <c r="D154" s="97" t="s">
        <v>3198</v>
      </c>
      <c r="E154" s="97" t="s">
        <v>109</v>
      </c>
      <c r="F154" s="97">
        <v>116</v>
      </c>
      <c r="G154" s="97">
        <v>5</v>
      </c>
      <c r="H154" s="97">
        <v>47</v>
      </c>
      <c r="I154" s="97">
        <v>83</v>
      </c>
      <c r="J154" s="97">
        <v>13</v>
      </c>
      <c r="K154" s="97">
        <v>267</v>
      </c>
      <c r="L154" s="97">
        <v>103</v>
      </c>
      <c r="M154" s="97">
        <v>12</v>
      </c>
      <c r="N154" s="97">
        <v>205</v>
      </c>
      <c r="O154" s="97">
        <v>74</v>
      </c>
      <c r="P154" s="97">
        <v>18</v>
      </c>
      <c r="Q154" s="97">
        <v>317</v>
      </c>
      <c r="R154" s="97">
        <v>64</v>
      </c>
      <c r="S154" s="97">
        <v>10</v>
      </c>
      <c r="T154" s="97">
        <v>244</v>
      </c>
      <c r="U154" s="97">
        <v>85</v>
      </c>
      <c r="V154" s="97">
        <v>7</v>
      </c>
      <c r="W154" s="97">
        <v>96</v>
      </c>
      <c r="X154" s="97">
        <v>67</v>
      </c>
      <c r="Y154" s="97">
        <v>29</v>
      </c>
      <c r="Z154" s="97">
        <v>570</v>
      </c>
      <c r="AA154" s="97">
        <v>41</v>
      </c>
      <c r="AB154" s="97">
        <v>53</v>
      </c>
      <c r="AC154" s="97">
        <v>866</v>
      </c>
      <c r="AD154" s="97">
        <v>65</v>
      </c>
      <c r="AE154" s="97">
        <v>29</v>
      </c>
      <c r="AF154" s="97">
        <v>548</v>
      </c>
      <c r="AG154" s="97">
        <v>525</v>
      </c>
      <c r="AH154" s="97">
        <v>9</v>
      </c>
      <c r="AI154" s="97">
        <v>151</v>
      </c>
    </row>
    <row r="155" spans="1:35" ht="15" customHeight="1">
      <c r="A155" s="97" t="s">
        <v>1048</v>
      </c>
      <c r="B155" s="97" t="s">
        <v>1048</v>
      </c>
      <c r="C155" s="97" t="s">
        <v>208</v>
      </c>
      <c r="D155" s="97" t="s">
        <v>3198</v>
      </c>
      <c r="E155" s="97" t="s">
        <v>68</v>
      </c>
      <c r="F155" s="97">
        <v>104</v>
      </c>
      <c r="G155" s="97">
        <v>21</v>
      </c>
      <c r="H155" s="97">
        <v>357</v>
      </c>
      <c r="I155" s="97">
        <v>114</v>
      </c>
      <c r="J155" s="97">
        <v>2</v>
      </c>
      <c r="K155" s="97">
        <v>28</v>
      </c>
      <c r="L155" s="97">
        <v>102</v>
      </c>
      <c r="M155" s="97">
        <v>8</v>
      </c>
      <c r="N155" s="97">
        <v>219</v>
      </c>
      <c r="O155" s="97">
        <v>65</v>
      </c>
      <c r="P155" s="97">
        <v>28</v>
      </c>
      <c r="Q155" s="97">
        <v>501</v>
      </c>
      <c r="R155" s="97">
        <v>61</v>
      </c>
      <c r="S155" s="97">
        <v>15</v>
      </c>
      <c r="T155" s="97">
        <v>300</v>
      </c>
      <c r="U155" s="97">
        <v>79</v>
      </c>
      <c r="V155" s="97">
        <v>11</v>
      </c>
      <c r="W155" s="97">
        <v>229</v>
      </c>
      <c r="X155" s="97">
        <v>66</v>
      </c>
      <c r="Y155" s="97">
        <v>34</v>
      </c>
      <c r="Z155" s="97">
        <v>604</v>
      </c>
      <c r="AA155" s="97">
        <v>47</v>
      </c>
      <c r="AB155" s="97">
        <v>42</v>
      </c>
      <c r="AC155" s="97">
        <v>719</v>
      </c>
      <c r="AD155" s="97">
        <v>71</v>
      </c>
      <c r="AE155" s="97">
        <v>15</v>
      </c>
      <c r="AF155" s="97">
        <v>290</v>
      </c>
      <c r="AG155" s="97">
        <v>525</v>
      </c>
      <c r="AH155" s="97">
        <v>7</v>
      </c>
      <c r="AI155" s="97">
        <v>151</v>
      </c>
    </row>
    <row r="156" spans="1:35" ht="15" customHeight="1">
      <c r="A156" s="97" t="s">
        <v>1112</v>
      </c>
      <c r="B156" s="97" t="s">
        <v>1112</v>
      </c>
      <c r="C156" s="97" t="s">
        <v>1113</v>
      </c>
      <c r="D156" s="97" t="s">
        <v>3198</v>
      </c>
      <c r="E156" s="97" t="s">
        <v>68</v>
      </c>
      <c r="F156" s="97">
        <v>107</v>
      </c>
      <c r="G156" s="97">
        <v>11</v>
      </c>
      <c r="H156" s="97">
        <v>242</v>
      </c>
      <c r="I156" s="97">
        <v>101</v>
      </c>
      <c r="J156" s="97">
        <v>6</v>
      </c>
      <c r="K156" s="97">
        <v>81</v>
      </c>
      <c r="L156" s="97">
        <v>117.5</v>
      </c>
      <c r="M156" s="97">
        <v>1</v>
      </c>
      <c r="N156" s="97">
        <v>42</v>
      </c>
      <c r="O156" s="97">
        <v>55</v>
      </c>
      <c r="P156" s="97">
        <v>39</v>
      </c>
      <c r="Q156" s="97">
        <v>694</v>
      </c>
      <c r="R156" s="97">
        <v>60</v>
      </c>
      <c r="S156" s="97">
        <v>17</v>
      </c>
      <c r="T156" s="97">
        <v>322</v>
      </c>
      <c r="U156" s="97">
        <v>84</v>
      </c>
      <c r="V156" s="97">
        <v>5</v>
      </c>
      <c r="W156" s="97">
        <v>123</v>
      </c>
      <c r="X156" s="97">
        <v>79</v>
      </c>
      <c r="Y156" s="97">
        <v>7</v>
      </c>
      <c r="Z156" s="97">
        <v>175</v>
      </c>
      <c r="AA156" s="97">
        <v>57</v>
      </c>
      <c r="AB156" s="97">
        <v>10</v>
      </c>
      <c r="AC156" s="97">
        <v>306</v>
      </c>
      <c r="AD156" s="97">
        <v>68</v>
      </c>
      <c r="AE156" s="97">
        <v>25</v>
      </c>
      <c r="AF156" s="97">
        <v>412</v>
      </c>
      <c r="AG156" s="97">
        <v>524.5</v>
      </c>
      <c r="AH156" s="97">
        <v>8</v>
      </c>
      <c r="AI156" s="97">
        <v>153</v>
      </c>
    </row>
    <row r="157" spans="1:35" ht="15" customHeight="1">
      <c r="A157" s="97" t="s">
        <v>1627</v>
      </c>
      <c r="B157" s="97" t="s">
        <v>1627</v>
      </c>
      <c r="C157" s="97" t="s">
        <v>2087</v>
      </c>
      <c r="D157" s="97" t="s">
        <v>3198</v>
      </c>
      <c r="E157" s="97" t="s">
        <v>10</v>
      </c>
      <c r="F157" s="97">
        <v>114</v>
      </c>
      <c r="G157" s="97">
        <v>10</v>
      </c>
      <c r="H157" s="97">
        <v>80</v>
      </c>
      <c r="I157" s="97">
        <v>93</v>
      </c>
      <c r="J157" s="97">
        <v>37</v>
      </c>
      <c r="K157" s="97">
        <v>155</v>
      </c>
      <c r="L157" s="97">
        <v>97.5</v>
      </c>
      <c r="M157" s="97">
        <v>45</v>
      </c>
      <c r="N157" s="97">
        <v>310</v>
      </c>
      <c r="O157" s="97">
        <v>68</v>
      </c>
      <c r="P157" s="97">
        <v>52</v>
      </c>
      <c r="Q157" s="97">
        <v>453</v>
      </c>
      <c r="R157" s="97">
        <v>64</v>
      </c>
      <c r="S157" s="97">
        <v>50</v>
      </c>
      <c r="T157" s="97">
        <v>244</v>
      </c>
      <c r="U157" s="97">
        <v>88</v>
      </c>
      <c r="V157" s="97">
        <v>25</v>
      </c>
      <c r="W157" s="97">
        <v>44</v>
      </c>
      <c r="X157" s="97">
        <v>86</v>
      </c>
      <c r="Y157" s="97">
        <v>11</v>
      </c>
      <c r="Z157" s="97">
        <v>34</v>
      </c>
      <c r="AA157" s="97">
        <v>57</v>
      </c>
      <c r="AB157" s="97">
        <v>49</v>
      </c>
      <c r="AC157" s="97">
        <v>306</v>
      </c>
      <c r="AD157" s="97">
        <v>74</v>
      </c>
      <c r="AE157" s="97">
        <v>33</v>
      </c>
      <c r="AF157" s="97">
        <v>174</v>
      </c>
      <c r="AG157" s="97">
        <v>524.5</v>
      </c>
      <c r="AH157" s="97">
        <v>52</v>
      </c>
      <c r="AI157" s="97">
        <v>153</v>
      </c>
    </row>
    <row r="158" spans="1:35" ht="15" customHeight="1">
      <c r="A158" s="97" t="s">
        <v>2713</v>
      </c>
      <c r="B158" s="97" t="s">
        <v>2713</v>
      </c>
      <c r="C158" s="97" t="s">
        <v>2711</v>
      </c>
      <c r="D158" s="97" t="s">
        <v>3198</v>
      </c>
      <c r="E158" s="97" t="s">
        <v>49</v>
      </c>
      <c r="F158" s="97">
        <v>101</v>
      </c>
      <c r="G158" s="97">
        <v>24</v>
      </c>
      <c r="H158" s="97">
        <v>481</v>
      </c>
      <c r="I158" s="97">
        <v>87</v>
      </c>
      <c r="J158" s="97">
        <v>18</v>
      </c>
      <c r="K158" s="97">
        <v>220</v>
      </c>
      <c r="L158" s="97">
        <v>104</v>
      </c>
      <c r="M158" s="97">
        <v>12</v>
      </c>
      <c r="N158" s="97">
        <v>188</v>
      </c>
      <c r="O158" s="97">
        <v>80</v>
      </c>
      <c r="P158" s="97">
        <v>14</v>
      </c>
      <c r="Q158" s="97">
        <v>207</v>
      </c>
      <c r="R158" s="97">
        <v>69</v>
      </c>
      <c r="S158" s="97">
        <v>6</v>
      </c>
      <c r="T158" s="97">
        <v>152</v>
      </c>
      <c r="U158" s="97">
        <v>83</v>
      </c>
      <c r="V158" s="97">
        <v>7</v>
      </c>
      <c r="W158" s="97">
        <v>145</v>
      </c>
      <c r="X158" s="97">
        <v>81</v>
      </c>
      <c r="Y158" s="97">
        <v>1</v>
      </c>
      <c r="Z158" s="97">
        <v>124</v>
      </c>
      <c r="AA158" s="97">
        <v>72</v>
      </c>
      <c r="AB158" s="97">
        <v>1</v>
      </c>
      <c r="AC158" s="97">
        <v>25</v>
      </c>
      <c r="AD158" s="97">
        <v>84</v>
      </c>
      <c r="AE158" s="97">
        <v>2</v>
      </c>
      <c r="AF158" s="97">
        <v>16</v>
      </c>
      <c r="AG158" s="97">
        <v>524</v>
      </c>
      <c r="AH158" s="97">
        <v>8</v>
      </c>
      <c r="AI158" s="97">
        <v>155</v>
      </c>
    </row>
    <row r="159" spans="1:35" ht="15" customHeight="1">
      <c r="A159" s="97" t="s">
        <v>1144</v>
      </c>
      <c r="B159" s="97" t="s">
        <v>1144</v>
      </c>
      <c r="C159" s="97" t="s">
        <v>1708</v>
      </c>
      <c r="D159" s="97" t="s">
        <v>3198</v>
      </c>
      <c r="E159" s="97" t="s">
        <v>68</v>
      </c>
      <c r="F159" s="97">
        <v>107</v>
      </c>
      <c r="G159" s="97">
        <v>11</v>
      </c>
      <c r="H159" s="97">
        <v>242</v>
      </c>
      <c r="I159" s="97">
        <v>112</v>
      </c>
      <c r="J159" s="97">
        <v>3</v>
      </c>
      <c r="K159" s="97">
        <v>33</v>
      </c>
      <c r="L159" s="97">
        <v>98.5</v>
      </c>
      <c r="M159" s="97">
        <v>10</v>
      </c>
      <c r="N159" s="97">
        <v>285</v>
      </c>
      <c r="O159" s="97">
        <v>66</v>
      </c>
      <c r="P159" s="97">
        <v>23</v>
      </c>
      <c r="Q159" s="97">
        <v>484</v>
      </c>
      <c r="R159" s="97">
        <v>58</v>
      </c>
      <c r="S159" s="97">
        <v>22</v>
      </c>
      <c r="T159" s="97">
        <v>377</v>
      </c>
      <c r="U159" s="97">
        <v>82</v>
      </c>
      <c r="V159" s="97">
        <v>7</v>
      </c>
      <c r="W159" s="97">
        <v>166</v>
      </c>
      <c r="X159" s="97">
        <v>85</v>
      </c>
      <c r="Y159" s="97">
        <v>3</v>
      </c>
      <c r="Z159" s="97">
        <v>45</v>
      </c>
      <c r="AA159" s="97">
        <v>50</v>
      </c>
      <c r="AB159" s="97">
        <v>28</v>
      </c>
      <c r="AC159" s="97">
        <v>591</v>
      </c>
      <c r="AD159" s="97">
        <v>69</v>
      </c>
      <c r="AE159" s="97">
        <v>21</v>
      </c>
      <c r="AF159" s="97">
        <v>367</v>
      </c>
      <c r="AG159" s="97">
        <v>523.5</v>
      </c>
      <c r="AH159" s="97">
        <v>9</v>
      </c>
      <c r="AI159" s="97">
        <v>156</v>
      </c>
    </row>
    <row r="160" spans="1:35" ht="15" customHeight="1">
      <c r="A160" s="97" t="s">
        <v>308</v>
      </c>
      <c r="B160" s="97" t="s">
        <v>308</v>
      </c>
      <c r="C160" s="97" t="s">
        <v>309</v>
      </c>
      <c r="D160" s="97" t="s">
        <v>3198</v>
      </c>
      <c r="E160" s="97" t="s">
        <v>28</v>
      </c>
      <c r="F160" s="97">
        <v>122</v>
      </c>
      <c r="G160" s="97">
        <v>2</v>
      </c>
      <c r="H160" s="97">
        <v>12</v>
      </c>
      <c r="I160" s="97">
        <v>80</v>
      </c>
      <c r="J160" s="97">
        <v>15</v>
      </c>
      <c r="K160" s="97">
        <v>325</v>
      </c>
      <c r="L160" s="97">
        <v>110.5</v>
      </c>
      <c r="M160" s="97">
        <v>5</v>
      </c>
      <c r="N160" s="97">
        <v>102</v>
      </c>
      <c r="O160" s="97">
        <v>78</v>
      </c>
      <c r="P160" s="97">
        <v>10</v>
      </c>
      <c r="Q160" s="97">
        <v>250</v>
      </c>
      <c r="R160" s="97">
        <v>53</v>
      </c>
      <c r="S160" s="97">
        <v>27</v>
      </c>
      <c r="T160" s="97">
        <v>526</v>
      </c>
      <c r="U160" s="97">
        <v>80</v>
      </c>
      <c r="V160" s="97">
        <v>9</v>
      </c>
      <c r="W160" s="97">
        <v>205</v>
      </c>
      <c r="X160" s="97">
        <v>70</v>
      </c>
      <c r="Y160" s="97">
        <v>25</v>
      </c>
      <c r="Z160" s="97">
        <v>473</v>
      </c>
      <c r="AA160" s="97">
        <v>50</v>
      </c>
      <c r="AB160" s="97">
        <v>43</v>
      </c>
      <c r="AC160" s="97">
        <v>591</v>
      </c>
      <c r="AD160" s="97">
        <v>63</v>
      </c>
      <c r="AE160" s="97">
        <v>40</v>
      </c>
      <c r="AF160" s="97">
        <v>633</v>
      </c>
      <c r="AG160" s="97">
        <v>523.5</v>
      </c>
      <c r="AH160" s="97">
        <v>4</v>
      </c>
      <c r="AI160" s="97">
        <v>156</v>
      </c>
    </row>
    <row r="161" spans="1:35" ht="15" customHeight="1">
      <c r="A161" s="97" t="s">
        <v>3320</v>
      </c>
      <c r="B161" s="97" t="s">
        <v>3320</v>
      </c>
      <c r="C161" s="97" t="s">
        <v>180</v>
      </c>
      <c r="D161" s="97" t="s">
        <v>3198</v>
      </c>
      <c r="E161" s="97" t="s">
        <v>19</v>
      </c>
      <c r="F161" s="97">
        <v>103</v>
      </c>
      <c r="G161" s="97">
        <v>24</v>
      </c>
      <c r="H161" s="97">
        <v>400</v>
      </c>
      <c r="I161" s="97">
        <v>100</v>
      </c>
      <c r="J161" s="97">
        <v>2</v>
      </c>
      <c r="K161" s="97">
        <v>86</v>
      </c>
      <c r="L161" s="97">
        <v>92.5</v>
      </c>
      <c r="M161" s="97">
        <v>20</v>
      </c>
      <c r="N161" s="97">
        <v>414</v>
      </c>
      <c r="O161" s="97">
        <v>83</v>
      </c>
      <c r="P161" s="97">
        <v>9</v>
      </c>
      <c r="Q161" s="97">
        <v>163</v>
      </c>
      <c r="R161" s="97">
        <v>74</v>
      </c>
      <c r="S161" s="97">
        <v>2</v>
      </c>
      <c r="T161" s="97">
        <v>94</v>
      </c>
      <c r="U161" s="97">
        <v>71</v>
      </c>
      <c r="V161" s="97">
        <v>25</v>
      </c>
      <c r="W161" s="97">
        <v>462</v>
      </c>
      <c r="X161" s="97">
        <v>64</v>
      </c>
      <c r="Y161" s="97">
        <v>36</v>
      </c>
      <c r="Z161" s="97">
        <v>680</v>
      </c>
      <c r="AA161" s="97">
        <v>56</v>
      </c>
      <c r="AB161" s="97">
        <v>22</v>
      </c>
      <c r="AC161" s="97">
        <v>352</v>
      </c>
      <c r="AD161" s="97">
        <v>59</v>
      </c>
      <c r="AE161" s="97">
        <v>43</v>
      </c>
      <c r="AF161" s="97">
        <v>746</v>
      </c>
      <c r="AG161" s="97">
        <v>523.5</v>
      </c>
      <c r="AH161" s="97">
        <v>4</v>
      </c>
      <c r="AI161" s="97">
        <v>156</v>
      </c>
    </row>
    <row r="162" spans="1:35" ht="15" customHeight="1">
      <c r="A162" s="97" t="s">
        <v>1682</v>
      </c>
      <c r="B162" s="97" t="s">
        <v>1682</v>
      </c>
      <c r="C162" s="97" t="s">
        <v>2315</v>
      </c>
      <c r="D162" s="97" t="s">
        <v>3198</v>
      </c>
      <c r="E162" s="97" t="s">
        <v>9</v>
      </c>
      <c r="F162" s="97">
        <v>106</v>
      </c>
      <c r="G162" s="97">
        <v>26</v>
      </c>
      <c r="H162" s="97">
        <v>287</v>
      </c>
      <c r="I162" s="97">
        <v>76</v>
      </c>
      <c r="J162" s="97">
        <v>44</v>
      </c>
      <c r="K162" s="97">
        <v>391</v>
      </c>
      <c r="L162" s="97">
        <v>111</v>
      </c>
      <c r="M162" s="97">
        <v>16</v>
      </c>
      <c r="N162" s="97">
        <v>95</v>
      </c>
      <c r="O162" s="97">
        <v>82</v>
      </c>
      <c r="P162" s="97">
        <v>22</v>
      </c>
      <c r="Q162" s="97">
        <v>174</v>
      </c>
      <c r="R162" s="97">
        <v>73</v>
      </c>
      <c r="S162" s="97">
        <v>28</v>
      </c>
      <c r="T162" s="97">
        <v>106</v>
      </c>
      <c r="U162" s="97">
        <v>75</v>
      </c>
      <c r="V162" s="97">
        <v>43</v>
      </c>
      <c r="W162" s="97">
        <v>342</v>
      </c>
      <c r="X162" s="97">
        <v>89</v>
      </c>
      <c r="Y162" s="97">
        <v>2</v>
      </c>
      <c r="Z162" s="97">
        <v>8</v>
      </c>
      <c r="AA162" s="97">
        <v>67</v>
      </c>
      <c r="AB162" s="97">
        <v>15</v>
      </c>
      <c r="AC162" s="97">
        <v>66</v>
      </c>
      <c r="AD162" s="97">
        <v>82</v>
      </c>
      <c r="AE162" s="97">
        <v>4</v>
      </c>
      <c r="AF162" s="97">
        <v>31</v>
      </c>
      <c r="AG162" s="97">
        <v>523</v>
      </c>
      <c r="AH162" s="97">
        <v>40</v>
      </c>
      <c r="AI162" s="97">
        <v>159</v>
      </c>
    </row>
    <row r="163" spans="1:35" ht="15" customHeight="1">
      <c r="A163" s="97" t="s">
        <v>317</v>
      </c>
      <c r="B163" s="97" t="s">
        <v>317</v>
      </c>
      <c r="C163" s="97" t="s">
        <v>318</v>
      </c>
      <c r="D163" s="97" t="s">
        <v>3198</v>
      </c>
      <c r="E163" s="97" t="s">
        <v>28</v>
      </c>
      <c r="F163" s="97">
        <v>106</v>
      </c>
      <c r="G163" s="97">
        <v>15</v>
      </c>
      <c r="H163" s="97">
        <v>287</v>
      </c>
      <c r="I163" s="97">
        <v>96</v>
      </c>
      <c r="J163" s="97">
        <v>4</v>
      </c>
      <c r="K163" s="97">
        <v>122</v>
      </c>
      <c r="L163" s="97">
        <v>102.5</v>
      </c>
      <c r="M163" s="97">
        <v>9</v>
      </c>
      <c r="N163" s="97">
        <v>210</v>
      </c>
      <c r="O163" s="97">
        <v>71</v>
      </c>
      <c r="P163" s="97">
        <v>23</v>
      </c>
      <c r="Q163" s="97">
        <v>378</v>
      </c>
      <c r="R163" s="97">
        <v>66</v>
      </c>
      <c r="S163" s="97">
        <v>6</v>
      </c>
      <c r="T163" s="97">
        <v>204</v>
      </c>
      <c r="U163" s="97">
        <v>80</v>
      </c>
      <c r="V163" s="97">
        <v>9</v>
      </c>
      <c r="W163" s="97">
        <v>205</v>
      </c>
      <c r="X163" s="97">
        <v>67</v>
      </c>
      <c r="Y163" s="97">
        <v>32</v>
      </c>
      <c r="Z163" s="97">
        <v>570</v>
      </c>
      <c r="AA163" s="97">
        <v>47</v>
      </c>
      <c r="AB163" s="97">
        <v>49</v>
      </c>
      <c r="AC163" s="97">
        <v>719</v>
      </c>
      <c r="AD163" s="97">
        <v>63</v>
      </c>
      <c r="AE163" s="97">
        <v>40</v>
      </c>
      <c r="AF163" s="97">
        <v>633</v>
      </c>
      <c r="AG163" s="97">
        <v>521.5</v>
      </c>
      <c r="AH163" s="97">
        <v>5</v>
      </c>
      <c r="AI163" s="97">
        <v>160</v>
      </c>
    </row>
    <row r="164" spans="1:35" ht="15" customHeight="1">
      <c r="A164" s="97" t="s">
        <v>1745</v>
      </c>
      <c r="B164" s="97" t="s">
        <v>1745</v>
      </c>
      <c r="C164" s="97" t="s">
        <v>1743</v>
      </c>
      <c r="D164" s="97" t="s">
        <v>3198</v>
      </c>
      <c r="E164" s="97" t="s">
        <v>9</v>
      </c>
      <c r="F164" s="97">
        <v>97</v>
      </c>
      <c r="G164" s="97">
        <v>42</v>
      </c>
      <c r="H164" s="97">
        <v>645</v>
      </c>
      <c r="I164" s="97">
        <v>90</v>
      </c>
      <c r="J164" s="97">
        <v>30</v>
      </c>
      <c r="K164" s="97">
        <v>183</v>
      </c>
      <c r="L164" s="97">
        <v>97</v>
      </c>
      <c r="M164" s="97">
        <v>43</v>
      </c>
      <c r="N164" s="97">
        <v>327</v>
      </c>
      <c r="O164" s="97">
        <v>85</v>
      </c>
      <c r="P164" s="97">
        <v>17</v>
      </c>
      <c r="Q164" s="97">
        <v>135</v>
      </c>
      <c r="R164" s="97">
        <v>75</v>
      </c>
      <c r="S164" s="97">
        <v>24</v>
      </c>
      <c r="T164" s="97">
        <v>83</v>
      </c>
      <c r="U164" s="97">
        <v>77</v>
      </c>
      <c r="V164" s="97">
        <v>39</v>
      </c>
      <c r="W164" s="97">
        <v>275</v>
      </c>
      <c r="X164" s="97">
        <v>72</v>
      </c>
      <c r="Y164" s="97">
        <v>39</v>
      </c>
      <c r="Z164" s="97">
        <v>396</v>
      </c>
      <c r="AA164" s="97">
        <v>55</v>
      </c>
      <c r="AB164" s="97">
        <v>35</v>
      </c>
      <c r="AC164" s="97">
        <v>392</v>
      </c>
      <c r="AD164" s="97">
        <v>78</v>
      </c>
      <c r="AE164" s="97">
        <v>12</v>
      </c>
      <c r="AF164" s="97">
        <v>86</v>
      </c>
      <c r="AG164" s="97">
        <v>521</v>
      </c>
      <c r="AH164" s="97">
        <v>41</v>
      </c>
      <c r="AI164" s="97">
        <v>161</v>
      </c>
    </row>
    <row r="165" spans="1:35" ht="15" customHeight="1">
      <c r="A165" s="97" t="s">
        <v>2671</v>
      </c>
      <c r="B165" s="97" t="s">
        <v>2671</v>
      </c>
      <c r="C165" s="97" t="s">
        <v>2672</v>
      </c>
      <c r="D165" s="97" t="s">
        <v>3198</v>
      </c>
      <c r="E165" s="97" t="s">
        <v>49</v>
      </c>
      <c r="F165" s="97">
        <v>125</v>
      </c>
      <c r="G165" s="97">
        <v>1</v>
      </c>
      <c r="H165" s="97">
        <v>3</v>
      </c>
      <c r="I165" s="97">
        <v>77</v>
      </c>
      <c r="J165" s="97">
        <v>28</v>
      </c>
      <c r="K165" s="97">
        <v>369</v>
      </c>
      <c r="L165" s="97">
        <v>110</v>
      </c>
      <c r="M165" s="97">
        <v>6</v>
      </c>
      <c r="N165" s="97">
        <v>108</v>
      </c>
      <c r="O165" s="97">
        <v>72</v>
      </c>
      <c r="P165" s="97">
        <v>23</v>
      </c>
      <c r="Q165" s="97">
        <v>358</v>
      </c>
      <c r="R165" s="97">
        <v>55</v>
      </c>
      <c r="S165" s="97">
        <v>25</v>
      </c>
      <c r="T165" s="97">
        <v>470</v>
      </c>
      <c r="U165" s="97">
        <v>82</v>
      </c>
      <c r="V165" s="97">
        <v>8</v>
      </c>
      <c r="W165" s="97">
        <v>166</v>
      </c>
      <c r="X165" s="97">
        <v>81</v>
      </c>
      <c r="Y165" s="97">
        <v>1</v>
      </c>
      <c r="Z165" s="97">
        <v>124</v>
      </c>
      <c r="AA165" s="97">
        <v>39</v>
      </c>
      <c r="AB165" s="97">
        <v>50</v>
      </c>
      <c r="AC165" s="97">
        <v>895</v>
      </c>
      <c r="AD165" s="97">
        <v>68</v>
      </c>
      <c r="AE165" s="97">
        <v>15</v>
      </c>
      <c r="AF165" s="97">
        <v>412</v>
      </c>
      <c r="AG165" s="97">
        <v>521</v>
      </c>
      <c r="AH165" s="97">
        <v>9</v>
      </c>
      <c r="AI165" s="97">
        <v>161</v>
      </c>
    </row>
    <row r="166" spans="1:35" ht="15" customHeight="1">
      <c r="A166" s="97" t="s">
        <v>1727</v>
      </c>
      <c r="B166" s="97" t="s">
        <v>1727</v>
      </c>
      <c r="C166" s="97" t="s">
        <v>182</v>
      </c>
      <c r="D166" s="97" t="s">
        <v>3198</v>
      </c>
      <c r="E166" s="97" t="s">
        <v>9</v>
      </c>
      <c r="F166" s="97">
        <v>109</v>
      </c>
      <c r="G166" s="97">
        <v>18</v>
      </c>
      <c r="H166" s="97">
        <v>185</v>
      </c>
      <c r="I166" s="97">
        <v>92</v>
      </c>
      <c r="J166" s="97">
        <v>27</v>
      </c>
      <c r="K166" s="97">
        <v>166</v>
      </c>
      <c r="L166" s="97">
        <v>103.5</v>
      </c>
      <c r="M166" s="97">
        <v>32</v>
      </c>
      <c r="N166" s="97">
        <v>200</v>
      </c>
      <c r="O166" s="97">
        <v>73</v>
      </c>
      <c r="P166" s="97">
        <v>44</v>
      </c>
      <c r="Q166" s="97">
        <v>339</v>
      </c>
      <c r="R166" s="97">
        <v>58</v>
      </c>
      <c r="S166" s="97">
        <v>49</v>
      </c>
      <c r="T166" s="97">
        <v>377</v>
      </c>
      <c r="U166" s="97">
        <v>85</v>
      </c>
      <c r="V166" s="97">
        <v>15</v>
      </c>
      <c r="W166" s="97">
        <v>96</v>
      </c>
      <c r="X166" s="97">
        <v>83</v>
      </c>
      <c r="Y166" s="97">
        <v>11</v>
      </c>
      <c r="Z166" s="97">
        <v>79</v>
      </c>
      <c r="AA166" s="97">
        <v>68</v>
      </c>
      <c r="AB166" s="97">
        <v>14</v>
      </c>
      <c r="AC166" s="97">
        <v>54</v>
      </c>
      <c r="AD166" s="97">
        <v>81</v>
      </c>
      <c r="AE166" s="97">
        <v>7</v>
      </c>
      <c r="AF166" s="97">
        <v>42</v>
      </c>
      <c r="AG166" s="97">
        <v>520.5</v>
      </c>
      <c r="AH166" s="97">
        <v>42</v>
      </c>
      <c r="AI166" s="97">
        <v>163</v>
      </c>
    </row>
    <row r="167" spans="1:35" ht="15" customHeight="1">
      <c r="A167" s="97" t="s">
        <v>1237</v>
      </c>
      <c r="B167" s="97" t="s">
        <v>1237</v>
      </c>
      <c r="C167" s="97" t="s">
        <v>1238</v>
      </c>
      <c r="D167" s="97" t="s">
        <v>3198</v>
      </c>
      <c r="E167" s="97" t="s">
        <v>54</v>
      </c>
      <c r="F167" s="97">
        <v>124</v>
      </c>
      <c r="G167" s="97">
        <v>1</v>
      </c>
      <c r="H167" s="97">
        <v>4</v>
      </c>
      <c r="I167" s="97">
        <v>76</v>
      </c>
      <c r="J167" s="97">
        <v>19</v>
      </c>
      <c r="K167" s="97">
        <v>391</v>
      </c>
      <c r="L167" s="97">
        <v>111.5</v>
      </c>
      <c r="M167" s="97">
        <v>2</v>
      </c>
      <c r="N167" s="97">
        <v>91</v>
      </c>
      <c r="O167" s="97">
        <v>80</v>
      </c>
      <c r="P167" s="97">
        <v>9</v>
      </c>
      <c r="Q167" s="97">
        <v>207</v>
      </c>
      <c r="R167" s="97">
        <v>58</v>
      </c>
      <c r="S167" s="97">
        <v>26</v>
      </c>
      <c r="T167" s="97">
        <v>377</v>
      </c>
      <c r="U167" s="97">
        <v>71</v>
      </c>
      <c r="V167" s="97">
        <v>28</v>
      </c>
      <c r="W167" s="97">
        <v>462</v>
      </c>
      <c r="X167" s="97">
        <v>82</v>
      </c>
      <c r="Y167" s="97">
        <v>2</v>
      </c>
      <c r="Z167" s="97">
        <v>100</v>
      </c>
      <c r="AA167" s="97">
        <v>50</v>
      </c>
      <c r="AB167" s="97">
        <v>25</v>
      </c>
      <c r="AC167" s="97">
        <v>591</v>
      </c>
      <c r="AD167" s="97">
        <v>74</v>
      </c>
      <c r="AE167" s="97">
        <v>9</v>
      </c>
      <c r="AF167" s="97">
        <v>174</v>
      </c>
      <c r="AG167" s="97">
        <v>520.5</v>
      </c>
      <c r="AH167" s="97">
        <v>5</v>
      </c>
      <c r="AI167" s="97">
        <v>163</v>
      </c>
    </row>
    <row r="168" spans="1:35" ht="15" customHeight="1">
      <c r="A168" s="97" t="s">
        <v>326</v>
      </c>
      <c r="B168" s="97" t="s">
        <v>326</v>
      </c>
      <c r="C168" s="97" t="s">
        <v>1673</v>
      </c>
      <c r="D168" s="97" t="s">
        <v>3198</v>
      </c>
      <c r="E168" s="97" t="s">
        <v>28</v>
      </c>
      <c r="F168" s="97">
        <v>109</v>
      </c>
      <c r="G168" s="97">
        <v>9</v>
      </c>
      <c r="H168" s="97">
        <v>185</v>
      </c>
      <c r="I168" s="97">
        <v>74</v>
      </c>
      <c r="J168" s="97">
        <v>25</v>
      </c>
      <c r="K168" s="97">
        <v>424</v>
      </c>
      <c r="L168" s="97">
        <v>107</v>
      </c>
      <c r="M168" s="97">
        <v>6</v>
      </c>
      <c r="N168" s="97">
        <v>148</v>
      </c>
      <c r="O168" s="97">
        <v>95</v>
      </c>
      <c r="P168" s="97">
        <v>2</v>
      </c>
      <c r="Q168" s="97">
        <v>50</v>
      </c>
      <c r="R168" s="97">
        <v>59</v>
      </c>
      <c r="S168" s="97">
        <v>14</v>
      </c>
      <c r="T168" s="97">
        <v>348</v>
      </c>
      <c r="U168" s="97">
        <v>76</v>
      </c>
      <c r="V168" s="97">
        <v>16</v>
      </c>
      <c r="W168" s="97">
        <v>308</v>
      </c>
      <c r="X168" s="97">
        <v>68</v>
      </c>
      <c r="Y168" s="97">
        <v>30</v>
      </c>
      <c r="Z168" s="97">
        <v>541</v>
      </c>
      <c r="AA168" s="97">
        <v>57</v>
      </c>
      <c r="AB168" s="97">
        <v>24</v>
      </c>
      <c r="AC168" s="97">
        <v>306</v>
      </c>
      <c r="AD168" s="97">
        <v>70</v>
      </c>
      <c r="AE168" s="97">
        <v>17</v>
      </c>
      <c r="AF168" s="97">
        <v>327</v>
      </c>
      <c r="AG168" s="97">
        <v>520</v>
      </c>
      <c r="AH168" s="97">
        <v>6</v>
      </c>
      <c r="AI168" s="97">
        <v>165</v>
      </c>
    </row>
    <row r="169" spans="1:35" ht="15" customHeight="1">
      <c r="A169" s="97" t="s">
        <v>789</v>
      </c>
      <c r="B169" s="97" t="s">
        <v>789</v>
      </c>
      <c r="C169" s="97" t="s">
        <v>790</v>
      </c>
      <c r="D169" s="97" t="s">
        <v>3198</v>
      </c>
      <c r="E169" s="97" t="s">
        <v>117</v>
      </c>
      <c r="F169" s="97">
        <v>99</v>
      </c>
      <c r="G169" s="97">
        <v>31</v>
      </c>
      <c r="H169" s="97">
        <v>571</v>
      </c>
      <c r="I169" s="97">
        <v>110</v>
      </c>
      <c r="J169" s="97">
        <v>4</v>
      </c>
      <c r="K169" s="97">
        <v>38</v>
      </c>
      <c r="L169" s="97">
        <v>81</v>
      </c>
      <c r="M169" s="97">
        <v>39</v>
      </c>
      <c r="N169" s="97">
        <v>679</v>
      </c>
      <c r="O169" s="97">
        <v>87</v>
      </c>
      <c r="P169" s="97">
        <v>4</v>
      </c>
      <c r="Q169" s="97">
        <v>114</v>
      </c>
      <c r="R169" s="97">
        <v>67</v>
      </c>
      <c r="S169" s="97">
        <v>6</v>
      </c>
      <c r="T169" s="97">
        <v>177</v>
      </c>
      <c r="U169" s="97">
        <v>76</v>
      </c>
      <c r="V169" s="97">
        <v>10</v>
      </c>
      <c r="W169" s="97">
        <v>308</v>
      </c>
      <c r="X169" s="97">
        <v>66</v>
      </c>
      <c r="Y169" s="97">
        <v>40</v>
      </c>
      <c r="Z169" s="97">
        <v>604</v>
      </c>
      <c r="AA169" s="97">
        <v>64</v>
      </c>
      <c r="AB169" s="97">
        <v>3</v>
      </c>
      <c r="AC169" s="97">
        <v>103</v>
      </c>
      <c r="AD169" s="97">
        <v>68</v>
      </c>
      <c r="AE169" s="97">
        <v>24</v>
      </c>
      <c r="AF169" s="97">
        <v>412</v>
      </c>
      <c r="AG169" s="97">
        <v>520</v>
      </c>
      <c r="AH169" s="97">
        <v>5</v>
      </c>
      <c r="AI169" s="97">
        <v>165</v>
      </c>
    </row>
    <row r="170" spans="1:35" ht="15" customHeight="1">
      <c r="A170" s="97" t="s">
        <v>2641</v>
      </c>
      <c r="B170" s="97" t="s">
        <v>2641</v>
      </c>
      <c r="C170" s="97" t="s">
        <v>2645</v>
      </c>
      <c r="D170" s="97" t="s">
        <v>3198</v>
      </c>
      <c r="E170" s="97" t="s">
        <v>49</v>
      </c>
      <c r="F170" s="97">
        <v>104</v>
      </c>
      <c r="G170" s="97">
        <v>18</v>
      </c>
      <c r="H170" s="97">
        <v>357</v>
      </c>
      <c r="I170" s="97">
        <v>83</v>
      </c>
      <c r="J170" s="97">
        <v>21</v>
      </c>
      <c r="K170" s="97">
        <v>267</v>
      </c>
      <c r="L170" s="97">
        <v>93.5</v>
      </c>
      <c r="M170" s="97">
        <v>26</v>
      </c>
      <c r="N170" s="97">
        <v>393</v>
      </c>
      <c r="O170" s="97">
        <v>91</v>
      </c>
      <c r="P170" s="97">
        <v>4</v>
      </c>
      <c r="Q170" s="97">
        <v>84</v>
      </c>
      <c r="R170" s="97">
        <v>64</v>
      </c>
      <c r="S170" s="97">
        <v>10</v>
      </c>
      <c r="T170" s="97">
        <v>244</v>
      </c>
      <c r="U170" s="97">
        <v>84</v>
      </c>
      <c r="V170" s="97">
        <v>6</v>
      </c>
      <c r="W170" s="97">
        <v>123</v>
      </c>
      <c r="X170" s="97">
        <v>65</v>
      </c>
      <c r="Y170" s="97">
        <v>24</v>
      </c>
      <c r="Z170" s="97">
        <v>651</v>
      </c>
      <c r="AA170" s="97">
        <v>43</v>
      </c>
      <c r="AB170" s="97">
        <v>40</v>
      </c>
      <c r="AC170" s="97">
        <v>824</v>
      </c>
      <c r="AD170" s="97">
        <v>64</v>
      </c>
      <c r="AE170" s="97">
        <v>26</v>
      </c>
      <c r="AF170" s="97">
        <v>586</v>
      </c>
      <c r="AG170" s="97">
        <v>519.5</v>
      </c>
      <c r="AH170" s="97">
        <v>10</v>
      </c>
      <c r="AI170" s="97">
        <v>167</v>
      </c>
    </row>
    <row r="171" spans="1:35" ht="15" customHeight="1">
      <c r="A171" s="97" t="s">
        <v>2163</v>
      </c>
      <c r="B171" s="97" t="s">
        <v>2163</v>
      </c>
      <c r="C171" s="97" t="s">
        <v>123</v>
      </c>
      <c r="D171" s="97" t="s">
        <v>3198</v>
      </c>
      <c r="E171" s="97" t="s">
        <v>73</v>
      </c>
      <c r="F171" s="97">
        <v>116</v>
      </c>
      <c r="G171" s="97">
        <v>3</v>
      </c>
      <c r="H171" s="97">
        <v>47</v>
      </c>
      <c r="I171" s="97">
        <v>70</v>
      </c>
      <c r="J171" s="97">
        <v>20</v>
      </c>
      <c r="K171" s="97">
        <v>505</v>
      </c>
      <c r="L171" s="97">
        <v>99.5</v>
      </c>
      <c r="M171" s="97">
        <v>16</v>
      </c>
      <c r="N171" s="97">
        <v>269</v>
      </c>
      <c r="O171" s="97">
        <v>79</v>
      </c>
      <c r="P171" s="97">
        <v>10</v>
      </c>
      <c r="Q171" s="97">
        <v>228</v>
      </c>
      <c r="R171" s="97">
        <v>72</v>
      </c>
      <c r="S171" s="97">
        <v>6</v>
      </c>
      <c r="T171" s="97">
        <v>115</v>
      </c>
      <c r="U171" s="97">
        <v>83</v>
      </c>
      <c r="V171" s="97">
        <v>4</v>
      </c>
      <c r="W171" s="97">
        <v>145</v>
      </c>
      <c r="X171" s="97">
        <v>78</v>
      </c>
      <c r="Y171" s="97">
        <v>7</v>
      </c>
      <c r="Z171" s="97">
        <v>209</v>
      </c>
      <c r="AA171" s="97">
        <v>56</v>
      </c>
      <c r="AB171" s="97">
        <v>21</v>
      </c>
      <c r="AC171" s="97">
        <v>352</v>
      </c>
      <c r="AD171" s="97">
        <v>72</v>
      </c>
      <c r="AE171" s="97">
        <v>13</v>
      </c>
      <c r="AF171" s="97">
        <v>256</v>
      </c>
      <c r="AG171" s="97">
        <v>519.5</v>
      </c>
      <c r="AH171" s="97">
        <v>3</v>
      </c>
      <c r="AI171" s="97">
        <v>167</v>
      </c>
    </row>
    <row r="172" spans="1:35" ht="15" customHeight="1">
      <c r="A172" s="97" t="s">
        <v>1344</v>
      </c>
      <c r="B172" s="97" t="s">
        <v>1344</v>
      </c>
      <c r="C172" s="97" t="s">
        <v>1345</v>
      </c>
      <c r="D172" s="97" t="s">
        <v>3198</v>
      </c>
      <c r="E172" s="97" t="s">
        <v>54</v>
      </c>
      <c r="F172" s="97">
        <v>92</v>
      </c>
      <c r="G172" s="97">
        <v>47</v>
      </c>
      <c r="H172" s="97">
        <v>779</v>
      </c>
      <c r="I172" s="97">
        <v>102</v>
      </c>
      <c r="J172" s="97">
        <v>2</v>
      </c>
      <c r="K172" s="97">
        <v>72</v>
      </c>
      <c r="L172" s="97">
        <v>89</v>
      </c>
      <c r="M172" s="97">
        <v>21</v>
      </c>
      <c r="N172" s="97">
        <v>509</v>
      </c>
      <c r="O172" s="97">
        <v>85</v>
      </c>
      <c r="P172" s="97">
        <v>5</v>
      </c>
      <c r="Q172" s="97">
        <v>135</v>
      </c>
      <c r="R172" s="97">
        <v>64</v>
      </c>
      <c r="S172" s="97">
        <v>15</v>
      </c>
      <c r="T172" s="97">
        <v>244</v>
      </c>
      <c r="U172" s="97">
        <v>87</v>
      </c>
      <c r="V172" s="97">
        <v>1</v>
      </c>
      <c r="W172" s="97">
        <v>57</v>
      </c>
      <c r="X172" s="97">
        <v>52</v>
      </c>
      <c r="Y172" s="97">
        <v>53</v>
      </c>
      <c r="Z172" s="97">
        <v>897</v>
      </c>
      <c r="AA172" s="97">
        <v>46</v>
      </c>
      <c r="AB172" s="97">
        <v>41</v>
      </c>
      <c r="AC172" s="97">
        <v>755</v>
      </c>
      <c r="AD172" s="97">
        <v>66</v>
      </c>
      <c r="AE172" s="97">
        <v>29</v>
      </c>
      <c r="AF172" s="97">
        <v>511</v>
      </c>
      <c r="AG172" s="97">
        <v>519</v>
      </c>
      <c r="AH172" s="97">
        <v>6</v>
      </c>
      <c r="AI172" s="97">
        <v>169</v>
      </c>
    </row>
    <row r="173" spans="1:35" ht="15" customHeight="1">
      <c r="A173" s="97" t="s">
        <v>1753</v>
      </c>
      <c r="B173" s="97" t="s">
        <v>1753</v>
      </c>
      <c r="C173" s="97" t="s">
        <v>183</v>
      </c>
      <c r="D173" s="97" t="s">
        <v>3198</v>
      </c>
      <c r="E173" s="97" t="s">
        <v>9</v>
      </c>
      <c r="F173" s="97">
        <v>102</v>
      </c>
      <c r="G173" s="97">
        <v>36</v>
      </c>
      <c r="H173" s="97">
        <v>442</v>
      </c>
      <c r="I173" s="97">
        <v>74</v>
      </c>
      <c r="J173" s="97">
        <v>46</v>
      </c>
      <c r="K173" s="97">
        <v>424</v>
      </c>
      <c r="L173" s="97">
        <v>109</v>
      </c>
      <c r="M173" s="97">
        <v>19</v>
      </c>
      <c r="N173" s="97">
        <v>114</v>
      </c>
      <c r="O173" s="97">
        <v>82</v>
      </c>
      <c r="P173" s="97">
        <v>22</v>
      </c>
      <c r="Q173" s="97">
        <v>174</v>
      </c>
      <c r="R173" s="97">
        <v>67</v>
      </c>
      <c r="S173" s="97">
        <v>38</v>
      </c>
      <c r="T173" s="97">
        <v>177</v>
      </c>
      <c r="U173" s="97">
        <v>85</v>
      </c>
      <c r="V173" s="97">
        <v>15</v>
      </c>
      <c r="W173" s="97">
        <v>96</v>
      </c>
      <c r="X173" s="97">
        <v>91</v>
      </c>
      <c r="Y173" s="97">
        <v>1</v>
      </c>
      <c r="Z173" s="97">
        <v>1</v>
      </c>
      <c r="AA173" s="97">
        <v>65</v>
      </c>
      <c r="AB173" s="97">
        <v>17</v>
      </c>
      <c r="AC173" s="97">
        <v>89</v>
      </c>
      <c r="AD173" s="97">
        <v>82</v>
      </c>
      <c r="AE173" s="97">
        <v>4</v>
      </c>
      <c r="AF173" s="97">
        <v>31</v>
      </c>
      <c r="AG173" s="97">
        <v>519</v>
      </c>
      <c r="AH173" s="97">
        <v>43</v>
      </c>
      <c r="AI173" s="97">
        <v>169</v>
      </c>
    </row>
    <row r="174" spans="1:35" ht="15" customHeight="1">
      <c r="A174" s="97" t="s">
        <v>546</v>
      </c>
      <c r="B174" s="97" t="s">
        <v>546</v>
      </c>
      <c r="C174" s="97" t="s">
        <v>1728</v>
      </c>
      <c r="D174" s="97" t="s">
        <v>3198</v>
      </c>
      <c r="E174" s="97" t="s">
        <v>17</v>
      </c>
      <c r="F174" s="97">
        <v>121</v>
      </c>
      <c r="G174" s="97">
        <v>1</v>
      </c>
      <c r="H174" s="97">
        <v>13</v>
      </c>
      <c r="I174" s="97">
        <v>94</v>
      </c>
      <c r="J174" s="97">
        <v>8</v>
      </c>
      <c r="K174" s="97">
        <v>141</v>
      </c>
      <c r="L174" s="97">
        <v>95.5</v>
      </c>
      <c r="M174" s="97">
        <v>19</v>
      </c>
      <c r="N174" s="97">
        <v>357</v>
      </c>
      <c r="O174" s="97">
        <v>81</v>
      </c>
      <c r="P174" s="97">
        <v>5</v>
      </c>
      <c r="Q174" s="97">
        <v>195</v>
      </c>
      <c r="R174" s="97">
        <v>54</v>
      </c>
      <c r="S174" s="97">
        <v>30</v>
      </c>
      <c r="T174" s="97">
        <v>494</v>
      </c>
      <c r="U174" s="97">
        <v>73</v>
      </c>
      <c r="V174" s="97">
        <v>25</v>
      </c>
      <c r="W174" s="97">
        <v>393</v>
      </c>
      <c r="X174" s="97">
        <v>76</v>
      </c>
      <c r="Y174" s="97">
        <v>19</v>
      </c>
      <c r="Z174" s="97">
        <v>260</v>
      </c>
      <c r="AA174" s="97">
        <v>54</v>
      </c>
      <c r="AB174" s="97">
        <v>27</v>
      </c>
      <c r="AC174" s="97">
        <v>428</v>
      </c>
      <c r="AD174" s="97">
        <v>76</v>
      </c>
      <c r="AE174" s="97">
        <v>6</v>
      </c>
      <c r="AF174" s="97">
        <v>125</v>
      </c>
      <c r="AG174" s="97">
        <v>518.5</v>
      </c>
      <c r="AH174" s="97">
        <v>6</v>
      </c>
      <c r="AI174" s="97">
        <v>171</v>
      </c>
    </row>
    <row r="175" spans="1:35" ht="15" customHeight="1">
      <c r="A175" s="97" t="s">
        <v>2337</v>
      </c>
      <c r="B175" s="97" t="s">
        <v>2337</v>
      </c>
      <c r="C175" s="97" t="s">
        <v>2344</v>
      </c>
      <c r="D175" s="97" t="s">
        <v>3198</v>
      </c>
      <c r="E175" s="97" t="s">
        <v>7</v>
      </c>
      <c r="F175" s="97">
        <v>108</v>
      </c>
      <c r="G175" s="97">
        <v>11</v>
      </c>
      <c r="H175" s="97">
        <v>212</v>
      </c>
      <c r="I175" s="97">
        <v>81</v>
      </c>
      <c r="J175" s="97">
        <v>11</v>
      </c>
      <c r="K175" s="97">
        <v>309</v>
      </c>
      <c r="L175" s="97">
        <v>115.5</v>
      </c>
      <c r="M175" s="97">
        <v>1</v>
      </c>
      <c r="N175" s="97">
        <v>55</v>
      </c>
      <c r="O175" s="97">
        <v>84</v>
      </c>
      <c r="P175" s="97">
        <v>6</v>
      </c>
      <c r="Q175" s="97">
        <v>147</v>
      </c>
      <c r="R175" s="97">
        <v>66</v>
      </c>
      <c r="S175" s="97">
        <v>8</v>
      </c>
      <c r="T175" s="97">
        <v>204</v>
      </c>
      <c r="U175" s="97">
        <v>64</v>
      </c>
      <c r="V175" s="97">
        <v>42</v>
      </c>
      <c r="W175" s="97">
        <v>667</v>
      </c>
      <c r="X175" s="97">
        <v>81</v>
      </c>
      <c r="Y175" s="97">
        <v>17</v>
      </c>
      <c r="Z175" s="97">
        <v>124</v>
      </c>
      <c r="AA175" s="97">
        <v>68</v>
      </c>
      <c r="AB175" s="97">
        <v>2</v>
      </c>
      <c r="AC175" s="97">
        <v>54</v>
      </c>
      <c r="AD175" s="97">
        <v>75</v>
      </c>
      <c r="AE175" s="97">
        <v>5</v>
      </c>
      <c r="AF175" s="97">
        <v>146</v>
      </c>
      <c r="AG175" s="97">
        <v>518.5</v>
      </c>
      <c r="AH175" s="97">
        <v>2</v>
      </c>
      <c r="AI175" s="97">
        <v>171</v>
      </c>
    </row>
    <row r="176" spans="1:35" ht="15" customHeight="1">
      <c r="A176" s="97" t="s">
        <v>2725</v>
      </c>
      <c r="B176" s="97" t="s">
        <v>2725</v>
      </c>
      <c r="C176" s="97" t="s">
        <v>2723</v>
      </c>
      <c r="D176" s="97" t="s">
        <v>3198</v>
      </c>
      <c r="E176" s="97" t="s">
        <v>49</v>
      </c>
      <c r="F176" s="97">
        <v>108</v>
      </c>
      <c r="G176" s="97">
        <v>12</v>
      </c>
      <c r="H176" s="97">
        <v>212</v>
      </c>
      <c r="I176" s="97">
        <v>78</v>
      </c>
      <c r="J176" s="97">
        <v>26</v>
      </c>
      <c r="K176" s="97">
        <v>353</v>
      </c>
      <c r="L176" s="97">
        <v>99.5</v>
      </c>
      <c r="M176" s="97">
        <v>18</v>
      </c>
      <c r="N176" s="97">
        <v>269</v>
      </c>
      <c r="O176" s="97">
        <v>83</v>
      </c>
      <c r="P176" s="97">
        <v>10</v>
      </c>
      <c r="Q176" s="97">
        <v>163</v>
      </c>
      <c r="R176" s="97">
        <v>69</v>
      </c>
      <c r="S176" s="97">
        <v>6</v>
      </c>
      <c r="T176" s="97">
        <v>152</v>
      </c>
      <c r="U176" s="97">
        <v>81</v>
      </c>
      <c r="V176" s="97">
        <v>10</v>
      </c>
      <c r="W176" s="97">
        <v>183</v>
      </c>
      <c r="X176" s="97">
        <v>72</v>
      </c>
      <c r="Y176" s="97">
        <v>8</v>
      </c>
      <c r="Z176" s="97">
        <v>396</v>
      </c>
      <c r="AA176" s="97">
        <v>64</v>
      </c>
      <c r="AB176" s="97">
        <v>4</v>
      </c>
      <c r="AC176" s="97">
        <v>103</v>
      </c>
      <c r="AD176" s="97">
        <v>87</v>
      </c>
      <c r="AE176" s="97">
        <v>1</v>
      </c>
      <c r="AF176" s="97">
        <v>6</v>
      </c>
      <c r="AG176" s="97">
        <v>518.5</v>
      </c>
      <c r="AH176" s="97">
        <v>11</v>
      </c>
      <c r="AI176" s="97">
        <v>171</v>
      </c>
    </row>
    <row r="177" spans="1:35" ht="15" customHeight="1">
      <c r="A177" s="97" t="s">
        <v>943</v>
      </c>
      <c r="B177" s="97" t="s">
        <v>943</v>
      </c>
      <c r="C177" s="97" t="s">
        <v>944</v>
      </c>
      <c r="D177" s="97" t="s">
        <v>3198</v>
      </c>
      <c r="E177" s="97" t="s">
        <v>60</v>
      </c>
      <c r="F177" s="97">
        <v>104</v>
      </c>
      <c r="G177" s="97">
        <v>26</v>
      </c>
      <c r="H177" s="97">
        <v>357</v>
      </c>
      <c r="I177" s="97">
        <v>92</v>
      </c>
      <c r="J177" s="97">
        <v>10</v>
      </c>
      <c r="K177" s="97">
        <v>166</v>
      </c>
      <c r="L177" s="97">
        <v>99</v>
      </c>
      <c r="M177" s="97">
        <v>9</v>
      </c>
      <c r="N177" s="97">
        <v>277</v>
      </c>
      <c r="O177" s="97">
        <v>89</v>
      </c>
      <c r="P177" s="97">
        <v>4</v>
      </c>
      <c r="Q177" s="97">
        <v>97</v>
      </c>
      <c r="R177" s="97">
        <v>74</v>
      </c>
      <c r="S177" s="97">
        <v>2</v>
      </c>
      <c r="T177" s="97">
        <v>94</v>
      </c>
      <c r="U177" s="97">
        <v>60</v>
      </c>
      <c r="V177" s="97">
        <v>43</v>
      </c>
      <c r="W177" s="97">
        <v>748</v>
      </c>
      <c r="X177" s="97">
        <v>69</v>
      </c>
      <c r="Y177" s="97">
        <v>29</v>
      </c>
      <c r="Z177" s="97">
        <v>504</v>
      </c>
      <c r="AA177" s="97">
        <v>42</v>
      </c>
      <c r="AB177" s="97">
        <v>49</v>
      </c>
      <c r="AC177" s="97">
        <v>845</v>
      </c>
      <c r="AD177" s="97">
        <v>64</v>
      </c>
      <c r="AE177" s="97">
        <v>28</v>
      </c>
      <c r="AF177" s="97">
        <v>586</v>
      </c>
      <c r="AG177" s="97">
        <v>518</v>
      </c>
      <c r="AH177" s="97">
        <v>6</v>
      </c>
      <c r="AI177" s="97">
        <v>174</v>
      </c>
    </row>
    <row r="178" spans="1:35" ht="15" customHeight="1">
      <c r="A178" s="97" t="s">
        <v>1789</v>
      </c>
      <c r="B178" s="97" t="s">
        <v>1789</v>
      </c>
      <c r="C178" s="97" t="s">
        <v>1790</v>
      </c>
      <c r="D178" s="97" t="s">
        <v>3198</v>
      </c>
      <c r="E178" s="97" t="s">
        <v>34</v>
      </c>
      <c r="F178" s="97">
        <v>103</v>
      </c>
      <c r="G178" s="97">
        <v>25</v>
      </c>
      <c r="H178" s="97">
        <v>400</v>
      </c>
      <c r="I178" s="97">
        <v>87</v>
      </c>
      <c r="J178" s="97">
        <v>9</v>
      </c>
      <c r="K178" s="97">
        <v>220</v>
      </c>
      <c r="L178" s="97">
        <v>110</v>
      </c>
      <c r="M178" s="97">
        <v>7</v>
      </c>
      <c r="N178" s="97">
        <v>108</v>
      </c>
      <c r="O178" s="97">
        <v>78</v>
      </c>
      <c r="P178" s="97">
        <v>6</v>
      </c>
      <c r="Q178" s="97">
        <v>250</v>
      </c>
      <c r="R178" s="97">
        <v>70</v>
      </c>
      <c r="S178" s="97">
        <v>5</v>
      </c>
      <c r="T178" s="97">
        <v>136</v>
      </c>
      <c r="U178" s="97">
        <v>70</v>
      </c>
      <c r="V178" s="97">
        <v>22</v>
      </c>
      <c r="W178" s="97">
        <v>485</v>
      </c>
      <c r="X178" s="97">
        <v>69</v>
      </c>
      <c r="Y178" s="97">
        <v>35</v>
      </c>
      <c r="Z178" s="97">
        <v>504</v>
      </c>
      <c r="AA178" s="97">
        <v>46</v>
      </c>
      <c r="AB178" s="97">
        <v>43</v>
      </c>
      <c r="AC178" s="97">
        <v>755</v>
      </c>
      <c r="AD178" s="97">
        <v>54</v>
      </c>
      <c r="AE178" s="97">
        <v>53</v>
      </c>
      <c r="AF178" s="97">
        <v>855</v>
      </c>
      <c r="AG178" s="97">
        <v>518</v>
      </c>
      <c r="AH178" s="97">
        <v>4</v>
      </c>
      <c r="AI178" s="97">
        <v>174</v>
      </c>
    </row>
    <row r="179" spans="1:35" ht="15" customHeight="1">
      <c r="A179" s="97" t="s">
        <v>1256</v>
      </c>
      <c r="B179" s="97" t="s">
        <v>1256</v>
      </c>
      <c r="C179" s="97" t="s">
        <v>1257</v>
      </c>
      <c r="D179" s="97" t="s">
        <v>3198</v>
      </c>
      <c r="E179" s="97" t="s">
        <v>54</v>
      </c>
      <c r="F179" s="97">
        <v>117</v>
      </c>
      <c r="G179" s="97">
        <v>4</v>
      </c>
      <c r="H179" s="97">
        <v>40</v>
      </c>
      <c r="I179" s="97">
        <v>84</v>
      </c>
      <c r="J179" s="97">
        <v>12</v>
      </c>
      <c r="K179" s="97">
        <v>251</v>
      </c>
      <c r="L179" s="97">
        <v>86.5</v>
      </c>
      <c r="M179" s="97">
        <v>23</v>
      </c>
      <c r="N179" s="97">
        <v>565</v>
      </c>
      <c r="O179" s="97">
        <v>77</v>
      </c>
      <c r="P179" s="97">
        <v>13</v>
      </c>
      <c r="Q179" s="97">
        <v>274</v>
      </c>
      <c r="R179" s="97">
        <v>68</v>
      </c>
      <c r="S179" s="97">
        <v>5</v>
      </c>
      <c r="T179" s="97">
        <v>165</v>
      </c>
      <c r="U179" s="97">
        <v>85</v>
      </c>
      <c r="V179" s="97">
        <v>5</v>
      </c>
      <c r="W179" s="97">
        <v>96</v>
      </c>
      <c r="X179" s="97">
        <v>51</v>
      </c>
      <c r="Y179" s="97">
        <v>54</v>
      </c>
      <c r="Z179" s="97">
        <v>906</v>
      </c>
      <c r="AA179" s="97">
        <v>49</v>
      </c>
      <c r="AB179" s="97">
        <v>27</v>
      </c>
      <c r="AC179" s="97">
        <v>633</v>
      </c>
      <c r="AD179" s="97">
        <v>67</v>
      </c>
      <c r="AE179" s="97">
        <v>26</v>
      </c>
      <c r="AF179" s="97">
        <v>471</v>
      </c>
      <c r="AG179" s="97">
        <v>517.5</v>
      </c>
      <c r="AH179" s="97">
        <v>7</v>
      </c>
      <c r="AI179" s="97">
        <v>176</v>
      </c>
    </row>
    <row r="180" spans="1:35" ht="15" customHeight="1">
      <c r="A180" s="97" t="s">
        <v>2740</v>
      </c>
      <c r="B180" s="97" t="s">
        <v>2740</v>
      </c>
      <c r="C180" s="97" t="s">
        <v>2741</v>
      </c>
      <c r="D180" s="97" t="s">
        <v>3198</v>
      </c>
      <c r="E180" s="97" t="s">
        <v>49</v>
      </c>
      <c r="F180" s="97">
        <v>112</v>
      </c>
      <c r="G180" s="97">
        <v>8</v>
      </c>
      <c r="H180" s="97">
        <v>114</v>
      </c>
      <c r="I180" s="97">
        <v>94</v>
      </c>
      <c r="J180" s="97">
        <v>10</v>
      </c>
      <c r="K180" s="97">
        <v>141</v>
      </c>
      <c r="L180" s="97">
        <v>104.5</v>
      </c>
      <c r="M180" s="97">
        <v>10</v>
      </c>
      <c r="N180" s="97">
        <v>177</v>
      </c>
      <c r="O180" s="97">
        <v>71</v>
      </c>
      <c r="P180" s="97">
        <v>27</v>
      </c>
      <c r="Q180" s="97">
        <v>378</v>
      </c>
      <c r="R180" s="97">
        <v>61</v>
      </c>
      <c r="S180" s="97">
        <v>13</v>
      </c>
      <c r="T180" s="97">
        <v>300</v>
      </c>
      <c r="U180" s="97">
        <v>75</v>
      </c>
      <c r="V180" s="97">
        <v>16</v>
      </c>
      <c r="W180" s="97">
        <v>342</v>
      </c>
      <c r="X180" s="97">
        <v>73</v>
      </c>
      <c r="Y180" s="97">
        <v>7</v>
      </c>
      <c r="Z180" s="97">
        <v>359</v>
      </c>
      <c r="AA180" s="97">
        <v>49</v>
      </c>
      <c r="AB180" s="97">
        <v>29</v>
      </c>
      <c r="AC180" s="97">
        <v>633</v>
      </c>
      <c r="AD180" s="97">
        <v>71</v>
      </c>
      <c r="AE180" s="97">
        <v>9</v>
      </c>
      <c r="AF180" s="97">
        <v>290</v>
      </c>
      <c r="AG180" s="97">
        <v>517.5</v>
      </c>
      <c r="AH180" s="97">
        <v>12</v>
      </c>
      <c r="AI180" s="97">
        <v>176</v>
      </c>
    </row>
    <row r="181" spans="1:35" ht="15" customHeight="1">
      <c r="A181" s="97" t="s">
        <v>2459</v>
      </c>
      <c r="B181" s="97" t="s">
        <v>2459</v>
      </c>
      <c r="C181" s="97" t="s">
        <v>2460</v>
      </c>
      <c r="D181" s="97" t="s">
        <v>3198</v>
      </c>
      <c r="E181" s="97" t="s">
        <v>131</v>
      </c>
      <c r="F181" s="97">
        <v>106</v>
      </c>
      <c r="G181" s="97">
        <v>8</v>
      </c>
      <c r="H181" s="97">
        <v>287</v>
      </c>
      <c r="I181" s="97">
        <v>75</v>
      </c>
      <c r="J181" s="97">
        <v>22</v>
      </c>
      <c r="K181" s="97">
        <v>409</v>
      </c>
      <c r="L181" s="97">
        <v>108.5</v>
      </c>
      <c r="M181" s="97">
        <v>3</v>
      </c>
      <c r="N181" s="97">
        <v>123</v>
      </c>
      <c r="O181" s="97">
        <v>78</v>
      </c>
      <c r="P181" s="97">
        <v>14</v>
      </c>
      <c r="Q181" s="97">
        <v>250</v>
      </c>
      <c r="R181" s="97">
        <v>59</v>
      </c>
      <c r="S181" s="97">
        <v>17</v>
      </c>
      <c r="T181" s="97">
        <v>348</v>
      </c>
      <c r="U181" s="97">
        <v>90</v>
      </c>
      <c r="V181" s="97">
        <v>1</v>
      </c>
      <c r="W181" s="97">
        <v>19</v>
      </c>
      <c r="X181" s="97">
        <v>63</v>
      </c>
      <c r="Y181" s="97">
        <v>37</v>
      </c>
      <c r="Z181" s="97">
        <v>712</v>
      </c>
      <c r="AA181" s="97">
        <v>65</v>
      </c>
      <c r="AB181" s="97">
        <v>8</v>
      </c>
      <c r="AC181" s="97">
        <v>89</v>
      </c>
      <c r="AD181" s="97">
        <v>79</v>
      </c>
      <c r="AE181" s="97">
        <v>4</v>
      </c>
      <c r="AF181" s="97">
        <v>73</v>
      </c>
      <c r="AG181" s="97">
        <v>516.5</v>
      </c>
      <c r="AH181" s="97">
        <v>1</v>
      </c>
      <c r="AI181" s="97">
        <v>178</v>
      </c>
    </row>
    <row r="182" spans="1:35" ht="15" customHeight="1">
      <c r="A182" s="97" t="s">
        <v>2130</v>
      </c>
      <c r="B182" s="97" t="s">
        <v>2130</v>
      </c>
      <c r="C182" s="97" t="s">
        <v>198</v>
      </c>
      <c r="D182" s="97" t="s">
        <v>3198</v>
      </c>
      <c r="E182" s="97" t="s">
        <v>73</v>
      </c>
      <c r="F182" s="97">
        <v>124</v>
      </c>
      <c r="G182" s="97">
        <v>1</v>
      </c>
      <c r="H182" s="97">
        <v>4</v>
      </c>
      <c r="I182" s="97">
        <v>74</v>
      </c>
      <c r="J182" s="97">
        <v>15</v>
      </c>
      <c r="K182" s="97">
        <v>424</v>
      </c>
      <c r="L182" s="97">
        <v>121.5</v>
      </c>
      <c r="M182" s="97">
        <v>1</v>
      </c>
      <c r="N182" s="97">
        <v>21</v>
      </c>
      <c r="O182" s="97">
        <v>67</v>
      </c>
      <c r="P182" s="97">
        <v>24</v>
      </c>
      <c r="Q182" s="97">
        <v>468</v>
      </c>
      <c r="R182" s="97">
        <v>51</v>
      </c>
      <c r="S182" s="97">
        <v>31</v>
      </c>
      <c r="T182" s="97">
        <v>571</v>
      </c>
      <c r="U182" s="97">
        <v>79</v>
      </c>
      <c r="V182" s="97">
        <v>10</v>
      </c>
      <c r="W182" s="97">
        <v>229</v>
      </c>
      <c r="X182" s="97">
        <v>75</v>
      </c>
      <c r="Y182" s="97">
        <v>10</v>
      </c>
      <c r="Z182" s="97">
        <v>289</v>
      </c>
      <c r="AA182" s="97">
        <v>54</v>
      </c>
      <c r="AB182" s="97">
        <v>26</v>
      </c>
      <c r="AC182" s="97">
        <v>428</v>
      </c>
      <c r="AD182" s="97">
        <v>73</v>
      </c>
      <c r="AE182" s="97">
        <v>10</v>
      </c>
      <c r="AF182" s="97">
        <v>216</v>
      </c>
      <c r="AG182" s="97">
        <v>516.5</v>
      </c>
      <c r="AH182" s="97">
        <v>4</v>
      </c>
      <c r="AI182" s="97">
        <v>178</v>
      </c>
    </row>
    <row r="183" spans="1:35" ht="15" customHeight="1">
      <c r="A183" s="97" t="s">
        <v>3230</v>
      </c>
      <c r="B183" s="97" t="s">
        <v>3230</v>
      </c>
      <c r="C183" s="97" t="s">
        <v>3231</v>
      </c>
      <c r="D183" s="97" t="s">
        <v>3198</v>
      </c>
      <c r="E183" s="97" t="s">
        <v>73</v>
      </c>
      <c r="F183" s="97">
        <v>107</v>
      </c>
      <c r="G183" s="97">
        <v>11</v>
      </c>
      <c r="H183" s="97">
        <v>242</v>
      </c>
      <c r="I183" s="97">
        <v>98</v>
      </c>
      <c r="J183" s="97">
        <v>2</v>
      </c>
      <c r="K183" s="97">
        <v>103</v>
      </c>
      <c r="L183" s="97">
        <v>95</v>
      </c>
      <c r="M183" s="97">
        <v>23</v>
      </c>
      <c r="N183" s="97">
        <v>364</v>
      </c>
      <c r="O183" s="97">
        <v>80</v>
      </c>
      <c r="P183" s="97">
        <v>9</v>
      </c>
      <c r="Q183" s="97">
        <v>207</v>
      </c>
      <c r="R183" s="97">
        <v>59</v>
      </c>
      <c r="S183" s="97">
        <v>16</v>
      </c>
      <c r="T183" s="97">
        <v>348</v>
      </c>
      <c r="U183" s="97">
        <v>77</v>
      </c>
      <c r="V183" s="97">
        <v>14</v>
      </c>
      <c r="W183" s="97">
        <v>275</v>
      </c>
      <c r="X183" s="97">
        <v>59</v>
      </c>
      <c r="Y183" s="97">
        <v>46</v>
      </c>
      <c r="Z183" s="97">
        <v>799</v>
      </c>
      <c r="AA183" s="97">
        <v>59</v>
      </c>
      <c r="AB183" s="97">
        <v>13</v>
      </c>
      <c r="AC183" s="97">
        <v>233</v>
      </c>
      <c r="AD183" s="97">
        <v>63</v>
      </c>
      <c r="AE183" s="97">
        <v>44</v>
      </c>
      <c r="AF183" s="97">
        <v>633</v>
      </c>
      <c r="AG183" s="97">
        <v>516</v>
      </c>
      <c r="AH183" s="97">
        <v>5</v>
      </c>
      <c r="AI183" s="97">
        <v>180</v>
      </c>
    </row>
    <row r="184" spans="1:35" ht="15" customHeight="1">
      <c r="A184" s="97" t="s">
        <v>2290</v>
      </c>
      <c r="B184" s="97" t="s">
        <v>2290</v>
      </c>
      <c r="C184" s="97" t="s">
        <v>2291</v>
      </c>
      <c r="D184" s="97" t="s">
        <v>3198</v>
      </c>
      <c r="E184" s="97" t="s">
        <v>7</v>
      </c>
      <c r="F184" s="97">
        <v>109</v>
      </c>
      <c r="G184" s="97">
        <v>10</v>
      </c>
      <c r="H184" s="97">
        <v>185</v>
      </c>
      <c r="I184" s="97">
        <v>93</v>
      </c>
      <c r="J184" s="97">
        <v>5</v>
      </c>
      <c r="K184" s="97">
        <v>155</v>
      </c>
      <c r="L184" s="97">
        <v>82</v>
      </c>
      <c r="M184" s="97">
        <v>38</v>
      </c>
      <c r="N184" s="97">
        <v>667</v>
      </c>
      <c r="O184" s="97">
        <v>95</v>
      </c>
      <c r="P184" s="97">
        <v>2</v>
      </c>
      <c r="Q184" s="97">
        <v>50</v>
      </c>
      <c r="R184" s="97">
        <v>71</v>
      </c>
      <c r="S184" s="97">
        <v>1</v>
      </c>
      <c r="T184" s="97">
        <v>123</v>
      </c>
      <c r="U184" s="97">
        <v>66</v>
      </c>
      <c r="V184" s="97">
        <v>36</v>
      </c>
      <c r="W184" s="97">
        <v>611</v>
      </c>
      <c r="X184" s="97">
        <v>61</v>
      </c>
      <c r="Y184" s="97">
        <v>50</v>
      </c>
      <c r="Z184" s="97">
        <v>754</v>
      </c>
      <c r="AA184" s="97">
        <v>45</v>
      </c>
      <c r="AB184" s="97">
        <v>50</v>
      </c>
      <c r="AC184" s="97">
        <v>781</v>
      </c>
      <c r="AD184" s="97">
        <v>48</v>
      </c>
      <c r="AE184" s="97">
        <v>52</v>
      </c>
      <c r="AF184" s="97">
        <v>912</v>
      </c>
      <c r="AG184" s="97">
        <v>516</v>
      </c>
      <c r="AH184" s="97">
        <v>3</v>
      </c>
      <c r="AI184" s="97">
        <v>180</v>
      </c>
    </row>
    <row r="185" spans="1:35" ht="15" customHeight="1">
      <c r="A185" s="97" t="s">
        <v>2716</v>
      </c>
      <c r="B185" s="97" t="s">
        <v>2716</v>
      </c>
      <c r="C185" s="97" t="s">
        <v>2714</v>
      </c>
      <c r="D185" s="97" t="s">
        <v>3198</v>
      </c>
      <c r="E185" s="97" t="s">
        <v>49</v>
      </c>
      <c r="F185" s="97">
        <v>102</v>
      </c>
      <c r="G185" s="97">
        <v>21</v>
      </c>
      <c r="H185" s="97">
        <v>442</v>
      </c>
      <c r="I185" s="97">
        <v>98</v>
      </c>
      <c r="J185" s="97">
        <v>6</v>
      </c>
      <c r="K185" s="97">
        <v>103</v>
      </c>
      <c r="L185" s="97">
        <v>91</v>
      </c>
      <c r="M185" s="97">
        <v>32</v>
      </c>
      <c r="N185" s="97">
        <v>458</v>
      </c>
      <c r="O185" s="97">
        <v>89</v>
      </c>
      <c r="P185" s="97">
        <v>6</v>
      </c>
      <c r="Q185" s="97">
        <v>97</v>
      </c>
      <c r="R185" s="97">
        <v>54</v>
      </c>
      <c r="S185" s="97">
        <v>28</v>
      </c>
      <c r="T185" s="97">
        <v>494</v>
      </c>
      <c r="U185" s="97">
        <v>82</v>
      </c>
      <c r="V185" s="97">
        <v>8</v>
      </c>
      <c r="W185" s="97">
        <v>166</v>
      </c>
      <c r="X185" s="97">
        <v>60</v>
      </c>
      <c r="Y185" s="97">
        <v>39</v>
      </c>
      <c r="Z185" s="97">
        <v>777</v>
      </c>
      <c r="AA185" s="97">
        <v>56</v>
      </c>
      <c r="AB185" s="97">
        <v>14</v>
      </c>
      <c r="AC185" s="97">
        <v>352</v>
      </c>
      <c r="AD185" s="97">
        <v>65</v>
      </c>
      <c r="AE185" s="97">
        <v>21</v>
      </c>
      <c r="AF185" s="97">
        <v>548</v>
      </c>
      <c r="AG185" s="97">
        <v>516</v>
      </c>
      <c r="AH185" s="97">
        <v>13</v>
      </c>
      <c r="AI185" s="97">
        <v>180</v>
      </c>
    </row>
    <row r="186" spans="1:35" ht="15" customHeight="1">
      <c r="A186" s="97" t="s">
        <v>1843</v>
      </c>
      <c r="B186" s="97" t="s">
        <v>1843</v>
      </c>
      <c r="C186" s="97" t="s">
        <v>1844</v>
      </c>
      <c r="D186" s="97" t="s">
        <v>3198</v>
      </c>
      <c r="E186" s="97" t="s">
        <v>34</v>
      </c>
      <c r="F186" s="97">
        <v>100</v>
      </c>
      <c r="G186" s="97">
        <v>34</v>
      </c>
      <c r="H186" s="97">
        <v>528</v>
      </c>
      <c r="I186" s="97">
        <v>104</v>
      </c>
      <c r="J186" s="97">
        <v>1</v>
      </c>
      <c r="K186" s="97">
        <v>61</v>
      </c>
      <c r="L186" s="97">
        <v>83</v>
      </c>
      <c r="M186" s="97">
        <v>40</v>
      </c>
      <c r="N186" s="97">
        <v>642</v>
      </c>
      <c r="O186" s="97">
        <v>81</v>
      </c>
      <c r="P186" s="97">
        <v>2</v>
      </c>
      <c r="Q186" s="97">
        <v>195</v>
      </c>
      <c r="R186" s="97">
        <v>71</v>
      </c>
      <c r="S186" s="97">
        <v>3</v>
      </c>
      <c r="T186" s="97">
        <v>123</v>
      </c>
      <c r="U186" s="97">
        <v>77</v>
      </c>
      <c r="V186" s="97">
        <v>7</v>
      </c>
      <c r="W186" s="97">
        <v>275</v>
      </c>
      <c r="X186" s="97">
        <v>70</v>
      </c>
      <c r="Y186" s="97">
        <v>34</v>
      </c>
      <c r="Z186" s="97">
        <v>473</v>
      </c>
      <c r="AA186" s="97">
        <v>46</v>
      </c>
      <c r="AB186" s="97">
        <v>43</v>
      </c>
      <c r="AC186" s="97">
        <v>755</v>
      </c>
      <c r="AD186" s="97">
        <v>64</v>
      </c>
      <c r="AE186" s="97">
        <v>34</v>
      </c>
      <c r="AF186" s="97">
        <v>586</v>
      </c>
      <c r="AG186" s="97">
        <v>516</v>
      </c>
      <c r="AH186" s="97">
        <v>5</v>
      </c>
      <c r="AI186" s="97">
        <v>180</v>
      </c>
    </row>
    <row r="187" spans="1:35" ht="15" customHeight="1">
      <c r="A187" s="97" t="s">
        <v>215</v>
      </c>
      <c r="B187" s="97" t="s">
        <v>215</v>
      </c>
      <c r="C187" s="97" t="s">
        <v>176</v>
      </c>
      <c r="D187" s="97" t="s">
        <v>3198</v>
      </c>
      <c r="E187" s="97" t="s">
        <v>28</v>
      </c>
      <c r="F187" s="97">
        <v>101</v>
      </c>
      <c r="G187" s="97">
        <v>27</v>
      </c>
      <c r="H187" s="97">
        <v>481</v>
      </c>
      <c r="I187" s="97">
        <v>96</v>
      </c>
      <c r="J187" s="97">
        <v>4</v>
      </c>
      <c r="K187" s="97">
        <v>122</v>
      </c>
      <c r="L187" s="97">
        <v>85</v>
      </c>
      <c r="M187" s="97">
        <v>36</v>
      </c>
      <c r="N187" s="97">
        <v>592</v>
      </c>
      <c r="O187" s="97">
        <v>84</v>
      </c>
      <c r="P187" s="97">
        <v>6</v>
      </c>
      <c r="Q187" s="97">
        <v>147</v>
      </c>
      <c r="R187" s="97">
        <v>70</v>
      </c>
      <c r="S187" s="97">
        <v>2</v>
      </c>
      <c r="T187" s="97">
        <v>136</v>
      </c>
      <c r="U187" s="97">
        <v>80</v>
      </c>
      <c r="V187" s="97">
        <v>9</v>
      </c>
      <c r="W187" s="97">
        <v>205</v>
      </c>
      <c r="X187" s="97">
        <v>70</v>
      </c>
      <c r="Y187" s="97">
        <v>25</v>
      </c>
      <c r="Z187" s="97">
        <v>473</v>
      </c>
      <c r="AA187" s="97">
        <v>55</v>
      </c>
      <c r="AB187" s="97">
        <v>30</v>
      </c>
      <c r="AC187" s="97">
        <v>392</v>
      </c>
      <c r="AD187" s="97">
        <v>69</v>
      </c>
      <c r="AE187" s="97">
        <v>18</v>
      </c>
      <c r="AF187" s="97">
        <v>367</v>
      </c>
      <c r="AG187" s="97">
        <v>516</v>
      </c>
      <c r="AH187" s="97">
        <v>7</v>
      </c>
      <c r="AI187" s="97">
        <v>180</v>
      </c>
    </row>
    <row r="188" spans="1:35" ht="15" customHeight="1">
      <c r="A188" s="97" t="s">
        <v>1730</v>
      </c>
      <c r="B188" s="97" t="s">
        <v>1730</v>
      </c>
      <c r="C188" s="97" t="s">
        <v>2523</v>
      </c>
      <c r="D188" s="97" t="s">
        <v>3198</v>
      </c>
      <c r="E188" s="97" t="s">
        <v>9</v>
      </c>
      <c r="F188" s="97">
        <v>108</v>
      </c>
      <c r="G188" s="97">
        <v>19</v>
      </c>
      <c r="H188" s="97">
        <v>212</v>
      </c>
      <c r="I188" s="97">
        <v>63</v>
      </c>
      <c r="J188" s="97">
        <v>50</v>
      </c>
      <c r="K188" s="97">
        <v>642</v>
      </c>
      <c r="L188" s="97">
        <v>91.5</v>
      </c>
      <c r="M188" s="97">
        <v>48</v>
      </c>
      <c r="N188" s="97">
        <v>443</v>
      </c>
      <c r="O188" s="97">
        <v>83</v>
      </c>
      <c r="P188" s="97">
        <v>20</v>
      </c>
      <c r="Q188" s="97">
        <v>163</v>
      </c>
      <c r="R188" s="97">
        <v>76</v>
      </c>
      <c r="S188" s="97">
        <v>21</v>
      </c>
      <c r="T188" s="97">
        <v>73</v>
      </c>
      <c r="U188" s="97">
        <v>94</v>
      </c>
      <c r="V188" s="97">
        <v>2</v>
      </c>
      <c r="W188" s="97">
        <v>6</v>
      </c>
      <c r="X188" s="97">
        <v>59</v>
      </c>
      <c r="Y188" s="97">
        <v>49</v>
      </c>
      <c r="Z188" s="97">
        <v>799</v>
      </c>
      <c r="AA188" s="97">
        <v>51</v>
      </c>
      <c r="AB188" s="97">
        <v>46</v>
      </c>
      <c r="AC188" s="97">
        <v>555</v>
      </c>
      <c r="AD188" s="97">
        <v>73</v>
      </c>
      <c r="AE188" s="97">
        <v>25</v>
      </c>
      <c r="AF188" s="97">
        <v>216</v>
      </c>
      <c r="AG188" s="97">
        <v>515.5</v>
      </c>
      <c r="AH188" s="97">
        <v>44</v>
      </c>
      <c r="AI188" s="97">
        <v>185</v>
      </c>
    </row>
    <row r="189" spans="1:35" ht="15" customHeight="1">
      <c r="A189" s="97" t="s">
        <v>3257</v>
      </c>
      <c r="B189" s="97" t="s">
        <v>3257</v>
      </c>
      <c r="C189" s="97" t="s">
        <v>146</v>
      </c>
      <c r="D189" s="97" t="s">
        <v>3198</v>
      </c>
      <c r="E189" s="97" t="s">
        <v>9</v>
      </c>
      <c r="F189" s="97">
        <v>92</v>
      </c>
      <c r="G189" s="97">
        <v>47</v>
      </c>
      <c r="H189" s="97">
        <v>779</v>
      </c>
      <c r="I189" s="97">
        <v>88</v>
      </c>
      <c r="J189" s="97">
        <v>34</v>
      </c>
      <c r="K189" s="97">
        <v>206</v>
      </c>
      <c r="L189" s="97">
        <v>101.5</v>
      </c>
      <c r="M189" s="97">
        <v>35</v>
      </c>
      <c r="N189" s="97">
        <v>225</v>
      </c>
      <c r="O189" s="97">
        <v>93</v>
      </c>
      <c r="P189" s="97">
        <v>6</v>
      </c>
      <c r="Q189" s="97">
        <v>68</v>
      </c>
      <c r="R189" s="97">
        <v>65</v>
      </c>
      <c r="S189" s="97">
        <v>43</v>
      </c>
      <c r="T189" s="97">
        <v>223</v>
      </c>
      <c r="U189" s="97">
        <v>76</v>
      </c>
      <c r="V189" s="97">
        <v>42</v>
      </c>
      <c r="W189" s="97">
        <v>308</v>
      </c>
      <c r="X189" s="97">
        <v>78</v>
      </c>
      <c r="Y189" s="97">
        <v>27</v>
      </c>
      <c r="Z189" s="97">
        <v>209</v>
      </c>
      <c r="AA189" s="97">
        <v>66</v>
      </c>
      <c r="AB189" s="97">
        <v>16</v>
      </c>
      <c r="AC189" s="97">
        <v>80</v>
      </c>
      <c r="AD189" s="97">
        <v>73</v>
      </c>
      <c r="AE189" s="97">
        <v>25</v>
      </c>
      <c r="AF189" s="97">
        <v>216</v>
      </c>
      <c r="AG189" s="97">
        <v>515.5</v>
      </c>
      <c r="AH189" s="97">
        <v>44</v>
      </c>
      <c r="AI189" s="97">
        <v>185</v>
      </c>
    </row>
    <row r="190" spans="1:35" ht="15" customHeight="1">
      <c r="A190" s="97" t="s">
        <v>1675</v>
      </c>
      <c r="B190" s="97" t="s">
        <v>1675</v>
      </c>
      <c r="C190" s="97" t="s">
        <v>1667</v>
      </c>
      <c r="D190" s="97" t="s">
        <v>3198</v>
      </c>
      <c r="E190" s="97" t="s">
        <v>9</v>
      </c>
      <c r="F190" s="97">
        <v>96</v>
      </c>
      <c r="G190" s="97">
        <v>44</v>
      </c>
      <c r="H190" s="97">
        <v>676</v>
      </c>
      <c r="I190" s="97">
        <v>83</v>
      </c>
      <c r="J190" s="97">
        <v>39</v>
      </c>
      <c r="K190" s="97">
        <v>267</v>
      </c>
      <c r="L190" s="97">
        <v>101</v>
      </c>
      <c r="M190" s="97">
        <v>36</v>
      </c>
      <c r="N190" s="97">
        <v>234</v>
      </c>
      <c r="O190" s="97">
        <v>95</v>
      </c>
      <c r="P190" s="97">
        <v>5</v>
      </c>
      <c r="Q190" s="97">
        <v>50</v>
      </c>
      <c r="R190" s="97">
        <v>67</v>
      </c>
      <c r="S190" s="97">
        <v>38</v>
      </c>
      <c r="T190" s="97">
        <v>177</v>
      </c>
      <c r="U190" s="97">
        <v>73</v>
      </c>
      <c r="V190" s="97">
        <v>47</v>
      </c>
      <c r="W190" s="97">
        <v>393</v>
      </c>
      <c r="X190" s="97">
        <v>81</v>
      </c>
      <c r="Y190" s="97">
        <v>17</v>
      </c>
      <c r="Z190" s="97">
        <v>124</v>
      </c>
      <c r="AA190" s="97">
        <v>73</v>
      </c>
      <c r="AB190" s="97">
        <v>5</v>
      </c>
      <c r="AC190" s="97">
        <v>19</v>
      </c>
      <c r="AD190" s="97">
        <v>80</v>
      </c>
      <c r="AE190" s="97">
        <v>8</v>
      </c>
      <c r="AF190" s="97">
        <v>54</v>
      </c>
      <c r="AG190" s="97">
        <v>515</v>
      </c>
      <c r="AH190" s="97">
        <v>46</v>
      </c>
      <c r="AI190" s="97">
        <v>187</v>
      </c>
    </row>
    <row r="191" spans="1:35" ht="15" customHeight="1">
      <c r="A191" s="97" t="s">
        <v>2558</v>
      </c>
      <c r="B191" s="97" t="s">
        <v>2558</v>
      </c>
      <c r="C191" s="97" t="s">
        <v>2559</v>
      </c>
      <c r="D191" s="97" t="s">
        <v>3198</v>
      </c>
      <c r="E191" s="97" t="s">
        <v>131</v>
      </c>
      <c r="F191" s="97">
        <v>100</v>
      </c>
      <c r="G191" s="97">
        <v>19</v>
      </c>
      <c r="H191" s="97">
        <v>528</v>
      </c>
      <c r="I191" s="97">
        <v>83</v>
      </c>
      <c r="J191" s="97">
        <v>9</v>
      </c>
      <c r="K191" s="97">
        <v>267</v>
      </c>
      <c r="L191" s="97">
        <v>98.5</v>
      </c>
      <c r="M191" s="97">
        <v>11</v>
      </c>
      <c r="N191" s="97">
        <v>285</v>
      </c>
      <c r="O191" s="97">
        <v>90</v>
      </c>
      <c r="P191" s="97">
        <v>3</v>
      </c>
      <c r="Q191" s="97">
        <v>90</v>
      </c>
      <c r="R191" s="97">
        <v>62</v>
      </c>
      <c r="S191" s="97">
        <v>11</v>
      </c>
      <c r="T191" s="97">
        <v>277</v>
      </c>
      <c r="U191" s="97">
        <v>81</v>
      </c>
      <c r="V191" s="97">
        <v>4</v>
      </c>
      <c r="W191" s="97">
        <v>183</v>
      </c>
      <c r="X191" s="97">
        <v>71</v>
      </c>
      <c r="Y191" s="97">
        <v>20</v>
      </c>
      <c r="Z191" s="97">
        <v>439</v>
      </c>
      <c r="AA191" s="97">
        <v>68</v>
      </c>
      <c r="AB191" s="97">
        <v>3</v>
      </c>
      <c r="AC191" s="97">
        <v>54</v>
      </c>
      <c r="AD191" s="97">
        <v>70</v>
      </c>
      <c r="AE191" s="97">
        <v>22</v>
      </c>
      <c r="AF191" s="97">
        <v>327</v>
      </c>
      <c r="AG191" s="97">
        <v>514.5</v>
      </c>
      <c r="AH191" s="97">
        <v>2</v>
      </c>
      <c r="AI191" s="97">
        <v>188</v>
      </c>
    </row>
    <row r="192" spans="1:35" ht="15" customHeight="1">
      <c r="A192" s="97" t="s">
        <v>2086</v>
      </c>
      <c r="B192" s="97" t="s">
        <v>2086</v>
      </c>
      <c r="C192" s="97" t="s">
        <v>1751</v>
      </c>
      <c r="D192" s="97" t="s">
        <v>3198</v>
      </c>
      <c r="E192" s="97" t="s">
        <v>109</v>
      </c>
      <c r="F192" s="97">
        <v>120</v>
      </c>
      <c r="G192" s="97">
        <v>4</v>
      </c>
      <c r="H192" s="97">
        <v>21</v>
      </c>
      <c r="I192" s="97">
        <v>69</v>
      </c>
      <c r="J192" s="97">
        <v>25</v>
      </c>
      <c r="K192" s="97">
        <v>524</v>
      </c>
      <c r="L192" s="97">
        <v>111.5</v>
      </c>
      <c r="M192" s="97">
        <v>6</v>
      </c>
      <c r="N192" s="97">
        <v>91</v>
      </c>
      <c r="O192" s="97">
        <v>85</v>
      </c>
      <c r="P192" s="97">
        <v>6</v>
      </c>
      <c r="Q192" s="97">
        <v>135</v>
      </c>
      <c r="R192" s="97">
        <v>53</v>
      </c>
      <c r="S192" s="97">
        <v>32</v>
      </c>
      <c r="T192" s="97">
        <v>526</v>
      </c>
      <c r="U192" s="97">
        <v>76</v>
      </c>
      <c r="V192" s="97">
        <v>15</v>
      </c>
      <c r="W192" s="97">
        <v>308</v>
      </c>
      <c r="X192" s="97">
        <v>72</v>
      </c>
      <c r="Y192" s="97">
        <v>22</v>
      </c>
      <c r="Z192" s="97">
        <v>396</v>
      </c>
      <c r="AA192" s="97">
        <v>59</v>
      </c>
      <c r="AB192" s="97">
        <v>7</v>
      </c>
      <c r="AC192" s="97">
        <v>233</v>
      </c>
      <c r="AD192" s="97">
        <v>71</v>
      </c>
      <c r="AE192" s="97">
        <v>14</v>
      </c>
      <c r="AF192" s="97">
        <v>290</v>
      </c>
      <c r="AG192" s="97">
        <v>514.5</v>
      </c>
      <c r="AH192" s="97">
        <v>10</v>
      </c>
      <c r="AI192" s="97">
        <v>188</v>
      </c>
    </row>
    <row r="193" spans="1:35" ht="15" customHeight="1">
      <c r="A193" s="97" t="s">
        <v>2255</v>
      </c>
      <c r="B193" s="97" t="s">
        <v>2255</v>
      </c>
      <c r="C193" s="97" t="s">
        <v>2256</v>
      </c>
      <c r="D193" s="97" t="s">
        <v>3198</v>
      </c>
      <c r="E193" s="97" t="s">
        <v>73</v>
      </c>
      <c r="F193" s="97">
        <v>103</v>
      </c>
      <c r="G193" s="97">
        <v>21</v>
      </c>
      <c r="H193" s="97">
        <v>400</v>
      </c>
      <c r="I193" s="97">
        <v>89</v>
      </c>
      <c r="J193" s="97">
        <v>4</v>
      </c>
      <c r="K193" s="97">
        <v>196</v>
      </c>
      <c r="L193" s="97">
        <v>104</v>
      </c>
      <c r="M193" s="97">
        <v>14</v>
      </c>
      <c r="N193" s="97">
        <v>188</v>
      </c>
      <c r="O193" s="97">
        <v>82</v>
      </c>
      <c r="P193" s="97">
        <v>7</v>
      </c>
      <c r="Q193" s="97">
        <v>174</v>
      </c>
      <c r="R193" s="97">
        <v>52</v>
      </c>
      <c r="S193" s="97">
        <v>28</v>
      </c>
      <c r="T193" s="97">
        <v>551</v>
      </c>
      <c r="U193" s="97">
        <v>84</v>
      </c>
      <c r="V193" s="97">
        <v>3</v>
      </c>
      <c r="W193" s="97">
        <v>123</v>
      </c>
      <c r="X193" s="97">
        <v>56</v>
      </c>
      <c r="Y193" s="97">
        <v>53</v>
      </c>
      <c r="Z193" s="97">
        <v>849</v>
      </c>
      <c r="AA193" s="97">
        <v>60</v>
      </c>
      <c r="AB193" s="97">
        <v>10</v>
      </c>
      <c r="AC193" s="97">
        <v>203</v>
      </c>
      <c r="AD193" s="97">
        <v>77</v>
      </c>
      <c r="AE193" s="97">
        <v>3</v>
      </c>
      <c r="AF193" s="97">
        <v>102</v>
      </c>
      <c r="AG193" s="97">
        <v>514</v>
      </c>
      <c r="AH193" s="97">
        <v>6</v>
      </c>
      <c r="AI193" s="97">
        <v>190</v>
      </c>
    </row>
    <row r="194" spans="1:35" ht="15" customHeight="1">
      <c r="A194" s="97" t="s">
        <v>2541</v>
      </c>
      <c r="B194" s="97" t="s">
        <v>2541</v>
      </c>
      <c r="C194" s="97" t="s">
        <v>1748</v>
      </c>
      <c r="D194" s="97" t="s">
        <v>3198</v>
      </c>
      <c r="E194" s="97" t="s">
        <v>131</v>
      </c>
      <c r="F194" s="97">
        <v>99</v>
      </c>
      <c r="G194" s="97">
        <v>22</v>
      </c>
      <c r="H194" s="97">
        <v>571</v>
      </c>
      <c r="I194" s="97">
        <v>106</v>
      </c>
      <c r="J194" s="97">
        <v>2</v>
      </c>
      <c r="K194" s="97">
        <v>54</v>
      </c>
      <c r="L194" s="97">
        <v>109</v>
      </c>
      <c r="M194" s="97">
        <v>2</v>
      </c>
      <c r="N194" s="97">
        <v>114</v>
      </c>
      <c r="O194" s="97">
        <v>67</v>
      </c>
      <c r="P194" s="97">
        <v>28</v>
      </c>
      <c r="Q194" s="97">
        <v>468</v>
      </c>
      <c r="R194" s="97">
        <v>60</v>
      </c>
      <c r="S194" s="97">
        <v>15</v>
      </c>
      <c r="T194" s="97">
        <v>322</v>
      </c>
      <c r="U194" s="97">
        <v>73</v>
      </c>
      <c r="V194" s="97">
        <v>18</v>
      </c>
      <c r="W194" s="97">
        <v>393</v>
      </c>
      <c r="X194" s="97">
        <v>62</v>
      </c>
      <c r="Y194" s="97">
        <v>40</v>
      </c>
      <c r="Z194" s="97">
        <v>729</v>
      </c>
      <c r="AA194" s="97">
        <v>46</v>
      </c>
      <c r="AB194" s="97">
        <v>47</v>
      </c>
      <c r="AC194" s="97">
        <v>755</v>
      </c>
      <c r="AD194" s="97">
        <v>61</v>
      </c>
      <c r="AE194" s="97">
        <v>46</v>
      </c>
      <c r="AF194" s="97">
        <v>703</v>
      </c>
      <c r="AG194" s="97">
        <v>514</v>
      </c>
      <c r="AH194" s="97">
        <v>3</v>
      </c>
      <c r="AI194" s="97">
        <v>190</v>
      </c>
    </row>
    <row r="195" spans="1:35" ht="15" customHeight="1">
      <c r="A195" s="97" t="s">
        <v>1429</v>
      </c>
      <c r="B195" s="97" t="s">
        <v>1429</v>
      </c>
      <c r="C195" s="97" t="s">
        <v>200</v>
      </c>
      <c r="D195" s="97" t="s">
        <v>3198</v>
      </c>
      <c r="E195" s="97" t="s">
        <v>56</v>
      </c>
      <c r="F195" s="97">
        <v>92</v>
      </c>
      <c r="G195" s="97">
        <v>42</v>
      </c>
      <c r="H195" s="97">
        <v>779</v>
      </c>
      <c r="I195" s="97">
        <v>94</v>
      </c>
      <c r="J195" s="97">
        <v>6</v>
      </c>
      <c r="K195" s="97">
        <v>141</v>
      </c>
      <c r="L195" s="97">
        <v>96</v>
      </c>
      <c r="M195" s="97">
        <v>16</v>
      </c>
      <c r="N195" s="97">
        <v>346</v>
      </c>
      <c r="O195" s="97">
        <v>92</v>
      </c>
      <c r="P195" s="97">
        <v>1</v>
      </c>
      <c r="Q195" s="97">
        <v>74</v>
      </c>
      <c r="R195" s="97">
        <v>60</v>
      </c>
      <c r="S195" s="97">
        <v>10</v>
      </c>
      <c r="T195" s="97">
        <v>322</v>
      </c>
      <c r="U195" s="97">
        <v>80</v>
      </c>
      <c r="V195" s="97">
        <v>18</v>
      </c>
      <c r="W195" s="97">
        <v>205</v>
      </c>
      <c r="X195" s="97">
        <v>68</v>
      </c>
      <c r="Y195" s="97">
        <v>36</v>
      </c>
      <c r="Z195" s="97">
        <v>541</v>
      </c>
      <c r="AA195" s="97">
        <v>40</v>
      </c>
      <c r="AB195" s="97">
        <v>50</v>
      </c>
      <c r="AC195" s="97">
        <v>881</v>
      </c>
      <c r="AD195" s="97">
        <v>65</v>
      </c>
      <c r="AE195" s="97">
        <v>29</v>
      </c>
      <c r="AF195" s="97">
        <v>548</v>
      </c>
      <c r="AG195" s="97">
        <v>514</v>
      </c>
      <c r="AH195" s="97">
        <v>5</v>
      </c>
      <c r="AI195" s="97">
        <v>190</v>
      </c>
    </row>
    <row r="196" spans="1:35" ht="15" customHeight="1">
      <c r="A196" s="97" t="s">
        <v>368</v>
      </c>
      <c r="B196" s="97" t="s">
        <v>368</v>
      </c>
      <c r="C196" s="97" t="s">
        <v>369</v>
      </c>
      <c r="D196" s="97" t="s">
        <v>3198</v>
      </c>
      <c r="E196" s="97" t="s">
        <v>28</v>
      </c>
      <c r="F196" s="97">
        <v>105</v>
      </c>
      <c r="G196" s="97">
        <v>17</v>
      </c>
      <c r="H196" s="97">
        <v>325</v>
      </c>
      <c r="I196" s="97">
        <v>68</v>
      </c>
      <c r="J196" s="97">
        <v>31</v>
      </c>
      <c r="K196" s="97">
        <v>540</v>
      </c>
      <c r="L196" s="97">
        <v>96</v>
      </c>
      <c r="M196" s="97">
        <v>21</v>
      </c>
      <c r="N196" s="97">
        <v>346</v>
      </c>
      <c r="O196" s="97">
        <v>85</v>
      </c>
      <c r="P196" s="97">
        <v>5</v>
      </c>
      <c r="Q196" s="97">
        <v>135</v>
      </c>
      <c r="R196" s="97">
        <v>76</v>
      </c>
      <c r="S196" s="97">
        <v>1</v>
      </c>
      <c r="T196" s="97">
        <v>73</v>
      </c>
      <c r="U196" s="97">
        <v>84</v>
      </c>
      <c r="V196" s="97">
        <v>5</v>
      </c>
      <c r="W196" s="97">
        <v>123</v>
      </c>
      <c r="X196" s="97">
        <v>77</v>
      </c>
      <c r="Y196" s="97">
        <v>11</v>
      </c>
      <c r="Z196" s="97">
        <v>240</v>
      </c>
      <c r="AA196" s="97">
        <v>67</v>
      </c>
      <c r="AB196" s="97">
        <v>3</v>
      </c>
      <c r="AC196" s="97">
        <v>66</v>
      </c>
      <c r="AD196" s="97">
        <v>77</v>
      </c>
      <c r="AE196" s="97">
        <v>4</v>
      </c>
      <c r="AF196" s="97">
        <v>102</v>
      </c>
      <c r="AG196" s="97">
        <v>514</v>
      </c>
      <c r="AH196" s="97">
        <v>8</v>
      </c>
      <c r="AI196" s="97">
        <v>190</v>
      </c>
    </row>
    <row r="197" spans="1:35" ht="15" customHeight="1">
      <c r="A197" s="97" t="s">
        <v>2851</v>
      </c>
      <c r="B197" s="97" t="s">
        <v>2851</v>
      </c>
      <c r="C197" s="97" t="s">
        <v>2852</v>
      </c>
      <c r="D197" s="97" t="s">
        <v>3198</v>
      </c>
      <c r="E197" s="97" t="s">
        <v>38</v>
      </c>
      <c r="F197" s="97">
        <v>114</v>
      </c>
      <c r="G197" s="97">
        <v>3</v>
      </c>
      <c r="H197" s="97">
        <v>80</v>
      </c>
      <c r="I197" s="97">
        <v>102</v>
      </c>
      <c r="J197" s="97">
        <v>2</v>
      </c>
      <c r="K197" s="97">
        <v>72</v>
      </c>
      <c r="L197" s="97">
        <v>97.5</v>
      </c>
      <c r="M197" s="97">
        <v>17</v>
      </c>
      <c r="N197" s="97">
        <v>310</v>
      </c>
      <c r="O197" s="97">
        <v>70</v>
      </c>
      <c r="P197" s="97">
        <v>17</v>
      </c>
      <c r="Q197" s="97">
        <v>400</v>
      </c>
      <c r="R197" s="97">
        <v>54</v>
      </c>
      <c r="S197" s="97">
        <v>20</v>
      </c>
      <c r="T197" s="97">
        <v>494</v>
      </c>
      <c r="U197" s="97">
        <v>76</v>
      </c>
      <c r="V197" s="97">
        <v>14</v>
      </c>
      <c r="W197" s="97">
        <v>308</v>
      </c>
      <c r="X197" s="97">
        <v>80</v>
      </c>
      <c r="Y197" s="97">
        <v>1</v>
      </c>
      <c r="Z197" s="97">
        <v>151</v>
      </c>
      <c r="AA197" s="97">
        <v>62</v>
      </c>
      <c r="AB197" s="97">
        <v>7</v>
      </c>
      <c r="AC197" s="97">
        <v>146</v>
      </c>
      <c r="AD197" s="97">
        <v>77</v>
      </c>
      <c r="AE197" s="97">
        <v>5</v>
      </c>
      <c r="AF197" s="97">
        <v>102</v>
      </c>
      <c r="AG197" s="97">
        <v>513.5</v>
      </c>
      <c r="AH197" s="97">
        <v>6</v>
      </c>
      <c r="AI197" s="97">
        <v>194</v>
      </c>
    </row>
    <row r="198" spans="1:35" ht="15" customHeight="1">
      <c r="A198" s="97" t="s">
        <v>2525</v>
      </c>
      <c r="B198" s="97" t="s">
        <v>2525</v>
      </c>
      <c r="C198" s="97" t="s">
        <v>1734</v>
      </c>
      <c r="D198" s="97" t="s">
        <v>3198</v>
      </c>
      <c r="E198" s="97" t="s">
        <v>131</v>
      </c>
      <c r="F198" s="97">
        <v>107</v>
      </c>
      <c r="G198" s="97">
        <v>5</v>
      </c>
      <c r="H198" s="97">
        <v>242</v>
      </c>
      <c r="I198" s="97">
        <v>83</v>
      </c>
      <c r="J198" s="97">
        <v>9</v>
      </c>
      <c r="K198" s="97">
        <v>267</v>
      </c>
      <c r="L198" s="97">
        <v>112</v>
      </c>
      <c r="M198" s="97">
        <v>1</v>
      </c>
      <c r="N198" s="97">
        <v>88</v>
      </c>
      <c r="O198" s="97">
        <v>78</v>
      </c>
      <c r="P198" s="97">
        <v>14</v>
      </c>
      <c r="Q198" s="97">
        <v>250</v>
      </c>
      <c r="R198" s="97">
        <v>61</v>
      </c>
      <c r="S198" s="97">
        <v>13</v>
      </c>
      <c r="T198" s="97">
        <v>300</v>
      </c>
      <c r="U198" s="97">
        <v>72</v>
      </c>
      <c r="V198" s="97">
        <v>21</v>
      </c>
      <c r="W198" s="97">
        <v>433</v>
      </c>
      <c r="X198" s="97">
        <v>62</v>
      </c>
      <c r="Y198" s="97">
        <v>40</v>
      </c>
      <c r="Z198" s="97">
        <v>729</v>
      </c>
      <c r="AA198" s="97">
        <v>51</v>
      </c>
      <c r="AB198" s="97">
        <v>40</v>
      </c>
      <c r="AC198" s="97">
        <v>555</v>
      </c>
      <c r="AD198" s="97">
        <v>71</v>
      </c>
      <c r="AE198" s="97">
        <v>16</v>
      </c>
      <c r="AF198" s="97">
        <v>290</v>
      </c>
      <c r="AG198" s="97">
        <v>513</v>
      </c>
      <c r="AH198" s="97">
        <v>4</v>
      </c>
      <c r="AI198" s="97">
        <v>195</v>
      </c>
    </row>
    <row r="199" spans="1:35" ht="15" customHeight="1">
      <c r="A199" s="97" t="s">
        <v>596</v>
      </c>
      <c r="B199" s="97" t="s">
        <v>596</v>
      </c>
      <c r="C199" s="97" t="s">
        <v>597</v>
      </c>
      <c r="D199" s="97" t="s">
        <v>3198</v>
      </c>
      <c r="E199" s="97" t="s">
        <v>17</v>
      </c>
      <c r="F199" s="97">
        <v>109</v>
      </c>
      <c r="G199" s="97">
        <v>16</v>
      </c>
      <c r="H199" s="97">
        <v>185</v>
      </c>
      <c r="I199" s="97">
        <v>86</v>
      </c>
      <c r="J199" s="97">
        <v>15</v>
      </c>
      <c r="K199" s="97">
        <v>233</v>
      </c>
      <c r="L199" s="97">
        <v>92</v>
      </c>
      <c r="M199" s="97">
        <v>26</v>
      </c>
      <c r="N199" s="97">
        <v>426</v>
      </c>
      <c r="O199" s="97">
        <v>77</v>
      </c>
      <c r="P199" s="97">
        <v>11</v>
      </c>
      <c r="Q199" s="97">
        <v>274</v>
      </c>
      <c r="R199" s="97">
        <v>71</v>
      </c>
      <c r="S199" s="97">
        <v>9</v>
      </c>
      <c r="T199" s="97">
        <v>123</v>
      </c>
      <c r="U199" s="97">
        <v>78</v>
      </c>
      <c r="V199" s="97">
        <v>10</v>
      </c>
      <c r="W199" s="97">
        <v>250</v>
      </c>
      <c r="X199" s="97">
        <v>80</v>
      </c>
      <c r="Y199" s="97">
        <v>13</v>
      </c>
      <c r="Z199" s="97">
        <v>151</v>
      </c>
      <c r="AA199" s="97">
        <v>57</v>
      </c>
      <c r="AB199" s="97">
        <v>20</v>
      </c>
      <c r="AC199" s="97">
        <v>306</v>
      </c>
      <c r="AD199" s="97">
        <v>72</v>
      </c>
      <c r="AE199" s="97">
        <v>16</v>
      </c>
      <c r="AF199" s="97">
        <v>256</v>
      </c>
      <c r="AG199" s="97">
        <v>513</v>
      </c>
      <c r="AH199" s="97">
        <v>7</v>
      </c>
      <c r="AI199" s="97">
        <v>195</v>
      </c>
    </row>
    <row r="200" spans="1:35" ht="15" customHeight="1">
      <c r="A200" s="97" t="s">
        <v>1722</v>
      </c>
      <c r="B200" s="97" t="s">
        <v>1722</v>
      </c>
      <c r="C200" s="97" t="s">
        <v>39</v>
      </c>
      <c r="D200" s="97" t="s">
        <v>3198</v>
      </c>
      <c r="E200" s="97" t="s">
        <v>9</v>
      </c>
      <c r="F200" s="97">
        <v>117</v>
      </c>
      <c r="G200" s="97">
        <v>5</v>
      </c>
      <c r="H200" s="97">
        <v>40</v>
      </c>
      <c r="I200" s="97">
        <v>76</v>
      </c>
      <c r="J200" s="97">
        <v>44</v>
      </c>
      <c r="K200" s="97">
        <v>391</v>
      </c>
      <c r="L200" s="97">
        <v>118.5</v>
      </c>
      <c r="M200" s="97">
        <v>9</v>
      </c>
      <c r="N200" s="97">
        <v>36</v>
      </c>
      <c r="O200" s="97">
        <v>66</v>
      </c>
      <c r="P200" s="97">
        <v>47</v>
      </c>
      <c r="Q200" s="97">
        <v>484</v>
      </c>
      <c r="R200" s="97">
        <v>66</v>
      </c>
      <c r="S200" s="97">
        <v>41</v>
      </c>
      <c r="T200" s="97">
        <v>204</v>
      </c>
      <c r="U200" s="97">
        <v>69</v>
      </c>
      <c r="V200" s="97">
        <v>50</v>
      </c>
      <c r="W200" s="97">
        <v>523</v>
      </c>
      <c r="X200" s="97">
        <v>79</v>
      </c>
      <c r="Y200" s="97">
        <v>23</v>
      </c>
      <c r="Z200" s="97">
        <v>175</v>
      </c>
      <c r="AA200" s="97">
        <v>64</v>
      </c>
      <c r="AB200" s="97">
        <v>18</v>
      </c>
      <c r="AC200" s="97">
        <v>103</v>
      </c>
      <c r="AD200" s="97">
        <v>67</v>
      </c>
      <c r="AE200" s="97">
        <v>38</v>
      </c>
      <c r="AF200" s="97">
        <v>471</v>
      </c>
      <c r="AG200" s="97">
        <v>512.5</v>
      </c>
      <c r="AH200" s="97">
        <v>47</v>
      </c>
      <c r="AI200" s="97">
        <v>197</v>
      </c>
    </row>
    <row r="201" spans="1:35" ht="15" customHeight="1">
      <c r="A201" s="97" t="s">
        <v>2270</v>
      </c>
      <c r="B201" s="97" t="s">
        <v>2270</v>
      </c>
      <c r="C201" s="97" t="s">
        <v>2274</v>
      </c>
      <c r="D201" s="97" t="s">
        <v>3198</v>
      </c>
      <c r="E201" s="97" t="s">
        <v>7</v>
      </c>
      <c r="F201" s="97">
        <v>101</v>
      </c>
      <c r="G201" s="97">
        <v>27</v>
      </c>
      <c r="H201" s="97">
        <v>481</v>
      </c>
      <c r="I201" s="97">
        <v>95</v>
      </c>
      <c r="J201" s="97">
        <v>4</v>
      </c>
      <c r="K201" s="97">
        <v>128</v>
      </c>
      <c r="L201" s="97">
        <v>87.5</v>
      </c>
      <c r="M201" s="97">
        <v>27</v>
      </c>
      <c r="N201" s="97">
        <v>541</v>
      </c>
      <c r="O201" s="97">
        <v>78</v>
      </c>
      <c r="P201" s="97">
        <v>9</v>
      </c>
      <c r="Q201" s="97">
        <v>250</v>
      </c>
      <c r="R201" s="97">
        <v>67</v>
      </c>
      <c r="S201" s="97">
        <v>5</v>
      </c>
      <c r="T201" s="97">
        <v>177</v>
      </c>
      <c r="U201" s="97">
        <v>84</v>
      </c>
      <c r="V201" s="97">
        <v>4</v>
      </c>
      <c r="W201" s="97">
        <v>123</v>
      </c>
      <c r="X201" s="97">
        <v>69</v>
      </c>
      <c r="Y201" s="97">
        <v>42</v>
      </c>
      <c r="Z201" s="97">
        <v>504</v>
      </c>
      <c r="AA201" s="97">
        <v>56</v>
      </c>
      <c r="AB201" s="97">
        <v>23</v>
      </c>
      <c r="AC201" s="97">
        <v>352</v>
      </c>
      <c r="AD201" s="97">
        <v>73</v>
      </c>
      <c r="AE201" s="97">
        <v>7</v>
      </c>
      <c r="AF201" s="97">
        <v>216</v>
      </c>
      <c r="AG201" s="97">
        <v>512.5</v>
      </c>
      <c r="AH201" s="97">
        <v>4</v>
      </c>
      <c r="AI201" s="97">
        <v>197</v>
      </c>
    </row>
    <row r="202" spans="1:35" ht="15" customHeight="1">
      <c r="A202" s="97" t="s">
        <v>2183</v>
      </c>
      <c r="B202" s="97" t="s">
        <v>2183</v>
      </c>
      <c r="C202" s="97" t="s">
        <v>2184</v>
      </c>
      <c r="D202" s="97" t="s">
        <v>3198</v>
      </c>
      <c r="E202" s="97" t="s">
        <v>73</v>
      </c>
      <c r="F202" s="97">
        <v>106</v>
      </c>
      <c r="G202" s="97">
        <v>13</v>
      </c>
      <c r="H202" s="97">
        <v>287</v>
      </c>
      <c r="I202" s="97">
        <v>63</v>
      </c>
      <c r="J202" s="97">
        <v>31</v>
      </c>
      <c r="K202" s="97">
        <v>642</v>
      </c>
      <c r="L202" s="97">
        <v>112.5</v>
      </c>
      <c r="M202" s="97">
        <v>3</v>
      </c>
      <c r="N202" s="97">
        <v>77</v>
      </c>
      <c r="O202" s="97">
        <v>75</v>
      </c>
      <c r="P202" s="97">
        <v>14</v>
      </c>
      <c r="Q202" s="97">
        <v>299</v>
      </c>
      <c r="R202" s="97">
        <v>76</v>
      </c>
      <c r="S202" s="97">
        <v>4</v>
      </c>
      <c r="T202" s="97">
        <v>73</v>
      </c>
      <c r="U202" s="97">
        <v>80</v>
      </c>
      <c r="V202" s="97">
        <v>8</v>
      </c>
      <c r="W202" s="97">
        <v>205</v>
      </c>
      <c r="X202" s="97">
        <v>79</v>
      </c>
      <c r="Y202" s="97">
        <v>5</v>
      </c>
      <c r="Z202" s="97">
        <v>175</v>
      </c>
      <c r="AA202" s="97">
        <v>56</v>
      </c>
      <c r="AB202" s="97">
        <v>21</v>
      </c>
      <c r="AC202" s="97">
        <v>352</v>
      </c>
      <c r="AD202" s="97">
        <v>70</v>
      </c>
      <c r="AE202" s="97">
        <v>20</v>
      </c>
      <c r="AF202" s="97">
        <v>327</v>
      </c>
      <c r="AG202" s="97">
        <v>512.5</v>
      </c>
      <c r="AH202" s="97">
        <v>7</v>
      </c>
      <c r="AI202" s="97">
        <v>197</v>
      </c>
    </row>
    <row r="203" spans="1:35" ht="15" customHeight="1">
      <c r="A203" s="97" t="s">
        <v>819</v>
      </c>
      <c r="B203" s="97" t="s">
        <v>819</v>
      </c>
      <c r="C203" s="97" t="s">
        <v>820</v>
      </c>
      <c r="D203" s="97" t="s">
        <v>3198</v>
      </c>
      <c r="E203" s="97" t="s">
        <v>117</v>
      </c>
      <c r="F203" s="97">
        <v>102</v>
      </c>
      <c r="G203" s="97">
        <v>23</v>
      </c>
      <c r="H203" s="97">
        <v>442</v>
      </c>
      <c r="I203" s="97">
        <v>116</v>
      </c>
      <c r="J203" s="97">
        <v>2</v>
      </c>
      <c r="K203" s="97">
        <v>22</v>
      </c>
      <c r="L203" s="97">
        <v>88</v>
      </c>
      <c r="M203" s="97">
        <v>32</v>
      </c>
      <c r="N203" s="97">
        <v>534</v>
      </c>
      <c r="O203" s="97">
        <v>81</v>
      </c>
      <c r="P203" s="97">
        <v>9</v>
      </c>
      <c r="Q203" s="97">
        <v>195</v>
      </c>
      <c r="R203" s="97">
        <v>59</v>
      </c>
      <c r="S203" s="97">
        <v>16</v>
      </c>
      <c r="T203" s="97">
        <v>348</v>
      </c>
      <c r="U203" s="97">
        <v>66</v>
      </c>
      <c r="V203" s="97">
        <v>32</v>
      </c>
      <c r="W203" s="97">
        <v>611</v>
      </c>
      <c r="X203" s="97">
        <v>62</v>
      </c>
      <c r="Y203" s="97">
        <v>45</v>
      </c>
      <c r="Z203" s="97">
        <v>729</v>
      </c>
      <c r="AA203" s="97">
        <v>47</v>
      </c>
      <c r="AB203" s="97">
        <v>42</v>
      </c>
      <c r="AC203" s="97">
        <v>719</v>
      </c>
      <c r="AD203" s="97">
        <v>66</v>
      </c>
      <c r="AE203" s="97">
        <v>32</v>
      </c>
      <c r="AF203" s="97">
        <v>511</v>
      </c>
      <c r="AG203" s="97">
        <v>512</v>
      </c>
      <c r="AH203" s="97">
        <v>6</v>
      </c>
      <c r="AI203" s="97">
        <v>200</v>
      </c>
    </row>
    <row r="204" spans="1:35" ht="15" customHeight="1">
      <c r="A204" s="97" t="s">
        <v>1781</v>
      </c>
      <c r="B204" s="97" t="s">
        <v>1781</v>
      </c>
      <c r="C204" s="97" t="s">
        <v>201</v>
      </c>
      <c r="D204" s="97" t="s">
        <v>3198</v>
      </c>
      <c r="E204" s="97" t="s">
        <v>34</v>
      </c>
      <c r="F204" s="97">
        <v>115</v>
      </c>
      <c r="G204" s="97">
        <v>3</v>
      </c>
      <c r="H204" s="97">
        <v>65</v>
      </c>
      <c r="I204" s="97">
        <v>78</v>
      </c>
      <c r="J204" s="97">
        <v>17</v>
      </c>
      <c r="K204" s="97">
        <v>353</v>
      </c>
      <c r="L204" s="97">
        <v>93.5</v>
      </c>
      <c r="M204" s="97">
        <v>20</v>
      </c>
      <c r="N204" s="97">
        <v>393</v>
      </c>
      <c r="O204" s="97">
        <v>76</v>
      </c>
      <c r="P204" s="97">
        <v>8</v>
      </c>
      <c r="Q204" s="97">
        <v>287</v>
      </c>
      <c r="R204" s="97">
        <v>63</v>
      </c>
      <c r="S204" s="97">
        <v>10</v>
      </c>
      <c r="T204" s="97">
        <v>262</v>
      </c>
      <c r="U204" s="97">
        <v>86</v>
      </c>
      <c r="V204" s="97">
        <v>3</v>
      </c>
      <c r="W204" s="97">
        <v>77</v>
      </c>
      <c r="X204" s="97">
        <v>64</v>
      </c>
      <c r="Y204" s="97">
        <v>47</v>
      </c>
      <c r="Z204" s="97">
        <v>680</v>
      </c>
      <c r="AA204" s="97">
        <v>64</v>
      </c>
      <c r="AB204" s="97">
        <v>4</v>
      </c>
      <c r="AC204" s="97">
        <v>103</v>
      </c>
      <c r="AD204" s="97">
        <v>75</v>
      </c>
      <c r="AE204" s="97">
        <v>4</v>
      </c>
      <c r="AF204" s="97">
        <v>146</v>
      </c>
      <c r="AG204" s="97">
        <v>511.5</v>
      </c>
      <c r="AH204" s="97">
        <v>6</v>
      </c>
      <c r="AI204" s="97">
        <v>201</v>
      </c>
    </row>
    <row r="205" spans="1:35" ht="15" customHeight="1">
      <c r="A205" s="97" t="s">
        <v>1511</v>
      </c>
      <c r="B205" s="97" t="s">
        <v>1511</v>
      </c>
      <c r="C205" s="97" t="s">
        <v>1512</v>
      </c>
      <c r="D205" s="97" t="s">
        <v>3198</v>
      </c>
      <c r="E205" s="97" t="s">
        <v>56</v>
      </c>
      <c r="F205" s="97">
        <v>107</v>
      </c>
      <c r="G205" s="97">
        <v>11</v>
      </c>
      <c r="H205" s="97">
        <v>242</v>
      </c>
      <c r="I205" s="97">
        <v>92</v>
      </c>
      <c r="J205" s="97">
        <v>7</v>
      </c>
      <c r="K205" s="97">
        <v>166</v>
      </c>
      <c r="L205" s="97">
        <v>92</v>
      </c>
      <c r="M205" s="97">
        <v>20</v>
      </c>
      <c r="N205" s="97">
        <v>426</v>
      </c>
      <c r="O205" s="97">
        <v>71</v>
      </c>
      <c r="P205" s="97">
        <v>15</v>
      </c>
      <c r="Q205" s="97">
        <v>378</v>
      </c>
      <c r="R205" s="97">
        <v>65</v>
      </c>
      <c r="S205" s="97">
        <v>6</v>
      </c>
      <c r="T205" s="97">
        <v>223</v>
      </c>
      <c r="U205" s="97">
        <v>84</v>
      </c>
      <c r="V205" s="97">
        <v>8</v>
      </c>
      <c r="W205" s="97">
        <v>123</v>
      </c>
      <c r="X205" s="97">
        <v>65</v>
      </c>
      <c r="Y205" s="97">
        <v>43</v>
      </c>
      <c r="Z205" s="97">
        <v>651</v>
      </c>
      <c r="AA205" s="97">
        <v>58</v>
      </c>
      <c r="AB205" s="97">
        <v>7</v>
      </c>
      <c r="AC205" s="97">
        <v>278</v>
      </c>
      <c r="AD205" s="97">
        <v>62</v>
      </c>
      <c r="AE205" s="97">
        <v>40</v>
      </c>
      <c r="AF205" s="97">
        <v>672</v>
      </c>
      <c r="AG205" s="97">
        <v>511</v>
      </c>
      <c r="AH205" s="97">
        <v>6</v>
      </c>
      <c r="AI205" s="97">
        <v>202</v>
      </c>
    </row>
    <row r="206" spans="1:35" ht="15" customHeight="1">
      <c r="A206" s="97" t="s">
        <v>1813</v>
      </c>
      <c r="B206" s="97" t="s">
        <v>1813</v>
      </c>
      <c r="C206" s="97" t="s">
        <v>1814</v>
      </c>
      <c r="D206" s="97" t="s">
        <v>3198</v>
      </c>
      <c r="E206" s="97" t="s">
        <v>34</v>
      </c>
      <c r="F206" s="97">
        <v>106</v>
      </c>
      <c r="G206" s="97">
        <v>19</v>
      </c>
      <c r="H206" s="97">
        <v>287</v>
      </c>
      <c r="I206" s="97">
        <v>80</v>
      </c>
      <c r="J206" s="97">
        <v>14</v>
      </c>
      <c r="K206" s="97">
        <v>325</v>
      </c>
      <c r="L206" s="97">
        <v>112.5</v>
      </c>
      <c r="M206" s="97">
        <v>6</v>
      </c>
      <c r="N206" s="97">
        <v>77</v>
      </c>
      <c r="O206" s="97">
        <v>71</v>
      </c>
      <c r="P206" s="97">
        <v>16</v>
      </c>
      <c r="Q206" s="97">
        <v>378</v>
      </c>
      <c r="R206" s="97">
        <v>66</v>
      </c>
      <c r="S206" s="97">
        <v>8</v>
      </c>
      <c r="T206" s="97">
        <v>204</v>
      </c>
      <c r="U206" s="97">
        <v>75</v>
      </c>
      <c r="V206" s="97">
        <v>11</v>
      </c>
      <c r="W206" s="97">
        <v>342</v>
      </c>
      <c r="X206" s="97">
        <v>84</v>
      </c>
      <c r="Y206" s="97">
        <v>6</v>
      </c>
      <c r="Z206" s="97">
        <v>59</v>
      </c>
      <c r="AA206" s="97">
        <v>43</v>
      </c>
      <c r="AB206" s="97">
        <v>49</v>
      </c>
      <c r="AC206" s="97">
        <v>824</v>
      </c>
      <c r="AD206" s="97">
        <v>64</v>
      </c>
      <c r="AE206" s="97">
        <v>34</v>
      </c>
      <c r="AF206" s="97">
        <v>586</v>
      </c>
      <c r="AG206" s="97">
        <v>510.5</v>
      </c>
      <c r="AH206" s="97">
        <v>7</v>
      </c>
      <c r="AI206" s="97">
        <v>203</v>
      </c>
    </row>
    <row r="207" spans="1:35" ht="15" customHeight="1">
      <c r="A207" s="97" t="s">
        <v>593</v>
      </c>
      <c r="B207" s="97" t="s">
        <v>593</v>
      </c>
      <c r="C207" s="97" t="s">
        <v>594</v>
      </c>
      <c r="D207" s="97" t="s">
        <v>3198</v>
      </c>
      <c r="E207" s="97" t="s">
        <v>17</v>
      </c>
      <c r="F207" s="97">
        <v>115</v>
      </c>
      <c r="G207" s="97">
        <v>6</v>
      </c>
      <c r="H207" s="97">
        <v>65</v>
      </c>
      <c r="I207" s="97">
        <v>99</v>
      </c>
      <c r="J207" s="97">
        <v>6</v>
      </c>
      <c r="K207" s="97">
        <v>93</v>
      </c>
      <c r="L207" s="97">
        <v>97.5</v>
      </c>
      <c r="M207" s="97">
        <v>16</v>
      </c>
      <c r="N207" s="97">
        <v>310</v>
      </c>
      <c r="O207" s="97">
        <v>69</v>
      </c>
      <c r="P207" s="97">
        <v>24</v>
      </c>
      <c r="Q207" s="97">
        <v>428</v>
      </c>
      <c r="R207" s="97">
        <v>65</v>
      </c>
      <c r="S207" s="97">
        <v>13</v>
      </c>
      <c r="T207" s="97">
        <v>223</v>
      </c>
      <c r="U207" s="97">
        <v>65</v>
      </c>
      <c r="V207" s="97">
        <v>41</v>
      </c>
      <c r="W207" s="97">
        <v>643</v>
      </c>
      <c r="X207" s="97">
        <v>64</v>
      </c>
      <c r="Y207" s="97">
        <v>46</v>
      </c>
      <c r="Z207" s="97">
        <v>680</v>
      </c>
      <c r="AA207" s="97">
        <v>52</v>
      </c>
      <c r="AB207" s="97">
        <v>34</v>
      </c>
      <c r="AC207" s="97">
        <v>509</v>
      </c>
      <c r="AD207" s="97">
        <v>53</v>
      </c>
      <c r="AE207" s="97">
        <v>53</v>
      </c>
      <c r="AF207" s="97">
        <v>869</v>
      </c>
      <c r="AG207" s="97">
        <v>510.5</v>
      </c>
      <c r="AH207" s="97">
        <v>8</v>
      </c>
      <c r="AI207" s="97">
        <v>203</v>
      </c>
    </row>
    <row r="208" spans="1:35" ht="15" customHeight="1">
      <c r="A208" s="97" t="s">
        <v>566</v>
      </c>
      <c r="B208" s="97" t="s">
        <v>566</v>
      </c>
      <c r="C208" s="97" t="s">
        <v>567</v>
      </c>
      <c r="D208" s="97" t="s">
        <v>3198</v>
      </c>
      <c r="E208" s="97" t="s">
        <v>17</v>
      </c>
      <c r="F208" s="97">
        <v>112</v>
      </c>
      <c r="G208" s="97">
        <v>9</v>
      </c>
      <c r="H208" s="97">
        <v>114</v>
      </c>
      <c r="I208" s="97">
        <v>90</v>
      </c>
      <c r="J208" s="97">
        <v>11</v>
      </c>
      <c r="K208" s="97">
        <v>183</v>
      </c>
      <c r="L208" s="97">
        <v>93.5</v>
      </c>
      <c r="M208" s="97">
        <v>21</v>
      </c>
      <c r="N208" s="97">
        <v>393</v>
      </c>
      <c r="O208" s="97">
        <v>69</v>
      </c>
      <c r="P208" s="97">
        <v>24</v>
      </c>
      <c r="Q208" s="97">
        <v>428</v>
      </c>
      <c r="R208" s="97">
        <v>67</v>
      </c>
      <c r="S208" s="97">
        <v>10</v>
      </c>
      <c r="T208" s="97">
        <v>177</v>
      </c>
      <c r="U208" s="97">
        <v>79</v>
      </c>
      <c r="V208" s="97">
        <v>8</v>
      </c>
      <c r="W208" s="97">
        <v>229</v>
      </c>
      <c r="X208" s="97">
        <v>72</v>
      </c>
      <c r="Y208" s="97">
        <v>27</v>
      </c>
      <c r="Z208" s="97">
        <v>396</v>
      </c>
      <c r="AA208" s="97">
        <v>45</v>
      </c>
      <c r="AB208" s="97">
        <v>53</v>
      </c>
      <c r="AC208" s="97">
        <v>781</v>
      </c>
      <c r="AD208" s="97">
        <v>71</v>
      </c>
      <c r="AE208" s="97">
        <v>19</v>
      </c>
      <c r="AF208" s="97">
        <v>290</v>
      </c>
      <c r="AG208" s="97">
        <v>510.5</v>
      </c>
      <c r="AH208" s="97">
        <v>8</v>
      </c>
      <c r="AI208" s="97">
        <v>203</v>
      </c>
    </row>
    <row r="209" spans="1:35" ht="15" customHeight="1">
      <c r="A209" s="97" t="s">
        <v>323</v>
      </c>
      <c r="B209" s="97" t="s">
        <v>323</v>
      </c>
      <c r="C209" s="97" t="s">
        <v>324</v>
      </c>
      <c r="D209" s="97" t="s">
        <v>3198</v>
      </c>
      <c r="E209" s="97" t="s">
        <v>28</v>
      </c>
      <c r="F209" s="97">
        <v>106</v>
      </c>
      <c r="G209" s="97">
        <v>15</v>
      </c>
      <c r="H209" s="97">
        <v>287</v>
      </c>
      <c r="I209" s="97">
        <v>77</v>
      </c>
      <c r="J209" s="97">
        <v>19</v>
      </c>
      <c r="K209" s="97">
        <v>369</v>
      </c>
      <c r="L209" s="97">
        <v>104.5</v>
      </c>
      <c r="M209" s="97">
        <v>8</v>
      </c>
      <c r="N209" s="97">
        <v>177</v>
      </c>
      <c r="O209" s="97">
        <v>78</v>
      </c>
      <c r="P209" s="97">
        <v>10</v>
      </c>
      <c r="Q209" s="97">
        <v>250</v>
      </c>
      <c r="R209" s="97">
        <v>70</v>
      </c>
      <c r="S209" s="97">
        <v>2</v>
      </c>
      <c r="T209" s="97">
        <v>136</v>
      </c>
      <c r="U209" s="97">
        <v>75</v>
      </c>
      <c r="V209" s="97">
        <v>19</v>
      </c>
      <c r="W209" s="97">
        <v>342</v>
      </c>
      <c r="X209" s="97">
        <v>73</v>
      </c>
      <c r="Y209" s="97">
        <v>19</v>
      </c>
      <c r="Z209" s="97">
        <v>359</v>
      </c>
      <c r="AA209" s="97">
        <v>51</v>
      </c>
      <c r="AB209" s="97">
        <v>39</v>
      </c>
      <c r="AC209" s="97">
        <v>555</v>
      </c>
      <c r="AD209" s="97">
        <v>66</v>
      </c>
      <c r="AE209" s="97">
        <v>31</v>
      </c>
      <c r="AF209" s="97">
        <v>511</v>
      </c>
      <c r="AG209" s="97">
        <v>510.5</v>
      </c>
      <c r="AH209" s="97">
        <v>9</v>
      </c>
      <c r="AI209" s="97">
        <v>203</v>
      </c>
    </row>
    <row r="210" spans="1:35" ht="15" customHeight="1">
      <c r="A210" s="97" t="s">
        <v>2237</v>
      </c>
      <c r="B210" s="97" t="s">
        <v>2237</v>
      </c>
      <c r="C210" s="97" t="s">
        <v>2238</v>
      </c>
      <c r="D210" s="97" t="s">
        <v>3198</v>
      </c>
      <c r="E210" s="97" t="s">
        <v>73</v>
      </c>
      <c r="F210" s="97">
        <v>100</v>
      </c>
      <c r="G210" s="97">
        <v>30</v>
      </c>
      <c r="H210" s="97">
        <v>528</v>
      </c>
      <c r="I210" s="97">
        <v>82</v>
      </c>
      <c r="J210" s="97">
        <v>9</v>
      </c>
      <c r="K210" s="97">
        <v>290</v>
      </c>
      <c r="L210" s="97">
        <v>108.5</v>
      </c>
      <c r="M210" s="97">
        <v>6</v>
      </c>
      <c r="N210" s="97">
        <v>123</v>
      </c>
      <c r="O210" s="97">
        <v>70</v>
      </c>
      <c r="P210" s="97">
        <v>20</v>
      </c>
      <c r="Q210" s="97">
        <v>400</v>
      </c>
      <c r="R210" s="97">
        <v>74</v>
      </c>
      <c r="S210" s="97">
        <v>5</v>
      </c>
      <c r="T210" s="97">
        <v>94</v>
      </c>
      <c r="U210" s="97">
        <v>76</v>
      </c>
      <c r="V210" s="97">
        <v>16</v>
      </c>
      <c r="W210" s="97">
        <v>308</v>
      </c>
      <c r="X210" s="97">
        <v>64</v>
      </c>
      <c r="Y210" s="97">
        <v>36</v>
      </c>
      <c r="Z210" s="97">
        <v>680</v>
      </c>
      <c r="AA210" s="97">
        <v>65</v>
      </c>
      <c r="AB210" s="97">
        <v>1</v>
      </c>
      <c r="AC210" s="97">
        <v>89</v>
      </c>
      <c r="AD210" s="97">
        <v>80</v>
      </c>
      <c r="AE210" s="97">
        <v>2</v>
      </c>
      <c r="AF210" s="97">
        <v>54</v>
      </c>
      <c r="AG210" s="97">
        <v>510.5</v>
      </c>
      <c r="AH210" s="97">
        <v>8</v>
      </c>
      <c r="AI210" s="97">
        <v>203</v>
      </c>
    </row>
    <row r="211" spans="1:35" ht="15" customHeight="1">
      <c r="A211" s="97" t="s">
        <v>2656</v>
      </c>
      <c r="B211" s="97" t="s">
        <v>2656</v>
      </c>
      <c r="C211" s="97" t="s">
        <v>2660</v>
      </c>
      <c r="D211" s="97" t="s">
        <v>3198</v>
      </c>
      <c r="E211" s="97" t="s">
        <v>49</v>
      </c>
      <c r="F211" s="97">
        <v>117</v>
      </c>
      <c r="G211" s="97">
        <v>3</v>
      </c>
      <c r="H211" s="97">
        <v>40</v>
      </c>
      <c r="I211" s="97">
        <v>104</v>
      </c>
      <c r="J211" s="97">
        <v>4</v>
      </c>
      <c r="K211" s="97">
        <v>61</v>
      </c>
      <c r="L211" s="97">
        <v>99.5</v>
      </c>
      <c r="M211" s="97">
        <v>18</v>
      </c>
      <c r="N211" s="97">
        <v>269</v>
      </c>
      <c r="O211" s="97">
        <v>72</v>
      </c>
      <c r="P211" s="97">
        <v>23</v>
      </c>
      <c r="Q211" s="97">
        <v>358</v>
      </c>
      <c r="R211" s="97">
        <v>54</v>
      </c>
      <c r="S211" s="97">
        <v>28</v>
      </c>
      <c r="T211" s="97">
        <v>494</v>
      </c>
      <c r="U211" s="97">
        <v>64</v>
      </c>
      <c r="V211" s="97">
        <v>36</v>
      </c>
      <c r="W211" s="97">
        <v>667</v>
      </c>
      <c r="X211" s="97">
        <v>69</v>
      </c>
      <c r="Y211" s="97">
        <v>16</v>
      </c>
      <c r="Z211" s="97">
        <v>504</v>
      </c>
      <c r="AA211" s="97">
        <v>43</v>
      </c>
      <c r="AB211" s="97">
        <v>40</v>
      </c>
      <c r="AC211" s="97">
        <v>824</v>
      </c>
      <c r="AD211" s="97">
        <v>60</v>
      </c>
      <c r="AE211" s="97">
        <v>31</v>
      </c>
      <c r="AF211" s="97">
        <v>727</v>
      </c>
      <c r="AG211" s="97">
        <v>510.5</v>
      </c>
      <c r="AH211" s="97">
        <v>14</v>
      </c>
      <c r="AI211" s="97">
        <v>203</v>
      </c>
    </row>
    <row r="212" spans="1:35" ht="15" customHeight="1">
      <c r="A212" s="97" t="s">
        <v>2010</v>
      </c>
      <c r="B212" s="97" t="s">
        <v>2010</v>
      </c>
      <c r="C212" s="97" t="s">
        <v>2011</v>
      </c>
      <c r="D212" s="97" t="s">
        <v>3198</v>
      </c>
      <c r="E212" s="97" t="s">
        <v>109</v>
      </c>
      <c r="F212" s="97">
        <v>100</v>
      </c>
      <c r="G212" s="97">
        <v>32</v>
      </c>
      <c r="H212" s="97">
        <v>528</v>
      </c>
      <c r="I212" s="97">
        <v>87</v>
      </c>
      <c r="J212" s="97">
        <v>10</v>
      </c>
      <c r="K212" s="97">
        <v>220</v>
      </c>
      <c r="L212" s="97">
        <v>97</v>
      </c>
      <c r="M212" s="97">
        <v>19</v>
      </c>
      <c r="N212" s="97">
        <v>327</v>
      </c>
      <c r="O212" s="97">
        <v>69</v>
      </c>
      <c r="P212" s="97">
        <v>26</v>
      </c>
      <c r="Q212" s="97">
        <v>428</v>
      </c>
      <c r="R212" s="97">
        <v>73</v>
      </c>
      <c r="S212" s="97">
        <v>4</v>
      </c>
      <c r="T212" s="97">
        <v>106</v>
      </c>
      <c r="U212" s="97">
        <v>83</v>
      </c>
      <c r="V212" s="97">
        <v>11</v>
      </c>
      <c r="W212" s="97">
        <v>145</v>
      </c>
      <c r="X212" s="97">
        <v>74</v>
      </c>
      <c r="Y212" s="97">
        <v>16</v>
      </c>
      <c r="Z212" s="97">
        <v>326</v>
      </c>
      <c r="AA212" s="97">
        <v>55</v>
      </c>
      <c r="AB212" s="97">
        <v>16</v>
      </c>
      <c r="AC212" s="97">
        <v>392</v>
      </c>
      <c r="AD212" s="97">
        <v>64</v>
      </c>
      <c r="AE212" s="97">
        <v>33</v>
      </c>
      <c r="AF212" s="97">
        <v>586</v>
      </c>
      <c r="AG212" s="97">
        <v>509</v>
      </c>
      <c r="AH212" s="97">
        <v>11</v>
      </c>
      <c r="AI212" s="97">
        <v>209</v>
      </c>
    </row>
    <row r="213" spans="1:35" ht="15" customHeight="1">
      <c r="A213" s="97" t="s">
        <v>539</v>
      </c>
      <c r="B213" s="97" t="s">
        <v>539</v>
      </c>
      <c r="C213" s="97" t="s">
        <v>540</v>
      </c>
      <c r="D213" s="97" t="s">
        <v>3198</v>
      </c>
      <c r="E213" s="97" t="s">
        <v>17</v>
      </c>
      <c r="F213" s="97">
        <v>113</v>
      </c>
      <c r="G213" s="97">
        <v>7</v>
      </c>
      <c r="H213" s="97">
        <v>95</v>
      </c>
      <c r="I213" s="97">
        <v>83</v>
      </c>
      <c r="J213" s="97">
        <v>18</v>
      </c>
      <c r="K213" s="97">
        <v>267</v>
      </c>
      <c r="L213" s="97">
        <v>116</v>
      </c>
      <c r="M213" s="97">
        <v>2</v>
      </c>
      <c r="N213" s="97">
        <v>51</v>
      </c>
      <c r="O213" s="97">
        <v>70</v>
      </c>
      <c r="P213" s="97">
        <v>23</v>
      </c>
      <c r="Q213" s="97">
        <v>400</v>
      </c>
      <c r="R213" s="97">
        <v>49</v>
      </c>
      <c r="S213" s="97">
        <v>40</v>
      </c>
      <c r="T213" s="97">
        <v>624</v>
      </c>
      <c r="U213" s="97">
        <v>78</v>
      </c>
      <c r="V213" s="97">
        <v>10</v>
      </c>
      <c r="W213" s="97">
        <v>250</v>
      </c>
      <c r="X213" s="97">
        <v>91</v>
      </c>
      <c r="Y213" s="97">
        <v>1</v>
      </c>
      <c r="Z213" s="97">
        <v>1</v>
      </c>
      <c r="AA213" s="97">
        <v>59</v>
      </c>
      <c r="AB213" s="97">
        <v>14</v>
      </c>
      <c r="AC213" s="97">
        <v>233</v>
      </c>
      <c r="AD213" s="97">
        <v>73</v>
      </c>
      <c r="AE213" s="97">
        <v>12</v>
      </c>
      <c r="AF213" s="97">
        <v>216</v>
      </c>
      <c r="AG213" s="97">
        <v>509</v>
      </c>
      <c r="AH213" s="97">
        <v>10</v>
      </c>
      <c r="AI213" s="97">
        <v>209</v>
      </c>
    </row>
    <row r="214" spans="1:35" ht="15" customHeight="1">
      <c r="A214" s="97" t="s">
        <v>1861</v>
      </c>
      <c r="B214" s="97" t="s">
        <v>1861</v>
      </c>
      <c r="C214" s="97" t="s">
        <v>1862</v>
      </c>
      <c r="D214" s="97" t="s">
        <v>3198</v>
      </c>
      <c r="E214" s="97" t="s">
        <v>34</v>
      </c>
      <c r="F214" s="97">
        <v>108</v>
      </c>
      <c r="G214" s="97">
        <v>17</v>
      </c>
      <c r="H214" s="97">
        <v>212</v>
      </c>
      <c r="I214" s="97">
        <v>95</v>
      </c>
      <c r="J214" s="97">
        <v>5</v>
      </c>
      <c r="K214" s="97">
        <v>128</v>
      </c>
      <c r="L214" s="97">
        <v>96.5</v>
      </c>
      <c r="M214" s="97">
        <v>16</v>
      </c>
      <c r="N214" s="97">
        <v>337</v>
      </c>
      <c r="O214" s="97">
        <v>70</v>
      </c>
      <c r="P214" s="97">
        <v>18</v>
      </c>
      <c r="Q214" s="97">
        <v>400</v>
      </c>
      <c r="R214" s="97">
        <v>69</v>
      </c>
      <c r="S214" s="97">
        <v>6</v>
      </c>
      <c r="T214" s="97">
        <v>152</v>
      </c>
      <c r="U214" s="97">
        <v>70</v>
      </c>
      <c r="V214" s="97">
        <v>22</v>
      </c>
      <c r="W214" s="97">
        <v>485</v>
      </c>
      <c r="X214" s="97">
        <v>87</v>
      </c>
      <c r="Y214" s="97">
        <v>2</v>
      </c>
      <c r="Z214" s="97">
        <v>25</v>
      </c>
      <c r="AA214" s="97">
        <v>60</v>
      </c>
      <c r="AB214" s="97">
        <v>9</v>
      </c>
      <c r="AC214" s="97">
        <v>203</v>
      </c>
      <c r="AD214" s="97">
        <v>51</v>
      </c>
      <c r="AE214" s="97">
        <v>55</v>
      </c>
      <c r="AF214" s="97">
        <v>890</v>
      </c>
      <c r="AG214" s="97">
        <v>508.5</v>
      </c>
      <c r="AH214" s="97">
        <v>8</v>
      </c>
      <c r="AI214" s="97">
        <v>211</v>
      </c>
    </row>
    <row r="215" spans="1:35" ht="15" customHeight="1">
      <c r="A215" s="97" t="s">
        <v>2571</v>
      </c>
      <c r="B215" s="97" t="s">
        <v>2571</v>
      </c>
      <c r="C215" s="97" t="s">
        <v>2572</v>
      </c>
      <c r="D215" s="97" t="s">
        <v>3198</v>
      </c>
      <c r="E215" s="97" t="s">
        <v>131</v>
      </c>
      <c r="F215" s="97">
        <v>101</v>
      </c>
      <c r="G215" s="97">
        <v>17</v>
      </c>
      <c r="H215" s="97">
        <v>481</v>
      </c>
      <c r="I215" s="97">
        <v>95</v>
      </c>
      <c r="J215" s="97">
        <v>4</v>
      </c>
      <c r="K215" s="97">
        <v>128</v>
      </c>
      <c r="L215" s="97">
        <v>81.5</v>
      </c>
      <c r="M215" s="97">
        <v>34</v>
      </c>
      <c r="N215" s="97">
        <v>673</v>
      </c>
      <c r="O215" s="97">
        <v>82</v>
      </c>
      <c r="P215" s="97">
        <v>9</v>
      </c>
      <c r="Q215" s="97">
        <v>174</v>
      </c>
      <c r="R215" s="97">
        <v>72</v>
      </c>
      <c r="S215" s="97">
        <v>1</v>
      </c>
      <c r="T215" s="97">
        <v>115</v>
      </c>
      <c r="U215" s="97">
        <v>77</v>
      </c>
      <c r="V215" s="97">
        <v>14</v>
      </c>
      <c r="W215" s="97">
        <v>275</v>
      </c>
      <c r="X215" s="97">
        <v>62</v>
      </c>
      <c r="Y215" s="97">
        <v>40</v>
      </c>
      <c r="Z215" s="97">
        <v>729</v>
      </c>
      <c r="AA215" s="97">
        <v>57</v>
      </c>
      <c r="AB215" s="97">
        <v>27</v>
      </c>
      <c r="AC215" s="97">
        <v>306</v>
      </c>
      <c r="AD215" s="97">
        <v>73</v>
      </c>
      <c r="AE215" s="97">
        <v>12</v>
      </c>
      <c r="AF215" s="97">
        <v>216</v>
      </c>
      <c r="AG215" s="97">
        <v>508.5</v>
      </c>
      <c r="AH215" s="97">
        <v>5</v>
      </c>
      <c r="AI215" s="97">
        <v>211</v>
      </c>
    </row>
    <row r="216" spans="1:35" ht="15" customHeight="1">
      <c r="A216" s="97" t="s">
        <v>2042</v>
      </c>
      <c r="B216" s="97" t="s">
        <v>2042</v>
      </c>
      <c r="C216" s="97" t="s">
        <v>2043</v>
      </c>
      <c r="D216" s="97" t="s">
        <v>3198</v>
      </c>
      <c r="E216" s="97" t="s">
        <v>109</v>
      </c>
      <c r="F216" s="97">
        <v>106</v>
      </c>
      <c r="G216" s="97">
        <v>20</v>
      </c>
      <c r="H216" s="97">
        <v>287</v>
      </c>
      <c r="I216" s="97">
        <v>71</v>
      </c>
      <c r="J216" s="97">
        <v>23</v>
      </c>
      <c r="K216" s="97">
        <v>475</v>
      </c>
      <c r="L216" s="97">
        <v>92</v>
      </c>
      <c r="M216" s="97">
        <v>28</v>
      </c>
      <c r="N216" s="97">
        <v>426</v>
      </c>
      <c r="O216" s="97">
        <v>79</v>
      </c>
      <c r="P216" s="97">
        <v>15</v>
      </c>
      <c r="Q216" s="97">
        <v>228</v>
      </c>
      <c r="R216" s="97">
        <v>71</v>
      </c>
      <c r="S216" s="97">
        <v>5</v>
      </c>
      <c r="T216" s="97">
        <v>123</v>
      </c>
      <c r="U216" s="97">
        <v>89</v>
      </c>
      <c r="V216" s="97">
        <v>4</v>
      </c>
      <c r="W216" s="97">
        <v>34</v>
      </c>
      <c r="X216" s="97">
        <v>67</v>
      </c>
      <c r="Y216" s="97">
        <v>29</v>
      </c>
      <c r="Z216" s="97">
        <v>570</v>
      </c>
      <c r="AA216" s="97">
        <v>72</v>
      </c>
      <c r="AB216" s="97">
        <v>1</v>
      </c>
      <c r="AC216" s="97">
        <v>25</v>
      </c>
      <c r="AD216" s="97">
        <v>77</v>
      </c>
      <c r="AE216" s="97">
        <v>9</v>
      </c>
      <c r="AF216" s="97">
        <v>102</v>
      </c>
      <c r="AG216" s="97">
        <v>508</v>
      </c>
      <c r="AH216" s="97">
        <v>12</v>
      </c>
      <c r="AI216" s="97">
        <v>213</v>
      </c>
    </row>
    <row r="217" spans="1:35" ht="15" customHeight="1">
      <c r="A217" s="97" t="s">
        <v>1807</v>
      </c>
      <c r="B217" s="97" t="s">
        <v>1807</v>
      </c>
      <c r="C217" s="97" t="s">
        <v>1808</v>
      </c>
      <c r="D217" s="97" t="s">
        <v>3198</v>
      </c>
      <c r="E217" s="97" t="s">
        <v>34</v>
      </c>
      <c r="F217" s="97">
        <v>106</v>
      </c>
      <c r="G217" s="97">
        <v>19</v>
      </c>
      <c r="H217" s="97">
        <v>287</v>
      </c>
      <c r="I217" s="97">
        <v>92</v>
      </c>
      <c r="J217" s="97">
        <v>6</v>
      </c>
      <c r="K217" s="97">
        <v>166</v>
      </c>
      <c r="L217" s="97">
        <v>89</v>
      </c>
      <c r="M217" s="97">
        <v>29</v>
      </c>
      <c r="N217" s="97">
        <v>509</v>
      </c>
      <c r="O217" s="97">
        <v>74</v>
      </c>
      <c r="P217" s="97">
        <v>11</v>
      </c>
      <c r="Q217" s="97">
        <v>317</v>
      </c>
      <c r="R217" s="97">
        <v>66</v>
      </c>
      <c r="S217" s="97">
        <v>8</v>
      </c>
      <c r="T217" s="97">
        <v>204</v>
      </c>
      <c r="U217" s="97">
        <v>81</v>
      </c>
      <c r="V217" s="97">
        <v>5</v>
      </c>
      <c r="W217" s="97">
        <v>183</v>
      </c>
      <c r="X217" s="97">
        <v>71</v>
      </c>
      <c r="Y217" s="97">
        <v>30</v>
      </c>
      <c r="Z217" s="97">
        <v>439</v>
      </c>
      <c r="AA217" s="97">
        <v>50</v>
      </c>
      <c r="AB217" s="97">
        <v>32</v>
      </c>
      <c r="AC217" s="97">
        <v>591</v>
      </c>
      <c r="AD217" s="97">
        <v>75</v>
      </c>
      <c r="AE217" s="97">
        <v>4</v>
      </c>
      <c r="AF217" s="97">
        <v>146</v>
      </c>
      <c r="AG217" s="97">
        <v>508</v>
      </c>
      <c r="AH217" s="97">
        <v>9</v>
      </c>
      <c r="AI217" s="97">
        <v>213</v>
      </c>
    </row>
    <row r="218" spans="1:35" ht="15" customHeight="1">
      <c r="A218" s="97" t="s">
        <v>1095</v>
      </c>
      <c r="B218" s="97" t="s">
        <v>1095</v>
      </c>
      <c r="C218" s="97" t="s">
        <v>1096</v>
      </c>
      <c r="D218" s="97" t="s">
        <v>3198</v>
      </c>
      <c r="E218" s="97" t="s">
        <v>68</v>
      </c>
      <c r="F218" s="97">
        <v>89</v>
      </c>
      <c r="G218" s="97">
        <v>52</v>
      </c>
      <c r="H218" s="97">
        <v>835</v>
      </c>
      <c r="I218" s="97">
        <v>94</v>
      </c>
      <c r="J218" s="97">
        <v>11</v>
      </c>
      <c r="K218" s="97">
        <v>141</v>
      </c>
      <c r="L218" s="97">
        <v>104</v>
      </c>
      <c r="M218" s="97">
        <v>6</v>
      </c>
      <c r="N218" s="97">
        <v>188</v>
      </c>
      <c r="O218" s="97">
        <v>83</v>
      </c>
      <c r="P218" s="97">
        <v>6</v>
      </c>
      <c r="Q218" s="97">
        <v>163</v>
      </c>
      <c r="R218" s="97">
        <v>70</v>
      </c>
      <c r="S218" s="97">
        <v>5</v>
      </c>
      <c r="T218" s="97">
        <v>136</v>
      </c>
      <c r="U218" s="97">
        <v>68</v>
      </c>
      <c r="V218" s="97">
        <v>33</v>
      </c>
      <c r="W218" s="97">
        <v>555</v>
      </c>
      <c r="X218" s="97">
        <v>54</v>
      </c>
      <c r="Y218" s="97">
        <v>51</v>
      </c>
      <c r="Z218" s="97">
        <v>880</v>
      </c>
      <c r="AA218" s="97">
        <v>50</v>
      </c>
      <c r="AB218" s="97">
        <v>28</v>
      </c>
      <c r="AC218" s="97">
        <v>591</v>
      </c>
      <c r="AD218" s="97">
        <v>56</v>
      </c>
      <c r="AE218" s="97">
        <v>49</v>
      </c>
      <c r="AF218" s="97">
        <v>817</v>
      </c>
      <c r="AG218" s="97">
        <v>508</v>
      </c>
      <c r="AH218" s="97">
        <v>10</v>
      </c>
      <c r="AI218" s="97">
        <v>213</v>
      </c>
    </row>
    <row r="219" spans="1:35" ht="15" customHeight="1">
      <c r="A219" s="97" t="s">
        <v>900</v>
      </c>
      <c r="B219" s="97" t="s">
        <v>900</v>
      </c>
      <c r="C219" s="97" t="s">
        <v>901</v>
      </c>
      <c r="D219" s="97" t="s">
        <v>3198</v>
      </c>
      <c r="E219" s="97" t="s">
        <v>60</v>
      </c>
      <c r="F219" s="97">
        <v>96</v>
      </c>
      <c r="G219" s="97">
        <v>48</v>
      </c>
      <c r="H219" s="97">
        <v>676</v>
      </c>
      <c r="I219" s="97">
        <v>93</v>
      </c>
      <c r="J219" s="97">
        <v>9</v>
      </c>
      <c r="K219" s="97">
        <v>155</v>
      </c>
      <c r="L219" s="97">
        <v>99</v>
      </c>
      <c r="M219" s="97">
        <v>9</v>
      </c>
      <c r="N219" s="97">
        <v>277</v>
      </c>
      <c r="O219" s="97">
        <v>79</v>
      </c>
      <c r="P219" s="97">
        <v>11</v>
      </c>
      <c r="Q219" s="97">
        <v>228</v>
      </c>
      <c r="R219" s="97">
        <v>68</v>
      </c>
      <c r="S219" s="97">
        <v>6</v>
      </c>
      <c r="T219" s="97">
        <v>165</v>
      </c>
      <c r="U219" s="97">
        <v>73</v>
      </c>
      <c r="V219" s="97">
        <v>17</v>
      </c>
      <c r="W219" s="97">
        <v>393</v>
      </c>
      <c r="X219" s="97">
        <v>72</v>
      </c>
      <c r="Y219" s="97">
        <v>25</v>
      </c>
      <c r="Z219" s="97">
        <v>396</v>
      </c>
      <c r="AA219" s="97">
        <v>67</v>
      </c>
      <c r="AB219" s="97">
        <v>2</v>
      </c>
      <c r="AC219" s="97">
        <v>66</v>
      </c>
      <c r="AD219" s="97">
        <v>64</v>
      </c>
      <c r="AE219" s="97">
        <v>28</v>
      </c>
      <c r="AF219" s="97">
        <v>586</v>
      </c>
      <c r="AG219" s="97">
        <v>508</v>
      </c>
      <c r="AH219" s="97">
        <v>7</v>
      </c>
      <c r="AI219" s="97">
        <v>213</v>
      </c>
    </row>
    <row r="220" spans="1:35" ht="15" customHeight="1">
      <c r="A220" s="97" t="s">
        <v>402</v>
      </c>
      <c r="B220" s="97" t="s">
        <v>402</v>
      </c>
      <c r="C220" s="97" t="s">
        <v>403</v>
      </c>
      <c r="D220" s="97" t="s">
        <v>3198</v>
      </c>
      <c r="E220" s="97" t="s">
        <v>19</v>
      </c>
      <c r="F220" s="97">
        <v>83</v>
      </c>
      <c r="G220" s="97">
        <v>55</v>
      </c>
      <c r="H220" s="97">
        <v>897</v>
      </c>
      <c r="I220" s="97">
        <v>102</v>
      </c>
      <c r="J220" s="97">
        <v>1</v>
      </c>
      <c r="K220" s="97">
        <v>72</v>
      </c>
      <c r="L220" s="97">
        <v>79.5</v>
      </c>
      <c r="M220" s="97">
        <v>36</v>
      </c>
      <c r="N220" s="97">
        <v>698</v>
      </c>
      <c r="O220" s="97">
        <v>91</v>
      </c>
      <c r="P220" s="97">
        <v>5</v>
      </c>
      <c r="Q220" s="97">
        <v>84</v>
      </c>
      <c r="R220" s="97">
        <v>74</v>
      </c>
      <c r="S220" s="97">
        <v>2</v>
      </c>
      <c r="T220" s="97">
        <v>94</v>
      </c>
      <c r="U220" s="97">
        <v>77</v>
      </c>
      <c r="V220" s="97">
        <v>8</v>
      </c>
      <c r="W220" s="97">
        <v>275</v>
      </c>
      <c r="X220" s="97">
        <v>58</v>
      </c>
      <c r="Y220" s="97">
        <v>46</v>
      </c>
      <c r="Z220" s="97">
        <v>820</v>
      </c>
      <c r="AA220" s="97">
        <v>50</v>
      </c>
      <c r="AB220" s="97">
        <v>38</v>
      </c>
      <c r="AC220" s="97">
        <v>591</v>
      </c>
      <c r="AD220" s="97">
        <v>72</v>
      </c>
      <c r="AE220" s="97">
        <v>14</v>
      </c>
      <c r="AF220" s="97">
        <v>256</v>
      </c>
      <c r="AG220" s="97">
        <v>506.5</v>
      </c>
      <c r="AH220" s="97">
        <v>5</v>
      </c>
      <c r="AI220" s="97">
        <v>217</v>
      </c>
    </row>
    <row r="221" spans="1:35" ht="15" customHeight="1">
      <c r="A221" s="97" t="s">
        <v>2589</v>
      </c>
      <c r="B221" s="97" t="s">
        <v>2589</v>
      </c>
      <c r="C221" s="97" t="s">
        <v>206</v>
      </c>
      <c r="D221" s="97" t="s">
        <v>3198</v>
      </c>
      <c r="E221" s="97" t="s">
        <v>49</v>
      </c>
      <c r="F221" s="97">
        <v>93</v>
      </c>
      <c r="G221" s="97">
        <v>40</v>
      </c>
      <c r="H221" s="97">
        <v>755</v>
      </c>
      <c r="I221" s="97">
        <v>92</v>
      </c>
      <c r="J221" s="97">
        <v>13</v>
      </c>
      <c r="K221" s="97">
        <v>166</v>
      </c>
      <c r="L221" s="97">
        <v>118.5</v>
      </c>
      <c r="M221" s="97">
        <v>2</v>
      </c>
      <c r="N221" s="97">
        <v>36</v>
      </c>
      <c r="O221" s="97">
        <v>79</v>
      </c>
      <c r="P221" s="97">
        <v>15</v>
      </c>
      <c r="Q221" s="97">
        <v>228</v>
      </c>
      <c r="R221" s="97">
        <v>58</v>
      </c>
      <c r="S221" s="97">
        <v>19</v>
      </c>
      <c r="T221" s="97">
        <v>377</v>
      </c>
      <c r="U221" s="97">
        <v>66</v>
      </c>
      <c r="V221" s="97">
        <v>28</v>
      </c>
      <c r="W221" s="97">
        <v>611</v>
      </c>
      <c r="X221" s="97">
        <v>57</v>
      </c>
      <c r="Y221" s="97">
        <v>44</v>
      </c>
      <c r="Z221" s="97">
        <v>838</v>
      </c>
      <c r="AA221" s="97">
        <v>42</v>
      </c>
      <c r="AB221" s="97">
        <v>42</v>
      </c>
      <c r="AC221" s="97">
        <v>845</v>
      </c>
      <c r="AD221" s="97">
        <v>47</v>
      </c>
      <c r="AE221" s="97">
        <v>50</v>
      </c>
      <c r="AF221" s="97">
        <v>916</v>
      </c>
      <c r="AG221" s="97">
        <v>506.5</v>
      </c>
      <c r="AH221" s="97">
        <v>15</v>
      </c>
      <c r="AI221" s="97">
        <v>217</v>
      </c>
    </row>
    <row r="222" spans="1:35" ht="15" customHeight="1">
      <c r="A222" s="97" t="s">
        <v>2800</v>
      </c>
      <c r="B222" s="97" t="s">
        <v>2800</v>
      </c>
      <c r="C222" s="97" t="s">
        <v>2801</v>
      </c>
      <c r="D222" s="97" t="s">
        <v>3198</v>
      </c>
      <c r="E222" s="97" t="s">
        <v>38</v>
      </c>
      <c r="F222" s="97">
        <v>100</v>
      </c>
      <c r="G222" s="97">
        <v>28</v>
      </c>
      <c r="H222" s="97">
        <v>528</v>
      </c>
      <c r="I222" s="97">
        <v>90</v>
      </c>
      <c r="J222" s="97">
        <v>7</v>
      </c>
      <c r="K222" s="97">
        <v>183</v>
      </c>
      <c r="L222" s="97">
        <v>96</v>
      </c>
      <c r="M222" s="97">
        <v>18</v>
      </c>
      <c r="N222" s="97">
        <v>346</v>
      </c>
      <c r="O222" s="97">
        <v>70</v>
      </c>
      <c r="P222" s="97">
        <v>17</v>
      </c>
      <c r="Q222" s="97">
        <v>400</v>
      </c>
      <c r="R222" s="97">
        <v>65</v>
      </c>
      <c r="S222" s="97">
        <v>7</v>
      </c>
      <c r="T222" s="97">
        <v>223</v>
      </c>
      <c r="U222" s="97">
        <v>85</v>
      </c>
      <c r="V222" s="97">
        <v>1</v>
      </c>
      <c r="W222" s="97">
        <v>96</v>
      </c>
      <c r="X222" s="97">
        <v>74</v>
      </c>
      <c r="Y222" s="97">
        <v>9</v>
      </c>
      <c r="Z222" s="97">
        <v>326</v>
      </c>
      <c r="AA222" s="97">
        <v>56</v>
      </c>
      <c r="AB222" s="97">
        <v>18</v>
      </c>
      <c r="AC222" s="97">
        <v>352</v>
      </c>
      <c r="AD222" s="97">
        <v>69</v>
      </c>
      <c r="AE222" s="97">
        <v>20</v>
      </c>
      <c r="AF222" s="97">
        <v>367</v>
      </c>
      <c r="AG222" s="97">
        <v>506</v>
      </c>
      <c r="AH222" s="97">
        <v>7</v>
      </c>
      <c r="AI222" s="97">
        <v>219</v>
      </c>
    </row>
    <row r="223" spans="1:35" ht="15" customHeight="1">
      <c r="A223" s="97" t="s">
        <v>374</v>
      </c>
      <c r="B223" s="97" t="s">
        <v>374</v>
      </c>
      <c r="C223" s="97" t="s">
        <v>375</v>
      </c>
      <c r="D223" s="97" t="s">
        <v>3198</v>
      </c>
      <c r="E223" s="97" t="s">
        <v>19</v>
      </c>
      <c r="F223" s="97">
        <v>107</v>
      </c>
      <c r="G223" s="97">
        <v>17</v>
      </c>
      <c r="H223" s="97">
        <v>242</v>
      </c>
      <c r="I223" s="97">
        <v>88</v>
      </c>
      <c r="J223" s="97">
        <v>4</v>
      </c>
      <c r="K223" s="97">
        <v>206</v>
      </c>
      <c r="L223" s="97">
        <v>100</v>
      </c>
      <c r="M223" s="97">
        <v>11</v>
      </c>
      <c r="N223" s="97">
        <v>258</v>
      </c>
      <c r="O223" s="97">
        <v>79</v>
      </c>
      <c r="P223" s="97">
        <v>13</v>
      </c>
      <c r="Q223" s="97">
        <v>228</v>
      </c>
      <c r="R223" s="97">
        <v>56</v>
      </c>
      <c r="S223" s="97">
        <v>21</v>
      </c>
      <c r="T223" s="97">
        <v>433</v>
      </c>
      <c r="U223" s="97">
        <v>76</v>
      </c>
      <c r="V223" s="97">
        <v>11</v>
      </c>
      <c r="W223" s="97">
        <v>308</v>
      </c>
      <c r="X223" s="97">
        <v>70</v>
      </c>
      <c r="Y223" s="97">
        <v>24</v>
      </c>
      <c r="Z223" s="97">
        <v>473</v>
      </c>
      <c r="AA223" s="97">
        <v>48</v>
      </c>
      <c r="AB223" s="97">
        <v>44</v>
      </c>
      <c r="AC223" s="97">
        <v>671</v>
      </c>
      <c r="AD223" s="97">
        <v>77</v>
      </c>
      <c r="AE223" s="97">
        <v>5</v>
      </c>
      <c r="AF223" s="97">
        <v>102</v>
      </c>
      <c r="AG223" s="97">
        <v>506</v>
      </c>
      <c r="AH223" s="97">
        <v>6</v>
      </c>
      <c r="AI223" s="97">
        <v>219</v>
      </c>
    </row>
    <row r="224" spans="1:35" ht="15" customHeight="1">
      <c r="A224" s="97" t="s">
        <v>380</v>
      </c>
      <c r="B224" s="97" t="s">
        <v>380</v>
      </c>
      <c r="C224" s="97" t="s">
        <v>381</v>
      </c>
      <c r="D224" s="97" t="s">
        <v>3198</v>
      </c>
      <c r="E224" s="97" t="s">
        <v>19</v>
      </c>
      <c r="F224" s="97">
        <v>109</v>
      </c>
      <c r="G224" s="97">
        <v>13</v>
      </c>
      <c r="H224" s="97">
        <v>185</v>
      </c>
      <c r="I224" s="97">
        <v>73</v>
      </c>
      <c r="J224" s="97">
        <v>21</v>
      </c>
      <c r="K224" s="97">
        <v>438</v>
      </c>
      <c r="L224" s="97">
        <v>113</v>
      </c>
      <c r="M224" s="97">
        <v>7</v>
      </c>
      <c r="N224" s="97">
        <v>74</v>
      </c>
      <c r="O224" s="97">
        <v>85</v>
      </c>
      <c r="P224" s="97">
        <v>7</v>
      </c>
      <c r="Q224" s="97">
        <v>135</v>
      </c>
      <c r="R224" s="97">
        <v>57</v>
      </c>
      <c r="S224" s="97">
        <v>18</v>
      </c>
      <c r="T224" s="97">
        <v>409</v>
      </c>
      <c r="U224" s="97">
        <v>69</v>
      </c>
      <c r="V224" s="97">
        <v>32</v>
      </c>
      <c r="W224" s="97">
        <v>523</v>
      </c>
      <c r="X224" s="97">
        <v>81</v>
      </c>
      <c r="Y224" s="97">
        <v>5</v>
      </c>
      <c r="Z224" s="97">
        <v>124</v>
      </c>
      <c r="AA224" s="97">
        <v>49</v>
      </c>
      <c r="AB224" s="97">
        <v>43</v>
      </c>
      <c r="AC224" s="97">
        <v>633</v>
      </c>
      <c r="AD224" s="97">
        <v>65</v>
      </c>
      <c r="AE224" s="97">
        <v>28</v>
      </c>
      <c r="AF224" s="97">
        <v>548</v>
      </c>
      <c r="AG224" s="97">
        <v>506</v>
      </c>
      <c r="AH224" s="97">
        <v>6</v>
      </c>
      <c r="AI224" s="97">
        <v>219</v>
      </c>
    </row>
    <row r="225" spans="1:35" ht="15" customHeight="1">
      <c r="A225" s="97" t="s">
        <v>2232</v>
      </c>
      <c r="B225" s="97" t="s">
        <v>2232</v>
      </c>
      <c r="C225" s="97" t="s">
        <v>2233</v>
      </c>
      <c r="D225" s="97" t="s">
        <v>3198</v>
      </c>
      <c r="E225" s="97" t="s">
        <v>73</v>
      </c>
      <c r="F225" s="97">
        <v>108</v>
      </c>
      <c r="G225" s="97">
        <v>9</v>
      </c>
      <c r="H225" s="97">
        <v>212</v>
      </c>
      <c r="I225" s="97">
        <v>83</v>
      </c>
      <c r="J225" s="97">
        <v>6</v>
      </c>
      <c r="K225" s="97">
        <v>267</v>
      </c>
      <c r="L225" s="97">
        <v>104.5</v>
      </c>
      <c r="M225" s="97">
        <v>11</v>
      </c>
      <c r="N225" s="97">
        <v>177</v>
      </c>
      <c r="O225" s="97">
        <v>76</v>
      </c>
      <c r="P225" s="97">
        <v>12</v>
      </c>
      <c r="Q225" s="97">
        <v>287</v>
      </c>
      <c r="R225" s="97">
        <v>66</v>
      </c>
      <c r="S225" s="97">
        <v>12</v>
      </c>
      <c r="T225" s="97">
        <v>204</v>
      </c>
      <c r="U225" s="97">
        <v>68</v>
      </c>
      <c r="V225" s="97">
        <v>27</v>
      </c>
      <c r="W225" s="97">
        <v>555</v>
      </c>
      <c r="X225" s="97">
        <v>81</v>
      </c>
      <c r="Y225" s="97">
        <v>2</v>
      </c>
      <c r="Z225" s="97">
        <v>124</v>
      </c>
      <c r="AA225" s="97">
        <v>54</v>
      </c>
      <c r="AB225" s="97">
        <v>26</v>
      </c>
      <c r="AC225" s="97">
        <v>428</v>
      </c>
      <c r="AD225" s="97">
        <v>66</v>
      </c>
      <c r="AE225" s="97">
        <v>36</v>
      </c>
      <c r="AF225" s="97">
        <v>511</v>
      </c>
      <c r="AG225" s="97">
        <v>505.5</v>
      </c>
      <c r="AH225" s="97">
        <v>9</v>
      </c>
      <c r="AI225" s="97">
        <v>222</v>
      </c>
    </row>
    <row r="226" spans="1:35" ht="15" customHeight="1">
      <c r="A226" s="97" t="s">
        <v>2060</v>
      </c>
      <c r="B226" s="97" t="s">
        <v>2060</v>
      </c>
      <c r="C226" s="97" t="s">
        <v>2061</v>
      </c>
      <c r="D226" s="97" t="s">
        <v>3198</v>
      </c>
      <c r="E226" s="97" t="s">
        <v>109</v>
      </c>
      <c r="F226" s="97">
        <v>114</v>
      </c>
      <c r="G226" s="97">
        <v>7</v>
      </c>
      <c r="H226" s="97">
        <v>80</v>
      </c>
      <c r="I226" s="97">
        <v>95</v>
      </c>
      <c r="J226" s="97">
        <v>4</v>
      </c>
      <c r="K226" s="97">
        <v>128</v>
      </c>
      <c r="L226" s="97">
        <v>96</v>
      </c>
      <c r="M226" s="97">
        <v>20</v>
      </c>
      <c r="N226" s="97">
        <v>346</v>
      </c>
      <c r="O226" s="97">
        <v>55</v>
      </c>
      <c r="P226" s="97">
        <v>40</v>
      </c>
      <c r="Q226" s="97">
        <v>694</v>
      </c>
      <c r="R226" s="97">
        <v>60</v>
      </c>
      <c r="S226" s="97">
        <v>16</v>
      </c>
      <c r="T226" s="97">
        <v>322</v>
      </c>
      <c r="U226" s="97">
        <v>85</v>
      </c>
      <c r="V226" s="97">
        <v>7</v>
      </c>
      <c r="W226" s="97">
        <v>96</v>
      </c>
      <c r="X226" s="97">
        <v>74</v>
      </c>
      <c r="Y226" s="97">
        <v>16</v>
      </c>
      <c r="Z226" s="97">
        <v>326</v>
      </c>
      <c r="AA226" s="97">
        <v>59</v>
      </c>
      <c r="AB226" s="97">
        <v>7</v>
      </c>
      <c r="AC226" s="97">
        <v>233</v>
      </c>
      <c r="AD226" s="97">
        <v>79</v>
      </c>
      <c r="AE226" s="97">
        <v>5</v>
      </c>
      <c r="AF226" s="97">
        <v>73</v>
      </c>
      <c r="AG226" s="97">
        <v>505</v>
      </c>
      <c r="AH226" s="97">
        <v>13</v>
      </c>
      <c r="AI226" s="97">
        <v>223</v>
      </c>
    </row>
    <row r="227" spans="1:35" ht="15" customHeight="1">
      <c r="A227" s="97" t="s">
        <v>835</v>
      </c>
      <c r="B227" s="97" t="s">
        <v>835</v>
      </c>
      <c r="C227" s="97" t="s">
        <v>836</v>
      </c>
      <c r="D227" s="97" t="s">
        <v>3198</v>
      </c>
      <c r="E227" s="97" t="s">
        <v>117</v>
      </c>
      <c r="F227" s="97">
        <v>110</v>
      </c>
      <c r="G227" s="97">
        <v>7</v>
      </c>
      <c r="H227" s="97">
        <v>159</v>
      </c>
      <c r="I227" s="97">
        <v>69</v>
      </c>
      <c r="J227" s="97">
        <v>32</v>
      </c>
      <c r="K227" s="97">
        <v>524</v>
      </c>
      <c r="L227" s="97">
        <v>119</v>
      </c>
      <c r="M227" s="97">
        <v>2</v>
      </c>
      <c r="N227" s="97">
        <v>33</v>
      </c>
      <c r="O227" s="97">
        <v>75</v>
      </c>
      <c r="P227" s="97">
        <v>14</v>
      </c>
      <c r="Q227" s="97">
        <v>299</v>
      </c>
      <c r="R227" s="97">
        <v>73</v>
      </c>
      <c r="S227" s="97">
        <v>3</v>
      </c>
      <c r="T227" s="97">
        <v>106</v>
      </c>
      <c r="U227" s="97">
        <v>59</v>
      </c>
      <c r="V227" s="97">
        <v>44</v>
      </c>
      <c r="W227" s="97">
        <v>762</v>
      </c>
      <c r="X227" s="97">
        <v>74</v>
      </c>
      <c r="Y227" s="97">
        <v>25</v>
      </c>
      <c r="Z227" s="97">
        <v>326</v>
      </c>
      <c r="AA227" s="97">
        <v>54</v>
      </c>
      <c r="AB227" s="97">
        <v>24</v>
      </c>
      <c r="AC227" s="97">
        <v>428</v>
      </c>
      <c r="AD227" s="97">
        <v>67</v>
      </c>
      <c r="AE227" s="97">
        <v>28</v>
      </c>
      <c r="AF227" s="97">
        <v>471</v>
      </c>
      <c r="AG227" s="97">
        <v>505</v>
      </c>
      <c r="AH227" s="97">
        <v>7</v>
      </c>
      <c r="AI227" s="97">
        <v>223</v>
      </c>
    </row>
    <row r="228" spans="1:35" ht="15" customHeight="1">
      <c r="A228" s="97" t="s">
        <v>1733</v>
      </c>
      <c r="B228" s="97" t="s">
        <v>1733</v>
      </c>
      <c r="C228" s="97" t="s">
        <v>171</v>
      </c>
      <c r="D228" s="97" t="s">
        <v>3198</v>
      </c>
      <c r="E228" s="97" t="s">
        <v>9</v>
      </c>
      <c r="F228" s="97">
        <v>89</v>
      </c>
      <c r="G228" s="97">
        <v>50</v>
      </c>
      <c r="H228" s="97">
        <v>835</v>
      </c>
      <c r="I228" s="97">
        <v>68</v>
      </c>
      <c r="J228" s="97">
        <v>49</v>
      </c>
      <c r="K228" s="97">
        <v>540</v>
      </c>
      <c r="L228" s="97">
        <v>117</v>
      </c>
      <c r="M228" s="97">
        <v>10</v>
      </c>
      <c r="N228" s="97">
        <v>45</v>
      </c>
      <c r="O228" s="97">
        <v>69</v>
      </c>
      <c r="P228" s="97">
        <v>46</v>
      </c>
      <c r="Q228" s="97">
        <v>428</v>
      </c>
      <c r="R228" s="97">
        <v>72</v>
      </c>
      <c r="S228" s="97">
        <v>31</v>
      </c>
      <c r="T228" s="97">
        <v>115</v>
      </c>
      <c r="U228" s="97">
        <v>90</v>
      </c>
      <c r="V228" s="97">
        <v>5</v>
      </c>
      <c r="W228" s="97">
        <v>19</v>
      </c>
      <c r="X228" s="97">
        <v>80</v>
      </c>
      <c r="Y228" s="97">
        <v>21</v>
      </c>
      <c r="Z228" s="97">
        <v>151</v>
      </c>
      <c r="AA228" s="97">
        <v>59</v>
      </c>
      <c r="AB228" s="97">
        <v>32</v>
      </c>
      <c r="AC228" s="97">
        <v>233</v>
      </c>
      <c r="AD228" s="97">
        <v>74</v>
      </c>
      <c r="AE228" s="97">
        <v>21</v>
      </c>
      <c r="AF228" s="97">
        <v>174</v>
      </c>
      <c r="AG228" s="97">
        <v>505</v>
      </c>
      <c r="AH228" s="97">
        <v>48</v>
      </c>
      <c r="AI228" s="97">
        <v>223</v>
      </c>
    </row>
    <row r="229" spans="1:35" ht="15" customHeight="1">
      <c r="A229" s="97" t="s">
        <v>1197</v>
      </c>
      <c r="B229" s="97" t="s">
        <v>1197</v>
      </c>
      <c r="C229" s="97" t="s">
        <v>1198</v>
      </c>
      <c r="D229" s="97" t="s">
        <v>3198</v>
      </c>
      <c r="E229" s="97" t="s">
        <v>54</v>
      </c>
      <c r="F229" s="97">
        <v>105</v>
      </c>
      <c r="G229" s="97">
        <v>23</v>
      </c>
      <c r="H229" s="97">
        <v>325</v>
      </c>
      <c r="I229" s="97">
        <v>77</v>
      </c>
      <c r="J229" s="97">
        <v>17</v>
      </c>
      <c r="K229" s="97">
        <v>369</v>
      </c>
      <c r="L229" s="97">
        <v>88.5</v>
      </c>
      <c r="M229" s="97">
        <v>22</v>
      </c>
      <c r="N229" s="97">
        <v>519</v>
      </c>
      <c r="O229" s="97">
        <v>81</v>
      </c>
      <c r="P229" s="97">
        <v>8</v>
      </c>
      <c r="Q229" s="97">
        <v>195</v>
      </c>
      <c r="R229" s="97">
        <v>66</v>
      </c>
      <c r="S229" s="97">
        <v>11</v>
      </c>
      <c r="T229" s="97">
        <v>204</v>
      </c>
      <c r="U229" s="97">
        <v>87</v>
      </c>
      <c r="V229" s="97">
        <v>1</v>
      </c>
      <c r="W229" s="97">
        <v>57</v>
      </c>
      <c r="X229" s="97">
        <v>66</v>
      </c>
      <c r="Y229" s="97">
        <v>32</v>
      </c>
      <c r="Z229" s="97">
        <v>604</v>
      </c>
      <c r="AA229" s="97">
        <v>56</v>
      </c>
      <c r="AB229" s="97">
        <v>13</v>
      </c>
      <c r="AC229" s="97">
        <v>352</v>
      </c>
      <c r="AD229" s="97">
        <v>61</v>
      </c>
      <c r="AE229" s="97">
        <v>41</v>
      </c>
      <c r="AF229" s="97">
        <v>703</v>
      </c>
      <c r="AG229" s="97">
        <v>504.5</v>
      </c>
      <c r="AH229" s="97">
        <v>8</v>
      </c>
      <c r="AI229" s="97">
        <v>226</v>
      </c>
    </row>
    <row r="230" spans="1:35" ht="15" customHeight="1">
      <c r="A230" s="97" t="s">
        <v>388</v>
      </c>
      <c r="B230" s="97" t="s">
        <v>388</v>
      </c>
      <c r="C230" s="97" t="s">
        <v>126</v>
      </c>
      <c r="D230" s="97" t="s">
        <v>3198</v>
      </c>
      <c r="E230" s="97" t="s">
        <v>19</v>
      </c>
      <c r="F230" s="97">
        <v>113</v>
      </c>
      <c r="G230" s="97">
        <v>6</v>
      </c>
      <c r="H230" s="97">
        <v>95</v>
      </c>
      <c r="I230" s="97">
        <v>77</v>
      </c>
      <c r="J230" s="97">
        <v>17</v>
      </c>
      <c r="K230" s="97">
        <v>369</v>
      </c>
      <c r="L230" s="97">
        <v>120.5</v>
      </c>
      <c r="M230" s="97">
        <v>2</v>
      </c>
      <c r="N230" s="97">
        <v>25</v>
      </c>
      <c r="O230" s="97">
        <v>68</v>
      </c>
      <c r="P230" s="97">
        <v>21</v>
      </c>
      <c r="Q230" s="97">
        <v>453</v>
      </c>
      <c r="R230" s="97">
        <v>56</v>
      </c>
      <c r="S230" s="97">
        <v>21</v>
      </c>
      <c r="T230" s="97">
        <v>433</v>
      </c>
      <c r="U230" s="97">
        <v>70</v>
      </c>
      <c r="V230" s="97">
        <v>27</v>
      </c>
      <c r="W230" s="97">
        <v>485</v>
      </c>
      <c r="X230" s="97">
        <v>79</v>
      </c>
      <c r="Y230" s="97">
        <v>8</v>
      </c>
      <c r="Z230" s="97">
        <v>175</v>
      </c>
      <c r="AA230" s="97">
        <v>50</v>
      </c>
      <c r="AB230" s="97">
        <v>38</v>
      </c>
      <c r="AC230" s="97">
        <v>591</v>
      </c>
      <c r="AD230" s="97">
        <v>71</v>
      </c>
      <c r="AE230" s="97">
        <v>18</v>
      </c>
      <c r="AF230" s="97">
        <v>290</v>
      </c>
      <c r="AG230" s="97">
        <v>504.5</v>
      </c>
      <c r="AH230" s="97">
        <v>8</v>
      </c>
      <c r="AI230" s="97">
        <v>226</v>
      </c>
    </row>
    <row r="231" spans="1:35" ht="15" customHeight="1">
      <c r="A231" s="97" t="s">
        <v>2574</v>
      </c>
      <c r="B231" s="97" t="s">
        <v>2574</v>
      </c>
      <c r="C231" s="97" t="s">
        <v>2575</v>
      </c>
      <c r="D231" s="97" t="s">
        <v>3198</v>
      </c>
      <c r="E231" s="97" t="s">
        <v>131</v>
      </c>
      <c r="F231" s="97">
        <v>84</v>
      </c>
      <c r="G231" s="97">
        <v>47</v>
      </c>
      <c r="H231" s="97">
        <v>891</v>
      </c>
      <c r="I231" s="97">
        <v>107</v>
      </c>
      <c r="J231" s="97">
        <v>1</v>
      </c>
      <c r="K231" s="97">
        <v>46</v>
      </c>
      <c r="L231" s="97">
        <v>74.5</v>
      </c>
      <c r="M231" s="97">
        <v>45</v>
      </c>
      <c r="N231" s="97">
        <v>784</v>
      </c>
      <c r="O231" s="97">
        <v>105</v>
      </c>
      <c r="P231" s="97">
        <v>1</v>
      </c>
      <c r="Q231" s="97">
        <v>7</v>
      </c>
      <c r="R231" s="97">
        <v>64</v>
      </c>
      <c r="S231" s="97">
        <v>8</v>
      </c>
      <c r="T231" s="97">
        <v>244</v>
      </c>
      <c r="U231" s="97">
        <v>70</v>
      </c>
      <c r="V231" s="97">
        <v>27</v>
      </c>
      <c r="W231" s="97">
        <v>485</v>
      </c>
      <c r="X231" s="97">
        <v>61</v>
      </c>
      <c r="Y231" s="97">
        <v>45</v>
      </c>
      <c r="Z231" s="97">
        <v>754</v>
      </c>
      <c r="AA231" s="97">
        <v>52</v>
      </c>
      <c r="AB231" s="97">
        <v>37</v>
      </c>
      <c r="AC231" s="97">
        <v>509</v>
      </c>
      <c r="AD231" s="97">
        <v>78</v>
      </c>
      <c r="AE231" s="97">
        <v>5</v>
      </c>
      <c r="AF231" s="97">
        <v>86</v>
      </c>
      <c r="AG231" s="97">
        <v>504.5</v>
      </c>
      <c r="AH231" s="97">
        <v>6</v>
      </c>
      <c r="AI231" s="97">
        <v>226</v>
      </c>
    </row>
    <row r="232" spans="1:35" ht="15" customHeight="1">
      <c r="A232" s="97" t="s">
        <v>2417</v>
      </c>
      <c r="B232" s="97" t="s">
        <v>2417</v>
      </c>
      <c r="C232" s="97" t="s">
        <v>1773</v>
      </c>
      <c r="D232" s="97" t="s">
        <v>3198</v>
      </c>
      <c r="E232" s="97" t="s">
        <v>7</v>
      </c>
      <c r="F232" s="97">
        <v>117</v>
      </c>
      <c r="G232" s="97">
        <v>1</v>
      </c>
      <c r="H232" s="97">
        <v>40</v>
      </c>
      <c r="I232" s="97">
        <v>99</v>
      </c>
      <c r="J232" s="97">
        <v>3</v>
      </c>
      <c r="K232" s="97">
        <v>93</v>
      </c>
      <c r="L232" s="97">
        <v>99.5</v>
      </c>
      <c r="M232" s="97">
        <v>7</v>
      </c>
      <c r="N232" s="97">
        <v>269</v>
      </c>
      <c r="O232" s="97">
        <v>67</v>
      </c>
      <c r="P232" s="97">
        <v>22</v>
      </c>
      <c r="Q232" s="97">
        <v>468</v>
      </c>
      <c r="R232" s="97">
        <v>54</v>
      </c>
      <c r="S232" s="97">
        <v>20</v>
      </c>
      <c r="T232" s="97">
        <v>494</v>
      </c>
      <c r="U232" s="97">
        <v>68</v>
      </c>
      <c r="V232" s="97">
        <v>31</v>
      </c>
      <c r="W232" s="97">
        <v>555</v>
      </c>
      <c r="X232" s="97">
        <v>76</v>
      </c>
      <c r="Y232" s="97">
        <v>28</v>
      </c>
      <c r="Z232" s="97">
        <v>260</v>
      </c>
      <c r="AA232" s="97">
        <v>58</v>
      </c>
      <c r="AB232" s="97">
        <v>15</v>
      </c>
      <c r="AC232" s="97">
        <v>278</v>
      </c>
      <c r="AD232" s="97">
        <v>68</v>
      </c>
      <c r="AE232" s="97">
        <v>22</v>
      </c>
      <c r="AF232" s="97">
        <v>412</v>
      </c>
      <c r="AG232" s="97">
        <v>504.5</v>
      </c>
      <c r="AH232" s="97">
        <v>5</v>
      </c>
      <c r="AI232" s="97">
        <v>226</v>
      </c>
    </row>
    <row r="233" spans="1:35" ht="15" customHeight="1">
      <c r="A233" s="97" t="s">
        <v>946</v>
      </c>
      <c r="B233" s="97" t="s">
        <v>946</v>
      </c>
      <c r="C233" s="97" t="s">
        <v>947</v>
      </c>
      <c r="D233" s="97" t="s">
        <v>3198</v>
      </c>
      <c r="E233" s="97" t="s">
        <v>60</v>
      </c>
      <c r="F233" s="97">
        <v>99</v>
      </c>
      <c r="G233" s="97">
        <v>42</v>
      </c>
      <c r="H233" s="97">
        <v>571</v>
      </c>
      <c r="I233" s="97">
        <v>80</v>
      </c>
      <c r="J233" s="97">
        <v>17</v>
      </c>
      <c r="K233" s="97">
        <v>325</v>
      </c>
      <c r="L233" s="97">
        <v>116</v>
      </c>
      <c r="M233" s="97">
        <v>2</v>
      </c>
      <c r="N233" s="97">
        <v>51</v>
      </c>
      <c r="O233" s="97">
        <v>64</v>
      </c>
      <c r="P233" s="97">
        <v>27</v>
      </c>
      <c r="Q233" s="97">
        <v>517</v>
      </c>
      <c r="R233" s="97">
        <v>66</v>
      </c>
      <c r="S233" s="97">
        <v>13</v>
      </c>
      <c r="T233" s="97">
        <v>204</v>
      </c>
      <c r="U233" s="97">
        <v>79</v>
      </c>
      <c r="V233" s="97">
        <v>6</v>
      </c>
      <c r="W233" s="97">
        <v>229</v>
      </c>
      <c r="X233" s="97">
        <v>77</v>
      </c>
      <c r="Y233" s="97">
        <v>13</v>
      </c>
      <c r="Z233" s="97">
        <v>240</v>
      </c>
      <c r="AA233" s="97">
        <v>71</v>
      </c>
      <c r="AB233" s="97">
        <v>1</v>
      </c>
      <c r="AC233" s="97">
        <v>32</v>
      </c>
      <c r="AD233" s="97">
        <v>85</v>
      </c>
      <c r="AE233" s="97">
        <v>1</v>
      </c>
      <c r="AF233" s="97">
        <v>11</v>
      </c>
      <c r="AG233" s="97">
        <v>504</v>
      </c>
      <c r="AH233" s="97">
        <v>8</v>
      </c>
      <c r="AI233" s="97">
        <v>230</v>
      </c>
    </row>
    <row r="234" spans="1:35" ht="15" customHeight="1">
      <c r="A234" s="97" t="s">
        <v>1367</v>
      </c>
      <c r="B234" s="97" t="s">
        <v>1367</v>
      </c>
      <c r="C234" s="97" t="s">
        <v>83</v>
      </c>
      <c r="D234" s="97" t="s">
        <v>3198</v>
      </c>
      <c r="E234" s="97" t="s">
        <v>56</v>
      </c>
      <c r="F234" s="97">
        <v>101</v>
      </c>
      <c r="G234" s="97">
        <v>21</v>
      </c>
      <c r="H234" s="97">
        <v>481</v>
      </c>
      <c r="I234" s="97">
        <v>104</v>
      </c>
      <c r="J234" s="97">
        <v>4</v>
      </c>
      <c r="K234" s="97">
        <v>61</v>
      </c>
      <c r="L234" s="97">
        <v>83</v>
      </c>
      <c r="M234" s="97">
        <v>38</v>
      </c>
      <c r="N234" s="97">
        <v>642</v>
      </c>
      <c r="O234" s="97">
        <v>84</v>
      </c>
      <c r="P234" s="97">
        <v>7</v>
      </c>
      <c r="Q234" s="97">
        <v>147</v>
      </c>
      <c r="R234" s="97">
        <v>51</v>
      </c>
      <c r="S234" s="97">
        <v>27</v>
      </c>
      <c r="T234" s="97">
        <v>571</v>
      </c>
      <c r="U234" s="97">
        <v>81</v>
      </c>
      <c r="V234" s="97">
        <v>16</v>
      </c>
      <c r="W234" s="97">
        <v>183</v>
      </c>
      <c r="X234" s="97">
        <v>61</v>
      </c>
      <c r="Y234" s="97">
        <v>49</v>
      </c>
      <c r="Z234" s="97">
        <v>754</v>
      </c>
      <c r="AA234" s="97">
        <v>63</v>
      </c>
      <c r="AB234" s="97">
        <v>2</v>
      </c>
      <c r="AC234" s="97">
        <v>123</v>
      </c>
      <c r="AD234" s="97">
        <v>60</v>
      </c>
      <c r="AE234" s="97">
        <v>43</v>
      </c>
      <c r="AF234" s="97">
        <v>727</v>
      </c>
      <c r="AG234" s="97">
        <v>504</v>
      </c>
      <c r="AH234" s="97">
        <v>7</v>
      </c>
      <c r="AI234" s="97">
        <v>230</v>
      </c>
    </row>
    <row r="235" spans="1:35" ht="15" customHeight="1">
      <c r="A235" s="97" t="s">
        <v>1056</v>
      </c>
      <c r="B235" s="97" t="s">
        <v>1056</v>
      </c>
      <c r="C235" s="97" t="s">
        <v>43</v>
      </c>
      <c r="D235" s="97" t="s">
        <v>3198</v>
      </c>
      <c r="E235" s="97" t="s">
        <v>68</v>
      </c>
      <c r="F235" s="97">
        <v>115</v>
      </c>
      <c r="G235" s="97">
        <v>4</v>
      </c>
      <c r="H235" s="97">
        <v>65</v>
      </c>
      <c r="I235" s="97">
        <v>73</v>
      </c>
      <c r="J235" s="97">
        <v>31</v>
      </c>
      <c r="K235" s="97">
        <v>438</v>
      </c>
      <c r="L235" s="97">
        <v>107.5</v>
      </c>
      <c r="M235" s="97">
        <v>4</v>
      </c>
      <c r="N235" s="97">
        <v>141</v>
      </c>
      <c r="O235" s="97">
        <v>62</v>
      </c>
      <c r="P235" s="97">
        <v>32</v>
      </c>
      <c r="Q235" s="97">
        <v>564</v>
      </c>
      <c r="R235" s="97">
        <v>64</v>
      </c>
      <c r="S235" s="97">
        <v>11</v>
      </c>
      <c r="T235" s="97">
        <v>244</v>
      </c>
      <c r="U235" s="97">
        <v>82</v>
      </c>
      <c r="V235" s="97">
        <v>7</v>
      </c>
      <c r="W235" s="97">
        <v>166</v>
      </c>
      <c r="X235" s="97">
        <v>68</v>
      </c>
      <c r="Y235" s="97">
        <v>30</v>
      </c>
      <c r="Z235" s="97">
        <v>541</v>
      </c>
      <c r="AA235" s="97">
        <v>56</v>
      </c>
      <c r="AB235" s="97">
        <v>14</v>
      </c>
      <c r="AC235" s="97">
        <v>352</v>
      </c>
      <c r="AD235" s="97">
        <v>79</v>
      </c>
      <c r="AE235" s="97">
        <v>4</v>
      </c>
      <c r="AF235" s="97">
        <v>73</v>
      </c>
      <c r="AG235" s="97">
        <v>503.5</v>
      </c>
      <c r="AH235" s="97">
        <v>11</v>
      </c>
      <c r="AI235" s="97">
        <v>232</v>
      </c>
    </row>
    <row r="236" spans="1:35" ht="15" customHeight="1">
      <c r="A236" s="97" t="s">
        <v>1460</v>
      </c>
      <c r="B236" s="97" t="s">
        <v>1460</v>
      </c>
      <c r="C236" s="97" t="s">
        <v>1461</v>
      </c>
      <c r="D236" s="97" t="s">
        <v>3198</v>
      </c>
      <c r="E236" s="97" t="s">
        <v>56</v>
      </c>
      <c r="F236" s="97">
        <v>111</v>
      </c>
      <c r="G236" s="97">
        <v>6</v>
      </c>
      <c r="H236" s="97">
        <v>136</v>
      </c>
      <c r="I236" s="97">
        <v>64</v>
      </c>
      <c r="J236" s="97">
        <v>29</v>
      </c>
      <c r="K236" s="97">
        <v>627</v>
      </c>
      <c r="L236" s="97">
        <v>100</v>
      </c>
      <c r="M236" s="97">
        <v>12</v>
      </c>
      <c r="N236" s="97">
        <v>258</v>
      </c>
      <c r="O236" s="97">
        <v>72</v>
      </c>
      <c r="P236" s="97">
        <v>13</v>
      </c>
      <c r="Q236" s="97">
        <v>358</v>
      </c>
      <c r="R236" s="97">
        <v>79</v>
      </c>
      <c r="S236" s="97">
        <v>1</v>
      </c>
      <c r="T236" s="97">
        <v>49</v>
      </c>
      <c r="U236" s="97">
        <v>77</v>
      </c>
      <c r="V236" s="97">
        <v>27</v>
      </c>
      <c r="W236" s="97">
        <v>275</v>
      </c>
      <c r="X236" s="97">
        <v>74</v>
      </c>
      <c r="Y236" s="97">
        <v>20</v>
      </c>
      <c r="Z236" s="97">
        <v>326</v>
      </c>
      <c r="AA236" s="97">
        <v>56</v>
      </c>
      <c r="AB236" s="97">
        <v>10</v>
      </c>
      <c r="AC236" s="97">
        <v>352</v>
      </c>
      <c r="AD236" s="97">
        <v>63</v>
      </c>
      <c r="AE236" s="97">
        <v>39</v>
      </c>
      <c r="AF236" s="97">
        <v>633</v>
      </c>
      <c r="AG236" s="97">
        <v>503</v>
      </c>
      <c r="AH236" s="97">
        <v>8</v>
      </c>
      <c r="AI236" s="97">
        <v>233</v>
      </c>
    </row>
    <row r="237" spans="1:35" ht="15" customHeight="1">
      <c r="A237" s="97" t="s">
        <v>643</v>
      </c>
      <c r="B237" s="97" t="s">
        <v>643</v>
      </c>
      <c r="C237" s="97" t="s">
        <v>644</v>
      </c>
      <c r="D237" s="97" t="s">
        <v>3198</v>
      </c>
      <c r="E237" s="97" t="s">
        <v>17</v>
      </c>
      <c r="F237" s="97">
        <v>116</v>
      </c>
      <c r="G237" s="97">
        <v>4</v>
      </c>
      <c r="H237" s="97">
        <v>47</v>
      </c>
      <c r="I237" s="97">
        <v>107</v>
      </c>
      <c r="J237" s="97">
        <v>3</v>
      </c>
      <c r="K237" s="97">
        <v>46</v>
      </c>
      <c r="L237" s="97">
        <v>90</v>
      </c>
      <c r="M237" s="97">
        <v>29</v>
      </c>
      <c r="N237" s="97">
        <v>481</v>
      </c>
      <c r="O237" s="97">
        <v>74</v>
      </c>
      <c r="P237" s="97">
        <v>16</v>
      </c>
      <c r="Q237" s="97">
        <v>317</v>
      </c>
      <c r="R237" s="97">
        <v>47</v>
      </c>
      <c r="S237" s="97">
        <v>42</v>
      </c>
      <c r="T237" s="97">
        <v>673</v>
      </c>
      <c r="U237" s="97">
        <v>69</v>
      </c>
      <c r="V237" s="97">
        <v>35</v>
      </c>
      <c r="W237" s="97">
        <v>523</v>
      </c>
      <c r="X237" s="97">
        <v>83</v>
      </c>
      <c r="Y237" s="97">
        <v>7</v>
      </c>
      <c r="Z237" s="97">
        <v>79</v>
      </c>
      <c r="AA237" s="97">
        <v>53</v>
      </c>
      <c r="AB237" s="97">
        <v>30</v>
      </c>
      <c r="AC237" s="97">
        <v>470</v>
      </c>
      <c r="AD237" s="97">
        <v>58</v>
      </c>
      <c r="AE237" s="97">
        <v>49</v>
      </c>
      <c r="AF237" s="97">
        <v>770</v>
      </c>
      <c r="AG237" s="97">
        <v>503</v>
      </c>
      <c r="AH237" s="97">
        <v>11</v>
      </c>
      <c r="AI237" s="97">
        <v>233</v>
      </c>
    </row>
    <row r="238" spans="1:35" ht="15" customHeight="1">
      <c r="A238" s="97" t="s">
        <v>396</v>
      </c>
      <c r="B238" s="97" t="s">
        <v>396</v>
      </c>
      <c r="C238" s="97" t="s">
        <v>397</v>
      </c>
      <c r="D238" s="97" t="s">
        <v>3198</v>
      </c>
      <c r="E238" s="97" t="s">
        <v>19</v>
      </c>
      <c r="F238" s="97">
        <v>98</v>
      </c>
      <c r="G238" s="97">
        <v>37</v>
      </c>
      <c r="H238" s="97">
        <v>611</v>
      </c>
      <c r="I238" s="97">
        <v>82</v>
      </c>
      <c r="J238" s="97">
        <v>12</v>
      </c>
      <c r="K238" s="97">
        <v>290</v>
      </c>
      <c r="L238" s="97">
        <v>97</v>
      </c>
      <c r="M238" s="97">
        <v>16</v>
      </c>
      <c r="N238" s="97">
        <v>327</v>
      </c>
      <c r="O238" s="97">
        <v>84</v>
      </c>
      <c r="P238" s="97">
        <v>8</v>
      </c>
      <c r="Q238" s="97">
        <v>147</v>
      </c>
      <c r="R238" s="97">
        <v>65</v>
      </c>
      <c r="S238" s="97">
        <v>9</v>
      </c>
      <c r="T238" s="97">
        <v>223</v>
      </c>
      <c r="U238" s="97">
        <v>77</v>
      </c>
      <c r="V238" s="97">
        <v>8</v>
      </c>
      <c r="W238" s="97">
        <v>275</v>
      </c>
      <c r="X238" s="97">
        <v>75</v>
      </c>
      <c r="Y238" s="97">
        <v>14</v>
      </c>
      <c r="Z238" s="97">
        <v>289</v>
      </c>
      <c r="AA238" s="97">
        <v>58</v>
      </c>
      <c r="AB238" s="97">
        <v>15</v>
      </c>
      <c r="AC238" s="97">
        <v>278</v>
      </c>
      <c r="AD238" s="97">
        <v>73</v>
      </c>
      <c r="AE238" s="97">
        <v>11</v>
      </c>
      <c r="AF238" s="97">
        <v>216</v>
      </c>
      <c r="AG238" s="97">
        <v>503</v>
      </c>
      <c r="AH238" s="97">
        <v>9</v>
      </c>
      <c r="AI238" s="97">
        <v>233</v>
      </c>
    </row>
    <row r="239" spans="1:35" ht="15" customHeight="1">
      <c r="A239" s="97" t="s">
        <v>413</v>
      </c>
      <c r="B239" s="97" t="s">
        <v>413</v>
      </c>
      <c r="C239" s="97" t="s">
        <v>1705</v>
      </c>
      <c r="D239" s="97" t="s">
        <v>3198</v>
      </c>
      <c r="E239" s="97" t="s">
        <v>19</v>
      </c>
      <c r="F239" s="97">
        <v>111</v>
      </c>
      <c r="G239" s="97">
        <v>11</v>
      </c>
      <c r="H239" s="97">
        <v>136</v>
      </c>
      <c r="I239" s="97">
        <v>81</v>
      </c>
      <c r="J239" s="97">
        <v>14</v>
      </c>
      <c r="K239" s="97">
        <v>309</v>
      </c>
      <c r="L239" s="97">
        <v>90.5</v>
      </c>
      <c r="M239" s="97">
        <v>22</v>
      </c>
      <c r="N239" s="97">
        <v>470</v>
      </c>
      <c r="O239" s="97">
        <v>81</v>
      </c>
      <c r="P239" s="97">
        <v>11</v>
      </c>
      <c r="Q239" s="97">
        <v>195</v>
      </c>
      <c r="R239" s="97">
        <v>71</v>
      </c>
      <c r="S239" s="97">
        <v>4</v>
      </c>
      <c r="T239" s="97">
        <v>123</v>
      </c>
      <c r="U239" s="97">
        <v>68</v>
      </c>
      <c r="V239" s="97">
        <v>33</v>
      </c>
      <c r="W239" s="97">
        <v>555</v>
      </c>
      <c r="X239" s="97">
        <v>61</v>
      </c>
      <c r="Y239" s="97">
        <v>40</v>
      </c>
      <c r="Z239" s="97">
        <v>754</v>
      </c>
      <c r="AA239" s="97">
        <v>52</v>
      </c>
      <c r="AB239" s="97">
        <v>30</v>
      </c>
      <c r="AC239" s="97">
        <v>509</v>
      </c>
      <c r="AD239" s="97">
        <v>65</v>
      </c>
      <c r="AE239" s="97">
        <v>28</v>
      </c>
      <c r="AF239" s="97">
        <v>548</v>
      </c>
      <c r="AG239" s="97">
        <v>502.5</v>
      </c>
      <c r="AH239" s="97">
        <v>10</v>
      </c>
      <c r="AI239" s="97">
        <v>236</v>
      </c>
    </row>
    <row r="240" spans="1:35" ht="15" customHeight="1">
      <c r="A240" s="97" t="s">
        <v>3322</v>
      </c>
      <c r="B240" s="97" t="s">
        <v>3322</v>
      </c>
      <c r="C240" s="97" t="s">
        <v>179</v>
      </c>
      <c r="D240" s="97" t="s">
        <v>3198</v>
      </c>
      <c r="E240" s="97" t="s">
        <v>60</v>
      </c>
      <c r="F240" s="97">
        <v>102</v>
      </c>
      <c r="G240" s="97">
        <v>33</v>
      </c>
      <c r="H240" s="97">
        <v>442</v>
      </c>
      <c r="I240" s="97">
        <v>78</v>
      </c>
      <c r="J240" s="97">
        <v>21</v>
      </c>
      <c r="K240" s="97">
        <v>353</v>
      </c>
      <c r="L240" s="97">
        <v>96.5</v>
      </c>
      <c r="M240" s="97">
        <v>17</v>
      </c>
      <c r="N240" s="97">
        <v>337</v>
      </c>
      <c r="O240" s="97">
        <v>82</v>
      </c>
      <c r="P240" s="97">
        <v>9</v>
      </c>
      <c r="Q240" s="97">
        <v>174</v>
      </c>
      <c r="R240" s="97">
        <v>66</v>
      </c>
      <c r="S240" s="97">
        <v>13</v>
      </c>
      <c r="T240" s="97">
        <v>204</v>
      </c>
      <c r="U240" s="97">
        <v>78</v>
      </c>
      <c r="V240" s="97">
        <v>7</v>
      </c>
      <c r="W240" s="97">
        <v>250</v>
      </c>
      <c r="X240" s="97">
        <v>76</v>
      </c>
      <c r="Y240" s="97">
        <v>16</v>
      </c>
      <c r="Z240" s="97">
        <v>260</v>
      </c>
      <c r="AA240" s="97">
        <v>58</v>
      </c>
      <c r="AB240" s="97">
        <v>9</v>
      </c>
      <c r="AC240" s="97">
        <v>278</v>
      </c>
      <c r="AD240" s="97">
        <v>73</v>
      </c>
      <c r="AE240" s="97">
        <v>9</v>
      </c>
      <c r="AF240" s="97">
        <v>216</v>
      </c>
      <c r="AG240" s="97">
        <v>502.5</v>
      </c>
      <c r="AH240" s="97">
        <v>9</v>
      </c>
      <c r="AI240" s="97">
        <v>236</v>
      </c>
    </row>
    <row r="241" spans="1:35" ht="15" customHeight="1">
      <c r="A241" s="97" t="s">
        <v>1463</v>
      </c>
      <c r="B241" s="97" t="s">
        <v>1463</v>
      </c>
      <c r="C241" s="97" t="s">
        <v>1464</v>
      </c>
      <c r="D241" s="97" t="s">
        <v>3198</v>
      </c>
      <c r="E241" s="97" t="s">
        <v>56</v>
      </c>
      <c r="F241" s="97">
        <v>105</v>
      </c>
      <c r="G241" s="97">
        <v>15</v>
      </c>
      <c r="H241" s="97">
        <v>325</v>
      </c>
      <c r="I241" s="97">
        <v>47</v>
      </c>
      <c r="J241" s="97">
        <v>48</v>
      </c>
      <c r="K241" s="97">
        <v>857</v>
      </c>
      <c r="L241" s="97">
        <v>127</v>
      </c>
      <c r="M241" s="97">
        <v>1</v>
      </c>
      <c r="N241" s="97">
        <v>7</v>
      </c>
      <c r="O241" s="97">
        <v>70</v>
      </c>
      <c r="P241" s="97">
        <v>20</v>
      </c>
      <c r="Q241" s="97">
        <v>400</v>
      </c>
      <c r="R241" s="97">
        <v>75</v>
      </c>
      <c r="S241" s="97">
        <v>3</v>
      </c>
      <c r="T241" s="97">
        <v>83</v>
      </c>
      <c r="U241" s="97">
        <v>78</v>
      </c>
      <c r="V241" s="97">
        <v>25</v>
      </c>
      <c r="W241" s="97">
        <v>250</v>
      </c>
      <c r="X241" s="97">
        <v>66</v>
      </c>
      <c r="Y241" s="97">
        <v>40</v>
      </c>
      <c r="Z241" s="97">
        <v>604</v>
      </c>
      <c r="AA241" s="97">
        <v>78</v>
      </c>
      <c r="AB241" s="97">
        <v>1</v>
      </c>
      <c r="AC241" s="97">
        <v>5</v>
      </c>
      <c r="AD241" s="97">
        <v>82</v>
      </c>
      <c r="AE241" s="97">
        <v>1</v>
      </c>
      <c r="AF241" s="97">
        <v>31</v>
      </c>
      <c r="AG241" s="97">
        <v>502</v>
      </c>
      <c r="AH241" s="97">
        <v>9</v>
      </c>
      <c r="AI241" s="97">
        <v>238</v>
      </c>
    </row>
    <row r="242" spans="1:35" ht="15" customHeight="1">
      <c r="A242" s="97" t="s">
        <v>1431</v>
      </c>
      <c r="B242" s="97" t="s">
        <v>1431</v>
      </c>
      <c r="C242" s="97" t="s">
        <v>1432</v>
      </c>
      <c r="D242" s="97" t="s">
        <v>3198</v>
      </c>
      <c r="E242" s="97" t="s">
        <v>56</v>
      </c>
      <c r="F242" s="97">
        <v>106</v>
      </c>
      <c r="G242" s="97">
        <v>14</v>
      </c>
      <c r="H242" s="97">
        <v>287</v>
      </c>
      <c r="I242" s="97">
        <v>86</v>
      </c>
      <c r="J242" s="97">
        <v>12</v>
      </c>
      <c r="K242" s="97">
        <v>233</v>
      </c>
      <c r="L242" s="97">
        <v>106.5</v>
      </c>
      <c r="M242" s="97">
        <v>7</v>
      </c>
      <c r="N242" s="97">
        <v>156</v>
      </c>
      <c r="O242" s="97">
        <v>71</v>
      </c>
      <c r="P242" s="97">
        <v>15</v>
      </c>
      <c r="Q242" s="97">
        <v>378</v>
      </c>
      <c r="R242" s="97">
        <v>59</v>
      </c>
      <c r="S242" s="97">
        <v>16</v>
      </c>
      <c r="T242" s="97">
        <v>348</v>
      </c>
      <c r="U242" s="97">
        <v>73</v>
      </c>
      <c r="V242" s="97">
        <v>33</v>
      </c>
      <c r="W242" s="97">
        <v>393</v>
      </c>
      <c r="X242" s="97">
        <v>73</v>
      </c>
      <c r="Y242" s="97">
        <v>22</v>
      </c>
      <c r="Z242" s="97">
        <v>359</v>
      </c>
      <c r="AA242" s="97">
        <v>48</v>
      </c>
      <c r="AB242" s="97">
        <v>33</v>
      </c>
      <c r="AC242" s="97">
        <v>671</v>
      </c>
      <c r="AD242" s="97">
        <v>72</v>
      </c>
      <c r="AE242" s="97">
        <v>15</v>
      </c>
      <c r="AF242" s="97">
        <v>256</v>
      </c>
      <c r="AG242" s="97">
        <v>501.5</v>
      </c>
      <c r="AH242" s="97">
        <v>10</v>
      </c>
      <c r="AI242" s="97">
        <v>239</v>
      </c>
    </row>
    <row r="243" spans="1:35" ht="15" customHeight="1">
      <c r="A243" s="97" t="s">
        <v>1259</v>
      </c>
      <c r="B243" s="97" t="s">
        <v>1259</v>
      </c>
      <c r="C243" s="97" t="s">
        <v>1260</v>
      </c>
      <c r="D243" s="97" t="s">
        <v>3198</v>
      </c>
      <c r="E243" s="97" t="s">
        <v>54</v>
      </c>
      <c r="F243" s="97">
        <v>107</v>
      </c>
      <c r="G243" s="97">
        <v>20</v>
      </c>
      <c r="H243" s="97">
        <v>242</v>
      </c>
      <c r="I243" s="97">
        <v>106</v>
      </c>
      <c r="J243" s="97">
        <v>1</v>
      </c>
      <c r="K243" s="97">
        <v>54</v>
      </c>
      <c r="L243" s="97">
        <v>75.5</v>
      </c>
      <c r="M243" s="97">
        <v>42</v>
      </c>
      <c r="N243" s="97">
        <v>763</v>
      </c>
      <c r="O243" s="97">
        <v>95</v>
      </c>
      <c r="P243" s="97">
        <v>1</v>
      </c>
      <c r="Q243" s="97">
        <v>50</v>
      </c>
      <c r="R243" s="97">
        <v>46</v>
      </c>
      <c r="S243" s="97">
        <v>45</v>
      </c>
      <c r="T243" s="97">
        <v>702</v>
      </c>
      <c r="U243" s="97">
        <v>72</v>
      </c>
      <c r="V243" s="97">
        <v>26</v>
      </c>
      <c r="W243" s="97">
        <v>433</v>
      </c>
      <c r="X243" s="97">
        <v>59</v>
      </c>
      <c r="Y243" s="97">
        <v>47</v>
      </c>
      <c r="Z243" s="97">
        <v>799</v>
      </c>
      <c r="AA243" s="97">
        <v>51</v>
      </c>
      <c r="AB243" s="97">
        <v>23</v>
      </c>
      <c r="AC243" s="97">
        <v>555</v>
      </c>
      <c r="AD243" s="97">
        <v>70</v>
      </c>
      <c r="AE243" s="97">
        <v>21</v>
      </c>
      <c r="AF243" s="97">
        <v>327</v>
      </c>
      <c r="AG243" s="97">
        <v>501.5</v>
      </c>
      <c r="AH243" s="97">
        <v>9</v>
      </c>
      <c r="AI243" s="97">
        <v>239</v>
      </c>
    </row>
    <row r="244" spans="1:35" ht="15" customHeight="1">
      <c r="A244" s="97" t="s">
        <v>3311</v>
      </c>
      <c r="B244" s="97" t="s">
        <v>3311</v>
      </c>
      <c r="C244" s="97" t="s">
        <v>128</v>
      </c>
      <c r="D244" s="97" t="s">
        <v>3198</v>
      </c>
      <c r="E244" s="97" t="s">
        <v>28</v>
      </c>
      <c r="F244" s="97">
        <v>103</v>
      </c>
      <c r="G244" s="97">
        <v>22</v>
      </c>
      <c r="H244" s="97">
        <v>400</v>
      </c>
      <c r="I244" s="97">
        <v>88</v>
      </c>
      <c r="J244" s="97">
        <v>9</v>
      </c>
      <c r="K244" s="97">
        <v>206</v>
      </c>
      <c r="L244" s="97">
        <v>112</v>
      </c>
      <c r="M244" s="97">
        <v>2</v>
      </c>
      <c r="N244" s="97">
        <v>88</v>
      </c>
      <c r="O244" s="97">
        <v>64</v>
      </c>
      <c r="P244" s="97">
        <v>31</v>
      </c>
      <c r="Q244" s="97">
        <v>517</v>
      </c>
      <c r="R244" s="97">
        <v>56</v>
      </c>
      <c r="S244" s="97">
        <v>20</v>
      </c>
      <c r="T244" s="97">
        <v>433</v>
      </c>
      <c r="U244" s="97">
        <v>78</v>
      </c>
      <c r="V244" s="97">
        <v>12</v>
      </c>
      <c r="W244" s="97">
        <v>250</v>
      </c>
      <c r="X244" s="97">
        <v>70</v>
      </c>
      <c r="Y244" s="97">
        <v>25</v>
      </c>
      <c r="Z244" s="97">
        <v>473</v>
      </c>
      <c r="AA244" s="97">
        <v>59</v>
      </c>
      <c r="AB244" s="97">
        <v>17</v>
      </c>
      <c r="AC244" s="97">
        <v>233</v>
      </c>
      <c r="AD244" s="97">
        <v>64</v>
      </c>
      <c r="AE244" s="97">
        <v>38</v>
      </c>
      <c r="AF244" s="97">
        <v>586</v>
      </c>
      <c r="AG244" s="97">
        <v>501</v>
      </c>
      <c r="AH244" s="97">
        <v>10</v>
      </c>
      <c r="AI244" s="97">
        <v>241</v>
      </c>
    </row>
    <row r="245" spans="1:35" ht="15" customHeight="1">
      <c r="A245" s="97" t="s">
        <v>232</v>
      </c>
      <c r="B245" s="97" t="s">
        <v>232</v>
      </c>
      <c r="C245" s="97" t="s">
        <v>233</v>
      </c>
      <c r="D245" s="97" t="s">
        <v>3198</v>
      </c>
      <c r="E245" s="97" t="s">
        <v>28</v>
      </c>
      <c r="F245" s="97">
        <v>107</v>
      </c>
      <c r="G245" s="97">
        <v>14</v>
      </c>
      <c r="H245" s="97">
        <v>242</v>
      </c>
      <c r="I245" s="97">
        <v>84</v>
      </c>
      <c r="J245" s="97">
        <v>12</v>
      </c>
      <c r="K245" s="97">
        <v>251</v>
      </c>
      <c r="L245" s="97">
        <v>94</v>
      </c>
      <c r="M245" s="97">
        <v>24</v>
      </c>
      <c r="N245" s="97">
        <v>382</v>
      </c>
      <c r="O245" s="97">
        <v>92</v>
      </c>
      <c r="P245" s="97">
        <v>3</v>
      </c>
      <c r="Q245" s="97">
        <v>74</v>
      </c>
      <c r="R245" s="97">
        <v>56</v>
      </c>
      <c r="S245" s="97">
        <v>20</v>
      </c>
      <c r="T245" s="97">
        <v>433</v>
      </c>
      <c r="U245" s="97">
        <v>68</v>
      </c>
      <c r="V245" s="97">
        <v>29</v>
      </c>
      <c r="W245" s="97">
        <v>555</v>
      </c>
      <c r="X245" s="97">
        <v>58</v>
      </c>
      <c r="Y245" s="97">
        <v>50</v>
      </c>
      <c r="Z245" s="97">
        <v>820</v>
      </c>
      <c r="AA245" s="97">
        <v>48</v>
      </c>
      <c r="AB245" s="97">
        <v>47</v>
      </c>
      <c r="AC245" s="97">
        <v>671</v>
      </c>
      <c r="AD245" s="97">
        <v>62</v>
      </c>
      <c r="AE245" s="97">
        <v>45</v>
      </c>
      <c r="AF245" s="97">
        <v>672</v>
      </c>
      <c r="AG245" s="97">
        <v>501</v>
      </c>
      <c r="AH245" s="97">
        <v>10</v>
      </c>
      <c r="AI245" s="97">
        <v>241</v>
      </c>
    </row>
    <row r="246" spans="1:35" ht="15" customHeight="1">
      <c r="A246" s="97" t="s">
        <v>2054</v>
      </c>
      <c r="B246" s="97" t="s">
        <v>2054</v>
      </c>
      <c r="C246" s="97" t="s">
        <v>2055</v>
      </c>
      <c r="D246" s="97" t="s">
        <v>3198</v>
      </c>
      <c r="E246" s="97" t="s">
        <v>109</v>
      </c>
      <c r="F246" s="97">
        <v>105</v>
      </c>
      <c r="G246" s="97">
        <v>24</v>
      </c>
      <c r="H246" s="97">
        <v>325</v>
      </c>
      <c r="I246" s="97">
        <v>94</v>
      </c>
      <c r="J246" s="97">
        <v>5</v>
      </c>
      <c r="K246" s="97">
        <v>141</v>
      </c>
      <c r="L246" s="97">
        <v>111</v>
      </c>
      <c r="M246" s="97">
        <v>7</v>
      </c>
      <c r="N246" s="97">
        <v>95</v>
      </c>
      <c r="O246" s="97">
        <v>63</v>
      </c>
      <c r="P246" s="97">
        <v>27</v>
      </c>
      <c r="Q246" s="97">
        <v>540</v>
      </c>
      <c r="R246" s="97">
        <v>61</v>
      </c>
      <c r="S246" s="97">
        <v>14</v>
      </c>
      <c r="T246" s="97">
        <v>300</v>
      </c>
      <c r="U246" s="97">
        <v>67</v>
      </c>
      <c r="V246" s="97">
        <v>35</v>
      </c>
      <c r="W246" s="97">
        <v>587</v>
      </c>
      <c r="X246" s="97">
        <v>81</v>
      </c>
      <c r="Y246" s="97">
        <v>8</v>
      </c>
      <c r="Z246" s="97">
        <v>124</v>
      </c>
      <c r="AA246" s="97">
        <v>54</v>
      </c>
      <c r="AB246" s="97">
        <v>20</v>
      </c>
      <c r="AC246" s="97">
        <v>428</v>
      </c>
      <c r="AD246" s="97">
        <v>65</v>
      </c>
      <c r="AE246" s="97">
        <v>29</v>
      </c>
      <c r="AF246" s="97">
        <v>548</v>
      </c>
      <c r="AG246" s="97">
        <v>501</v>
      </c>
      <c r="AH246" s="97">
        <v>14</v>
      </c>
      <c r="AI246" s="97">
        <v>241</v>
      </c>
    </row>
    <row r="247" spans="1:35" ht="15" customHeight="1">
      <c r="A247" s="97" t="s">
        <v>2495</v>
      </c>
      <c r="B247" s="97" t="s">
        <v>2495</v>
      </c>
      <c r="C247" s="97" t="s">
        <v>2496</v>
      </c>
      <c r="D247" s="97" t="s">
        <v>3198</v>
      </c>
      <c r="E247" s="97" t="s">
        <v>131</v>
      </c>
      <c r="F247" s="97">
        <v>86</v>
      </c>
      <c r="G247" s="97">
        <v>41</v>
      </c>
      <c r="H247" s="97">
        <v>867</v>
      </c>
      <c r="I247" s="97">
        <v>82</v>
      </c>
      <c r="J247" s="97">
        <v>13</v>
      </c>
      <c r="K247" s="97">
        <v>290</v>
      </c>
      <c r="L247" s="97">
        <v>102.5</v>
      </c>
      <c r="M247" s="97">
        <v>8</v>
      </c>
      <c r="N247" s="97">
        <v>210</v>
      </c>
      <c r="O247" s="97">
        <v>87</v>
      </c>
      <c r="P247" s="97">
        <v>7</v>
      </c>
      <c r="Q247" s="97">
        <v>114</v>
      </c>
      <c r="R247" s="97">
        <v>71</v>
      </c>
      <c r="S247" s="97">
        <v>2</v>
      </c>
      <c r="T247" s="97">
        <v>123</v>
      </c>
      <c r="U247" s="97">
        <v>72</v>
      </c>
      <c r="V247" s="97">
        <v>21</v>
      </c>
      <c r="W247" s="97">
        <v>433</v>
      </c>
      <c r="X247" s="97">
        <v>66</v>
      </c>
      <c r="Y247" s="97">
        <v>30</v>
      </c>
      <c r="Z247" s="97">
        <v>604</v>
      </c>
      <c r="AA247" s="97">
        <v>61</v>
      </c>
      <c r="AB247" s="97">
        <v>16</v>
      </c>
      <c r="AC247" s="97">
        <v>172</v>
      </c>
      <c r="AD247" s="97">
        <v>63</v>
      </c>
      <c r="AE247" s="97">
        <v>42</v>
      </c>
      <c r="AF247" s="97">
        <v>633</v>
      </c>
      <c r="AG247" s="97">
        <v>500.5</v>
      </c>
      <c r="AH247" s="97">
        <v>7</v>
      </c>
      <c r="AI247" s="97">
        <v>244</v>
      </c>
    </row>
    <row r="248" spans="1:35" ht="15" customHeight="1">
      <c r="A248" s="97" t="s">
        <v>766</v>
      </c>
      <c r="B248" s="97" t="s">
        <v>766</v>
      </c>
      <c r="C248" s="97" t="s">
        <v>767</v>
      </c>
      <c r="D248" s="97" t="s">
        <v>3198</v>
      </c>
      <c r="E248" s="97" t="s">
        <v>117</v>
      </c>
      <c r="F248" s="97">
        <v>109</v>
      </c>
      <c r="G248" s="97">
        <v>9</v>
      </c>
      <c r="H248" s="97">
        <v>185</v>
      </c>
      <c r="I248" s="97">
        <v>97</v>
      </c>
      <c r="J248" s="97">
        <v>7</v>
      </c>
      <c r="K248" s="97">
        <v>112</v>
      </c>
      <c r="L248" s="97">
        <v>101.5</v>
      </c>
      <c r="M248" s="97">
        <v>13</v>
      </c>
      <c r="N248" s="97">
        <v>225</v>
      </c>
      <c r="O248" s="97">
        <v>76</v>
      </c>
      <c r="P248" s="97">
        <v>13</v>
      </c>
      <c r="Q248" s="97">
        <v>287</v>
      </c>
      <c r="R248" s="97">
        <v>58</v>
      </c>
      <c r="S248" s="97">
        <v>19</v>
      </c>
      <c r="T248" s="97">
        <v>377</v>
      </c>
      <c r="U248" s="97">
        <v>59</v>
      </c>
      <c r="V248" s="97">
        <v>44</v>
      </c>
      <c r="W248" s="97">
        <v>762</v>
      </c>
      <c r="X248" s="97">
        <v>75</v>
      </c>
      <c r="Y248" s="97">
        <v>22</v>
      </c>
      <c r="Z248" s="97">
        <v>289</v>
      </c>
      <c r="AA248" s="97">
        <v>52</v>
      </c>
      <c r="AB248" s="97">
        <v>29</v>
      </c>
      <c r="AC248" s="97">
        <v>509</v>
      </c>
      <c r="AD248" s="97">
        <v>59</v>
      </c>
      <c r="AE248" s="97">
        <v>43</v>
      </c>
      <c r="AF248" s="97">
        <v>746</v>
      </c>
      <c r="AG248" s="97">
        <v>500.5</v>
      </c>
      <c r="AH248" s="97">
        <v>8</v>
      </c>
      <c r="AI248" s="97">
        <v>244</v>
      </c>
    </row>
    <row r="249" spans="1:35" ht="15" customHeight="1">
      <c r="A249" s="97" t="s">
        <v>981</v>
      </c>
      <c r="B249" s="97" t="s">
        <v>981</v>
      </c>
      <c r="C249" s="97" t="s">
        <v>982</v>
      </c>
      <c r="D249" s="97" t="s">
        <v>3198</v>
      </c>
      <c r="E249" s="97" t="s">
        <v>60</v>
      </c>
      <c r="F249" s="97">
        <v>90</v>
      </c>
      <c r="G249" s="97">
        <v>53</v>
      </c>
      <c r="H249" s="97">
        <v>815</v>
      </c>
      <c r="I249" s="97">
        <v>98</v>
      </c>
      <c r="J249" s="97">
        <v>6</v>
      </c>
      <c r="K249" s="97">
        <v>103</v>
      </c>
      <c r="L249" s="97">
        <v>68</v>
      </c>
      <c r="M249" s="97">
        <v>46</v>
      </c>
      <c r="N249" s="97">
        <v>862</v>
      </c>
      <c r="O249" s="97">
        <v>95</v>
      </c>
      <c r="P249" s="97">
        <v>3</v>
      </c>
      <c r="Q249" s="97">
        <v>50</v>
      </c>
      <c r="R249" s="97">
        <v>71</v>
      </c>
      <c r="S249" s="97">
        <v>3</v>
      </c>
      <c r="T249" s="97">
        <v>123</v>
      </c>
      <c r="U249" s="97">
        <v>78</v>
      </c>
      <c r="V249" s="97">
        <v>7</v>
      </c>
      <c r="W249" s="97">
        <v>250</v>
      </c>
      <c r="X249" s="97">
        <v>66</v>
      </c>
      <c r="Y249" s="97">
        <v>35</v>
      </c>
      <c r="Z249" s="97">
        <v>604</v>
      </c>
      <c r="AA249" s="97">
        <v>56</v>
      </c>
      <c r="AB249" s="97">
        <v>14</v>
      </c>
      <c r="AC249" s="97">
        <v>352</v>
      </c>
      <c r="AD249" s="97">
        <v>81</v>
      </c>
      <c r="AE249" s="97">
        <v>2</v>
      </c>
      <c r="AF249" s="97">
        <v>42</v>
      </c>
      <c r="AG249" s="97">
        <v>500</v>
      </c>
      <c r="AH249" s="97">
        <v>10</v>
      </c>
      <c r="AI249" s="97">
        <v>246</v>
      </c>
    </row>
    <row r="250" spans="1:35" ht="15" customHeight="1">
      <c r="A250" s="97" t="s">
        <v>461</v>
      </c>
      <c r="B250" s="97" t="s">
        <v>461</v>
      </c>
      <c r="C250" s="97" t="s">
        <v>465</v>
      </c>
      <c r="D250" s="97" t="s">
        <v>3198</v>
      </c>
      <c r="E250" s="97" t="s">
        <v>19</v>
      </c>
      <c r="F250" s="97">
        <v>102</v>
      </c>
      <c r="G250" s="97">
        <v>28</v>
      </c>
      <c r="H250" s="97">
        <v>442</v>
      </c>
      <c r="I250" s="97">
        <v>84</v>
      </c>
      <c r="J250" s="97">
        <v>8</v>
      </c>
      <c r="K250" s="97">
        <v>251</v>
      </c>
      <c r="L250" s="97">
        <v>95</v>
      </c>
      <c r="M250" s="97">
        <v>19</v>
      </c>
      <c r="N250" s="97">
        <v>364</v>
      </c>
      <c r="O250" s="97">
        <v>83</v>
      </c>
      <c r="P250" s="97">
        <v>9</v>
      </c>
      <c r="Q250" s="97">
        <v>163</v>
      </c>
      <c r="R250" s="97">
        <v>60</v>
      </c>
      <c r="S250" s="97">
        <v>14</v>
      </c>
      <c r="T250" s="97">
        <v>322</v>
      </c>
      <c r="U250" s="97">
        <v>76</v>
      </c>
      <c r="V250" s="97">
        <v>11</v>
      </c>
      <c r="W250" s="97">
        <v>308</v>
      </c>
      <c r="X250" s="97">
        <v>61</v>
      </c>
      <c r="Y250" s="97">
        <v>40</v>
      </c>
      <c r="Z250" s="97">
        <v>754</v>
      </c>
      <c r="AA250" s="97">
        <v>63</v>
      </c>
      <c r="AB250" s="97">
        <v>8</v>
      </c>
      <c r="AC250" s="97">
        <v>123</v>
      </c>
      <c r="AD250" s="97">
        <v>65</v>
      </c>
      <c r="AE250" s="97">
        <v>28</v>
      </c>
      <c r="AF250" s="97">
        <v>548</v>
      </c>
      <c r="AG250" s="97">
        <v>500</v>
      </c>
      <c r="AH250" s="97">
        <v>11</v>
      </c>
      <c r="AI250" s="97">
        <v>246</v>
      </c>
    </row>
    <row r="251" spans="1:35" ht="15" customHeight="1">
      <c r="A251" s="97" t="s">
        <v>2438</v>
      </c>
      <c r="B251" s="97" t="s">
        <v>2438</v>
      </c>
      <c r="C251" s="97" t="s">
        <v>2439</v>
      </c>
      <c r="D251" s="97" t="s">
        <v>3198</v>
      </c>
      <c r="E251" s="97" t="s">
        <v>131</v>
      </c>
      <c r="F251" s="97">
        <v>107</v>
      </c>
      <c r="G251" s="97">
        <v>5</v>
      </c>
      <c r="H251" s="97">
        <v>242</v>
      </c>
      <c r="I251" s="97">
        <v>90</v>
      </c>
      <c r="J251" s="97">
        <v>6</v>
      </c>
      <c r="K251" s="97">
        <v>183</v>
      </c>
      <c r="L251" s="97">
        <v>77</v>
      </c>
      <c r="M251" s="97">
        <v>42</v>
      </c>
      <c r="N251" s="97">
        <v>740</v>
      </c>
      <c r="O251" s="97">
        <v>90</v>
      </c>
      <c r="P251" s="97">
        <v>3</v>
      </c>
      <c r="Q251" s="97">
        <v>90</v>
      </c>
      <c r="R251" s="97">
        <v>55</v>
      </c>
      <c r="S251" s="97">
        <v>24</v>
      </c>
      <c r="T251" s="97">
        <v>470</v>
      </c>
      <c r="U251" s="97">
        <v>81</v>
      </c>
      <c r="V251" s="97">
        <v>4</v>
      </c>
      <c r="W251" s="97">
        <v>183</v>
      </c>
      <c r="X251" s="97">
        <v>70</v>
      </c>
      <c r="Y251" s="97">
        <v>22</v>
      </c>
      <c r="Z251" s="97">
        <v>473</v>
      </c>
      <c r="AA251" s="97">
        <v>66</v>
      </c>
      <c r="AB251" s="97">
        <v>7</v>
      </c>
      <c r="AC251" s="97">
        <v>80</v>
      </c>
      <c r="AD251" s="97">
        <v>68</v>
      </c>
      <c r="AE251" s="97">
        <v>30</v>
      </c>
      <c r="AF251" s="97">
        <v>412</v>
      </c>
      <c r="AG251" s="97">
        <v>500</v>
      </c>
      <c r="AH251" s="97">
        <v>8</v>
      </c>
      <c r="AI251" s="97">
        <v>246</v>
      </c>
    </row>
    <row r="252" spans="1:35" ht="15" customHeight="1">
      <c r="A252" s="97" t="s">
        <v>2317</v>
      </c>
      <c r="B252" s="97" t="s">
        <v>2317</v>
      </c>
      <c r="C252" s="97" t="s">
        <v>2321</v>
      </c>
      <c r="D252" s="97" t="s">
        <v>3198</v>
      </c>
      <c r="E252" s="97" t="s">
        <v>7</v>
      </c>
      <c r="F252" s="97">
        <v>111</v>
      </c>
      <c r="G252" s="97">
        <v>6</v>
      </c>
      <c r="H252" s="97">
        <v>136</v>
      </c>
      <c r="I252" s="97">
        <v>85</v>
      </c>
      <c r="J252" s="97">
        <v>7</v>
      </c>
      <c r="K252" s="97">
        <v>244</v>
      </c>
      <c r="L252" s="97">
        <v>86</v>
      </c>
      <c r="M252" s="97">
        <v>33</v>
      </c>
      <c r="N252" s="97">
        <v>580</v>
      </c>
      <c r="O252" s="97">
        <v>67</v>
      </c>
      <c r="P252" s="97">
        <v>22</v>
      </c>
      <c r="Q252" s="97">
        <v>468</v>
      </c>
      <c r="R252" s="97">
        <v>70</v>
      </c>
      <c r="S252" s="97">
        <v>3</v>
      </c>
      <c r="T252" s="97">
        <v>136</v>
      </c>
      <c r="U252" s="97">
        <v>81</v>
      </c>
      <c r="V252" s="97">
        <v>8</v>
      </c>
      <c r="W252" s="97">
        <v>183</v>
      </c>
      <c r="X252" s="97">
        <v>80</v>
      </c>
      <c r="Y252" s="97">
        <v>22</v>
      </c>
      <c r="Z252" s="97">
        <v>151</v>
      </c>
      <c r="AA252" s="97">
        <v>61</v>
      </c>
      <c r="AB252" s="97">
        <v>10</v>
      </c>
      <c r="AC252" s="97">
        <v>172</v>
      </c>
      <c r="AD252" s="97">
        <v>83</v>
      </c>
      <c r="AE252" s="97">
        <v>1</v>
      </c>
      <c r="AF252" s="97">
        <v>22</v>
      </c>
      <c r="AG252" s="97">
        <v>500</v>
      </c>
      <c r="AH252" s="97">
        <v>6</v>
      </c>
      <c r="AI252" s="97">
        <v>246</v>
      </c>
    </row>
    <row r="253" spans="1:35" ht="15" customHeight="1">
      <c r="A253" s="97" t="s">
        <v>544</v>
      </c>
      <c r="B253" s="97" t="s">
        <v>544</v>
      </c>
      <c r="C253" s="97" t="s">
        <v>168</v>
      </c>
      <c r="D253" s="97" t="s">
        <v>3198</v>
      </c>
      <c r="E253" s="97" t="s">
        <v>17</v>
      </c>
      <c r="F253" s="97">
        <v>118</v>
      </c>
      <c r="G253" s="97">
        <v>2</v>
      </c>
      <c r="H253" s="97">
        <v>33</v>
      </c>
      <c r="I253" s="97">
        <v>65</v>
      </c>
      <c r="J253" s="97">
        <v>37</v>
      </c>
      <c r="K253" s="97">
        <v>604</v>
      </c>
      <c r="L253" s="97">
        <v>116.5</v>
      </c>
      <c r="M253" s="97">
        <v>1</v>
      </c>
      <c r="N253" s="97">
        <v>46</v>
      </c>
      <c r="O253" s="97">
        <v>62</v>
      </c>
      <c r="P253" s="97">
        <v>36</v>
      </c>
      <c r="Q253" s="97">
        <v>564</v>
      </c>
      <c r="R253" s="97">
        <v>62</v>
      </c>
      <c r="S253" s="97">
        <v>17</v>
      </c>
      <c r="T253" s="97">
        <v>277</v>
      </c>
      <c r="U253" s="97">
        <v>76</v>
      </c>
      <c r="V253" s="97">
        <v>15</v>
      </c>
      <c r="W253" s="97">
        <v>308</v>
      </c>
      <c r="X253" s="97">
        <v>81</v>
      </c>
      <c r="Y253" s="97">
        <v>11</v>
      </c>
      <c r="Z253" s="97">
        <v>124</v>
      </c>
      <c r="AA253" s="97">
        <v>47</v>
      </c>
      <c r="AB253" s="97">
        <v>44</v>
      </c>
      <c r="AC253" s="97">
        <v>719</v>
      </c>
      <c r="AD253" s="97">
        <v>76</v>
      </c>
      <c r="AE253" s="97">
        <v>6</v>
      </c>
      <c r="AF253" s="97">
        <v>125</v>
      </c>
      <c r="AG253" s="97">
        <v>499.5</v>
      </c>
      <c r="AH253" s="97">
        <v>12</v>
      </c>
      <c r="AI253" s="97">
        <v>250</v>
      </c>
    </row>
    <row r="254" spans="1:35" ht="15" customHeight="1">
      <c r="A254" s="97" t="s">
        <v>850</v>
      </c>
      <c r="B254" s="97" t="s">
        <v>850</v>
      </c>
      <c r="C254" s="97" t="s">
        <v>851</v>
      </c>
      <c r="D254" s="97" t="s">
        <v>3198</v>
      </c>
      <c r="E254" s="97" t="s">
        <v>117</v>
      </c>
      <c r="F254" s="97">
        <v>116</v>
      </c>
      <c r="G254" s="97">
        <v>2</v>
      </c>
      <c r="H254" s="97">
        <v>47</v>
      </c>
      <c r="I254" s="97">
        <v>80</v>
      </c>
      <c r="J254" s="97">
        <v>17</v>
      </c>
      <c r="K254" s="97">
        <v>325</v>
      </c>
      <c r="L254" s="97">
        <v>96</v>
      </c>
      <c r="M254" s="97">
        <v>19</v>
      </c>
      <c r="N254" s="97">
        <v>346</v>
      </c>
      <c r="O254" s="97">
        <v>65</v>
      </c>
      <c r="P254" s="97">
        <v>28</v>
      </c>
      <c r="Q254" s="97">
        <v>501</v>
      </c>
      <c r="R254" s="97">
        <v>60</v>
      </c>
      <c r="S254" s="97">
        <v>13</v>
      </c>
      <c r="T254" s="97">
        <v>322</v>
      </c>
      <c r="U254" s="97">
        <v>82</v>
      </c>
      <c r="V254" s="97">
        <v>5</v>
      </c>
      <c r="W254" s="97">
        <v>166</v>
      </c>
      <c r="X254" s="97">
        <v>84</v>
      </c>
      <c r="Y254" s="97">
        <v>7</v>
      </c>
      <c r="Z254" s="97">
        <v>59</v>
      </c>
      <c r="AA254" s="97">
        <v>45</v>
      </c>
      <c r="AB254" s="97">
        <v>46</v>
      </c>
      <c r="AC254" s="97">
        <v>781</v>
      </c>
      <c r="AD254" s="97">
        <v>75</v>
      </c>
      <c r="AE254" s="97">
        <v>12</v>
      </c>
      <c r="AF254" s="97">
        <v>146</v>
      </c>
      <c r="AG254" s="97">
        <v>499</v>
      </c>
      <c r="AH254" s="97">
        <v>9</v>
      </c>
      <c r="AI254" s="97">
        <v>251</v>
      </c>
    </row>
    <row r="255" spans="1:35" ht="15" customHeight="1">
      <c r="A255" s="97" t="s">
        <v>1916</v>
      </c>
      <c r="B255" s="97" t="s">
        <v>1916</v>
      </c>
      <c r="C255" s="97" t="s">
        <v>1917</v>
      </c>
      <c r="D255" s="97" t="s">
        <v>3198</v>
      </c>
      <c r="E255" s="97" t="s">
        <v>34</v>
      </c>
      <c r="F255" s="97">
        <v>100</v>
      </c>
      <c r="G255" s="97">
        <v>34</v>
      </c>
      <c r="H255" s="97">
        <v>528</v>
      </c>
      <c r="I255" s="97">
        <v>102</v>
      </c>
      <c r="J255" s="97">
        <v>2</v>
      </c>
      <c r="K255" s="97">
        <v>72</v>
      </c>
      <c r="L255" s="97">
        <v>93</v>
      </c>
      <c r="M255" s="97">
        <v>23</v>
      </c>
      <c r="N255" s="97">
        <v>405</v>
      </c>
      <c r="O255" s="97">
        <v>59</v>
      </c>
      <c r="P255" s="97">
        <v>35</v>
      </c>
      <c r="Q255" s="97">
        <v>626</v>
      </c>
      <c r="R255" s="97">
        <v>71</v>
      </c>
      <c r="S255" s="97">
        <v>3</v>
      </c>
      <c r="T255" s="97">
        <v>123</v>
      </c>
      <c r="U255" s="97">
        <v>74</v>
      </c>
      <c r="V255" s="97">
        <v>13</v>
      </c>
      <c r="W255" s="97">
        <v>366</v>
      </c>
      <c r="X255" s="97">
        <v>62</v>
      </c>
      <c r="Y255" s="97">
        <v>48</v>
      </c>
      <c r="Z255" s="97">
        <v>729</v>
      </c>
      <c r="AA255" s="97">
        <v>43</v>
      </c>
      <c r="AB255" s="97">
        <v>49</v>
      </c>
      <c r="AC255" s="97">
        <v>824</v>
      </c>
      <c r="AD255" s="97">
        <v>65</v>
      </c>
      <c r="AE255" s="97">
        <v>29</v>
      </c>
      <c r="AF255" s="97">
        <v>548</v>
      </c>
      <c r="AG255" s="97">
        <v>499</v>
      </c>
      <c r="AH255" s="97">
        <v>10</v>
      </c>
      <c r="AI255" s="97">
        <v>251</v>
      </c>
    </row>
    <row r="256" spans="1:35" ht="15" customHeight="1">
      <c r="A256" s="97" t="s">
        <v>1996</v>
      </c>
      <c r="B256" s="97" t="s">
        <v>1996</v>
      </c>
      <c r="C256" s="97" t="s">
        <v>1562</v>
      </c>
      <c r="D256" s="97" t="s">
        <v>3198</v>
      </c>
      <c r="E256" s="97" t="s">
        <v>109</v>
      </c>
      <c r="F256" s="97">
        <v>104</v>
      </c>
      <c r="G256" s="97">
        <v>26</v>
      </c>
      <c r="H256" s="97">
        <v>357</v>
      </c>
      <c r="I256" s="97">
        <v>72</v>
      </c>
      <c r="J256" s="97">
        <v>21</v>
      </c>
      <c r="K256" s="97">
        <v>458</v>
      </c>
      <c r="L256" s="97">
        <v>100.5</v>
      </c>
      <c r="M256" s="97">
        <v>14</v>
      </c>
      <c r="N256" s="97">
        <v>247</v>
      </c>
      <c r="O256" s="97">
        <v>78</v>
      </c>
      <c r="P256" s="97">
        <v>16</v>
      </c>
      <c r="Q256" s="97">
        <v>250</v>
      </c>
      <c r="R256" s="97">
        <v>69</v>
      </c>
      <c r="S256" s="97">
        <v>7</v>
      </c>
      <c r="T256" s="97">
        <v>152</v>
      </c>
      <c r="U256" s="97">
        <v>75</v>
      </c>
      <c r="V256" s="97">
        <v>18</v>
      </c>
      <c r="W256" s="97">
        <v>342</v>
      </c>
      <c r="X256" s="97">
        <v>64</v>
      </c>
      <c r="Y256" s="97">
        <v>36</v>
      </c>
      <c r="Z256" s="97">
        <v>680</v>
      </c>
      <c r="AA256" s="97">
        <v>56</v>
      </c>
      <c r="AB256" s="97">
        <v>13</v>
      </c>
      <c r="AC256" s="97">
        <v>352</v>
      </c>
      <c r="AD256" s="97">
        <v>69</v>
      </c>
      <c r="AE256" s="97">
        <v>19</v>
      </c>
      <c r="AF256" s="97">
        <v>367</v>
      </c>
      <c r="AG256" s="97">
        <v>498.5</v>
      </c>
      <c r="AH256" s="97">
        <v>15</v>
      </c>
      <c r="AI256" s="97">
        <v>253</v>
      </c>
    </row>
    <row r="257" spans="1:35" ht="15" customHeight="1">
      <c r="A257" s="97" t="s">
        <v>2480</v>
      </c>
      <c r="B257" s="97" t="s">
        <v>2480</v>
      </c>
      <c r="C257" s="97" t="s">
        <v>2481</v>
      </c>
      <c r="D257" s="97" t="s">
        <v>3198</v>
      </c>
      <c r="E257" s="97" t="s">
        <v>131</v>
      </c>
      <c r="F257" s="97">
        <v>103</v>
      </c>
      <c r="G257" s="97">
        <v>14</v>
      </c>
      <c r="H257" s="97">
        <v>400</v>
      </c>
      <c r="I257" s="97">
        <v>90</v>
      </c>
      <c r="J257" s="97">
        <v>6</v>
      </c>
      <c r="K257" s="97">
        <v>183</v>
      </c>
      <c r="L257" s="97">
        <v>97.5</v>
      </c>
      <c r="M257" s="97">
        <v>12</v>
      </c>
      <c r="N257" s="97">
        <v>310</v>
      </c>
      <c r="O257" s="97">
        <v>77</v>
      </c>
      <c r="P257" s="97">
        <v>16</v>
      </c>
      <c r="Q257" s="97">
        <v>274</v>
      </c>
      <c r="R257" s="97">
        <v>53</v>
      </c>
      <c r="S257" s="97">
        <v>29</v>
      </c>
      <c r="T257" s="97">
        <v>526</v>
      </c>
      <c r="U257" s="97">
        <v>78</v>
      </c>
      <c r="V257" s="97">
        <v>11</v>
      </c>
      <c r="W257" s="97">
        <v>250</v>
      </c>
      <c r="X257" s="97">
        <v>72</v>
      </c>
      <c r="Y257" s="97">
        <v>17</v>
      </c>
      <c r="Z257" s="97">
        <v>396</v>
      </c>
      <c r="AA257" s="97">
        <v>60</v>
      </c>
      <c r="AB257" s="97">
        <v>20</v>
      </c>
      <c r="AC257" s="97">
        <v>203</v>
      </c>
      <c r="AD257" s="97">
        <v>76</v>
      </c>
      <c r="AE257" s="97">
        <v>8</v>
      </c>
      <c r="AF257" s="97">
        <v>125</v>
      </c>
      <c r="AG257" s="97">
        <v>498.5</v>
      </c>
      <c r="AH257" s="97">
        <v>9</v>
      </c>
      <c r="AI257" s="97">
        <v>253</v>
      </c>
    </row>
    <row r="258" spans="1:35" ht="15" customHeight="1">
      <c r="A258" s="97" t="s">
        <v>675</v>
      </c>
      <c r="B258" s="97" t="s">
        <v>675</v>
      </c>
      <c r="C258" s="97" t="s">
        <v>676</v>
      </c>
      <c r="D258" s="97" t="s">
        <v>3198</v>
      </c>
      <c r="E258" s="97" t="s">
        <v>17</v>
      </c>
      <c r="F258" s="97">
        <v>91</v>
      </c>
      <c r="G258" s="97">
        <v>49</v>
      </c>
      <c r="H258" s="97">
        <v>799</v>
      </c>
      <c r="I258" s="97">
        <v>77</v>
      </c>
      <c r="J258" s="97">
        <v>25</v>
      </c>
      <c r="K258" s="97">
        <v>369</v>
      </c>
      <c r="L258" s="97">
        <v>114.5</v>
      </c>
      <c r="M258" s="97">
        <v>3</v>
      </c>
      <c r="N258" s="97">
        <v>61</v>
      </c>
      <c r="O258" s="97">
        <v>76</v>
      </c>
      <c r="P258" s="97">
        <v>14</v>
      </c>
      <c r="Q258" s="97">
        <v>287</v>
      </c>
      <c r="R258" s="97">
        <v>64</v>
      </c>
      <c r="S258" s="97">
        <v>14</v>
      </c>
      <c r="T258" s="97">
        <v>244</v>
      </c>
      <c r="U258" s="97">
        <v>76</v>
      </c>
      <c r="V258" s="97">
        <v>15</v>
      </c>
      <c r="W258" s="97">
        <v>308</v>
      </c>
      <c r="X258" s="97">
        <v>70</v>
      </c>
      <c r="Y258" s="97">
        <v>32</v>
      </c>
      <c r="Z258" s="97">
        <v>473</v>
      </c>
      <c r="AA258" s="97">
        <v>49</v>
      </c>
      <c r="AB258" s="97">
        <v>41</v>
      </c>
      <c r="AC258" s="97">
        <v>633</v>
      </c>
      <c r="AD258" s="97">
        <v>68</v>
      </c>
      <c r="AE258" s="97">
        <v>27</v>
      </c>
      <c r="AF258" s="97">
        <v>412</v>
      </c>
      <c r="AG258" s="97">
        <v>498.5</v>
      </c>
      <c r="AH258" s="97">
        <v>13</v>
      </c>
      <c r="AI258" s="97">
        <v>253</v>
      </c>
    </row>
    <row r="259" spans="1:35" ht="15" customHeight="1">
      <c r="A259" s="97" t="s">
        <v>1341</v>
      </c>
      <c r="B259" s="97" t="s">
        <v>1341</v>
      </c>
      <c r="C259" s="97" t="s">
        <v>1342</v>
      </c>
      <c r="D259" s="97" t="s">
        <v>3198</v>
      </c>
      <c r="E259" s="97" t="s">
        <v>54</v>
      </c>
      <c r="F259" s="97">
        <v>107</v>
      </c>
      <c r="G259" s="97">
        <v>20</v>
      </c>
      <c r="H259" s="97">
        <v>242</v>
      </c>
      <c r="I259" s="97">
        <v>71</v>
      </c>
      <c r="J259" s="97">
        <v>27</v>
      </c>
      <c r="K259" s="97">
        <v>475</v>
      </c>
      <c r="L259" s="97">
        <v>100.5</v>
      </c>
      <c r="M259" s="97">
        <v>9</v>
      </c>
      <c r="N259" s="97">
        <v>247</v>
      </c>
      <c r="O259" s="97">
        <v>80</v>
      </c>
      <c r="P259" s="97">
        <v>9</v>
      </c>
      <c r="Q259" s="97">
        <v>207</v>
      </c>
      <c r="R259" s="97">
        <v>67</v>
      </c>
      <c r="S259" s="97">
        <v>6</v>
      </c>
      <c r="T259" s="97">
        <v>177</v>
      </c>
      <c r="U259" s="97">
        <v>72</v>
      </c>
      <c r="V259" s="97">
        <v>26</v>
      </c>
      <c r="W259" s="97">
        <v>433</v>
      </c>
      <c r="X259" s="97">
        <v>53</v>
      </c>
      <c r="Y259" s="97">
        <v>50</v>
      </c>
      <c r="Z259" s="97">
        <v>888</v>
      </c>
      <c r="AA259" s="97">
        <v>42</v>
      </c>
      <c r="AB259" s="97">
        <v>50</v>
      </c>
      <c r="AC259" s="97">
        <v>845</v>
      </c>
      <c r="AD259" s="97">
        <v>60</v>
      </c>
      <c r="AE259" s="97">
        <v>43</v>
      </c>
      <c r="AF259" s="97">
        <v>727</v>
      </c>
      <c r="AG259" s="97">
        <v>497.5</v>
      </c>
      <c r="AH259" s="97">
        <v>10</v>
      </c>
      <c r="AI259" s="97">
        <v>256</v>
      </c>
    </row>
    <row r="260" spans="1:35" ht="15" customHeight="1">
      <c r="A260" s="97" t="s">
        <v>2530</v>
      </c>
      <c r="B260" s="97" t="s">
        <v>2530</v>
      </c>
      <c r="C260" s="97" t="s">
        <v>2531</v>
      </c>
      <c r="D260" s="97" t="s">
        <v>3198</v>
      </c>
      <c r="E260" s="97" t="s">
        <v>131</v>
      </c>
      <c r="F260" s="97">
        <v>109</v>
      </c>
      <c r="G260" s="97">
        <v>4</v>
      </c>
      <c r="H260" s="97">
        <v>185</v>
      </c>
      <c r="I260" s="97">
        <v>69</v>
      </c>
      <c r="J260" s="97">
        <v>34</v>
      </c>
      <c r="K260" s="97">
        <v>524</v>
      </c>
      <c r="L260" s="97">
        <v>96.5</v>
      </c>
      <c r="M260" s="97">
        <v>15</v>
      </c>
      <c r="N260" s="97">
        <v>337</v>
      </c>
      <c r="O260" s="97">
        <v>80</v>
      </c>
      <c r="P260" s="97">
        <v>10</v>
      </c>
      <c r="Q260" s="97">
        <v>207</v>
      </c>
      <c r="R260" s="97">
        <v>63</v>
      </c>
      <c r="S260" s="97">
        <v>9</v>
      </c>
      <c r="T260" s="97">
        <v>262</v>
      </c>
      <c r="U260" s="97">
        <v>80</v>
      </c>
      <c r="V260" s="97">
        <v>6</v>
      </c>
      <c r="W260" s="97">
        <v>205</v>
      </c>
      <c r="X260" s="97">
        <v>75</v>
      </c>
      <c r="Y260" s="97">
        <v>8</v>
      </c>
      <c r="Z260" s="97">
        <v>289</v>
      </c>
      <c r="AA260" s="97">
        <v>61</v>
      </c>
      <c r="AB260" s="97">
        <v>16</v>
      </c>
      <c r="AC260" s="97">
        <v>172</v>
      </c>
      <c r="AD260" s="97">
        <v>76</v>
      </c>
      <c r="AE260" s="97">
        <v>8</v>
      </c>
      <c r="AF260" s="97">
        <v>125</v>
      </c>
      <c r="AG260" s="97">
        <v>497.5</v>
      </c>
      <c r="AH260" s="97">
        <v>10</v>
      </c>
      <c r="AI260" s="97">
        <v>256</v>
      </c>
    </row>
    <row r="261" spans="1:35" ht="15" customHeight="1">
      <c r="A261" s="97" t="s">
        <v>2665</v>
      </c>
      <c r="B261" s="97" t="s">
        <v>2665</v>
      </c>
      <c r="C261" s="97" t="s">
        <v>2666</v>
      </c>
      <c r="D261" s="97" t="s">
        <v>3198</v>
      </c>
      <c r="E261" s="97" t="s">
        <v>49</v>
      </c>
      <c r="F261" s="97">
        <v>96</v>
      </c>
      <c r="G261" s="97">
        <v>36</v>
      </c>
      <c r="H261" s="97">
        <v>676</v>
      </c>
      <c r="I261" s="97">
        <v>82</v>
      </c>
      <c r="J261" s="97">
        <v>22</v>
      </c>
      <c r="K261" s="97">
        <v>290</v>
      </c>
      <c r="L261" s="97">
        <v>108</v>
      </c>
      <c r="M261" s="97">
        <v>7</v>
      </c>
      <c r="N261" s="97">
        <v>134</v>
      </c>
      <c r="O261" s="97">
        <v>81</v>
      </c>
      <c r="P261" s="97">
        <v>13</v>
      </c>
      <c r="Q261" s="97">
        <v>195</v>
      </c>
      <c r="R261" s="97">
        <v>55</v>
      </c>
      <c r="S261" s="97">
        <v>25</v>
      </c>
      <c r="T261" s="97">
        <v>470</v>
      </c>
      <c r="U261" s="97">
        <v>75</v>
      </c>
      <c r="V261" s="97">
        <v>16</v>
      </c>
      <c r="W261" s="97">
        <v>342</v>
      </c>
      <c r="X261" s="97">
        <v>54</v>
      </c>
      <c r="Y261" s="97">
        <v>50</v>
      </c>
      <c r="Z261" s="97">
        <v>880</v>
      </c>
      <c r="AA261" s="97">
        <v>35</v>
      </c>
      <c r="AB261" s="97">
        <v>56</v>
      </c>
      <c r="AC261" s="97">
        <v>924</v>
      </c>
      <c r="AD261" s="97">
        <v>65</v>
      </c>
      <c r="AE261" s="97">
        <v>21</v>
      </c>
      <c r="AF261" s="97">
        <v>548</v>
      </c>
      <c r="AG261" s="97">
        <v>497</v>
      </c>
      <c r="AH261" s="97">
        <v>16</v>
      </c>
      <c r="AI261" s="97">
        <v>258</v>
      </c>
    </row>
    <row r="262" spans="1:35" ht="15" customHeight="1">
      <c r="A262" s="97" t="s">
        <v>2644</v>
      </c>
      <c r="B262" s="97" t="s">
        <v>2644</v>
      </c>
      <c r="C262" s="97" t="s">
        <v>2648</v>
      </c>
      <c r="D262" s="97" t="s">
        <v>3198</v>
      </c>
      <c r="E262" s="97" t="s">
        <v>49</v>
      </c>
      <c r="F262" s="97">
        <v>106</v>
      </c>
      <c r="G262" s="97">
        <v>14</v>
      </c>
      <c r="H262" s="97">
        <v>287</v>
      </c>
      <c r="I262" s="97">
        <v>81</v>
      </c>
      <c r="J262" s="97">
        <v>23</v>
      </c>
      <c r="K262" s="97">
        <v>309</v>
      </c>
      <c r="L262" s="97">
        <v>93</v>
      </c>
      <c r="M262" s="97">
        <v>27</v>
      </c>
      <c r="N262" s="97">
        <v>405</v>
      </c>
      <c r="O262" s="97">
        <v>77</v>
      </c>
      <c r="P262" s="97">
        <v>17</v>
      </c>
      <c r="Q262" s="97">
        <v>274</v>
      </c>
      <c r="R262" s="97">
        <v>63</v>
      </c>
      <c r="S262" s="97">
        <v>11</v>
      </c>
      <c r="T262" s="97">
        <v>262</v>
      </c>
      <c r="U262" s="97">
        <v>77</v>
      </c>
      <c r="V262" s="97">
        <v>14</v>
      </c>
      <c r="W262" s="97">
        <v>275</v>
      </c>
      <c r="X262" s="97">
        <v>79</v>
      </c>
      <c r="Y262" s="97">
        <v>3</v>
      </c>
      <c r="Z262" s="97">
        <v>175</v>
      </c>
      <c r="AA262" s="97">
        <v>68</v>
      </c>
      <c r="AB262" s="97">
        <v>2</v>
      </c>
      <c r="AC262" s="97">
        <v>54</v>
      </c>
      <c r="AD262" s="97">
        <v>52</v>
      </c>
      <c r="AE262" s="97">
        <v>48</v>
      </c>
      <c r="AF262" s="97">
        <v>879</v>
      </c>
      <c r="AG262" s="97">
        <v>497</v>
      </c>
      <c r="AH262" s="97">
        <v>16</v>
      </c>
      <c r="AI262" s="97">
        <v>258</v>
      </c>
    </row>
    <row r="263" spans="1:35" ht="15" customHeight="1">
      <c r="A263" s="97" t="s">
        <v>754</v>
      </c>
      <c r="B263" s="97" t="s">
        <v>754</v>
      </c>
      <c r="C263" s="97" t="s">
        <v>755</v>
      </c>
      <c r="D263" s="97" t="s">
        <v>3198</v>
      </c>
      <c r="E263" s="97" t="s">
        <v>117</v>
      </c>
      <c r="F263" s="97">
        <v>87</v>
      </c>
      <c r="G263" s="97">
        <v>49</v>
      </c>
      <c r="H263" s="97">
        <v>857</v>
      </c>
      <c r="I263" s="97">
        <v>95</v>
      </c>
      <c r="J263" s="97">
        <v>8</v>
      </c>
      <c r="K263" s="97">
        <v>128</v>
      </c>
      <c r="L263" s="97">
        <v>105</v>
      </c>
      <c r="M263" s="97">
        <v>10</v>
      </c>
      <c r="N263" s="97">
        <v>172</v>
      </c>
      <c r="O263" s="97">
        <v>85</v>
      </c>
      <c r="P263" s="97">
        <v>6</v>
      </c>
      <c r="Q263" s="97">
        <v>135</v>
      </c>
      <c r="R263" s="97">
        <v>54</v>
      </c>
      <c r="S263" s="97">
        <v>27</v>
      </c>
      <c r="T263" s="97">
        <v>494</v>
      </c>
      <c r="U263" s="97">
        <v>71</v>
      </c>
      <c r="V263" s="97">
        <v>22</v>
      </c>
      <c r="W263" s="97">
        <v>462</v>
      </c>
      <c r="X263" s="97">
        <v>46</v>
      </c>
      <c r="Y263" s="97">
        <v>53</v>
      </c>
      <c r="Z263" s="97">
        <v>927</v>
      </c>
      <c r="AA263" s="97">
        <v>51</v>
      </c>
      <c r="AB263" s="97">
        <v>33</v>
      </c>
      <c r="AC263" s="97">
        <v>555</v>
      </c>
      <c r="AD263" s="97">
        <v>62</v>
      </c>
      <c r="AE263" s="97">
        <v>39</v>
      </c>
      <c r="AF263" s="97">
        <v>672</v>
      </c>
      <c r="AG263" s="97">
        <v>497</v>
      </c>
      <c r="AH263" s="97">
        <v>10</v>
      </c>
      <c r="AI263" s="97">
        <v>258</v>
      </c>
    </row>
    <row r="264" spans="1:35" ht="15" customHeight="1">
      <c r="A264" s="97" t="s">
        <v>575</v>
      </c>
      <c r="B264" s="97" t="s">
        <v>575</v>
      </c>
      <c r="C264" s="97" t="s">
        <v>576</v>
      </c>
      <c r="D264" s="97" t="s">
        <v>3198</v>
      </c>
      <c r="E264" s="97" t="s">
        <v>17</v>
      </c>
      <c r="F264" s="97">
        <v>97</v>
      </c>
      <c r="G264" s="97">
        <v>41</v>
      </c>
      <c r="H264" s="97">
        <v>645</v>
      </c>
      <c r="I264" s="97">
        <v>93</v>
      </c>
      <c r="J264" s="97">
        <v>10</v>
      </c>
      <c r="K264" s="97">
        <v>155</v>
      </c>
      <c r="L264" s="97">
        <v>108</v>
      </c>
      <c r="M264" s="97">
        <v>7</v>
      </c>
      <c r="N264" s="97">
        <v>134</v>
      </c>
      <c r="O264" s="97">
        <v>80</v>
      </c>
      <c r="P264" s="97">
        <v>6</v>
      </c>
      <c r="Q264" s="97">
        <v>207</v>
      </c>
      <c r="R264" s="97">
        <v>49</v>
      </c>
      <c r="S264" s="97">
        <v>40</v>
      </c>
      <c r="T264" s="97">
        <v>624</v>
      </c>
      <c r="U264" s="97">
        <v>70</v>
      </c>
      <c r="V264" s="97">
        <v>32</v>
      </c>
      <c r="W264" s="97">
        <v>485</v>
      </c>
      <c r="X264" s="97">
        <v>77</v>
      </c>
      <c r="Y264" s="97">
        <v>18</v>
      </c>
      <c r="Z264" s="97">
        <v>240</v>
      </c>
      <c r="AA264" s="97">
        <v>54</v>
      </c>
      <c r="AB264" s="97">
        <v>27</v>
      </c>
      <c r="AC264" s="97">
        <v>428</v>
      </c>
      <c r="AD264" s="97">
        <v>66</v>
      </c>
      <c r="AE264" s="97">
        <v>39</v>
      </c>
      <c r="AF264" s="97">
        <v>511</v>
      </c>
      <c r="AG264" s="97">
        <v>497</v>
      </c>
      <c r="AH264" s="97">
        <v>14</v>
      </c>
      <c r="AI264" s="97">
        <v>258</v>
      </c>
    </row>
    <row r="265" spans="1:35" ht="15" customHeight="1">
      <c r="A265" s="97" t="s">
        <v>1204</v>
      </c>
      <c r="B265" s="97" t="s">
        <v>1204</v>
      </c>
      <c r="C265" s="97" t="s">
        <v>1205</v>
      </c>
      <c r="D265" s="97" t="s">
        <v>3198</v>
      </c>
      <c r="E265" s="97" t="s">
        <v>54</v>
      </c>
      <c r="F265" s="97">
        <v>103</v>
      </c>
      <c r="G265" s="97">
        <v>28</v>
      </c>
      <c r="H265" s="97">
        <v>400</v>
      </c>
      <c r="I265" s="97">
        <v>74</v>
      </c>
      <c r="J265" s="97">
        <v>22</v>
      </c>
      <c r="K265" s="97">
        <v>424</v>
      </c>
      <c r="L265" s="97">
        <v>108.5</v>
      </c>
      <c r="M265" s="97">
        <v>3</v>
      </c>
      <c r="N265" s="97">
        <v>123</v>
      </c>
      <c r="O265" s="97">
        <v>86</v>
      </c>
      <c r="P265" s="97">
        <v>2</v>
      </c>
      <c r="Q265" s="97">
        <v>126</v>
      </c>
      <c r="R265" s="97">
        <v>54</v>
      </c>
      <c r="S265" s="97">
        <v>33</v>
      </c>
      <c r="T265" s="97">
        <v>494</v>
      </c>
      <c r="U265" s="97">
        <v>71</v>
      </c>
      <c r="V265" s="97">
        <v>28</v>
      </c>
      <c r="W265" s="97">
        <v>462</v>
      </c>
      <c r="X265" s="97">
        <v>75</v>
      </c>
      <c r="Y265" s="97">
        <v>13</v>
      </c>
      <c r="Z265" s="97">
        <v>289</v>
      </c>
      <c r="AA265" s="97">
        <v>45</v>
      </c>
      <c r="AB265" s="97">
        <v>43</v>
      </c>
      <c r="AC265" s="97">
        <v>781</v>
      </c>
      <c r="AD265" s="97">
        <v>64</v>
      </c>
      <c r="AE265" s="97">
        <v>33</v>
      </c>
      <c r="AF265" s="97">
        <v>586</v>
      </c>
      <c r="AG265" s="97">
        <v>496.5</v>
      </c>
      <c r="AH265" s="97">
        <v>11</v>
      </c>
      <c r="AI265" s="97">
        <v>262</v>
      </c>
    </row>
    <row r="266" spans="1:35" ht="15" customHeight="1">
      <c r="A266" s="97" t="s">
        <v>2704</v>
      </c>
      <c r="B266" s="97" t="s">
        <v>2704</v>
      </c>
      <c r="C266" s="97" t="s">
        <v>2702</v>
      </c>
      <c r="D266" s="97" t="s">
        <v>3198</v>
      </c>
      <c r="E266" s="97" t="s">
        <v>49</v>
      </c>
      <c r="F266" s="97">
        <v>93</v>
      </c>
      <c r="G266" s="97">
        <v>40</v>
      </c>
      <c r="H266" s="97">
        <v>755</v>
      </c>
      <c r="I266" s="97">
        <v>110</v>
      </c>
      <c r="J266" s="97">
        <v>2</v>
      </c>
      <c r="K266" s="97">
        <v>38</v>
      </c>
      <c r="L266" s="97">
        <v>73.5</v>
      </c>
      <c r="M266" s="97">
        <v>48</v>
      </c>
      <c r="N266" s="97">
        <v>797</v>
      </c>
      <c r="O266" s="97">
        <v>98</v>
      </c>
      <c r="P266" s="97">
        <v>1</v>
      </c>
      <c r="Q266" s="97">
        <v>34</v>
      </c>
      <c r="R266" s="97">
        <v>59</v>
      </c>
      <c r="S266" s="97">
        <v>15</v>
      </c>
      <c r="T266" s="97">
        <v>348</v>
      </c>
      <c r="U266" s="97">
        <v>63</v>
      </c>
      <c r="V266" s="97">
        <v>37</v>
      </c>
      <c r="W266" s="97">
        <v>692</v>
      </c>
      <c r="X266" s="97">
        <v>65</v>
      </c>
      <c r="Y266" s="97">
        <v>24</v>
      </c>
      <c r="Z266" s="97">
        <v>651</v>
      </c>
      <c r="AA266" s="97">
        <v>63</v>
      </c>
      <c r="AB266" s="97">
        <v>5</v>
      </c>
      <c r="AC266" s="97">
        <v>123</v>
      </c>
      <c r="AD266" s="97">
        <v>72</v>
      </c>
      <c r="AE266" s="97">
        <v>8</v>
      </c>
      <c r="AF266" s="97">
        <v>256</v>
      </c>
      <c r="AG266" s="97">
        <v>496.5</v>
      </c>
      <c r="AH266" s="97">
        <v>18</v>
      </c>
      <c r="AI266" s="97">
        <v>262</v>
      </c>
    </row>
    <row r="267" spans="1:35" ht="15" customHeight="1">
      <c r="A267" s="97" t="s">
        <v>2513</v>
      </c>
      <c r="B267" s="97" t="s">
        <v>2513</v>
      </c>
      <c r="C267" s="97" t="s">
        <v>2514</v>
      </c>
      <c r="D267" s="97" t="s">
        <v>3198</v>
      </c>
      <c r="E267" s="97" t="s">
        <v>131</v>
      </c>
      <c r="F267" s="97">
        <v>99</v>
      </c>
      <c r="G267" s="97">
        <v>22</v>
      </c>
      <c r="H267" s="97">
        <v>571</v>
      </c>
      <c r="I267" s="97">
        <v>79</v>
      </c>
      <c r="J267" s="97">
        <v>15</v>
      </c>
      <c r="K267" s="97">
        <v>342</v>
      </c>
      <c r="L267" s="97">
        <v>106</v>
      </c>
      <c r="M267" s="97">
        <v>5</v>
      </c>
      <c r="N267" s="97">
        <v>162</v>
      </c>
      <c r="O267" s="97">
        <v>79</v>
      </c>
      <c r="P267" s="97">
        <v>13</v>
      </c>
      <c r="Q267" s="97">
        <v>228</v>
      </c>
      <c r="R267" s="97">
        <v>54</v>
      </c>
      <c r="S267" s="97">
        <v>25</v>
      </c>
      <c r="T267" s="97">
        <v>494</v>
      </c>
      <c r="U267" s="97">
        <v>79</v>
      </c>
      <c r="V267" s="97">
        <v>9</v>
      </c>
      <c r="W267" s="97">
        <v>229</v>
      </c>
      <c r="X267" s="97">
        <v>68</v>
      </c>
      <c r="Y267" s="97">
        <v>26</v>
      </c>
      <c r="Z267" s="97">
        <v>541</v>
      </c>
      <c r="AA267" s="97">
        <v>59</v>
      </c>
      <c r="AB267" s="97">
        <v>24</v>
      </c>
      <c r="AC267" s="97">
        <v>233</v>
      </c>
      <c r="AD267" s="97">
        <v>74</v>
      </c>
      <c r="AE267" s="97">
        <v>11</v>
      </c>
      <c r="AF267" s="97">
        <v>174</v>
      </c>
      <c r="AG267" s="97">
        <v>496</v>
      </c>
      <c r="AH267" s="97">
        <v>11</v>
      </c>
      <c r="AI267" s="97">
        <v>264</v>
      </c>
    </row>
    <row r="268" spans="1:35" ht="15" customHeight="1">
      <c r="A268" s="97" t="s">
        <v>1104</v>
      </c>
      <c r="B268" s="97" t="s">
        <v>1104</v>
      </c>
      <c r="C268" s="97" t="s">
        <v>1105</v>
      </c>
      <c r="D268" s="97" t="s">
        <v>3198</v>
      </c>
      <c r="E268" s="97" t="s">
        <v>68</v>
      </c>
      <c r="F268" s="97">
        <v>109</v>
      </c>
      <c r="G268" s="97">
        <v>8</v>
      </c>
      <c r="H268" s="97">
        <v>185</v>
      </c>
      <c r="I268" s="97">
        <v>83</v>
      </c>
      <c r="J268" s="97">
        <v>20</v>
      </c>
      <c r="K268" s="97">
        <v>267</v>
      </c>
      <c r="L268" s="97">
        <v>80.5</v>
      </c>
      <c r="M268" s="97">
        <v>33</v>
      </c>
      <c r="N268" s="97">
        <v>687</v>
      </c>
      <c r="O268" s="97">
        <v>66</v>
      </c>
      <c r="P268" s="97">
        <v>23</v>
      </c>
      <c r="Q268" s="97">
        <v>484</v>
      </c>
      <c r="R268" s="97">
        <v>69</v>
      </c>
      <c r="S268" s="97">
        <v>6</v>
      </c>
      <c r="T268" s="97">
        <v>152</v>
      </c>
      <c r="U268" s="97">
        <v>88</v>
      </c>
      <c r="V268" s="97">
        <v>1</v>
      </c>
      <c r="W268" s="97">
        <v>44</v>
      </c>
      <c r="X268" s="97">
        <v>74</v>
      </c>
      <c r="Y268" s="97">
        <v>16</v>
      </c>
      <c r="Z268" s="97">
        <v>326</v>
      </c>
      <c r="AA268" s="97">
        <v>54</v>
      </c>
      <c r="AB268" s="97">
        <v>18</v>
      </c>
      <c r="AC268" s="97">
        <v>428</v>
      </c>
      <c r="AD268" s="97">
        <v>73</v>
      </c>
      <c r="AE268" s="97">
        <v>11</v>
      </c>
      <c r="AF268" s="97">
        <v>216</v>
      </c>
      <c r="AG268" s="97">
        <v>495.5</v>
      </c>
      <c r="AH268" s="97">
        <v>12</v>
      </c>
      <c r="AI268" s="97">
        <v>265</v>
      </c>
    </row>
    <row r="269" spans="1:35" ht="15" customHeight="1">
      <c r="A269" s="97" t="s">
        <v>751</v>
      </c>
      <c r="B269" s="97" t="s">
        <v>751</v>
      </c>
      <c r="C269" s="97" t="s">
        <v>752</v>
      </c>
      <c r="D269" s="97" t="s">
        <v>3198</v>
      </c>
      <c r="E269" s="97" t="s">
        <v>117</v>
      </c>
      <c r="F269" s="97">
        <v>91</v>
      </c>
      <c r="G269" s="97">
        <v>45</v>
      </c>
      <c r="H269" s="97">
        <v>799</v>
      </c>
      <c r="I269" s="97">
        <v>104</v>
      </c>
      <c r="J269" s="97">
        <v>5</v>
      </c>
      <c r="K269" s="97">
        <v>61</v>
      </c>
      <c r="L269" s="97">
        <v>82</v>
      </c>
      <c r="M269" s="97">
        <v>38</v>
      </c>
      <c r="N269" s="97">
        <v>667</v>
      </c>
      <c r="O269" s="97">
        <v>78</v>
      </c>
      <c r="P269" s="97">
        <v>11</v>
      </c>
      <c r="Q269" s="97">
        <v>250</v>
      </c>
      <c r="R269" s="97">
        <v>67</v>
      </c>
      <c r="S269" s="97">
        <v>6</v>
      </c>
      <c r="T269" s="97">
        <v>177</v>
      </c>
      <c r="U269" s="97">
        <v>73</v>
      </c>
      <c r="V269" s="97">
        <v>17</v>
      </c>
      <c r="W269" s="97">
        <v>393</v>
      </c>
      <c r="X269" s="97">
        <v>72</v>
      </c>
      <c r="Y269" s="97">
        <v>29</v>
      </c>
      <c r="Z269" s="97">
        <v>396</v>
      </c>
      <c r="AA269" s="97">
        <v>57</v>
      </c>
      <c r="AB269" s="97">
        <v>16</v>
      </c>
      <c r="AC269" s="97">
        <v>306</v>
      </c>
      <c r="AD269" s="97">
        <v>74</v>
      </c>
      <c r="AE269" s="97">
        <v>14</v>
      </c>
      <c r="AF269" s="97">
        <v>174</v>
      </c>
      <c r="AG269" s="97">
        <v>495</v>
      </c>
      <c r="AH269" s="97">
        <v>11</v>
      </c>
      <c r="AI269" s="97">
        <v>266</v>
      </c>
    </row>
    <row r="270" spans="1:35" ht="15" customHeight="1">
      <c r="A270" s="97" t="s">
        <v>2633</v>
      </c>
      <c r="B270" s="97" t="s">
        <v>2633</v>
      </c>
      <c r="C270" s="97" t="s">
        <v>50</v>
      </c>
      <c r="D270" s="97" t="s">
        <v>3198</v>
      </c>
      <c r="E270" s="97" t="s">
        <v>49</v>
      </c>
      <c r="F270" s="97">
        <v>91</v>
      </c>
      <c r="G270" s="97">
        <v>43</v>
      </c>
      <c r="H270" s="97">
        <v>799</v>
      </c>
      <c r="I270" s="97">
        <v>84</v>
      </c>
      <c r="J270" s="97">
        <v>20</v>
      </c>
      <c r="K270" s="97">
        <v>251</v>
      </c>
      <c r="L270" s="97">
        <v>64</v>
      </c>
      <c r="M270" s="97">
        <v>55</v>
      </c>
      <c r="N270" s="97">
        <v>886</v>
      </c>
      <c r="O270" s="97">
        <v>96</v>
      </c>
      <c r="P270" s="97">
        <v>2</v>
      </c>
      <c r="Q270" s="97">
        <v>43</v>
      </c>
      <c r="R270" s="97">
        <v>73</v>
      </c>
      <c r="S270" s="97">
        <v>4</v>
      </c>
      <c r="T270" s="97">
        <v>106</v>
      </c>
      <c r="U270" s="97">
        <v>87</v>
      </c>
      <c r="V270" s="97">
        <v>2</v>
      </c>
      <c r="W270" s="97">
        <v>57</v>
      </c>
      <c r="X270" s="97">
        <v>46</v>
      </c>
      <c r="Y270" s="97">
        <v>56</v>
      </c>
      <c r="Z270" s="97">
        <v>927</v>
      </c>
      <c r="AA270" s="97">
        <v>61</v>
      </c>
      <c r="AB270" s="97">
        <v>9</v>
      </c>
      <c r="AC270" s="97">
        <v>172</v>
      </c>
      <c r="AD270" s="97">
        <v>59</v>
      </c>
      <c r="AE270" s="97">
        <v>36</v>
      </c>
      <c r="AF270" s="97">
        <v>746</v>
      </c>
      <c r="AG270" s="97">
        <v>495</v>
      </c>
      <c r="AH270" s="97">
        <v>19</v>
      </c>
      <c r="AI270" s="97">
        <v>266</v>
      </c>
    </row>
    <row r="271" spans="1:35" ht="15" customHeight="1">
      <c r="A271" s="97" t="s">
        <v>2870</v>
      </c>
      <c r="B271" s="97" t="s">
        <v>2870</v>
      </c>
      <c r="C271" s="97" t="s">
        <v>2871</v>
      </c>
      <c r="D271" s="97" t="s">
        <v>3198</v>
      </c>
      <c r="E271" s="97" t="s">
        <v>38</v>
      </c>
      <c r="F271" s="97">
        <v>103</v>
      </c>
      <c r="G271" s="97">
        <v>19</v>
      </c>
      <c r="H271" s="97">
        <v>400</v>
      </c>
      <c r="I271" s="97">
        <v>81</v>
      </c>
      <c r="J271" s="97">
        <v>10</v>
      </c>
      <c r="K271" s="97">
        <v>309</v>
      </c>
      <c r="L271" s="97">
        <v>107</v>
      </c>
      <c r="M271" s="97">
        <v>6</v>
      </c>
      <c r="N271" s="97">
        <v>148</v>
      </c>
      <c r="O271" s="97">
        <v>82</v>
      </c>
      <c r="P271" s="97">
        <v>7</v>
      </c>
      <c r="Q271" s="97">
        <v>174</v>
      </c>
      <c r="R271" s="97">
        <v>49</v>
      </c>
      <c r="S271" s="97">
        <v>28</v>
      </c>
      <c r="T271" s="97">
        <v>624</v>
      </c>
      <c r="U271" s="97">
        <v>73</v>
      </c>
      <c r="V271" s="97">
        <v>18</v>
      </c>
      <c r="W271" s="97">
        <v>393</v>
      </c>
      <c r="X271" s="97">
        <v>64</v>
      </c>
      <c r="Y271" s="97">
        <v>37</v>
      </c>
      <c r="Z271" s="97">
        <v>680</v>
      </c>
      <c r="AA271" s="97">
        <v>60</v>
      </c>
      <c r="AB271" s="97">
        <v>10</v>
      </c>
      <c r="AC271" s="97">
        <v>203</v>
      </c>
      <c r="AD271" s="97">
        <v>75</v>
      </c>
      <c r="AE271" s="97">
        <v>6</v>
      </c>
      <c r="AF271" s="97">
        <v>146</v>
      </c>
      <c r="AG271" s="97">
        <v>495</v>
      </c>
      <c r="AH271" s="97">
        <v>8</v>
      </c>
      <c r="AI271" s="97">
        <v>266</v>
      </c>
    </row>
    <row r="272" spans="1:35" ht="15" customHeight="1">
      <c r="A272" s="97" t="s">
        <v>2314</v>
      </c>
      <c r="B272" s="97" t="s">
        <v>2314</v>
      </c>
      <c r="C272" s="97" t="s">
        <v>2318</v>
      </c>
      <c r="D272" s="97" t="s">
        <v>3198</v>
      </c>
      <c r="E272" s="97" t="s">
        <v>7</v>
      </c>
      <c r="F272" s="97">
        <v>101</v>
      </c>
      <c r="G272" s="97">
        <v>27</v>
      </c>
      <c r="H272" s="97">
        <v>481</v>
      </c>
      <c r="I272" s="97">
        <v>74</v>
      </c>
      <c r="J272" s="97">
        <v>15</v>
      </c>
      <c r="K272" s="97">
        <v>424</v>
      </c>
      <c r="L272" s="97">
        <v>99.5</v>
      </c>
      <c r="M272" s="97">
        <v>7</v>
      </c>
      <c r="N272" s="97">
        <v>269</v>
      </c>
      <c r="O272" s="97">
        <v>70</v>
      </c>
      <c r="P272" s="97">
        <v>16</v>
      </c>
      <c r="Q272" s="97">
        <v>400</v>
      </c>
      <c r="R272" s="97">
        <v>71</v>
      </c>
      <c r="S272" s="97">
        <v>1</v>
      </c>
      <c r="T272" s="97">
        <v>123</v>
      </c>
      <c r="U272" s="97">
        <v>79</v>
      </c>
      <c r="V272" s="97">
        <v>10</v>
      </c>
      <c r="W272" s="97">
        <v>229</v>
      </c>
      <c r="X272" s="97">
        <v>90</v>
      </c>
      <c r="Y272" s="97">
        <v>2</v>
      </c>
      <c r="Z272" s="97">
        <v>4</v>
      </c>
      <c r="AA272" s="97">
        <v>69</v>
      </c>
      <c r="AB272" s="97">
        <v>1</v>
      </c>
      <c r="AC272" s="97">
        <v>43</v>
      </c>
      <c r="AD272" s="97">
        <v>69</v>
      </c>
      <c r="AE272" s="97">
        <v>17</v>
      </c>
      <c r="AF272" s="97">
        <v>367</v>
      </c>
      <c r="AG272" s="97">
        <v>494.5</v>
      </c>
      <c r="AH272" s="97">
        <v>7</v>
      </c>
      <c r="AI272" s="97">
        <v>269</v>
      </c>
    </row>
    <row r="273" spans="1:35" ht="15" customHeight="1">
      <c r="A273" s="97" t="s">
        <v>2016</v>
      </c>
      <c r="B273" s="97" t="s">
        <v>2016</v>
      </c>
      <c r="C273" s="97" t="s">
        <v>2017</v>
      </c>
      <c r="D273" s="97" t="s">
        <v>3198</v>
      </c>
      <c r="E273" s="97" t="s">
        <v>109</v>
      </c>
      <c r="F273" s="97">
        <v>86</v>
      </c>
      <c r="G273" s="97">
        <v>56</v>
      </c>
      <c r="H273" s="97">
        <v>867</v>
      </c>
      <c r="I273" s="97">
        <v>88</v>
      </c>
      <c r="J273" s="97">
        <v>8</v>
      </c>
      <c r="K273" s="97">
        <v>206</v>
      </c>
      <c r="L273" s="97">
        <v>75.5</v>
      </c>
      <c r="M273" s="97">
        <v>48</v>
      </c>
      <c r="N273" s="97">
        <v>763</v>
      </c>
      <c r="O273" s="97">
        <v>82</v>
      </c>
      <c r="P273" s="97">
        <v>11</v>
      </c>
      <c r="Q273" s="97">
        <v>174</v>
      </c>
      <c r="R273" s="97">
        <v>76</v>
      </c>
      <c r="S273" s="97">
        <v>1</v>
      </c>
      <c r="T273" s="97">
        <v>73</v>
      </c>
      <c r="U273" s="97">
        <v>87</v>
      </c>
      <c r="V273" s="97">
        <v>5</v>
      </c>
      <c r="W273" s="97">
        <v>57</v>
      </c>
      <c r="X273" s="97">
        <v>49</v>
      </c>
      <c r="Y273" s="97">
        <v>56</v>
      </c>
      <c r="Z273" s="97">
        <v>919</v>
      </c>
      <c r="AA273" s="97">
        <v>56</v>
      </c>
      <c r="AB273" s="97">
        <v>13</v>
      </c>
      <c r="AC273" s="97">
        <v>352</v>
      </c>
      <c r="AD273" s="97">
        <v>61</v>
      </c>
      <c r="AE273" s="97">
        <v>38</v>
      </c>
      <c r="AF273" s="97">
        <v>703</v>
      </c>
      <c r="AG273" s="97">
        <v>494.5</v>
      </c>
      <c r="AH273" s="97">
        <v>16</v>
      </c>
      <c r="AI273" s="97">
        <v>269</v>
      </c>
    </row>
    <row r="274" spans="1:35" ht="15" customHeight="1">
      <c r="A274" s="97" t="s">
        <v>2194</v>
      </c>
      <c r="B274" s="97" t="s">
        <v>2194</v>
      </c>
      <c r="C274" s="97" t="s">
        <v>2195</v>
      </c>
      <c r="D274" s="97" t="s">
        <v>3198</v>
      </c>
      <c r="E274" s="97" t="s">
        <v>73</v>
      </c>
      <c r="F274" s="97">
        <v>101</v>
      </c>
      <c r="G274" s="97">
        <v>27</v>
      </c>
      <c r="H274" s="97">
        <v>481</v>
      </c>
      <c r="I274" s="97">
        <v>85</v>
      </c>
      <c r="J274" s="97">
        <v>5</v>
      </c>
      <c r="K274" s="97">
        <v>244</v>
      </c>
      <c r="L274" s="97">
        <v>80.5</v>
      </c>
      <c r="M274" s="97">
        <v>42</v>
      </c>
      <c r="N274" s="97">
        <v>687</v>
      </c>
      <c r="O274" s="97">
        <v>78</v>
      </c>
      <c r="P274" s="97">
        <v>11</v>
      </c>
      <c r="Q274" s="97">
        <v>250</v>
      </c>
      <c r="R274" s="97">
        <v>68</v>
      </c>
      <c r="S274" s="97">
        <v>9</v>
      </c>
      <c r="T274" s="97">
        <v>165</v>
      </c>
      <c r="U274" s="97">
        <v>82</v>
      </c>
      <c r="V274" s="97">
        <v>5</v>
      </c>
      <c r="W274" s="97">
        <v>166</v>
      </c>
      <c r="X274" s="97">
        <v>67</v>
      </c>
      <c r="Y274" s="97">
        <v>28</v>
      </c>
      <c r="Z274" s="97">
        <v>570</v>
      </c>
      <c r="AA274" s="97">
        <v>61</v>
      </c>
      <c r="AB274" s="97">
        <v>6</v>
      </c>
      <c r="AC274" s="97">
        <v>172</v>
      </c>
      <c r="AD274" s="97">
        <v>65</v>
      </c>
      <c r="AE274" s="97">
        <v>38</v>
      </c>
      <c r="AF274" s="97">
        <v>548</v>
      </c>
      <c r="AG274" s="97">
        <v>494.5</v>
      </c>
      <c r="AH274" s="97">
        <v>10</v>
      </c>
      <c r="AI274" s="97">
        <v>269</v>
      </c>
    </row>
    <row r="275" spans="1:35" ht="15" customHeight="1">
      <c r="A275" s="97" t="s">
        <v>2138</v>
      </c>
      <c r="B275" s="97" t="s">
        <v>2138</v>
      </c>
      <c r="C275" s="97" t="s">
        <v>2139</v>
      </c>
      <c r="D275" s="97" t="s">
        <v>3198</v>
      </c>
      <c r="E275" s="97" t="s">
        <v>73</v>
      </c>
      <c r="F275" s="97">
        <v>106</v>
      </c>
      <c r="G275" s="97">
        <v>13</v>
      </c>
      <c r="H275" s="97">
        <v>287</v>
      </c>
      <c r="I275" s="97">
        <v>75</v>
      </c>
      <c r="J275" s="97">
        <v>14</v>
      </c>
      <c r="K275" s="97">
        <v>409</v>
      </c>
      <c r="L275" s="97">
        <v>106.5</v>
      </c>
      <c r="M275" s="97">
        <v>9</v>
      </c>
      <c r="N275" s="97">
        <v>156</v>
      </c>
      <c r="O275" s="97">
        <v>76</v>
      </c>
      <c r="P275" s="97">
        <v>12</v>
      </c>
      <c r="Q275" s="97">
        <v>287</v>
      </c>
      <c r="R275" s="97">
        <v>61</v>
      </c>
      <c r="S275" s="97">
        <v>15</v>
      </c>
      <c r="T275" s="97">
        <v>300</v>
      </c>
      <c r="U275" s="97">
        <v>70</v>
      </c>
      <c r="V275" s="97">
        <v>20</v>
      </c>
      <c r="W275" s="97">
        <v>485</v>
      </c>
      <c r="X275" s="97">
        <v>71</v>
      </c>
      <c r="Y275" s="97">
        <v>22</v>
      </c>
      <c r="Z275" s="97">
        <v>439</v>
      </c>
      <c r="AA275" s="97">
        <v>49</v>
      </c>
      <c r="AB275" s="97">
        <v>40</v>
      </c>
      <c r="AC275" s="97">
        <v>633</v>
      </c>
      <c r="AD275" s="97">
        <v>56</v>
      </c>
      <c r="AE275" s="97">
        <v>51</v>
      </c>
      <c r="AF275" s="97">
        <v>817</v>
      </c>
      <c r="AG275" s="97">
        <v>494.5</v>
      </c>
      <c r="AH275" s="97">
        <v>10</v>
      </c>
      <c r="AI275" s="97">
        <v>269</v>
      </c>
    </row>
    <row r="276" spans="1:35" ht="15" customHeight="1">
      <c r="A276" s="97" t="s">
        <v>1493</v>
      </c>
      <c r="B276" s="97" t="s">
        <v>1493</v>
      </c>
      <c r="C276" s="97" t="s">
        <v>1494</v>
      </c>
      <c r="D276" s="97" t="s">
        <v>3198</v>
      </c>
      <c r="E276" s="97" t="s">
        <v>56</v>
      </c>
      <c r="F276" s="97">
        <v>109</v>
      </c>
      <c r="G276" s="97">
        <v>7</v>
      </c>
      <c r="H276" s="97">
        <v>185</v>
      </c>
      <c r="I276" s="97">
        <v>88</v>
      </c>
      <c r="J276" s="97">
        <v>10</v>
      </c>
      <c r="K276" s="97">
        <v>206</v>
      </c>
      <c r="L276" s="97">
        <v>90.5</v>
      </c>
      <c r="M276" s="97">
        <v>23</v>
      </c>
      <c r="N276" s="97">
        <v>470</v>
      </c>
      <c r="O276" s="97">
        <v>67</v>
      </c>
      <c r="P276" s="97">
        <v>25</v>
      </c>
      <c r="Q276" s="97">
        <v>468</v>
      </c>
      <c r="R276" s="97">
        <v>57</v>
      </c>
      <c r="S276" s="97">
        <v>19</v>
      </c>
      <c r="T276" s="97">
        <v>409</v>
      </c>
      <c r="U276" s="97">
        <v>82</v>
      </c>
      <c r="V276" s="97">
        <v>13</v>
      </c>
      <c r="W276" s="97">
        <v>166</v>
      </c>
      <c r="X276" s="97">
        <v>72</v>
      </c>
      <c r="Y276" s="97">
        <v>23</v>
      </c>
      <c r="Z276" s="97">
        <v>396</v>
      </c>
      <c r="AA276" s="97">
        <v>47</v>
      </c>
      <c r="AB276" s="97">
        <v>36</v>
      </c>
      <c r="AC276" s="97">
        <v>719</v>
      </c>
      <c r="AD276" s="97">
        <v>71</v>
      </c>
      <c r="AE276" s="97">
        <v>17</v>
      </c>
      <c r="AF276" s="97">
        <v>290</v>
      </c>
      <c r="AG276" s="97">
        <v>493.5</v>
      </c>
      <c r="AH276" s="97">
        <v>11</v>
      </c>
      <c r="AI276" s="97">
        <v>273</v>
      </c>
    </row>
    <row r="277" spans="1:35" ht="15" customHeight="1">
      <c r="A277" s="97" t="s">
        <v>926</v>
      </c>
      <c r="B277" s="97" t="s">
        <v>926</v>
      </c>
      <c r="C277" s="97" t="s">
        <v>927</v>
      </c>
      <c r="D277" s="97" t="s">
        <v>3198</v>
      </c>
      <c r="E277" s="97" t="s">
        <v>60</v>
      </c>
      <c r="F277" s="97">
        <v>101</v>
      </c>
      <c r="G277" s="97">
        <v>35</v>
      </c>
      <c r="H277" s="97">
        <v>481</v>
      </c>
      <c r="I277" s="97">
        <v>101</v>
      </c>
      <c r="J277" s="97">
        <v>4</v>
      </c>
      <c r="K277" s="97">
        <v>81</v>
      </c>
      <c r="L277" s="97">
        <v>92</v>
      </c>
      <c r="M277" s="97">
        <v>24</v>
      </c>
      <c r="N277" s="97">
        <v>426</v>
      </c>
      <c r="O277" s="97">
        <v>85</v>
      </c>
      <c r="P277" s="97">
        <v>6</v>
      </c>
      <c r="Q277" s="97">
        <v>135</v>
      </c>
      <c r="R277" s="97">
        <v>52</v>
      </c>
      <c r="S277" s="97">
        <v>37</v>
      </c>
      <c r="T277" s="97">
        <v>551</v>
      </c>
      <c r="U277" s="97">
        <v>62</v>
      </c>
      <c r="V277" s="97">
        <v>38</v>
      </c>
      <c r="W277" s="97">
        <v>716</v>
      </c>
      <c r="X277" s="97">
        <v>67</v>
      </c>
      <c r="Y277" s="97">
        <v>34</v>
      </c>
      <c r="Z277" s="97">
        <v>570</v>
      </c>
      <c r="AA277" s="97">
        <v>51</v>
      </c>
      <c r="AB277" s="97">
        <v>31</v>
      </c>
      <c r="AC277" s="97">
        <v>555</v>
      </c>
      <c r="AD277" s="97">
        <v>64</v>
      </c>
      <c r="AE277" s="97">
        <v>28</v>
      </c>
      <c r="AF277" s="97">
        <v>586</v>
      </c>
      <c r="AG277" s="97">
        <v>493</v>
      </c>
      <c r="AH277" s="97">
        <v>11</v>
      </c>
      <c r="AI277" s="97">
        <v>274</v>
      </c>
    </row>
    <row r="278" spans="1:35" ht="15" customHeight="1">
      <c r="A278" s="97" t="s">
        <v>903</v>
      </c>
      <c r="B278" s="97" t="s">
        <v>903</v>
      </c>
      <c r="C278" s="97" t="s">
        <v>1714</v>
      </c>
      <c r="D278" s="97" t="s">
        <v>3198</v>
      </c>
      <c r="E278" s="97" t="s">
        <v>60</v>
      </c>
      <c r="F278" s="97">
        <v>106</v>
      </c>
      <c r="G278" s="97">
        <v>20</v>
      </c>
      <c r="H278" s="97">
        <v>287</v>
      </c>
      <c r="I278" s="97">
        <v>103</v>
      </c>
      <c r="J278" s="97">
        <v>3</v>
      </c>
      <c r="K278" s="97">
        <v>70</v>
      </c>
      <c r="L278" s="97">
        <v>92</v>
      </c>
      <c r="M278" s="97">
        <v>24</v>
      </c>
      <c r="N278" s="97">
        <v>426</v>
      </c>
      <c r="O278" s="97">
        <v>56</v>
      </c>
      <c r="P278" s="97">
        <v>36</v>
      </c>
      <c r="Q278" s="97">
        <v>682</v>
      </c>
      <c r="R278" s="97">
        <v>68</v>
      </c>
      <c r="S278" s="97">
        <v>6</v>
      </c>
      <c r="T278" s="97">
        <v>165</v>
      </c>
      <c r="U278" s="97">
        <v>68</v>
      </c>
      <c r="V278" s="97">
        <v>26</v>
      </c>
      <c r="W278" s="97">
        <v>555</v>
      </c>
      <c r="X278" s="97">
        <v>70</v>
      </c>
      <c r="Y278" s="97">
        <v>28</v>
      </c>
      <c r="Z278" s="97">
        <v>473</v>
      </c>
      <c r="AA278" s="97">
        <v>48</v>
      </c>
      <c r="AB278" s="97">
        <v>36</v>
      </c>
      <c r="AC278" s="97">
        <v>671</v>
      </c>
      <c r="AD278" s="97">
        <v>67</v>
      </c>
      <c r="AE278" s="97">
        <v>20</v>
      </c>
      <c r="AF278" s="97">
        <v>471</v>
      </c>
      <c r="AG278" s="97">
        <v>493</v>
      </c>
      <c r="AH278" s="97">
        <v>11</v>
      </c>
      <c r="AI278" s="97">
        <v>274</v>
      </c>
    </row>
    <row r="279" spans="1:35" ht="15" customHeight="1">
      <c r="A279" s="97" t="s">
        <v>365</v>
      </c>
      <c r="B279" s="97" t="s">
        <v>365</v>
      </c>
      <c r="C279" s="97" t="s">
        <v>366</v>
      </c>
      <c r="D279" s="97" t="s">
        <v>3198</v>
      </c>
      <c r="E279" s="97" t="s">
        <v>28</v>
      </c>
      <c r="F279" s="97">
        <v>109</v>
      </c>
      <c r="G279" s="97">
        <v>9</v>
      </c>
      <c r="H279" s="97">
        <v>185</v>
      </c>
      <c r="I279" s="97">
        <v>77</v>
      </c>
      <c r="J279" s="97">
        <v>19</v>
      </c>
      <c r="K279" s="97">
        <v>369</v>
      </c>
      <c r="L279" s="97">
        <v>102</v>
      </c>
      <c r="M279" s="97">
        <v>11</v>
      </c>
      <c r="N279" s="97">
        <v>219</v>
      </c>
      <c r="O279" s="97">
        <v>70</v>
      </c>
      <c r="P279" s="97">
        <v>25</v>
      </c>
      <c r="Q279" s="97">
        <v>400</v>
      </c>
      <c r="R279" s="97">
        <v>58</v>
      </c>
      <c r="S279" s="97">
        <v>16</v>
      </c>
      <c r="T279" s="97">
        <v>377</v>
      </c>
      <c r="U279" s="97">
        <v>77</v>
      </c>
      <c r="V279" s="97">
        <v>15</v>
      </c>
      <c r="W279" s="97">
        <v>275</v>
      </c>
      <c r="X279" s="97">
        <v>50</v>
      </c>
      <c r="Y279" s="97">
        <v>54</v>
      </c>
      <c r="Z279" s="97">
        <v>911</v>
      </c>
      <c r="AA279" s="97">
        <v>59</v>
      </c>
      <c r="AB279" s="97">
        <v>17</v>
      </c>
      <c r="AC279" s="97">
        <v>233</v>
      </c>
      <c r="AD279" s="97">
        <v>72</v>
      </c>
      <c r="AE279" s="97">
        <v>13</v>
      </c>
      <c r="AF279" s="97">
        <v>256</v>
      </c>
      <c r="AG279" s="97">
        <v>493</v>
      </c>
      <c r="AH279" s="97">
        <v>12</v>
      </c>
      <c r="AI279" s="97">
        <v>274</v>
      </c>
    </row>
    <row r="280" spans="1:35" ht="15" customHeight="1">
      <c r="A280" s="97" t="s">
        <v>473</v>
      </c>
      <c r="B280" s="97" t="s">
        <v>473</v>
      </c>
      <c r="C280" s="97" t="s">
        <v>477</v>
      </c>
      <c r="D280" s="97" t="s">
        <v>3198</v>
      </c>
      <c r="E280" s="97" t="s">
        <v>19</v>
      </c>
      <c r="F280" s="97">
        <v>108</v>
      </c>
      <c r="G280" s="97">
        <v>15</v>
      </c>
      <c r="H280" s="97">
        <v>212</v>
      </c>
      <c r="I280" s="97">
        <v>83</v>
      </c>
      <c r="J280" s="97">
        <v>11</v>
      </c>
      <c r="K280" s="97">
        <v>267</v>
      </c>
      <c r="L280" s="97">
        <v>83.5</v>
      </c>
      <c r="M280" s="97">
        <v>29</v>
      </c>
      <c r="N280" s="97">
        <v>632</v>
      </c>
      <c r="O280" s="97">
        <v>69</v>
      </c>
      <c r="P280" s="97">
        <v>18</v>
      </c>
      <c r="Q280" s="97">
        <v>428</v>
      </c>
      <c r="R280" s="97">
        <v>66</v>
      </c>
      <c r="S280" s="97">
        <v>8</v>
      </c>
      <c r="T280" s="97">
        <v>204</v>
      </c>
      <c r="U280" s="97">
        <v>83</v>
      </c>
      <c r="V280" s="97">
        <v>3</v>
      </c>
      <c r="W280" s="97">
        <v>145</v>
      </c>
      <c r="X280" s="97">
        <v>76</v>
      </c>
      <c r="Y280" s="97">
        <v>13</v>
      </c>
      <c r="Z280" s="97">
        <v>260</v>
      </c>
      <c r="AA280" s="97">
        <v>57</v>
      </c>
      <c r="AB280" s="97">
        <v>18</v>
      </c>
      <c r="AC280" s="97">
        <v>306</v>
      </c>
      <c r="AD280" s="97">
        <v>82</v>
      </c>
      <c r="AE280" s="97">
        <v>2</v>
      </c>
      <c r="AF280" s="97">
        <v>31</v>
      </c>
      <c r="AG280" s="97">
        <v>492.5</v>
      </c>
      <c r="AH280" s="97">
        <v>12</v>
      </c>
      <c r="AI280" s="97">
        <v>277</v>
      </c>
    </row>
    <row r="281" spans="1:35" ht="15" customHeight="1">
      <c r="A281" s="97" t="s">
        <v>1985</v>
      </c>
      <c r="B281" s="97" t="s">
        <v>1985</v>
      </c>
      <c r="C281" s="97" t="s">
        <v>1670</v>
      </c>
      <c r="D281" s="97" t="s">
        <v>3198</v>
      </c>
      <c r="E281" s="97" t="s">
        <v>109</v>
      </c>
      <c r="F281" s="97">
        <v>106</v>
      </c>
      <c r="G281" s="97">
        <v>20</v>
      </c>
      <c r="H281" s="97">
        <v>287</v>
      </c>
      <c r="I281" s="97">
        <v>79</v>
      </c>
      <c r="J281" s="97">
        <v>17</v>
      </c>
      <c r="K281" s="97">
        <v>342</v>
      </c>
      <c r="L281" s="97">
        <v>97.5</v>
      </c>
      <c r="M281" s="97">
        <v>17</v>
      </c>
      <c r="N281" s="97">
        <v>310</v>
      </c>
      <c r="O281" s="97">
        <v>81</v>
      </c>
      <c r="P281" s="97">
        <v>13</v>
      </c>
      <c r="Q281" s="97">
        <v>195</v>
      </c>
      <c r="R281" s="97">
        <v>59</v>
      </c>
      <c r="S281" s="97">
        <v>19</v>
      </c>
      <c r="T281" s="97">
        <v>348</v>
      </c>
      <c r="U281" s="97">
        <v>70</v>
      </c>
      <c r="V281" s="97">
        <v>28</v>
      </c>
      <c r="W281" s="97">
        <v>485</v>
      </c>
      <c r="X281" s="97">
        <v>83</v>
      </c>
      <c r="Y281" s="97">
        <v>4</v>
      </c>
      <c r="Z281" s="97">
        <v>79</v>
      </c>
      <c r="AA281" s="97">
        <v>42</v>
      </c>
      <c r="AB281" s="97">
        <v>51</v>
      </c>
      <c r="AC281" s="97">
        <v>845</v>
      </c>
      <c r="AD281" s="97">
        <v>47</v>
      </c>
      <c r="AE281" s="97">
        <v>57</v>
      </c>
      <c r="AF281" s="97">
        <v>916</v>
      </c>
      <c r="AG281" s="97">
        <v>492.5</v>
      </c>
      <c r="AH281" s="97">
        <v>17</v>
      </c>
      <c r="AI281" s="97">
        <v>277</v>
      </c>
    </row>
    <row r="282" spans="1:35" ht="15" customHeight="1">
      <c r="A282" s="97" t="s">
        <v>1887</v>
      </c>
      <c r="B282" s="97" t="s">
        <v>1887</v>
      </c>
      <c r="C282" s="97" t="s">
        <v>1888</v>
      </c>
      <c r="D282" s="97" t="s">
        <v>3198</v>
      </c>
      <c r="E282" s="97" t="s">
        <v>34</v>
      </c>
      <c r="F282" s="97">
        <v>96</v>
      </c>
      <c r="G282" s="97">
        <v>45</v>
      </c>
      <c r="H282" s="97">
        <v>676</v>
      </c>
      <c r="I282" s="97">
        <v>89</v>
      </c>
      <c r="J282" s="97">
        <v>7</v>
      </c>
      <c r="K282" s="97">
        <v>196</v>
      </c>
      <c r="L282" s="97">
        <v>74.5</v>
      </c>
      <c r="M282" s="97">
        <v>46</v>
      </c>
      <c r="N282" s="97">
        <v>784</v>
      </c>
      <c r="O282" s="97">
        <v>73</v>
      </c>
      <c r="P282" s="97">
        <v>13</v>
      </c>
      <c r="Q282" s="97">
        <v>339</v>
      </c>
      <c r="R282" s="97">
        <v>74</v>
      </c>
      <c r="S282" s="97">
        <v>2</v>
      </c>
      <c r="T282" s="97">
        <v>94</v>
      </c>
      <c r="U282" s="97">
        <v>86</v>
      </c>
      <c r="V282" s="97">
        <v>3</v>
      </c>
      <c r="W282" s="97">
        <v>77</v>
      </c>
      <c r="X282" s="97">
        <v>67</v>
      </c>
      <c r="Y282" s="97">
        <v>40</v>
      </c>
      <c r="Z282" s="97">
        <v>570</v>
      </c>
      <c r="AA282" s="97">
        <v>58</v>
      </c>
      <c r="AB282" s="97">
        <v>15</v>
      </c>
      <c r="AC282" s="97">
        <v>278</v>
      </c>
      <c r="AD282" s="97">
        <v>62</v>
      </c>
      <c r="AE282" s="97">
        <v>42</v>
      </c>
      <c r="AF282" s="97">
        <v>672</v>
      </c>
      <c r="AG282" s="97">
        <v>492.5</v>
      </c>
      <c r="AH282" s="97">
        <v>11</v>
      </c>
      <c r="AI282" s="97">
        <v>277</v>
      </c>
    </row>
    <row r="283" spans="1:35" ht="15" customHeight="1">
      <c r="A283" s="97" t="s">
        <v>929</v>
      </c>
      <c r="B283" s="97" t="s">
        <v>929</v>
      </c>
      <c r="C283" s="97" t="s">
        <v>930</v>
      </c>
      <c r="D283" s="97" t="s">
        <v>3198</v>
      </c>
      <c r="E283" s="97" t="s">
        <v>60</v>
      </c>
      <c r="F283" s="97">
        <v>107</v>
      </c>
      <c r="G283" s="97">
        <v>15</v>
      </c>
      <c r="H283" s="97">
        <v>242</v>
      </c>
      <c r="I283" s="97">
        <v>73</v>
      </c>
      <c r="J283" s="97">
        <v>25</v>
      </c>
      <c r="K283" s="97">
        <v>438</v>
      </c>
      <c r="L283" s="97">
        <v>98</v>
      </c>
      <c r="M283" s="97">
        <v>12</v>
      </c>
      <c r="N283" s="97">
        <v>294</v>
      </c>
      <c r="O283" s="97">
        <v>79</v>
      </c>
      <c r="P283" s="97">
        <v>11</v>
      </c>
      <c r="Q283" s="97">
        <v>228</v>
      </c>
      <c r="R283" s="97">
        <v>60</v>
      </c>
      <c r="S283" s="97">
        <v>20</v>
      </c>
      <c r="T283" s="97">
        <v>322</v>
      </c>
      <c r="U283" s="97">
        <v>75</v>
      </c>
      <c r="V283" s="97">
        <v>13</v>
      </c>
      <c r="W283" s="97">
        <v>342</v>
      </c>
      <c r="X283" s="97">
        <v>62</v>
      </c>
      <c r="Y283" s="97">
        <v>43</v>
      </c>
      <c r="Z283" s="97">
        <v>729</v>
      </c>
      <c r="AA283" s="97">
        <v>61</v>
      </c>
      <c r="AB283" s="97">
        <v>5</v>
      </c>
      <c r="AC283" s="97">
        <v>172</v>
      </c>
      <c r="AD283" s="97">
        <v>80</v>
      </c>
      <c r="AE283" s="97">
        <v>4</v>
      </c>
      <c r="AF283" s="97">
        <v>54</v>
      </c>
      <c r="AG283" s="97">
        <v>492</v>
      </c>
      <c r="AH283" s="97">
        <v>13</v>
      </c>
      <c r="AI283" s="97">
        <v>280</v>
      </c>
    </row>
    <row r="284" spans="1:35" ht="15" customHeight="1">
      <c r="A284" s="97" t="s">
        <v>883</v>
      </c>
      <c r="B284" s="97" t="s">
        <v>883</v>
      </c>
      <c r="C284" s="97" t="s">
        <v>1651</v>
      </c>
      <c r="D284" s="97" t="s">
        <v>3198</v>
      </c>
      <c r="E284" s="97" t="s">
        <v>60</v>
      </c>
      <c r="F284" s="97">
        <v>106</v>
      </c>
      <c r="G284" s="97">
        <v>20</v>
      </c>
      <c r="H284" s="97">
        <v>287</v>
      </c>
      <c r="I284" s="97">
        <v>71</v>
      </c>
      <c r="J284" s="97">
        <v>27</v>
      </c>
      <c r="K284" s="97">
        <v>475</v>
      </c>
      <c r="L284" s="97">
        <v>92</v>
      </c>
      <c r="M284" s="97">
        <v>24</v>
      </c>
      <c r="N284" s="97">
        <v>426</v>
      </c>
      <c r="O284" s="97">
        <v>79</v>
      </c>
      <c r="P284" s="97">
        <v>11</v>
      </c>
      <c r="Q284" s="97">
        <v>228</v>
      </c>
      <c r="R284" s="97">
        <v>68</v>
      </c>
      <c r="S284" s="97">
        <v>6</v>
      </c>
      <c r="T284" s="97">
        <v>165</v>
      </c>
      <c r="U284" s="97">
        <v>76</v>
      </c>
      <c r="V284" s="97">
        <v>11</v>
      </c>
      <c r="W284" s="97">
        <v>308</v>
      </c>
      <c r="X284" s="97">
        <v>79</v>
      </c>
      <c r="Y284" s="97">
        <v>6</v>
      </c>
      <c r="Z284" s="97">
        <v>175</v>
      </c>
      <c r="AA284" s="97">
        <v>56</v>
      </c>
      <c r="AB284" s="97">
        <v>14</v>
      </c>
      <c r="AC284" s="97">
        <v>352</v>
      </c>
      <c r="AD284" s="97">
        <v>68</v>
      </c>
      <c r="AE284" s="97">
        <v>19</v>
      </c>
      <c r="AF284" s="97">
        <v>412</v>
      </c>
      <c r="AG284" s="97">
        <v>492</v>
      </c>
      <c r="AH284" s="97">
        <v>13</v>
      </c>
      <c r="AI284" s="97">
        <v>280</v>
      </c>
    </row>
    <row r="285" spans="1:35" ht="15" customHeight="1">
      <c r="A285" s="97" t="s">
        <v>697</v>
      </c>
      <c r="B285" s="97" t="s">
        <v>697</v>
      </c>
      <c r="C285" s="97" t="s">
        <v>698</v>
      </c>
      <c r="D285" s="97" t="s">
        <v>3198</v>
      </c>
      <c r="E285" s="97" t="s">
        <v>117</v>
      </c>
      <c r="F285" s="97">
        <v>87</v>
      </c>
      <c r="G285" s="97">
        <v>49</v>
      </c>
      <c r="H285" s="97">
        <v>857</v>
      </c>
      <c r="I285" s="97">
        <v>82</v>
      </c>
      <c r="J285" s="97">
        <v>15</v>
      </c>
      <c r="K285" s="97">
        <v>290</v>
      </c>
      <c r="L285" s="97">
        <v>109</v>
      </c>
      <c r="M285" s="97">
        <v>6</v>
      </c>
      <c r="N285" s="97">
        <v>114</v>
      </c>
      <c r="O285" s="97">
        <v>73</v>
      </c>
      <c r="P285" s="97">
        <v>17</v>
      </c>
      <c r="Q285" s="97">
        <v>339</v>
      </c>
      <c r="R285" s="97">
        <v>65</v>
      </c>
      <c r="S285" s="97">
        <v>9</v>
      </c>
      <c r="T285" s="97">
        <v>223</v>
      </c>
      <c r="U285" s="97">
        <v>76</v>
      </c>
      <c r="V285" s="97">
        <v>10</v>
      </c>
      <c r="W285" s="97">
        <v>308</v>
      </c>
      <c r="X285" s="97">
        <v>76</v>
      </c>
      <c r="Y285" s="97">
        <v>19</v>
      </c>
      <c r="Z285" s="97">
        <v>260</v>
      </c>
      <c r="AA285" s="97">
        <v>53</v>
      </c>
      <c r="AB285" s="97">
        <v>25</v>
      </c>
      <c r="AC285" s="97">
        <v>470</v>
      </c>
      <c r="AD285" s="97">
        <v>67</v>
      </c>
      <c r="AE285" s="97">
        <v>28</v>
      </c>
      <c r="AF285" s="97">
        <v>471</v>
      </c>
      <c r="AG285" s="97">
        <v>492</v>
      </c>
      <c r="AH285" s="97">
        <v>12</v>
      </c>
      <c r="AI285" s="97">
        <v>280</v>
      </c>
    </row>
    <row r="286" spans="1:35" ht="15" customHeight="1">
      <c r="A286" s="97" t="s">
        <v>1251</v>
      </c>
      <c r="B286" s="97" t="s">
        <v>1251</v>
      </c>
      <c r="C286" s="97" t="s">
        <v>1686</v>
      </c>
      <c r="D286" s="97" t="s">
        <v>3198</v>
      </c>
      <c r="E286" s="97" t="s">
        <v>54</v>
      </c>
      <c r="F286" s="97">
        <v>112</v>
      </c>
      <c r="G286" s="97">
        <v>11</v>
      </c>
      <c r="H286" s="97">
        <v>114</v>
      </c>
      <c r="I286" s="97">
        <v>86</v>
      </c>
      <c r="J286" s="97">
        <v>11</v>
      </c>
      <c r="K286" s="97">
        <v>233</v>
      </c>
      <c r="L286" s="97">
        <v>108.5</v>
      </c>
      <c r="M286" s="97">
        <v>3</v>
      </c>
      <c r="N286" s="97">
        <v>123</v>
      </c>
      <c r="O286" s="97">
        <v>54</v>
      </c>
      <c r="P286" s="97">
        <v>38</v>
      </c>
      <c r="Q286" s="97">
        <v>718</v>
      </c>
      <c r="R286" s="97">
        <v>54</v>
      </c>
      <c r="S286" s="97">
        <v>33</v>
      </c>
      <c r="T286" s="97">
        <v>494</v>
      </c>
      <c r="U286" s="97">
        <v>77</v>
      </c>
      <c r="V286" s="97">
        <v>16</v>
      </c>
      <c r="W286" s="97">
        <v>275</v>
      </c>
      <c r="X286" s="97">
        <v>67</v>
      </c>
      <c r="Y286" s="97">
        <v>28</v>
      </c>
      <c r="Z286" s="97">
        <v>570</v>
      </c>
      <c r="AA286" s="97">
        <v>61</v>
      </c>
      <c r="AB286" s="97">
        <v>4</v>
      </c>
      <c r="AC286" s="97">
        <v>172</v>
      </c>
      <c r="AD286" s="97">
        <v>75</v>
      </c>
      <c r="AE286" s="97">
        <v>8</v>
      </c>
      <c r="AF286" s="97">
        <v>146</v>
      </c>
      <c r="AG286" s="97">
        <v>491.5</v>
      </c>
      <c r="AH286" s="97">
        <v>12</v>
      </c>
      <c r="AI286" s="97">
        <v>283</v>
      </c>
    </row>
    <row r="287" spans="1:35" ht="15" customHeight="1">
      <c r="A287" s="97" t="s">
        <v>1386</v>
      </c>
      <c r="B287" s="97" t="s">
        <v>1386</v>
      </c>
      <c r="C287" s="97" t="s">
        <v>63</v>
      </c>
      <c r="D287" s="97" t="s">
        <v>3198</v>
      </c>
      <c r="E287" s="97" t="s">
        <v>56</v>
      </c>
      <c r="F287" s="97">
        <v>87</v>
      </c>
      <c r="G287" s="97">
        <v>49</v>
      </c>
      <c r="H287" s="97">
        <v>857</v>
      </c>
      <c r="I287" s="97">
        <v>90</v>
      </c>
      <c r="J287" s="97">
        <v>8</v>
      </c>
      <c r="K287" s="97">
        <v>183</v>
      </c>
      <c r="L287" s="97">
        <v>88.5</v>
      </c>
      <c r="M287" s="97">
        <v>28</v>
      </c>
      <c r="N287" s="97">
        <v>519</v>
      </c>
      <c r="O287" s="97">
        <v>72</v>
      </c>
      <c r="P287" s="97">
        <v>13</v>
      </c>
      <c r="Q287" s="97">
        <v>358</v>
      </c>
      <c r="R287" s="97">
        <v>66</v>
      </c>
      <c r="S287" s="97">
        <v>4</v>
      </c>
      <c r="T287" s="97">
        <v>204</v>
      </c>
      <c r="U287" s="97">
        <v>88</v>
      </c>
      <c r="V287" s="97">
        <v>2</v>
      </c>
      <c r="W287" s="97">
        <v>44</v>
      </c>
      <c r="X287" s="97">
        <v>87</v>
      </c>
      <c r="Y287" s="97">
        <v>3</v>
      </c>
      <c r="Z287" s="97">
        <v>25</v>
      </c>
      <c r="AA287" s="97">
        <v>49</v>
      </c>
      <c r="AB287" s="97">
        <v>31</v>
      </c>
      <c r="AC287" s="97">
        <v>633</v>
      </c>
      <c r="AD287" s="97">
        <v>74</v>
      </c>
      <c r="AE287" s="97">
        <v>11</v>
      </c>
      <c r="AF287" s="97">
        <v>174</v>
      </c>
      <c r="AG287" s="97">
        <v>491.5</v>
      </c>
      <c r="AH287" s="97">
        <v>12</v>
      </c>
      <c r="AI287" s="97">
        <v>283</v>
      </c>
    </row>
    <row r="288" spans="1:35" ht="15" customHeight="1">
      <c r="A288" s="97" t="s">
        <v>2355</v>
      </c>
      <c r="B288" s="97" t="s">
        <v>2355</v>
      </c>
      <c r="C288" s="97" t="s">
        <v>2365</v>
      </c>
      <c r="D288" s="97" t="s">
        <v>3198</v>
      </c>
      <c r="E288" s="97" t="s">
        <v>7</v>
      </c>
      <c r="F288" s="97">
        <v>103</v>
      </c>
      <c r="G288" s="97">
        <v>20</v>
      </c>
      <c r="H288" s="97">
        <v>400</v>
      </c>
      <c r="I288" s="97">
        <v>100</v>
      </c>
      <c r="J288" s="97">
        <v>2</v>
      </c>
      <c r="K288" s="97">
        <v>86</v>
      </c>
      <c r="L288" s="97">
        <v>87.5</v>
      </c>
      <c r="M288" s="97">
        <v>27</v>
      </c>
      <c r="N288" s="97">
        <v>541</v>
      </c>
      <c r="O288" s="97">
        <v>78</v>
      </c>
      <c r="P288" s="97">
        <v>9</v>
      </c>
      <c r="Q288" s="97">
        <v>250</v>
      </c>
      <c r="R288" s="97">
        <v>56</v>
      </c>
      <c r="S288" s="97">
        <v>17</v>
      </c>
      <c r="T288" s="97">
        <v>433</v>
      </c>
      <c r="U288" s="97">
        <v>67</v>
      </c>
      <c r="V288" s="97">
        <v>33</v>
      </c>
      <c r="W288" s="97">
        <v>587</v>
      </c>
      <c r="X288" s="97">
        <v>62</v>
      </c>
      <c r="Y288" s="97">
        <v>49</v>
      </c>
      <c r="Z288" s="97">
        <v>729</v>
      </c>
      <c r="AA288" s="97">
        <v>49</v>
      </c>
      <c r="AB288" s="97">
        <v>43</v>
      </c>
      <c r="AC288" s="97">
        <v>633</v>
      </c>
      <c r="AD288" s="97">
        <v>68</v>
      </c>
      <c r="AE288" s="97">
        <v>22</v>
      </c>
      <c r="AF288" s="97">
        <v>412</v>
      </c>
      <c r="AG288" s="97">
        <v>491.5</v>
      </c>
      <c r="AH288" s="97">
        <v>8</v>
      </c>
      <c r="AI288" s="97">
        <v>283</v>
      </c>
    </row>
    <row r="289" spans="1:35" ht="15" customHeight="1">
      <c r="A289" s="97" t="s">
        <v>2692</v>
      </c>
      <c r="B289" s="97" t="s">
        <v>2692</v>
      </c>
      <c r="C289" s="97" t="s">
        <v>2690</v>
      </c>
      <c r="D289" s="97" t="s">
        <v>3198</v>
      </c>
      <c r="E289" s="97" t="s">
        <v>49</v>
      </c>
      <c r="F289" s="97">
        <v>88</v>
      </c>
      <c r="G289" s="97">
        <v>50</v>
      </c>
      <c r="H289" s="97">
        <v>851</v>
      </c>
      <c r="I289" s="97">
        <v>94</v>
      </c>
      <c r="J289" s="97">
        <v>10</v>
      </c>
      <c r="K289" s="97">
        <v>141</v>
      </c>
      <c r="L289" s="97">
        <v>99.5</v>
      </c>
      <c r="M289" s="97">
        <v>18</v>
      </c>
      <c r="N289" s="97">
        <v>269</v>
      </c>
      <c r="O289" s="97">
        <v>91</v>
      </c>
      <c r="P289" s="97">
        <v>4</v>
      </c>
      <c r="Q289" s="97">
        <v>84</v>
      </c>
      <c r="R289" s="97">
        <v>50</v>
      </c>
      <c r="S289" s="97">
        <v>32</v>
      </c>
      <c r="T289" s="97">
        <v>599</v>
      </c>
      <c r="U289" s="97">
        <v>69</v>
      </c>
      <c r="V289" s="97">
        <v>21</v>
      </c>
      <c r="W289" s="97">
        <v>523</v>
      </c>
      <c r="X289" s="97">
        <v>65</v>
      </c>
      <c r="Y289" s="97">
        <v>24</v>
      </c>
      <c r="Z289" s="97">
        <v>651</v>
      </c>
      <c r="AA289" s="97">
        <v>53</v>
      </c>
      <c r="AB289" s="97">
        <v>18</v>
      </c>
      <c r="AC289" s="97">
        <v>470</v>
      </c>
      <c r="AD289" s="97">
        <v>68</v>
      </c>
      <c r="AE289" s="97">
        <v>15</v>
      </c>
      <c r="AF289" s="97">
        <v>412</v>
      </c>
      <c r="AG289" s="97">
        <v>491.5</v>
      </c>
      <c r="AH289" s="97">
        <v>20</v>
      </c>
      <c r="AI289" s="97">
        <v>283</v>
      </c>
    </row>
    <row r="290" spans="1:35" ht="15" customHeight="1">
      <c r="A290" s="97" t="s">
        <v>2809</v>
      </c>
      <c r="B290" s="97" t="s">
        <v>2809</v>
      </c>
      <c r="C290" s="97" t="s">
        <v>2810</v>
      </c>
      <c r="D290" s="97" t="s">
        <v>3198</v>
      </c>
      <c r="E290" s="97" t="s">
        <v>38</v>
      </c>
      <c r="F290" s="97">
        <v>109</v>
      </c>
      <c r="G290" s="97">
        <v>8</v>
      </c>
      <c r="H290" s="97">
        <v>185</v>
      </c>
      <c r="I290" s="97">
        <v>69</v>
      </c>
      <c r="J290" s="97">
        <v>24</v>
      </c>
      <c r="K290" s="97">
        <v>524</v>
      </c>
      <c r="L290" s="97">
        <v>81</v>
      </c>
      <c r="M290" s="97">
        <v>43</v>
      </c>
      <c r="N290" s="97">
        <v>679</v>
      </c>
      <c r="O290" s="97">
        <v>90</v>
      </c>
      <c r="P290" s="97">
        <v>5</v>
      </c>
      <c r="Q290" s="97">
        <v>90</v>
      </c>
      <c r="R290" s="97">
        <v>63</v>
      </c>
      <c r="S290" s="97">
        <v>8</v>
      </c>
      <c r="T290" s="97">
        <v>262</v>
      </c>
      <c r="U290" s="97">
        <v>79</v>
      </c>
      <c r="V290" s="97">
        <v>11</v>
      </c>
      <c r="W290" s="97">
        <v>229</v>
      </c>
      <c r="X290" s="97">
        <v>74</v>
      </c>
      <c r="Y290" s="97">
        <v>9</v>
      </c>
      <c r="Z290" s="97">
        <v>326</v>
      </c>
      <c r="AA290" s="97">
        <v>51</v>
      </c>
      <c r="AB290" s="97">
        <v>29</v>
      </c>
      <c r="AC290" s="97">
        <v>555</v>
      </c>
      <c r="AD290" s="97">
        <v>68</v>
      </c>
      <c r="AE290" s="97">
        <v>21</v>
      </c>
      <c r="AF290" s="97">
        <v>412</v>
      </c>
      <c r="AG290" s="97">
        <v>491</v>
      </c>
      <c r="AH290" s="97">
        <v>9</v>
      </c>
      <c r="AI290" s="97">
        <v>287</v>
      </c>
    </row>
    <row r="291" spans="1:35" ht="15" customHeight="1">
      <c r="A291" s="97" t="s">
        <v>2608</v>
      </c>
      <c r="B291" s="97" t="s">
        <v>2608</v>
      </c>
      <c r="C291" s="97" t="s">
        <v>101</v>
      </c>
      <c r="D291" s="97" t="s">
        <v>3198</v>
      </c>
      <c r="E291" s="97" t="s">
        <v>49</v>
      </c>
      <c r="F291" s="97">
        <v>113</v>
      </c>
      <c r="G291" s="97">
        <v>6</v>
      </c>
      <c r="H291" s="97">
        <v>95</v>
      </c>
      <c r="I291" s="97">
        <v>76</v>
      </c>
      <c r="J291" s="97">
        <v>29</v>
      </c>
      <c r="K291" s="97">
        <v>391</v>
      </c>
      <c r="L291" s="97">
        <v>101</v>
      </c>
      <c r="M291" s="97">
        <v>15</v>
      </c>
      <c r="N291" s="97">
        <v>234</v>
      </c>
      <c r="O291" s="97">
        <v>75</v>
      </c>
      <c r="P291" s="97">
        <v>20</v>
      </c>
      <c r="Q291" s="97">
        <v>299</v>
      </c>
      <c r="R291" s="97">
        <v>58</v>
      </c>
      <c r="S291" s="97">
        <v>19</v>
      </c>
      <c r="T291" s="97">
        <v>377</v>
      </c>
      <c r="U291" s="97">
        <v>68</v>
      </c>
      <c r="V291" s="97">
        <v>23</v>
      </c>
      <c r="W291" s="97">
        <v>555</v>
      </c>
      <c r="X291" s="97">
        <v>70</v>
      </c>
      <c r="Y291" s="97">
        <v>13</v>
      </c>
      <c r="Z291" s="97">
        <v>473</v>
      </c>
      <c r="AA291" s="97">
        <v>62</v>
      </c>
      <c r="AB291" s="97">
        <v>7</v>
      </c>
      <c r="AC291" s="97">
        <v>146</v>
      </c>
      <c r="AD291" s="97">
        <v>69</v>
      </c>
      <c r="AE291" s="97">
        <v>12</v>
      </c>
      <c r="AF291" s="97">
        <v>367</v>
      </c>
      <c r="AG291" s="97">
        <v>491</v>
      </c>
      <c r="AH291" s="97">
        <v>21</v>
      </c>
      <c r="AI291" s="97">
        <v>287</v>
      </c>
    </row>
    <row r="292" spans="1:35" ht="15" customHeight="1">
      <c r="A292" s="97" t="s">
        <v>1149</v>
      </c>
      <c r="B292" s="97" t="s">
        <v>1149</v>
      </c>
      <c r="C292" s="97" t="s">
        <v>1150</v>
      </c>
      <c r="D292" s="97" t="s">
        <v>3198</v>
      </c>
      <c r="E292" s="97" t="s">
        <v>68</v>
      </c>
      <c r="F292" s="97">
        <v>104</v>
      </c>
      <c r="G292" s="97">
        <v>21</v>
      </c>
      <c r="H292" s="97">
        <v>357</v>
      </c>
      <c r="I292" s="97">
        <v>94</v>
      </c>
      <c r="J292" s="97">
        <v>11</v>
      </c>
      <c r="K292" s="97">
        <v>141</v>
      </c>
      <c r="L292" s="97">
        <v>89</v>
      </c>
      <c r="M292" s="97">
        <v>20</v>
      </c>
      <c r="N292" s="97">
        <v>509</v>
      </c>
      <c r="O292" s="97">
        <v>64</v>
      </c>
      <c r="P292" s="97">
        <v>29</v>
      </c>
      <c r="Q292" s="97">
        <v>517</v>
      </c>
      <c r="R292" s="97">
        <v>67</v>
      </c>
      <c r="S292" s="97">
        <v>7</v>
      </c>
      <c r="T292" s="97">
        <v>177</v>
      </c>
      <c r="U292" s="97">
        <v>73</v>
      </c>
      <c r="V292" s="97">
        <v>21</v>
      </c>
      <c r="W292" s="97">
        <v>393</v>
      </c>
      <c r="X292" s="97">
        <v>64</v>
      </c>
      <c r="Y292" s="97">
        <v>39</v>
      </c>
      <c r="Z292" s="97">
        <v>680</v>
      </c>
      <c r="AA292" s="97">
        <v>49</v>
      </c>
      <c r="AB292" s="97">
        <v>32</v>
      </c>
      <c r="AC292" s="97">
        <v>633</v>
      </c>
      <c r="AD292" s="97">
        <v>69</v>
      </c>
      <c r="AE292" s="97">
        <v>21</v>
      </c>
      <c r="AF292" s="97">
        <v>367</v>
      </c>
      <c r="AG292" s="97">
        <v>491</v>
      </c>
      <c r="AH292" s="97">
        <v>13</v>
      </c>
      <c r="AI292" s="97">
        <v>287</v>
      </c>
    </row>
    <row r="293" spans="1:35" ht="15" customHeight="1">
      <c r="A293" s="97" t="s">
        <v>1059</v>
      </c>
      <c r="B293" s="97" t="s">
        <v>1059</v>
      </c>
      <c r="C293" s="97" t="s">
        <v>1060</v>
      </c>
      <c r="D293" s="97" t="s">
        <v>3198</v>
      </c>
      <c r="E293" s="97" t="s">
        <v>68</v>
      </c>
      <c r="F293" s="97">
        <v>119</v>
      </c>
      <c r="G293" s="97">
        <v>1</v>
      </c>
      <c r="H293" s="97">
        <v>30</v>
      </c>
      <c r="I293" s="97">
        <v>80</v>
      </c>
      <c r="J293" s="97">
        <v>23</v>
      </c>
      <c r="K293" s="97">
        <v>325</v>
      </c>
      <c r="L293" s="97">
        <v>98.5</v>
      </c>
      <c r="M293" s="97">
        <v>10</v>
      </c>
      <c r="N293" s="97">
        <v>285</v>
      </c>
      <c r="O293" s="97">
        <v>57</v>
      </c>
      <c r="P293" s="97">
        <v>37</v>
      </c>
      <c r="Q293" s="97">
        <v>665</v>
      </c>
      <c r="R293" s="97">
        <v>62</v>
      </c>
      <c r="S293" s="97">
        <v>14</v>
      </c>
      <c r="T293" s="97">
        <v>277</v>
      </c>
      <c r="U293" s="97">
        <v>74</v>
      </c>
      <c r="V293" s="97">
        <v>19</v>
      </c>
      <c r="W293" s="97">
        <v>366</v>
      </c>
      <c r="X293" s="97">
        <v>60</v>
      </c>
      <c r="Y293" s="97">
        <v>46</v>
      </c>
      <c r="Z293" s="97">
        <v>777</v>
      </c>
      <c r="AA293" s="97">
        <v>48</v>
      </c>
      <c r="AB293" s="97">
        <v>36</v>
      </c>
      <c r="AC293" s="97">
        <v>671</v>
      </c>
      <c r="AD293" s="97">
        <v>56</v>
      </c>
      <c r="AE293" s="97">
        <v>49</v>
      </c>
      <c r="AF293" s="97">
        <v>817</v>
      </c>
      <c r="AG293" s="97">
        <v>490.5</v>
      </c>
      <c r="AH293" s="97">
        <v>14</v>
      </c>
      <c r="AI293" s="97">
        <v>290</v>
      </c>
    </row>
    <row r="294" spans="1:35" ht="15" customHeight="1">
      <c r="A294" s="97" t="s">
        <v>692</v>
      </c>
      <c r="B294" s="97" t="s">
        <v>692</v>
      </c>
      <c r="C294" s="97" t="s">
        <v>145</v>
      </c>
      <c r="D294" s="97" t="s">
        <v>3198</v>
      </c>
      <c r="E294" s="97" t="s">
        <v>17</v>
      </c>
      <c r="F294" s="97">
        <v>108</v>
      </c>
      <c r="G294" s="97">
        <v>17</v>
      </c>
      <c r="H294" s="97">
        <v>212</v>
      </c>
      <c r="I294" s="97">
        <v>83</v>
      </c>
      <c r="J294" s="97">
        <v>18</v>
      </c>
      <c r="K294" s="97">
        <v>267</v>
      </c>
      <c r="L294" s="97">
        <v>74.5</v>
      </c>
      <c r="M294" s="97">
        <v>49</v>
      </c>
      <c r="N294" s="97">
        <v>784</v>
      </c>
      <c r="O294" s="97">
        <v>82</v>
      </c>
      <c r="P294" s="97">
        <v>3</v>
      </c>
      <c r="Q294" s="97">
        <v>174</v>
      </c>
      <c r="R294" s="97">
        <v>59</v>
      </c>
      <c r="S294" s="97">
        <v>20</v>
      </c>
      <c r="T294" s="97">
        <v>348</v>
      </c>
      <c r="U294" s="97">
        <v>84</v>
      </c>
      <c r="V294" s="97">
        <v>4</v>
      </c>
      <c r="W294" s="97">
        <v>123</v>
      </c>
      <c r="X294" s="97">
        <v>72</v>
      </c>
      <c r="Y294" s="97">
        <v>27</v>
      </c>
      <c r="Z294" s="97">
        <v>396</v>
      </c>
      <c r="AA294" s="97">
        <v>62</v>
      </c>
      <c r="AB294" s="97">
        <v>7</v>
      </c>
      <c r="AC294" s="97">
        <v>146</v>
      </c>
      <c r="AD294" s="97">
        <v>68</v>
      </c>
      <c r="AE294" s="97">
        <v>27</v>
      </c>
      <c r="AF294" s="97">
        <v>412</v>
      </c>
      <c r="AG294" s="97">
        <v>490.5</v>
      </c>
      <c r="AH294" s="97">
        <v>15</v>
      </c>
      <c r="AI294" s="97">
        <v>290</v>
      </c>
    </row>
    <row r="295" spans="1:35" ht="15" customHeight="1">
      <c r="A295" s="97" t="s">
        <v>247</v>
      </c>
      <c r="B295" s="97" t="s">
        <v>247</v>
      </c>
      <c r="C295" s="97" t="s">
        <v>248</v>
      </c>
      <c r="D295" s="97" t="s">
        <v>3198</v>
      </c>
      <c r="E295" s="97" t="s">
        <v>28</v>
      </c>
      <c r="F295" s="97">
        <v>103</v>
      </c>
      <c r="G295" s="97">
        <v>22</v>
      </c>
      <c r="H295" s="97">
        <v>400</v>
      </c>
      <c r="I295" s="97">
        <v>89</v>
      </c>
      <c r="J295" s="97">
        <v>8</v>
      </c>
      <c r="K295" s="97">
        <v>196</v>
      </c>
      <c r="L295" s="97">
        <v>93.5</v>
      </c>
      <c r="M295" s="97">
        <v>26</v>
      </c>
      <c r="N295" s="97">
        <v>393</v>
      </c>
      <c r="O295" s="97">
        <v>63</v>
      </c>
      <c r="P295" s="97">
        <v>35</v>
      </c>
      <c r="Q295" s="97">
        <v>540</v>
      </c>
      <c r="R295" s="97">
        <v>58</v>
      </c>
      <c r="S295" s="97">
        <v>16</v>
      </c>
      <c r="T295" s="97">
        <v>377</v>
      </c>
      <c r="U295" s="97">
        <v>84</v>
      </c>
      <c r="V295" s="97">
        <v>5</v>
      </c>
      <c r="W295" s="97">
        <v>123</v>
      </c>
      <c r="X295" s="97">
        <v>64</v>
      </c>
      <c r="Y295" s="97">
        <v>41</v>
      </c>
      <c r="Z295" s="97">
        <v>680</v>
      </c>
      <c r="AA295" s="97">
        <v>68</v>
      </c>
      <c r="AB295" s="97">
        <v>2</v>
      </c>
      <c r="AC295" s="97">
        <v>54</v>
      </c>
      <c r="AD295" s="97">
        <v>63</v>
      </c>
      <c r="AE295" s="97">
        <v>40</v>
      </c>
      <c r="AF295" s="97">
        <v>633</v>
      </c>
      <c r="AG295" s="97">
        <v>490.5</v>
      </c>
      <c r="AH295" s="97">
        <v>13</v>
      </c>
      <c r="AI295" s="97">
        <v>290</v>
      </c>
    </row>
    <row r="296" spans="1:35" ht="15" customHeight="1">
      <c r="A296" s="97" t="s">
        <v>1369</v>
      </c>
      <c r="B296" s="97" t="s">
        <v>1369</v>
      </c>
      <c r="C296" s="97" t="s">
        <v>1370</v>
      </c>
      <c r="D296" s="97" t="s">
        <v>3198</v>
      </c>
      <c r="E296" s="97" t="s">
        <v>56</v>
      </c>
      <c r="F296" s="97">
        <v>95</v>
      </c>
      <c r="G296" s="97">
        <v>35</v>
      </c>
      <c r="H296" s="97">
        <v>710</v>
      </c>
      <c r="I296" s="97">
        <v>77</v>
      </c>
      <c r="J296" s="97">
        <v>16</v>
      </c>
      <c r="K296" s="97">
        <v>369</v>
      </c>
      <c r="L296" s="97">
        <v>84</v>
      </c>
      <c r="M296" s="97">
        <v>36</v>
      </c>
      <c r="N296" s="97">
        <v>622</v>
      </c>
      <c r="O296" s="97">
        <v>86</v>
      </c>
      <c r="P296" s="97">
        <v>6</v>
      </c>
      <c r="Q296" s="97">
        <v>126</v>
      </c>
      <c r="R296" s="97">
        <v>65</v>
      </c>
      <c r="S296" s="97">
        <v>6</v>
      </c>
      <c r="T296" s="97">
        <v>223</v>
      </c>
      <c r="U296" s="97">
        <v>83</v>
      </c>
      <c r="V296" s="97">
        <v>10</v>
      </c>
      <c r="W296" s="97">
        <v>145</v>
      </c>
      <c r="X296" s="97">
        <v>80</v>
      </c>
      <c r="Y296" s="97">
        <v>10</v>
      </c>
      <c r="Z296" s="97">
        <v>151</v>
      </c>
      <c r="AA296" s="97">
        <v>52</v>
      </c>
      <c r="AB296" s="97">
        <v>20</v>
      </c>
      <c r="AC296" s="97">
        <v>509</v>
      </c>
      <c r="AD296" s="97">
        <v>68</v>
      </c>
      <c r="AE296" s="97">
        <v>23</v>
      </c>
      <c r="AF296" s="97">
        <v>412</v>
      </c>
      <c r="AG296" s="97">
        <v>490</v>
      </c>
      <c r="AH296" s="97">
        <v>13</v>
      </c>
      <c r="AI296" s="97">
        <v>293</v>
      </c>
    </row>
    <row r="297" spans="1:35" ht="15" customHeight="1">
      <c r="A297" s="97" t="s">
        <v>2346</v>
      </c>
      <c r="B297" s="97" t="s">
        <v>2346</v>
      </c>
      <c r="C297" s="97" t="s">
        <v>2353</v>
      </c>
      <c r="D297" s="97" t="s">
        <v>3198</v>
      </c>
      <c r="E297" s="97" t="s">
        <v>7</v>
      </c>
      <c r="F297" s="97">
        <v>103</v>
      </c>
      <c r="G297" s="97">
        <v>20</v>
      </c>
      <c r="H297" s="97">
        <v>400</v>
      </c>
      <c r="I297" s="97">
        <v>70</v>
      </c>
      <c r="J297" s="97">
        <v>18</v>
      </c>
      <c r="K297" s="97">
        <v>505</v>
      </c>
      <c r="L297" s="97">
        <v>95</v>
      </c>
      <c r="M297" s="97">
        <v>15</v>
      </c>
      <c r="N297" s="97">
        <v>364</v>
      </c>
      <c r="O297" s="97">
        <v>69</v>
      </c>
      <c r="P297" s="97">
        <v>19</v>
      </c>
      <c r="Q297" s="97">
        <v>428</v>
      </c>
      <c r="R297" s="97">
        <v>67</v>
      </c>
      <c r="S297" s="97">
        <v>5</v>
      </c>
      <c r="T297" s="97">
        <v>177</v>
      </c>
      <c r="U297" s="97">
        <v>86</v>
      </c>
      <c r="V297" s="97">
        <v>1</v>
      </c>
      <c r="W297" s="97">
        <v>77</v>
      </c>
      <c r="X297" s="97">
        <v>82</v>
      </c>
      <c r="Y297" s="97">
        <v>13</v>
      </c>
      <c r="Z297" s="97">
        <v>100</v>
      </c>
      <c r="AA297" s="97">
        <v>58</v>
      </c>
      <c r="AB297" s="97">
        <v>15</v>
      </c>
      <c r="AC297" s="97">
        <v>278</v>
      </c>
      <c r="AD297" s="97">
        <v>70</v>
      </c>
      <c r="AE297" s="97">
        <v>13</v>
      </c>
      <c r="AF297" s="97">
        <v>327</v>
      </c>
      <c r="AG297" s="97">
        <v>490</v>
      </c>
      <c r="AH297" s="97">
        <v>9</v>
      </c>
      <c r="AI297" s="97">
        <v>293</v>
      </c>
    </row>
    <row r="298" spans="1:35" ht="15" customHeight="1">
      <c r="A298" s="97" t="s">
        <v>1970</v>
      </c>
      <c r="B298" s="97" t="s">
        <v>1970</v>
      </c>
      <c r="C298" s="97" t="s">
        <v>1971</v>
      </c>
      <c r="D298" s="97" t="s">
        <v>3198</v>
      </c>
      <c r="E298" s="97" t="s">
        <v>109</v>
      </c>
      <c r="F298" s="97">
        <v>114</v>
      </c>
      <c r="G298" s="97">
        <v>7</v>
      </c>
      <c r="H298" s="97">
        <v>80</v>
      </c>
      <c r="I298" s="97">
        <v>88</v>
      </c>
      <c r="J298" s="97">
        <v>8</v>
      </c>
      <c r="K298" s="97">
        <v>206</v>
      </c>
      <c r="L298" s="97">
        <v>100.5</v>
      </c>
      <c r="M298" s="97">
        <v>14</v>
      </c>
      <c r="N298" s="97">
        <v>247</v>
      </c>
      <c r="O298" s="97">
        <v>70</v>
      </c>
      <c r="P298" s="97">
        <v>25</v>
      </c>
      <c r="Q298" s="97">
        <v>400</v>
      </c>
      <c r="R298" s="97">
        <v>45</v>
      </c>
      <c r="S298" s="97">
        <v>44</v>
      </c>
      <c r="T298" s="97">
        <v>720</v>
      </c>
      <c r="U298" s="97">
        <v>72</v>
      </c>
      <c r="V298" s="97">
        <v>25</v>
      </c>
      <c r="W298" s="97">
        <v>433</v>
      </c>
      <c r="X298" s="97">
        <v>75</v>
      </c>
      <c r="Y298" s="97">
        <v>15</v>
      </c>
      <c r="Z298" s="97">
        <v>289</v>
      </c>
      <c r="AA298" s="97">
        <v>43</v>
      </c>
      <c r="AB298" s="97">
        <v>48</v>
      </c>
      <c r="AC298" s="97">
        <v>824</v>
      </c>
      <c r="AD298" s="97">
        <v>68</v>
      </c>
      <c r="AE298" s="97">
        <v>21</v>
      </c>
      <c r="AF298" s="97">
        <v>412</v>
      </c>
      <c r="AG298" s="97">
        <v>489.5</v>
      </c>
      <c r="AH298" s="97">
        <v>18</v>
      </c>
      <c r="AI298" s="97">
        <v>295</v>
      </c>
    </row>
    <row r="299" spans="1:35" ht="15" customHeight="1">
      <c r="A299" s="97" t="s">
        <v>2208</v>
      </c>
      <c r="B299" s="97" t="s">
        <v>2208</v>
      </c>
      <c r="C299" s="97" t="s">
        <v>2209</v>
      </c>
      <c r="D299" s="97" t="s">
        <v>3198</v>
      </c>
      <c r="E299" s="97" t="s">
        <v>73</v>
      </c>
      <c r="F299" s="97">
        <v>95</v>
      </c>
      <c r="G299" s="97">
        <v>45</v>
      </c>
      <c r="H299" s="97">
        <v>710</v>
      </c>
      <c r="I299" s="97">
        <v>83</v>
      </c>
      <c r="J299" s="97">
        <v>6</v>
      </c>
      <c r="K299" s="97">
        <v>267</v>
      </c>
      <c r="L299" s="97">
        <v>85</v>
      </c>
      <c r="M299" s="97">
        <v>37</v>
      </c>
      <c r="N299" s="97">
        <v>592</v>
      </c>
      <c r="O299" s="97">
        <v>95</v>
      </c>
      <c r="P299" s="97">
        <v>4</v>
      </c>
      <c r="Q299" s="97">
        <v>50</v>
      </c>
      <c r="R299" s="97">
        <v>63</v>
      </c>
      <c r="S299" s="97">
        <v>14</v>
      </c>
      <c r="T299" s="97">
        <v>262</v>
      </c>
      <c r="U299" s="97">
        <v>68</v>
      </c>
      <c r="V299" s="97">
        <v>27</v>
      </c>
      <c r="W299" s="97">
        <v>555</v>
      </c>
      <c r="X299" s="97">
        <v>61</v>
      </c>
      <c r="Y299" s="97">
        <v>41</v>
      </c>
      <c r="Z299" s="97">
        <v>754</v>
      </c>
      <c r="AA299" s="97">
        <v>46</v>
      </c>
      <c r="AB299" s="97">
        <v>45</v>
      </c>
      <c r="AC299" s="97">
        <v>755</v>
      </c>
      <c r="AD299" s="97">
        <v>58</v>
      </c>
      <c r="AE299" s="97">
        <v>49</v>
      </c>
      <c r="AF299" s="97">
        <v>770</v>
      </c>
      <c r="AG299" s="97">
        <v>489</v>
      </c>
      <c r="AH299" s="97">
        <v>12</v>
      </c>
      <c r="AI299" s="97">
        <v>296</v>
      </c>
    </row>
    <row r="300" spans="1:35" ht="15" customHeight="1">
      <c r="A300" s="97" t="s">
        <v>1295</v>
      </c>
      <c r="B300" s="97" t="s">
        <v>1295</v>
      </c>
      <c r="C300" s="97" t="s">
        <v>55</v>
      </c>
      <c r="D300" s="97" t="s">
        <v>3198</v>
      </c>
      <c r="E300" s="97" t="s">
        <v>54</v>
      </c>
      <c r="F300" s="97">
        <v>121</v>
      </c>
      <c r="G300" s="97">
        <v>2</v>
      </c>
      <c r="H300" s="97">
        <v>13</v>
      </c>
      <c r="I300" s="97">
        <v>76</v>
      </c>
      <c r="J300" s="97">
        <v>19</v>
      </c>
      <c r="K300" s="97">
        <v>391</v>
      </c>
      <c r="L300" s="97">
        <v>103.5</v>
      </c>
      <c r="M300" s="97">
        <v>6</v>
      </c>
      <c r="N300" s="97">
        <v>200</v>
      </c>
      <c r="O300" s="97">
        <v>55</v>
      </c>
      <c r="P300" s="97">
        <v>35</v>
      </c>
      <c r="Q300" s="97">
        <v>694</v>
      </c>
      <c r="R300" s="97">
        <v>56</v>
      </c>
      <c r="S300" s="97">
        <v>28</v>
      </c>
      <c r="T300" s="97">
        <v>433</v>
      </c>
      <c r="U300" s="97">
        <v>77</v>
      </c>
      <c r="V300" s="97">
        <v>16</v>
      </c>
      <c r="W300" s="97">
        <v>275</v>
      </c>
      <c r="X300" s="97">
        <v>82</v>
      </c>
      <c r="Y300" s="97">
        <v>2</v>
      </c>
      <c r="Z300" s="97">
        <v>100</v>
      </c>
      <c r="AA300" s="97">
        <v>47</v>
      </c>
      <c r="AB300" s="97">
        <v>37</v>
      </c>
      <c r="AC300" s="97">
        <v>719</v>
      </c>
      <c r="AD300" s="97">
        <v>63</v>
      </c>
      <c r="AE300" s="97">
        <v>36</v>
      </c>
      <c r="AF300" s="97">
        <v>633</v>
      </c>
      <c r="AG300" s="97">
        <v>488.5</v>
      </c>
      <c r="AH300" s="97">
        <v>13</v>
      </c>
      <c r="AI300" s="97">
        <v>297</v>
      </c>
    </row>
    <row r="301" spans="1:35" ht="15" customHeight="1">
      <c r="A301" s="97" t="s">
        <v>1755</v>
      </c>
      <c r="B301" s="97" t="s">
        <v>1755</v>
      </c>
      <c r="C301" s="97" t="s">
        <v>199</v>
      </c>
      <c r="D301" s="97" t="s">
        <v>3198</v>
      </c>
      <c r="E301" s="97" t="s">
        <v>9</v>
      </c>
      <c r="F301" s="97">
        <v>99</v>
      </c>
      <c r="G301" s="97">
        <v>39</v>
      </c>
      <c r="H301" s="97">
        <v>571</v>
      </c>
      <c r="I301" s="97">
        <v>71</v>
      </c>
      <c r="J301" s="97">
        <v>47</v>
      </c>
      <c r="K301" s="97">
        <v>475</v>
      </c>
      <c r="L301" s="97">
        <v>105.5</v>
      </c>
      <c r="M301" s="97">
        <v>27</v>
      </c>
      <c r="N301" s="97">
        <v>168</v>
      </c>
      <c r="O301" s="97">
        <v>62</v>
      </c>
      <c r="P301" s="97">
        <v>49</v>
      </c>
      <c r="Q301" s="97">
        <v>564</v>
      </c>
      <c r="R301" s="97">
        <v>73</v>
      </c>
      <c r="S301" s="97">
        <v>28</v>
      </c>
      <c r="T301" s="97">
        <v>106</v>
      </c>
      <c r="U301" s="97">
        <v>78</v>
      </c>
      <c r="V301" s="97">
        <v>37</v>
      </c>
      <c r="W301" s="97">
        <v>250</v>
      </c>
      <c r="X301" s="97">
        <v>79</v>
      </c>
      <c r="Y301" s="97">
        <v>23</v>
      </c>
      <c r="Z301" s="97">
        <v>175</v>
      </c>
      <c r="AA301" s="97">
        <v>75</v>
      </c>
      <c r="AB301" s="97">
        <v>3</v>
      </c>
      <c r="AC301" s="97">
        <v>10</v>
      </c>
      <c r="AD301" s="97">
        <v>75</v>
      </c>
      <c r="AE301" s="97">
        <v>15</v>
      </c>
      <c r="AF301" s="97">
        <v>146</v>
      </c>
      <c r="AG301" s="97">
        <v>488.5</v>
      </c>
      <c r="AH301" s="97">
        <v>49</v>
      </c>
      <c r="AI301" s="97">
        <v>297</v>
      </c>
    </row>
    <row r="302" spans="1:35" ht="15" customHeight="1">
      <c r="A302" s="97" t="s">
        <v>435</v>
      </c>
      <c r="B302" s="97" t="s">
        <v>435</v>
      </c>
      <c r="C302" s="97" t="s">
        <v>436</v>
      </c>
      <c r="D302" s="97" t="s">
        <v>3198</v>
      </c>
      <c r="E302" s="97" t="s">
        <v>19</v>
      </c>
      <c r="F302" s="97">
        <v>96</v>
      </c>
      <c r="G302" s="97">
        <v>42</v>
      </c>
      <c r="H302" s="97">
        <v>676</v>
      </c>
      <c r="I302" s="97">
        <v>71</v>
      </c>
      <c r="J302" s="97">
        <v>26</v>
      </c>
      <c r="K302" s="97">
        <v>475</v>
      </c>
      <c r="L302" s="97">
        <v>107.5</v>
      </c>
      <c r="M302" s="97">
        <v>8</v>
      </c>
      <c r="N302" s="97">
        <v>141</v>
      </c>
      <c r="O302" s="97">
        <v>78</v>
      </c>
      <c r="P302" s="97">
        <v>15</v>
      </c>
      <c r="Q302" s="97">
        <v>250</v>
      </c>
      <c r="R302" s="97">
        <v>62</v>
      </c>
      <c r="S302" s="97">
        <v>12</v>
      </c>
      <c r="T302" s="97">
        <v>277</v>
      </c>
      <c r="U302" s="97">
        <v>74</v>
      </c>
      <c r="V302" s="97">
        <v>17</v>
      </c>
      <c r="W302" s="97">
        <v>366</v>
      </c>
      <c r="X302" s="97">
        <v>67</v>
      </c>
      <c r="Y302" s="97">
        <v>30</v>
      </c>
      <c r="Z302" s="97">
        <v>570</v>
      </c>
      <c r="AA302" s="97">
        <v>38</v>
      </c>
      <c r="AB302" s="97">
        <v>55</v>
      </c>
      <c r="AC302" s="97">
        <v>905</v>
      </c>
      <c r="AD302" s="97">
        <v>64</v>
      </c>
      <c r="AE302" s="97">
        <v>34</v>
      </c>
      <c r="AF302" s="97">
        <v>586</v>
      </c>
      <c r="AG302" s="97">
        <v>488.5</v>
      </c>
      <c r="AH302" s="97">
        <v>13</v>
      </c>
      <c r="AI302" s="97">
        <v>297</v>
      </c>
    </row>
    <row r="303" spans="1:35" ht="15" customHeight="1">
      <c r="A303" s="97" t="s">
        <v>724</v>
      </c>
      <c r="B303" s="97" t="s">
        <v>724</v>
      </c>
      <c r="C303" s="97" t="s">
        <v>725</v>
      </c>
      <c r="D303" s="97" t="s">
        <v>3198</v>
      </c>
      <c r="E303" s="97" t="s">
        <v>117</v>
      </c>
      <c r="F303" s="97">
        <v>106</v>
      </c>
      <c r="G303" s="97">
        <v>11</v>
      </c>
      <c r="H303" s="97">
        <v>287</v>
      </c>
      <c r="I303" s="97">
        <v>91</v>
      </c>
      <c r="J303" s="97">
        <v>9</v>
      </c>
      <c r="K303" s="97">
        <v>176</v>
      </c>
      <c r="L303" s="97">
        <v>90.5</v>
      </c>
      <c r="M303" s="97">
        <v>26</v>
      </c>
      <c r="N303" s="97">
        <v>470</v>
      </c>
      <c r="O303" s="97">
        <v>67</v>
      </c>
      <c r="P303" s="97">
        <v>26</v>
      </c>
      <c r="Q303" s="97">
        <v>468</v>
      </c>
      <c r="R303" s="97">
        <v>70</v>
      </c>
      <c r="S303" s="97">
        <v>5</v>
      </c>
      <c r="T303" s="97">
        <v>136</v>
      </c>
      <c r="U303" s="97">
        <v>64</v>
      </c>
      <c r="V303" s="97">
        <v>37</v>
      </c>
      <c r="W303" s="97">
        <v>667</v>
      </c>
      <c r="X303" s="97">
        <v>66</v>
      </c>
      <c r="Y303" s="97">
        <v>40</v>
      </c>
      <c r="Z303" s="97">
        <v>604</v>
      </c>
      <c r="AA303" s="97">
        <v>50</v>
      </c>
      <c r="AB303" s="97">
        <v>35</v>
      </c>
      <c r="AC303" s="97">
        <v>591</v>
      </c>
      <c r="AD303" s="97">
        <v>64</v>
      </c>
      <c r="AE303" s="97">
        <v>33</v>
      </c>
      <c r="AF303" s="97">
        <v>586</v>
      </c>
      <c r="AG303" s="97">
        <v>488.5</v>
      </c>
      <c r="AH303" s="97">
        <v>13</v>
      </c>
      <c r="AI303" s="97">
        <v>297</v>
      </c>
    </row>
    <row r="304" spans="1:35" ht="15" customHeight="1">
      <c r="A304" s="97" t="s">
        <v>757</v>
      </c>
      <c r="B304" s="97" t="s">
        <v>757</v>
      </c>
      <c r="C304" s="97" t="s">
        <v>758</v>
      </c>
      <c r="D304" s="97" t="s">
        <v>3198</v>
      </c>
      <c r="E304" s="97" t="s">
        <v>117</v>
      </c>
      <c r="F304" s="97">
        <v>98</v>
      </c>
      <c r="G304" s="97">
        <v>34</v>
      </c>
      <c r="H304" s="97">
        <v>611</v>
      </c>
      <c r="I304" s="97">
        <v>79</v>
      </c>
      <c r="J304" s="97">
        <v>19</v>
      </c>
      <c r="K304" s="97">
        <v>342</v>
      </c>
      <c r="L304" s="97">
        <v>89.5</v>
      </c>
      <c r="M304" s="97">
        <v>28</v>
      </c>
      <c r="N304" s="97">
        <v>493</v>
      </c>
      <c r="O304" s="97">
        <v>90</v>
      </c>
      <c r="P304" s="97">
        <v>3</v>
      </c>
      <c r="Q304" s="97">
        <v>90</v>
      </c>
      <c r="R304" s="97">
        <v>55</v>
      </c>
      <c r="S304" s="97">
        <v>25</v>
      </c>
      <c r="T304" s="97">
        <v>470</v>
      </c>
      <c r="U304" s="97">
        <v>76</v>
      </c>
      <c r="V304" s="97">
        <v>10</v>
      </c>
      <c r="W304" s="97">
        <v>308</v>
      </c>
      <c r="X304" s="97">
        <v>65</v>
      </c>
      <c r="Y304" s="97">
        <v>42</v>
      </c>
      <c r="Z304" s="97">
        <v>651</v>
      </c>
      <c r="AA304" s="97">
        <v>56</v>
      </c>
      <c r="AB304" s="97">
        <v>19</v>
      </c>
      <c r="AC304" s="97">
        <v>352</v>
      </c>
      <c r="AD304" s="97">
        <v>68</v>
      </c>
      <c r="AE304" s="97">
        <v>24</v>
      </c>
      <c r="AF304" s="97">
        <v>412</v>
      </c>
      <c r="AG304" s="97">
        <v>487.5</v>
      </c>
      <c r="AH304" s="97">
        <v>14</v>
      </c>
      <c r="AI304" s="97">
        <v>301</v>
      </c>
    </row>
    <row r="305" spans="1:35" ht="15" customHeight="1">
      <c r="A305" s="97" t="s">
        <v>2444</v>
      </c>
      <c r="B305" s="97" t="s">
        <v>2444</v>
      </c>
      <c r="C305" s="97" t="s">
        <v>2445</v>
      </c>
      <c r="D305" s="97" t="s">
        <v>3198</v>
      </c>
      <c r="E305" s="97" t="s">
        <v>131</v>
      </c>
      <c r="F305" s="97">
        <v>103</v>
      </c>
      <c r="G305" s="97">
        <v>14</v>
      </c>
      <c r="H305" s="97">
        <v>400</v>
      </c>
      <c r="I305" s="97">
        <v>72</v>
      </c>
      <c r="J305" s="97">
        <v>27</v>
      </c>
      <c r="K305" s="97">
        <v>458</v>
      </c>
      <c r="L305" s="97">
        <v>88.5</v>
      </c>
      <c r="M305" s="97">
        <v>26</v>
      </c>
      <c r="N305" s="97">
        <v>519</v>
      </c>
      <c r="O305" s="97">
        <v>88</v>
      </c>
      <c r="P305" s="97">
        <v>6</v>
      </c>
      <c r="Q305" s="97">
        <v>106</v>
      </c>
      <c r="R305" s="97">
        <v>62</v>
      </c>
      <c r="S305" s="97">
        <v>11</v>
      </c>
      <c r="T305" s="97">
        <v>277</v>
      </c>
      <c r="U305" s="97">
        <v>74</v>
      </c>
      <c r="V305" s="97">
        <v>15</v>
      </c>
      <c r="W305" s="97">
        <v>366</v>
      </c>
      <c r="X305" s="97">
        <v>56</v>
      </c>
      <c r="Y305" s="97">
        <v>52</v>
      </c>
      <c r="Z305" s="97">
        <v>849</v>
      </c>
      <c r="AA305" s="97">
        <v>53</v>
      </c>
      <c r="AB305" s="97">
        <v>33</v>
      </c>
      <c r="AC305" s="97">
        <v>470</v>
      </c>
      <c r="AD305" s="97">
        <v>64</v>
      </c>
      <c r="AE305" s="97">
        <v>39</v>
      </c>
      <c r="AF305" s="97">
        <v>586</v>
      </c>
      <c r="AG305" s="97">
        <v>487.5</v>
      </c>
      <c r="AH305" s="97">
        <v>12</v>
      </c>
      <c r="AI305" s="97">
        <v>301</v>
      </c>
    </row>
    <row r="306" spans="1:35" ht="15" customHeight="1">
      <c r="A306" s="97" t="s">
        <v>2483</v>
      </c>
      <c r="B306" s="97" t="s">
        <v>2483</v>
      </c>
      <c r="C306" s="97" t="s">
        <v>2484</v>
      </c>
      <c r="D306" s="97" t="s">
        <v>3198</v>
      </c>
      <c r="E306" s="97" t="s">
        <v>131</v>
      </c>
      <c r="F306" s="97">
        <v>80</v>
      </c>
      <c r="G306" s="97">
        <v>52</v>
      </c>
      <c r="H306" s="97">
        <v>909</v>
      </c>
      <c r="I306" s="97">
        <v>78</v>
      </c>
      <c r="J306" s="97">
        <v>18</v>
      </c>
      <c r="K306" s="97">
        <v>353</v>
      </c>
      <c r="L306" s="97">
        <v>107.5</v>
      </c>
      <c r="M306" s="97">
        <v>4</v>
      </c>
      <c r="N306" s="97">
        <v>141</v>
      </c>
      <c r="O306" s="97">
        <v>80</v>
      </c>
      <c r="P306" s="97">
        <v>10</v>
      </c>
      <c r="Q306" s="97">
        <v>207</v>
      </c>
      <c r="R306" s="97">
        <v>63</v>
      </c>
      <c r="S306" s="97">
        <v>9</v>
      </c>
      <c r="T306" s="97">
        <v>262</v>
      </c>
      <c r="U306" s="97">
        <v>78</v>
      </c>
      <c r="V306" s="97">
        <v>11</v>
      </c>
      <c r="W306" s="97">
        <v>250</v>
      </c>
      <c r="X306" s="97">
        <v>70</v>
      </c>
      <c r="Y306" s="97">
        <v>22</v>
      </c>
      <c r="Z306" s="97">
        <v>473</v>
      </c>
      <c r="AA306" s="97">
        <v>68</v>
      </c>
      <c r="AB306" s="97">
        <v>3</v>
      </c>
      <c r="AC306" s="97">
        <v>54</v>
      </c>
      <c r="AD306" s="97">
        <v>65</v>
      </c>
      <c r="AE306" s="97">
        <v>38</v>
      </c>
      <c r="AF306" s="97">
        <v>548</v>
      </c>
      <c r="AG306" s="97">
        <v>486.5</v>
      </c>
      <c r="AH306" s="97">
        <v>13</v>
      </c>
      <c r="AI306" s="97">
        <v>303</v>
      </c>
    </row>
    <row r="307" spans="1:35" ht="15" customHeight="1">
      <c r="A307" s="97" t="s">
        <v>429</v>
      </c>
      <c r="B307" s="97" t="s">
        <v>429</v>
      </c>
      <c r="C307" s="97" t="s">
        <v>430</v>
      </c>
      <c r="D307" s="97" t="s">
        <v>3198</v>
      </c>
      <c r="E307" s="97" t="s">
        <v>19</v>
      </c>
      <c r="F307" s="97">
        <v>102</v>
      </c>
      <c r="G307" s="97">
        <v>28</v>
      </c>
      <c r="H307" s="97">
        <v>442</v>
      </c>
      <c r="I307" s="97">
        <v>73</v>
      </c>
      <c r="J307" s="97">
        <v>21</v>
      </c>
      <c r="K307" s="97">
        <v>438</v>
      </c>
      <c r="L307" s="97">
        <v>89.5</v>
      </c>
      <c r="M307" s="97">
        <v>24</v>
      </c>
      <c r="N307" s="97">
        <v>493</v>
      </c>
      <c r="O307" s="97">
        <v>80</v>
      </c>
      <c r="P307" s="97">
        <v>12</v>
      </c>
      <c r="Q307" s="97">
        <v>207</v>
      </c>
      <c r="R307" s="97">
        <v>65</v>
      </c>
      <c r="S307" s="97">
        <v>9</v>
      </c>
      <c r="T307" s="97">
        <v>223</v>
      </c>
      <c r="U307" s="97">
        <v>77</v>
      </c>
      <c r="V307" s="97">
        <v>8</v>
      </c>
      <c r="W307" s="97">
        <v>275</v>
      </c>
      <c r="X307" s="97">
        <v>66</v>
      </c>
      <c r="Y307" s="97">
        <v>32</v>
      </c>
      <c r="Z307" s="97">
        <v>604</v>
      </c>
      <c r="AA307" s="97">
        <v>53</v>
      </c>
      <c r="AB307" s="97">
        <v>29</v>
      </c>
      <c r="AC307" s="97">
        <v>470</v>
      </c>
      <c r="AD307" s="97">
        <v>63</v>
      </c>
      <c r="AE307" s="97">
        <v>37</v>
      </c>
      <c r="AF307" s="97">
        <v>633</v>
      </c>
      <c r="AG307" s="97">
        <v>486.5</v>
      </c>
      <c r="AH307" s="97">
        <v>14</v>
      </c>
      <c r="AI307" s="97">
        <v>303</v>
      </c>
    </row>
    <row r="308" spans="1:35" ht="15" customHeight="1">
      <c r="A308" s="97" t="s">
        <v>678</v>
      </c>
      <c r="B308" s="97" t="s">
        <v>678</v>
      </c>
      <c r="C308" s="97" t="s">
        <v>679</v>
      </c>
      <c r="D308" s="97" t="s">
        <v>3198</v>
      </c>
      <c r="E308" s="97" t="s">
        <v>17</v>
      </c>
      <c r="F308" s="97">
        <v>93</v>
      </c>
      <c r="G308" s="97">
        <v>47</v>
      </c>
      <c r="H308" s="97">
        <v>755</v>
      </c>
      <c r="I308" s="97">
        <v>97</v>
      </c>
      <c r="J308" s="97">
        <v>7</v>
      </c>
      <c r="K308" s="97">
        <v>112</v>
      </c>
      <c r="L308" s="97">
        <v>51</v>
      </c>
      <c r="M308" s="97">
        <v>56</v>
      </c>
      <c r="N308" s="97">
        <v>928</v>
      </c>
      <c r="O308" s="97">
        <v>72</v>
      </c>
      <c r="P308" s="97">
        <v>18</v>
      </c>
      <c r="Q308" s="97">
        <v>358</v>
      </c>
      <c r="R308" s="97">
        <v>86</v>
      </c>
      <c r="S308" s="97">
        <v>1</v>
      </c>
      <c r="T308" s="97">
        <v>17</v>
      </c>
      <c r="U308" s="97">
        <v>87</v>
      </c>
      <c r="V308" s="97">
        <v>1</v>
      </c>
      <c r="W308" s="97">
        <v>57</v>
      </c>
      <c r="X308" s="97">
        <v>80</v>
      </c>
      <c r="Y308" s="97">
        <v>13</v>
      </c>
      <c r="Z308" s="97">
        <v>151</v>
      </c>
      <c r="AA308" s="97">
        <v>68</v>
      </c>
      <c r="AB308" s="97">
        <v>3</v>
      </c>
      <c r="AC308" s="97">
        <v>54</v>
      </c>
      <c r="AD308" s="97">
        <v>77</v>
      </c>
      <c r="AE308" s="97">
        <v>5</v>
      </c>
      <c r="AF308" s="97">
        <v>102</v>
      </c>
      <c r="AG308" s="97">
        <v>486</v>
      </c>
      <c r="AH308" s="97">
        <v>16</v>
      </c>
      <c r="AI308" s="97">
        <v>305</v>
      </c>
    </row>
    <row r="309" spans="1:35" ht="15" customHeight="1">
      <c r="A309" s="97" t="s">
        <v>877</v>
      </c>
      <c r="B309" s="97" t="s">
        <v>877</v>
      </c>
      <c r="C309" s="97" t="s">
        <v>878</v>
      </c>
      <c r="D309" s="97" t="s">
        <v>3198</v>
      </c>
      <c r="E309" s="97" t="s">
        <v>60</v>
      </c>
      <c r="F309" s="97">
        <v>97</v>
      </c>
      <c r="G309" s="97">
        <v>46</v>
      </c>
      <c r="H309" s="97">
        <v>645</v>
      </c>
      <c r="I309" s="97">
        <v>87</v>
      </c>
      <c r="J309" s="97">
        <v>13</v>
      </c>
      <c r="K309" s="97">
        <v>220</v>
      </c>
      <c r="L309" s="97">
        <v>63</v>
      </c>
      <c r="M309" s="97">
        <v>52</v>
      </c>
      <c r="N309" s="97">
        <v>895</v>
      </c>
      <c r="O309" s="97">
        <v>97</v>
      </c>
      <c r="P309" s="97">
        <v>1</v>
      </c>
      <c r="Q309" s="97">
        <v>37</v>
      </c>
      <c r="R309" s="97">
        <v>67</v>
      </c>
      <c r="S309" s="97">
        <v>10</v>
      </c>
      <c r="T309" s="97">
        <v>177</v>
      </c>
      <c r="U309" s="97">
        <v>75</v>
      </c>
      <c r="V309" s="97">
        <v>13</v>
      </c>
      <c r="W309" s="97">
        <v>342</v>
      </c>
      <c r="X309" s="97">
        <v>59</v>
      </c>
      <c r="Y309" s="97">
        <v>48</v>
      </c>
      <c r="Z309" s="97">
        <v>799</v>
      </c>
      <c r="AA309" s="97">
        <v>41</v>
      </c>
      <c r="AB309" s="97">
        <v>52</v>
      </c>
      <c r="AC309" s="97">
        <v>866</v>
      </c>
      <c r="AD309" s="97">
        <v>81</v>
      </c>
      <c r="AE309" s="97">
        <v>2</v>
      </c>
      <c r="AF309" s="97">
        <v>42</v>
      </c>
      <c r="AG309" s="97">
        <v>486</v>
      </c>
      <c r="AH309" s="97">
        <v>15</v>
      </c>
      <c r="AI309" s="97">
        <v>305</v>
      </c>
    </row>
    <row r="310" spans="1:35" ht="15" customHeight="1">
      <c r="A310" s="97" t="s">
        <v>2285</v>
      </c>
      <c r="B310" s="97" t="s">
        <v>2285</v>
      </c>
      <c r="C310" s="97" t="s">
        <v>2286</v>
      </c>
      <c r="D310" s="97" t="s">
        <v>3198</v>
      </c>
      <c r="E310" s="97" t="s">
        <v>7</v>
      </c>
      <c r="F310" s="97">
        <v>96</v>
      </c>
      <c r="G310" s="97">
        <v>36</v>
      </c>
      <c r="H310" s="97">
        <v>676</v>
      </c>
      <c r="I310" s="97">
        <v>83</v>
      </c>
      <c r="J310" s="97">
        <v>8</v>
      </c>
      <c r="K310" s="97">
        <v>267</v>
      </c>
      <c r="L310" s="97">
        <v>77</v>
      </c>
      <c r="M310" s="97">
        <v>42</v>
      </c>
      <c r="N310" s="97">
        <v>740</v>
      </c>
      <c r="O310" s="97">
        <v>87</v>
      </c>
      <c r="P310" s="97">
        <v>4</v>
      </c>
      <c r="Q310" s="97">
        <v>114</v>
      </c>
      <c r="R310" s="97">
        <v>58</v>
      </c>
      <c r="S310" s="97">
        <v>15</v>
      </c>
      <c r="T310" s="97">
        <v>377</v>
      </c>
      <c r="U310" s="97">
        <v>85</v>
      </c>
      <c r="V310" s="97">
        <v>3</v>
      </c>
      <c r="W310" s="97">
        <v>96</v>
      </c>
      <c r="X310" s="97">
        <v>75</v>
      </c>
      <c r="Y310" s="97">
        <v>31</v>
      </c>
      <c r="Z310" s="97">
        <v>289</v>
      </c>
      <c r="AA310" s="97">
        <v>55</v>
      </c>
      <c r="AB310" s="97">
        <v>28</v>
      </c>
      <c r="AC310" s="97">
        <v>392</v>
      </c>
      <c r="AD310" s="97">
        <v>72</v>
      </c>
      <c r="AE310" s="97">
        <v>10</v>
      </c>
      <c r="AF310" s="97">
        <v>256</v>
      </c>
      <c r="AG310" s="97">
        <v>486</v>
      </c>
      <c r="AH310" s="97">
        <v>10</v>
      </c>
      <c r="AI310" s="97">
        <v>305</v>
      </c>
    </row>
    <row r="311" spans="1:35" ht="15" customHeight="1">
      <c r="A311" s="97" t="s">
        <v>1925</v>
      </c>
      <c r="B311" s="97" t="s">
        <v>1925</v>
      </c>
      <c r="C311" s="97" t="s">
        <v>1926</v>
      </c>
      <c r="D311" s="97" t="s">
        <v>3198</v>
      </c>
      <c r="E311" s="97" t="s">
        <v>34</v>
      </c>
      <c r="F311" s="97">
        <v>113</v>
      </c>
      <c r="G311" s="97">
        <v>6</v>
      </c>
      <c r="H311" s="97">
        <v>95</v>
      </c>
      <c r="I311" s="97">
        <v>75</v>
      </c>
      <c r="J311" s="97">
        <v>24</v>
      </c>
      <c r="K311" s="97">
        <v>409</v>
      </c>
      <c r="L311" s="97">
        <v>95</v>
      </c>
      <c r="M311" s="97">
        <v>17</v>
      </c>
      <c r="N311" s="97">
        <v>364</v>
      </c>
      <c r="O311" s="97">
        <v>72</v>
      </c>
      <c r="P311" s="97">
        <v>14</v>
      </c>
      <c r="Q311" s="97">
        <v>358</v>
      </c>
      <c r="R311" s="97">
        <v>62</v>
      </c>
      <c r="S311" s="97">
        <v>12</v>
      </c>
      <c r="T311" s="97">
        <v>277</v>
      </c>
      <c r="U311" s="97">
        <v>69</v>
      </c>
      <c r="V311" s="97">
        <v>25</v>
      </c>
      <c r="W311" s="97">
        <v>523</v>
      </c>
      <c r="X311" s="97">
        <v>88</v>
      </c>
      <c r="Y311" s="97">
        <v>1</v>
      </c>
      <c r="Z311" s="97">
        <v>15</v>
      </c>
      <c r="AA311" s="97">
        <v>64</v>
      </c>
      <c r="AB311" s="97">
        <v>4</v>
      </c>
      <c r="AC311" s="97">
        <v>103</v>
      </c>
      <c r="AD311" s="97">
        <v>74</v>
      </c>
      <c r="AE311" s="97">
        <v>6</v>
      </c>
      <c r="AF311" s="97">
        <v>174</v>
      </c>
      <c r="AG311" s="97">
        <v>486</v>
      </c>
      <c r="AH311" s="97">
        <v>12</v>
      </c>
      <c r="AI311" s="97">
        <v>305</v>
      </c>
    </row>
    <row r="312" spans="1:35" ht="15" customHeight="1">
      <c r="A312" s="97" t="s">
        <v>2668</v>
      </c>
      <c r="B312" s="97" t="s">
        <v>2668</v>
      </c>
      <c r="C312" s="97" t="s">
        <v>2669</v>
      </c>
      <c r="D312" s="97" t="s">
        <v>3198</v>
      </c>
      <c r="E312" s="97" t="s">
        <v>49</v>
      </c>
      <c r="F312" s="97">
        <v>115</v>
      </c>
      <c r="G312" s="97">
        <v>4</v>
      </c>
      <c r="H312" s="97">
        <v>65</v>
      </c>
      <c r="I312" s="97">
        <v>60</v>
      </c>
      <c r="J312" s="97">
        <v>39</v>
      </c>
      <c r="K312" s="97">
        <v>696</v>
      </c>
      <c r="L312" s="97">
        <v>104.5</v>
      </c>
      <c r="M312" s="97">
        <v>10</v>
      </c>
      <c r="N312" s="97">
        <v>177</v>
      </c>
      <c r="O312" s="97">
        <v>82</v>
      </c>
      <c r="P312" s="97">
        <v>11</v>
      </c>
      <c r="Q312" s="97">
        <v>174</v>
      </c>
      <c r="R312" s="97">
        <v>58</v>
      </c>
      <c r="S312" s="97">
        <v>19</v>
      </c>
      <c r="T312" s="97">
        <v>377</v>
      </c>
      <c r="U312" s="97">
        <v>66</v>
      </c>
      <c r="V312" s="97">
        <v>28</v>
      </c>
      <c r="W312" s="97">
        <v>611</v>
      </c>
      <c r="X312" s="97">
        <v>66</v>
      </c>
      <c r="Y312" s="97">
        <v>22</v>
      </c>
      <c r="Z312" s="97">
        <v>604</v>
      </c>
      <c r="AA312" s="97">
        <v>44</v>
      </c>
      <c r="AB312" s="97">
        <v>38</v>
      </c>
      <c r="AC312" s="97">
        <v>804</v>
      </c>
      <c r="AD312" s="97">
        <v>69</v>
      </c>
      <c r="AE312" s="97">
        <v>12</v>
      </c>
      <c r="AF312" s="97">
        <v>367</v>
      </c>
      <c r="AG312" s="97">
        <v>485.5</v>
      </c>
      <c r="AH312" s="97">
        <v>22</v>
      </c>
      <c r="AI312" s="97">
        <v>309</v>
      </c>
    </row>
    <row r="313" spans="1:35" ht="15" customHeight="1">
      <c r="A313" s="97" t="s">
        <v>631</v>
      </c>
      <c r="B313" s="97" t="s">
        <v>631</v>
      </c>
      <c r="C313" s="97" t="s">
        <v>632</v>
      </c>
      <c r="D313" s="97" t="s">
        <v>3198</v>
      </c>
      <c r="E313" s="97" t="s">
        <v>17</v>
      </c>
      <c r="F313" s="97">
        <v>89</v>
      </c>
      <c r="G313" s="97">
        <v>54</v>
      </c>
      <c r="H313" s="97">
        <v>835</v>
      </c>
      <c r="I313" s="97">
        <v>89</v>
      </c>
      <c r="J313" s="97">
        <v>12</v>
      </c>
      <c r="K313" s="97">
        <v>196</v>
      </c>
      <c r="L313" s="97">
        <v>98</v>
      </c>
      <c r="M313" s="97">
        <v>15</v>
      </c>
      <c r="N313" s="97">
        <v>294</v>
      </c>
      <c r="O313" s="97">
        <v>69</v>
      </c>
      <c r="P313" s="97">
        <v>24</v>
      </c>
      <c r="Q313" s="97">
        <v>428</v>
      </c>
      <c r="R313" s="97">
        <v>55</v>
      </c>
      <c r="S313" s="97">
        <v>27</v>
      </c>
      <c r="T313" s="97">
        <v>470</v>
      </c>
      <c r="U313" s="97">
        <v>85</v>
      </c>
      <c r="V313" s="97">
        <v>2</v>
      </c>
      <c r="W313" s="97">
        <v>96</v>
      </c>
      <c r="X313" s="97">
        <v>69</v>
      </c>
      <c r="Y313" s="97">
        <v>36</v>
      </c>
      <c r="Z313" s="97">
        <v>504</v>
      </c>
      <c r="AA313" s="97">
        <v>60</v>
      </c>
      <c r="AB313" s="97">
        <v>11</v>
      </c>
      <c r="AC313" s="97">
        <v>203</v>
      </c>
      <c r="AD313" s="97">
        <v>68</v>
      </c>
      <c r="AE313" s="97">
        <v>27</v>
      </c>
      <c r="AF313" s="97">
        <v>412</v>
      </c>
      <c r="AG313" s="97">
        <v>485</v>
      </c>
      <c r="AH313" s="97">
        <v>17</v>
      </c>
      <c r="AI313" s="97">
        <v>310</v>
      </c>
    </row>
    <row r="314" spans="1:35" ht="15" customHeight="1">
      <c r="A314" s="97" t="s">
        <v>1332</v>
      </c>
      <c r="B314" s="97" t="s">
        <v>1332</v>
      </c>
      <c r="C314" s="97" t="s">
        <v>1333</v>
      </c>
      <c r="D314" s="97" t="s">
        <v>3198</v>
      </c>
      <c r="E314" s="97" t="s">
        <v>54</v>
      </c>
      <c r="F314" s="97">
        <v>113</v>
      </c>
      <c r="G314" s="97">
        <v>10</v>
      </c>
      <c r="H314" s="97">
        <v>95</v>
      </c>
      <c r="I314" s="97">
        <v>66</v>
      </c>
      <c r="J314" s="97">
        <v>32</v>
      </c>
      <c r="K314" s="97">
        <v>584</v>
      </c>
      <c r="L314" s="97">
        <v>104</v>
      </c>
      <c r="M314" s="97">
        <v>5</v>
      </c>
      <c r="N314" s="97">
        <v>188</v>
      </c>
      <c r="O314" s="97">
        <v>66</v>
      </c>
      <c r="P314" s="97">
        <v>25</v>
      </c>
      <c r="Q314" s="97">
        <v>484</v>
      </c>
      <c r="R314" s="97">
        <v>55</v>
      </c>
      <c r="S314" s="97">
        <v>32</v>
      </c>
      <c r="T314" s="97">
        <v>470</v>
      </c>
      <c r="U314" s="97">
        <v>81</v>
      </c>
      <c r="V314" s="97">
        <v>12</v>
      </c>
      <c r="W314" s="97">
        <v>183</v>
      </c>
      <c r="X314" s="97">
        <v>64</v>
      </c>
      <c r="Y314" s="97">
        <v>35</v>
      </c>
      <c r="Z314" s="97">
        <v>680</v>
      </c>
      <c r="AA314" s="97">
        <v>49</v>
      </c>
      <c r="AB314" s="97">
        <v>27</v>
      </c>
      <c r="AC314" s="97">
        <v>633</v>
      </c>
      <c r="AD314" s="97">
        <v>74</v>
      </c>
      <c r="AE314" s="97">
        <v>9</v>
      </c>
      <c r="AF314" s="97">
        <v>174</v>
      </c>
      <c r="AG314" s="97">
        <v>485</v>
      </c>
      <c r="AH314" s="97">
        <v>14</v>
      </c>
      <c r="AI314" s="97">
        <v>310</v>
      </c>
    </row>
    <row r="315" spans="1:35" ht="15" customHeight="1">
      <c r="A315" s="97" t="s">
        <v>941</v>
      </c>
      <c r="B315" s="97" t="s">
        <v>941</v>
      </c>
      <c r="C315" s="97" t="s">
        <v>1692</v>
      </c>
      <c r="D315" s="97" t="s">
        <v>3198</v>
      </c>
      <c r="E315" s="97" t="s">
        <v>60</v>
      </c>
      <c r="F315" s="97">
        <v>112</v>
      </c>
      <c r="G315" s="97">
        <v>7</v>
      </c>
      <c r="H315" s="97">
        <v>114</v>
      </c>
      <c r="I315" s="97">
        <v>76</v>
      </c>
      <c r="J315" s="97">
        <v>22</v>
      </c>
      <c r="K315" s="97">
        <v>391</v>
      </c>
      <c r="L315" s="97">
        <v>106.5</v>
      </c>
      <c r="M315" s="97">
        <v>6</v>
      </c>
      <c r="N315" s="97">
        <v>156</v>
      </c>
      <c r="O315" s="97">
        <v>60</v>
      </c>
      <c r="P315" s="97">
        <v>33</v>
      </c>
      <c r="Q315" s="97">
        <v>607</v>
      </c>
      <c r="R315" s="97">
        <v>67</v>
      </c>
      <c r="S315" s="97">
        <v>10</v>
      </c>
      <c r="T315" s="97">
        <v>177</v>
      </c>
      <c r="U315" s="97">
        <v>63</v>
      </c>
      <c r="V315" s="97">
        <v>37</v>
      </c>
      <c r="W315" s="97">
        <v>692</v>
      </c>
      <c r="X315" s="97">
        <v>76</v>
      </c>
      <c r="Y315" s="97">
        <v>16</v>
      </c>
      <c r="Z315" s="97">
        <v>260</v>
      </c>
      <c r="AA315" s="97">
        <v>48</v>
      </c>
      <c r="AB315" s="97">
        <v>36</v>
      </c>
      <c r="AC315" s="97">
        <v>671</v>
      </c>
      <c r="AD315" s="97">
        <v>66</v>
      </c>
      <c r="AE315" s="97">
        <v>23</v>
      </c>
      <c r="AF315" s="97">
        <v>511</v>
      </c>
      <c r="AG315" s="97">
        <v>484.5</v>
      </c>
      <c r="AH315" s="97">
        <v>16</v>
      </c>
      <c r="AI315" s="97">
        <v>312</v>
      </c>
    </row>
    <row r="316" spans="1:35" ht="15" customHeight="1">
      <c r="A316" s="97" t="s">
        <v>447</v>
      </c>
      <c r="B316" s="97" t="s">
        <v>447</v>
      </c>
      <c r="C316" s="97" t="s">
        <v>448</v>
      </c>
      <c r="D316" s="97" t="s">
        <v>3198</v>
      </c>
      <c r="E316" s="97" t="s">
        <v>19</v>
      </c>
      <c r="F316" s="97">
        <v>119</v>
      </c>
      <c r="G316" s="97">
        <v>3</v>
      </c>
      <c r="H316" s="97">
        <v>30</v>
      </c>
      <c r="I316" s="97">
        <v>74</v>
      </c>
      <c r="J316" s="97">
        <v>19</v>
      </c>
      <c r="K316" s="97">
        <v>424</v>
      </c>
      <c r="L316" s="97">
        <v>116.5</v>
      </c>
      <c r="M316" s="97">
        <v>3</v>
      </c>
      <c r="N316" s="97">
        <v>46</v>
      </c>
      <c r="O316" s="97">
        <v>61</v>
      </c>
      <c r="P316" s="97">
        <v>32</v>
      </c>
      <c r="Q316" s="97">
        <v>587</v>
      </c>
      <c r="R316" s="97">
        <v>47</v>
      </c>
      <c r="S316" s="97">
        <v>36</v>
      </c>
      <c r="T316" s="97">
        <v>673</v>
      </c>
      <c r="U316" s="97">
        <v>67</v>
      </c>
      <c r="V316" s="97">
        <v>34</v>
      </c>
      <c r="W316" s="97">
        <v>587</v>
      </c>
      <c r="X316" s="97">
        <v>84</v>
      </c>
      <c r="Y316" s="97">
        <v>2</v>
      </c>
      <c r="Z316" s="97">
        <v>59</v>
      </c>
      <c r="AA316" s="97">
        <v>58</v>
      </c>
      <c r="AB316" s="97">
        <v>15</v>
      </c>
      <c r="AC316" s="97">
        <v>278</v>
      </c>
      <c r="AD316" s="97">
        <v>73</v>
      </c>
      <c r="AE316" s="97">
        <v>11</v>
      </c>
      <c r="AF316" s="97">
        <v>216</v>
      </c>
      <c r="AG316" s="97">
        <v>484.5</v>
      </c>
      <c r="AH316" s="97">
        <v>15</v>
      </c>
      <c r="AI316" s="97">
        <v>312</v>
      </c>
    </row>
    <row r="317" spans="1:35" ht="15" customHeight="1">
      <c r="A317" s="97" t="s">
        <v>938</v>
      </c>
      <c r="B317" s="97" t="s">
        <v>938</v>
      </c>
      <c r="C317" s="97" t="s">
        <v>939</v>
      </c>
      <c r="D317" s="97" t="s">
        <v>3198</v>
      </c>
      <c r="E317" s="97" t="s">
        <v>60</v>
      </c>
      <c r="F317" s="97">
        <v>108</v>
      </c>
      <c r="G317" s="97">
        <v>13</v>
      </c>
      <c r="H317" s="97">
        <v>212</v>
      </c>
      <c r="I317" s="97">
        <v>64</v>
      </c>
      <c r="J317" s="97">
        <v>38</v>
      </c>
      <c r="K317" s="97">
        <v>627</v>
      </c>
      <c r="L317" s="97">
        <v>90</v>
      </c>
      <c r="M317" s="97">
        <v>28</v>
      </c>
      <c r="N317" s="97">
        <v>481</v>
      </c>
      <c r="O317" s="97">
        <v>84</v>
      </c>
      <c r="P317" s="97">
        <v>7</v>
      </c>
      <c r="Q317" s="97">
        <v>147</v>
      </c>
      <c r="R317" s="97">
        <v>68</v>
      </c>
      <c r="S317" s="97">
        <v>6</v>
      </c>
      <c r="T317" s="97">
        <v>165</v>
      </c>
      <c r="U317" s="97">
        <v>70</v>
      </c>
      <c r="V317" s="97">
        <v>20</v>
      </c>
      <c r="W317" s="97">
        <v>485</v>
      </c>
      <c r="X317" s="97">
        <v>65</v>
      </c>
      <c r="Y317" s="97">
        <v>38</v>
      </c>
      <c r="Z317" s="97">
        <v>651</v>
      </c>
      <c r="AA317" s="97">
        <v>53</v>
      </c>
      <c r="AB317" s="97">
        <v>21</v>
      </c>
      <c r="AC317" s="97">
        <v>470</v>
      </c>
      <c r="AD317" s="97">
        <v>58</v>
      </c>
      <c r="AE317" s="97">
        <v>45</v>
      </c>
      <c r="AF317" s="97">
        <v>770</v>
      </c>
      <c r="AG317" s="97">
        <v>484</v>
      </c>
      <c r="AH317" s="97">
        <v>17</v>
      </c>
      <c r="AI317" s="97">
        <v>314</v>
      </c>
    </row>
    <row r="318" spans="1:35" ht="15" customHeight="1">
      <c r="A318" s="97" t="s">
        <v>999</v>
      </c>
      <c r="B318" s="97" t="s">
        <v>999</v>
      </c>
      <c r="C318" s="97" t="s">
        <v>1000</v>
      </c>
      <c r="D318" s="97" t="s">
        <v>3198</v>
      </c>
      <c r="E318" s="97" t="s">
        <v>60</v>
      </c>
      <c r="F318" s="97">
        <v>107</v>
      </c>
      <c r="G318" s="97">
        <v>15</v>
      </c>
      <c r="H318" s="97">
        <v>242</v>
      </c>
      <c r="I318" s="97">
        <v>94</v>
      </c>
      <c r="J318" s="97">
        <v>8</v>
      </c>
      <c r="K318" s="97">
        <v>141</v>
      </c>
      <c r="L318" s="97">
        <v>95</v>
      </c>
      <c r="M318" s="97">
        <v>19</v>
      </c>
      <c r="N318" s="97">
        <v>364</v>
      </c>
      <c r="O318" s="97">
        <v>67</v>
      </c>
      <c r="P318" s="97">
        <v>25</v>
      </c>
      <c r="Q318" s="97">
        <v>468</v>
      </c>
      <c r="R318" s="97">
        <v>56</v>
      </c>
      <c r="S318" s="97">
        <v>29</v>
      </c>
      <c r="T318" s="97">
        <v>433</v>
      </c>
      <c r="U318" s="97">
        <v>65</v>
      </c>
      <c r="V318" s="97">
        <v>32</v>
      </c>
      <c r="W318" s="97">
        <v>643</v>
      </c>
      <c r="X318" s="97">
        <v>73</v>
      </c>
      <c r="Y318" s="97">
        <v>24</v>
      </c>
      <c r="Z318" s="97">
        <v>359</v>
      </c>
      <c r="AA318" s="97">
        <v>52</v>
      </c>
      <c r="AB318" s="97">
        <v>25</v>
      </c>
      <c r="AC318" s="97">
        <v>509</v>
      </c>
      <c r="AD318" s="97">
        <v>60</v>
      </c>
      <c r="AE318" s="97">
        <v>41</v>
      </c>
      <c r="AF318" s="97">
        <v>727</v>
      </c>
      <c r="AG318" s="97">
        <v>484</v>
      </c>
      <c r="AH318" s="97">
        <v>17</v>
      </c>
      <c r="AI318" s="97">
        <v>314</v>
      </c>
    </row>
    <row r="319" spans="1:35" ht="15" customHeight="1">
      <c r="A319" s="97" t="s">
        <v>1135</v>
      </c>
      <c r="B319" s="97" t="s">
        <v>1135</v>
      </c>
      <c r="C319" s="97" t="s">
        <v>1136</v>
      </c>
      <c r="D319" s="97" t="s">
        <v>3198</v>
      </c>
      <c r="E319" s="97" t="s">
        <v>68</v>
      </c>
      <c r="F319" s="97">
        <v>116</v>
      </c>
      <c r="G319" s="97">
        <v>2</v>
      </c>
      <c r="H319" s="97">
        <v>47</v>
      </c>
      <c r="I319" s="97">
        <v>85</v>
      </c>
      <c r="J319" s="97">
        <v>16</v>
      </c>
      <c r="K319" s="97">
        <v>244</v>
      </c>
      <c r="L319" s="97">
        <v>88</v>
      </c>
      <c r="M319" s="97">
        <v>22</v>
      </c>
      <c r="N319" s="97">
        <v>534</v>
      </c>
      <c r="O319" s="97">
        <v>67</v>
      </c>
      <c r="P319" s="97">
        <v>21</v>
      </c>
      <c r="Q319" s="97">
        <v>468</v>
      </c>
      <c r="R319" s="97">
        <v>57</v>
      </c>
      <c r="S319" s="97">
        <v>26</v>
      </c>
      <c r="T319" s="97">
        <v>409</v>
      </c>
      <c r="U319" s="97">
        <v>71</v>
      </c>
      <c r="V319" s="97">
        <v>28</v>
      </c>
      <c r="W319" s="97">
        <v>462</v>
      </c>
      <c r="X319" s="97">
        <v>76</v>
      </c>
      <c r="Y319" s="97">
        <v>13</v>
      </c>
      <c r="Z319" s="97">
        <v>260</v>
      </c>
      <c r="AA319" s="97">
        <v>59</v>
      </c>
      <c r="AB319" s="97">
        <v>6</v>
      </c>
      <c r="AC319" s="97">
        <v>233</v>
      </c>
      <c r="AD319" s="97">
        <v>76</v>
      </c>
      <c r="AE319" s="97">
        <v>6</v>
      </c>
      <c r="AF319" s="97">
        <v>125</v>
      </c>
      <c r="AG319" s="97">
        <v>484</v>
      </c>
      <c r="AH319" s="97">
        <v>15</v>
      </c>
      <c r="AI319" s="97">
        <v>314</v>
      </c>
    </row>
    <row r="320" spans="1:35" ht="15" customHeight="1">
      <c r="A320" s="97" t="s">
        <v>1101</v>
      </c>
      <c r="B320" s="97" t="s">
        <v>1101</v>
      </c>
      <c r="C320" s="97" t="s">
        <v>1102</v>
      </c>
      <c r="D320" s="97" t="s">
        <v>3198</v>
      </c>
      <c r="E320" s="97" t="s">
        <v>68</v>
      </c>
      <c r="F320" s="97">
        <v>98</v>
      </c>
      <c r="G320" s="97">
        <v>37</v>
      </c>
      <c r="H320" s="97">
        <v>611</v>
      </c>
      <c r="I320" s="97">
        <v>81</v>
      </c>
      <c r="J320" s="97">
        <v>21</v>
      </c>
      <c r="K320" s="97">
        <v>309</v>
      </c>
      <c r="L320" s="97">
        <v>83</v>
      </c>
      <c r="M320" s="97">
        <v>30</v>
      </c>
      <c r="N320" s="97">
        <v>642</v>
      </c>
      <c r="O320" s="97">
        <v>89</v>
      </c>
      <c r="P320" s="97">
        <v>5</v>
      </c>
      <c r="Q320" s="97">
        <v>97</v>
      </c>
      <c r="R320" s="97">
        <v>64</v>
      </c>
      <c r="S320" s="97">
        <v>11</v>
      </c>
      <c r="T320" s="97">
        <v>244</v>
      </c>
      <c r="U320" s="97">
        <v>69</v>
      </c>
      <c r="V320" s="97">
        <v>32</v>
      </c>
      <c r="W320" s="97">
        <v>523</v>
      </c>
      <c r="X320" s="97">
        <v>26</v>
      </c>
      <c r="Y320" s="97">
        <v>57</v>
      </c>
      <c r="Z320" s="97">
        <v>935</v>
      </c>
      <c r="AA320" s="97">
        <v>30</v>
      </c>
      <c r="AB320" s="97">
        <v>57</v>
      </c>
      <c r="AC320" s="97">
        <v>932</v>
      </c>
      <c r="AD320" s="97">
        <v>47</v>
      </c>
      <c r="AE320" s="97">
        <v>55</v>
      </c>
      <c r="AF320" s="97">
        <v>916</v>
      </c>
      <c r="AG320" s="97">
        <v>484</v>
      </c>
      <c r="AH320" s="97">
        <v>15</v>
      </c>
      <c r="AI320" s="97">
        <v>314</v>
      </c>
    </row>
    <row r="321" spans="1:35" ht="15" customHeight="1">
      <c r="A321" s="97" t="s">
        <v>1110</v>
      </c>
      <c r="B321" s="97" t="s">
        <v>1110</v>
      </c>
      <c r="C321" s="97" t="s">
        <v>1659</v>
      </c>
      <c r="D321" s="97" t="s">
        <v>3198</v>
      </c>
      <c r="E321" s="97" t="s">
        <v>68</v>
      </c>
      <c r="F321" s="97">
        <v>86</v>
      </c>
      <c r="G321" s="97">
        <v>55</v>
      </c>
      <c r="H321" s="97">
        <v>867</v>
      </c>
      <c r="I321" s="97">
        <v>86</v>
      </c>
      <c r="J321" s="97">
        <v>15</v>
      </c>
      <c r="K321" s="97">
        <v>233</v>
      </c>
      <c r="L321" s="97">
        <v>99</v>
      </c>
      <c r="M321" s="97">
        <v>9</v>
      </c>
      <c r="N321" s="97">
        <v>277</v>
      </c>
      <c r="O321" s="97">
        <v>82</v>
      </c>
      <c r="P321" s="97">
        <v>7</v>
      </c>
      <c r="Q321" s="97">
        <v>174</v>
      </c>
      <c r="R321" s="97">
        <v>59</v>
      </c>
      <c r="S321" s="97">
        <v>19</v>
      </c>
      <c r="T321" s="97">
        <v>348</v>
      </c>
      <c r="U321" s="97">
        <v>72</v>
      </c>
      <c r="V321" s="97">
        <v>26</v>
      </c>
      <c r="W321" s="97">
        <v>433</v>
      </c>
      <c r="X321" s="97">
        <v>60</v>
      </c>
      <c r="Y321" s="97">
        <v>46</v>
      </c>
      <c r="Z321" s="97">
        <v>777</v>
      </c>
      <c r="AA321" s="97">
        <v>46</v>
      </c>
      <c r="AB321" s="97">
        <v>43</v>
      </c>
      <c r="AC321" s="97">
        <v>755</v>
      </c>
      <c r="AD321" s="97">
        <v>56</v>
      </c>
      <c r="AE321" s="97">
        <v>49</v>
      </c>
      <c r="AF321" s="97">
        <v>817</v>
      </c>
      <c r="AG321" s="97">
        <v>484</v>
      </c>
      <c r="AH321" s="97">
        <v>15</v>
      </c>
      <c r="AI321" s="97">
        <v>314</v>
      </c>
    </row>
    <row r="322" spans="1:35" ht="15" customHeight="1">
      <c r="A322" s="97" t="s">
        <v>2171</v>
      </c>
      <c r="B322" s="97" t="s">
        <v>2171</v>
      </c>
      <c r="C322" s="97" t="s">
        <v>2172</v>
      </c>
      <c r="D322" s="97" t="s">
        <v>3198</v>
      </c>
      <c r="E322" s="97" t="s">
        <v>73</v>
      </c>
      <c r="F322" s="97">
        <v>100</v>
      </c>
      <c r="G322" s="97">
        <v>30</v>
      </c>
      <c r="H322" s="97">
        <v>528</v>
      </c>
      <c r="I322" s="97">
        <v>91</v>
      </c>
      <c r="J322" s="97">
        <v>3</v>
      </c>
      <c r="K322" s="97">
        <v>176</v>
      </c>
      <c r="L322" s="97">
        <v>92.5</v>
      </c>
      <c r="M322" s="97">
        <v>25</v>
      </c>
      <c r="N322" s="97">
        <v>414</v>
      </c>
      <c r="O322" s="97">
        <v>74</v>
      </c>
      <c r="P322" s="97">
        <v>15</v>
      </c>
      <c r="Q322" s="97">
        <v>317</v>
      </c>
      <c r="R322" s="97">
        <v>59</v>
      </c>
      <c r="S322" s="97">
        <v>16</v>
      </c>
      <c r="T322" s="97">
        <v>348</v>
      </c>
      <c r="U322" s="97">
        <v>67</v>
      </c>
      <c r="V322" s="97">
        <v>31</v>
      </c>
      <c r="W322" s="97">
        <v>587</v>
      </c>
      <c r="X322" s="97">
        <v>72</v>
      </c>
      <c r="Y322" s="97">
        <v>18</v>
      </c>
      <c r="Z322" s="97">
        <v>396</v>
      </c>
      <c r="AA322" s="97">
        <v>60</v>
      </c>
      <c r="AB322" s="97">
        <v>10</v>
      </c>
      <c r="AC322" s="97">
        <v>203</v>
      </c>
      <c r="AD322" s="97">
        <v>64</v>
      </c>
      <c r="AE322" s="97">
        <v>40</v>
      </c>
      <c r="AF322" s="97">
        <v>586</v>
      </c>
      <c r="AG322" s="97">
        <v>483.5</v>
      </c>
      <c r="AH322" s="97">
        <v>13</v>
      </c>
      <c r="AI322" s="97">
        <v>319</v>
      </c>
    </row>
    <row r="323" spans="1:35" ht="15" customHeight="1">
      <c r="A323" s="97" t="s">
        <v>2894</v>
      </c>
      <c r="B323" s="97" t="s">
        <v>2894</v>
      </c>
      <c r="C323" s="97" t="s">
        <v>203</v>
      </c>
      <c r="D323" s="97" t="s">
        <v>3198</v>
      </c>
      <c r="E323" s="97" t="s">
        <v>38</v>
      </c>
      <c r="F323" s="97">
        <v>112</v>
      </c>
      <c r="G323" s="97">
        <v>5</v>
      </c>
      <c r="H323" s="97">
        <v>114</v>
      </c>
      <c r="I323" s="97">
        <v>70</v>
      </c>
      <c r="J323" s="97">
        <v>22</v>
      </c>
      <c r="K323" s="97">
        <v>505</v>
      </c>
      <c r="L323" s="97">
        <v>108.5</v>
      </c>
      <c r="M323" s="97">
        <v>5</v>
      </c>
      <c r="N323" s="97">
        <v>123</v>
      </c>
      <c r="O323" s="97">
        <v>69</v>
      </c>
      <c r="P323" s="97">
        <v>21</v>
      </c>
      <c r="Q323" s="97">
        <v>428</v>
      </c>
      <c r="R323" s="97">
        <v>55</v>
      </c>
      <c r="S323" s="97">
        <v>17</v>
      </c>
      <c r="T323" s="97">
        <v>470</v>
      </c>
      <c r="U323" s="97">
        <v>69</v>
      </c>
      <c r="V323" s="97">
        <v>27</v>
      </c>
      <c r="W323" s="97">
        <v>523</v>
      </c>
      <c r="X323" s="97">
        <v>69</v>
      </c>
      <c r="Y323" s="97">
        <v>24</v>
      </c>
      <c r="Z323" s="97">
        <v>504</v>
      </c>
      <c r="AA323" s="97">
        <v>48</v>
      </c>
      <c r="AB323" s="97">
        <v>39</v>
      </c>
      <c r="AC323" s="97">
        <v>671</v>
      </c>
      <c r="AD323" s="97">
        <v>75</v>
      </c>
      <c r="AE323" s="97">
        <v>6</v>
      </c>
      <c r="AF323" s="97">
        <v>146</v>
      </c>
      <c r="AG323" s="97">
        <v>483.5</v>
      </c>
      <c r="AH323" s="97">
        <v>10</v>
      </c>
      <c r="AI323" s="97">
        <v>319</v>
      </c>
    </row>
    <row r="324" spans="1:35" ht="15" customHeight="1">
      <c r="A324" s="97" t="s">
        <v>825</v>
      </c>
      <c r="B324" s="97" t="s">
        <v>825</v>
      </c>
      <c r="C324" s="97" t="s">
        <v>122</v>
      </c>
      <c r="D324" s="97" t="s">
        <v>3198</v>
      </c>
      <c r="E324" s="97" t="s">
        <v>117</v>
      </c>
      <c r="F324" s="97">
        <v>102</v>
      </c>
      <c r="G324" s="97">
        <v>23</v>
      </c>
      <c r="H324" s="97">
        <v>442</v>
      </c>
      <c r="I324" s="97">
        <v>66</v>
      </c>
      <c r="J324" s="97">
        <v>36</v>
      </c>
      <c r="K324" s="97">
        <v>584</v>
      </c>
      <c r="L324" s="97">
        <v>118</v>
      </c>
      <c r="M324" s="97">
        <v>3</v>
      </c>
      <c r="N324" s="97">
        <v>40</v>
      </c>
      <c r="O324" s="97">
        <v>80</v>
      </c>
      <c r="P324" s="97">
        <v>10</v>
      </c>
      <c r="Q324" s="97">
        <v>207</v>
      </c>
      <c r="R324" s="97">
        <v>55</v>
      </c>
      <c r="S324" s="97">
        <v>25</v>
      </c>
      <c r="T324" s="97">
        <v>470</v>
      </c>
      <c r="U324" s="97">
        <v>62</v>
      </c>
      <c r="V324" s="97">
        <v>40</v>
      </c>
      <c r="W324" s="97">
        <v>716</v>
      </c>
      <c r="X324" s="97">
        <v>75</v>
      </c>
      <c r="Y324" s="97">
        <v>22</v>
      </c>
      <c r="Z324" s="97">
        <v>289</v>
      </c>
      <c r="AA324" s="97">
        <v>62</v>
      </c>
      <c r="AB324" s="97">
        <v>6</v>
      </c>
      <c r="AC324" s="97">
        <v>146</v>
      </c>
      <c r="AD324" s="97">
        <v>79</v>
      </c>
      <c r="AE324" s="97">
        <v>6</v>
      </c>
      <c r="AF324" s="97">
        <v>73</v>
      </c>
      <c r="AG324" s="97">
        <v>483</v>
      </c>
      <c r="AH324" s="97">
        <v>15</v>
      </c>
      <c r="AI324" s="97">
        <v>321</v>
      </c>
    </row>
    <row r="325" spans="1:35" ht="15" customHeight="1">
      <c r="A325" s="97" t="s">
        <v>226</v>
      </c>
      <c r="B325" s="97" t="s">
        <v>226</v>
      </c>
      <c r="C325" s="97" t="s">
        <v>227</v>
      </c>
      <c r="D325" s="97" t="s">
        <v>3198</v>
      </c>
      <c r="E325" s="97" t="s">
        <v>28</v>
      </c>
      <c r="F325" s="97">
        <v>114</v>
      </c>
      <c r="G325" s="97">
        <v>4</v>
      </c>
      <c r="H325" s="97">
        <v>80</v>
      </c>
      <c r="I325" s="97">
        <v>54</v>
      </c>
      <c r="J325" s="97">
        <v>45</v>
      </c>
      <c r="K325" s="97">
        <v>782</v>
      </c>
      <c r="L325" s="97">
        <v>98</v>
      </c>
      <c r="M325" s="97">
        <v>16</v>
      </c>
      <c r="N325" s="97">
        <v>294</v>
      </c>
      <c r="O325" s="97">
        <v>71</v>
      </c>
      <c r="P325" s="97">
        <v>23</v>
      </c>
      <c r="Q325" s="97">
        <v>378</v>
      </c>
      <c r="R325" s="97">
        <v>61</v>
      </c>
      <c r="S325" s="97">
        <v>12</v>
      </c>
      <c r="T325" s="97">
        <v>300</v>
      </c>
      <c r="U325" s="97">
        <v>85</v>
      </c>
      <c r="V325" s="97">
        <v>4</v>
      </c>
      <c r="W325" s="97">
        <v>96</v>
      </c>
      <c r="X325" s="97">
        <v>67</v>
      </c>
      <c r="Y325" s="97">
        <v>32</v>
      </c>
      <c r="Z325" s="97">
        <v>570</v>
      </c>
      <c r="AA325" s="97">
        <v>53</v>
      </c>
      <c r="AB325" s="97">
        <v>34</v>
      </c>
      <c r="AC325" s="97">
        <v>470</v>
      </c>
      <c r="AD325" s="97">
        <v>90</v>
      </c>
      <c r="AE325" s="97">
        <v>1</v>
      </c>
      <c r="AF325" s="97">
        <v>1</v>
      </c>
      <c r="AG325" s="97">
        <v>483</v>
      </c>
      <c r="AH325" s="97">
        <v>14</v>
      </c>
      <c r="AI325" s="97">
        <v>321</v>
      </c>
    </row>
    <row r="326" spans="1:35" ht="15" customHeight="1">
      <c r="A326" s="97" t="s">
        <v>518</v>
      </c>
      <c r="B326" s="97" t="s">
        <v>518</v>
      </c>
      <c r="C326" s="97" t="s">
        <v>528</v>
      </c>
      <c r="D326" s="97" t="s">
        <v>3198</v>
      </c>
      <c r="E326" s="97" t="s">
        <v>19</v>
      </c>
      <c r="F326" s="97">
        <v>88</v>
      </c>
      <c r="G326" s="97">
        <v>54</v>
      </c>
      <c r="H326" s="97">
        <v>851</v>
      </c>
      <c r="I326" s="97">
        <v>75</v>
      </c>
      <c r="J326" s="97">
        <v>18</v>
      </c>
      <c r="K326" s="97">
        <v>409</v>
      </c>
      <c r="L326" s="97">
        <v>86.5</v>
      </c>
      <c r="M326" s="97">
        <v>26</v>
      </c>
      <c r="N326" s="97">
        <v>565</v>
      </c>
      <c r="O326" s="97">
        <v>97</v>
      </c>
      <c r="P326" s="97">
        <v>2</v>
      </c>
      <c r="Q326" s="97">
        <v>37</v>
      </c>
      <c r="R326" s="97">
        <v>60</v>
      </c>
      <c r="S326" s="97">
        <v>14</v>
      </c>
      <c r="T326" s="97">
        <v>322</v>
      </c>
      <c r="U326" s="97">
        <v>76</v>
      </c>
      <c r="V326" s="97">
        <v>11</v>
      </c>
      <c r="W326" s="97">
        <v>308</v>
      </c>
      <c r="X326" s="97">
        <v>58</v>
      </c>
      <c r="Y326" s="97">
        <v>46</v>
      </c>
      <c r="Z326" s="97">
        <v>820</v>
      </c>
      <c r="AA326" s="97">
        <v>63</v>
      </c>
      <c r="AB326" s="97">
        <v>8</v>
      </c>
      <c r="AC326" s="97">
        <v>123</v>
      </c>
      <c r="AD326" s="97">
        <v>64</v>
      </c>
      <c r="AE326" s="97">
        <v>34</v>
      </c>
      <c r="AF326" s="97">
        <v>586</v>
      </c>
      <c r="AG326" s="97">
        <v>482.5</v>
      </c>
      <c r="AH326" s="97">
        <v>16</v>
      </c>
      <c r="AI326" s="97">
        <v>323</v>
      </c>
    </row>
    <row r="327" spans="1:35" ht="15" customHeight="1">
      <c r="A327" s="97" t="s">
        <v>622</v>
      </c>
      <c r="B327" s="97" t="s">
        <v>622</v>
      </c>
      <c r="C327" s="97" t="s">
        <v>623</v>
      </c>
      <c r="D327" s="97" t="s">
        <v>3198</v>
      </c>
      <c r="E327" s="97" t="s">
        <v>17</v>
      </c>
      <c r="F327" s="97">
        <v>93</v>
      </c>
      <c r="G327" s="97">
        <v>47</v>
      </c>
      <c r="H327" s="97">
        <v>755</v>
      </c>
      <c r="I327" s="97">
        <v>70</v>
      </c>
      <c r="J327" s="97">
        <v>33</v>
      </c>
      <c r="K327" s="97">
        <v>505</v>
      </c>
      <c r="L327" s="97">
        <v>95.5</v>
      </c>
      <c r="M327" s="97">
        <v>19</v>
      </c>
      <c r="N327" s="97">
        <v>357</v>
      </c>
      <c r="O327" s="97">
        <v>77</v>
      </c>
      <c r="P327" s="97">
        <v>11</v>
      </c>
      <c r="Q327" s="97">
        <v>274</v>
      </c>
      <c r="R327" s="97">
        <v>74</v>
      </c>
      <c r="S327" s="97">
        <v>6</v>
      </c>
      <c r="T327" s="97">
        <v>94</v>
      </c>
      <c r="U327" s="97">
        <v>73</v>
      </c>
      <c r="V327" s="97">
        <v>25</v>
      </c>
      <c r="W327" s="97">
        <v>393</v>
      </c>
      <c r="X327" s="97">
        <v>66</v>
      </c>
      <c r="Y327" s="97">
        <v>40</v>
      </c>
      <c r="Z327" s="97">
        <v>604</v>
      </c>
      <c r="AA327" s="97">
        <v>58</v>
      </c>
      <c r="AB327" s="97">
        <v>18</v>
      </c>
      <c r="AC327" s="97">
        <v>278</v>
      </c>
      <c r="AD327" s="97">
        <v>72</v>
      </c>
      <c r="AE327" s="97">
        <v>16</v>
      </c>
      <c r="AF327" s="97">
        <v>256</v>
      </c>
      <c r="AG327" s="97">
        <v>482.5</v>
      </c>
      <c r="AH327" s="97">
        <v>18</v>
      </c>
      <c r="AI327" s="97">
        <v>323</v>
      </c>
    </row>
    <row r="328" spans="1:35" ht="15" customHeight="1">
      <c r="A328" s="97" t="s">
        <v>628</v>
      </c>
      <c r="B328" s="97" t="s">
        <v>628</v>
      </c>
      <c r="C328" s="97" t="s">
        <v>629</v>
      </c>
      <c r="D328" s="97" t="s">
        <v>3198</v>
      </c>
      <c r="E328" s="97" t="s">
        <v>17</v>
      </c>
      <c r="F328" s="97">
        <v>112</v>
      </c>
      <c r="G328" s="97">
        <v>9</v>
      </c>
      <c r="H328" s="97">
        <v>114</v>
      </c>
      <c r="I328" s="97">
        <v>73</v>
      </c>
      <c r="J328" s="97">
        <v>29</v>
      </c>
      <c r="K328" s="97">
        <v>438</v>
      </c>
      <c r="L328" s="97">
        <v>101.5</v>
      </c>
      <c r="M328" s="97">
        <v>12</v>
      </c>
      <c r="N328" s="97">
        <v>225</v>
      </c>
      <c r="O328" s="97">
        <v>72</v>
      </c>
      <c r="P328" s="97">
        <v>18</v>
      </c>
      <c r="Q328" s="97">
        <v>358</v>
      </c>
      <c r="R328" s="97">
        <v>57</v>
      </c>
      <c r="S328" s="97">
        <v>23</v>
      </c>
      <c r="T328" s="97">
        <v>409</v>
      </c>
      <c r="U328" s="97">
        <v>67</v>
      </c>
      <c r="V328" s="97">
        <v>37</v>
      </c>
      <c r="W328" s="97">
        <v>587</v>
      </c>
      <c r="X328" s="97">
        <v>82</v>
      </c>
      <c r="Y328" s="97">
        <v>10</v>
      </c>
      <c r="Z328" s="97">
        <v>100</v>
      </c>
      <c r="AA328" s="97">
        <v>53</v>
      </c>
      <c r="AB328" s="97">
        <v>30</v>
      </c>
      <c r="AC328" s="97">
        <v>470</v>
      </c>
      <c r="AD328" s="97">
        <v>59</v>
      </c>
      <c r="AE328" s="97">
        <v>48</v>
      </c>
      <c r="AF328" s="97">
        <v>746</v>
      </c>
      <c r="AG328" s="97">
        <v>482.5</v>
      </c>
      <c r="AH328" s="97">
        <v>18</v>
      </c>
      <c r="AI328" s="97">
        <v>323</v>
      </c>
    </row>
    <row r="329" spans="1:35" ht="15" customHeight="1">
      <c r="A329" s="97" t="s">
        <v>1420</v>
      </c>
      <c r="B329" s="97" t="s">
        <v>1420</v>
      </c>
      <c r="C329" s="97" t="s">
        <v>1421</v>
      </c>
      <c r="D329" s="97" t="s">
        <v>3198</v>
      </c>
      <c r="E329" s="97" t="s">
        <v>56</v>
      </c>
      <c r="F329" s="97">
        <v>108</v>
      </c>
      <c r="G329" s="97">
        <v>9</v>
      </c>
      <c r="H329" s="97">
        <v>212</v>
      </c>
      <c r="I329" s="97">
        <v>68</v>
      </c>
      <c r="J329" s="97">
        <v>22</v>
      </c>
      <c r="K329" s="97">
        <v>540</v>
      </c>
      <c r="L329" s="97">
        <v>74.5</v>
      </c>
      <c r="M329" s="97">
        <v>48</v>
      </c>
      <c r="N329" s="97">
        <v>784</v>
      </c>
      <c r="O329" s="97">
        <v>87</v>
      </c>
      <c r="P329" s="97">
        <v>5</v>
      </c>
      <c r="Q329" s="97">
        <v>114</v>
      </c>
      <c r="R329" s="97">
        <v>66</v>
      </c>
      <c r="S329" s="97">
        <v>4</v>
      </c>
      <c r="T329" s="97">
        <v>204</v>
      </c>
      <c r="U329" s="97">
        <v>79</v>
      </c>
      <c r="V329" s="97">
        <v>20</v>
      </c>
      <c r="W329" s="97">
        <v>229</v>
      </c>
      <c r="X329" s="97">
        <v>76</v>
      </c>
      <c r="Y329" s="97">
        <v>17</v>
      </c>
      <c r="Z329" s="97">
        <v>260</v>
      </c>
      <c r="AA329" s="97">
        <v>52</v>
      </c>
      <c r="AB329" s="97">
        <v>20</v>
      </c>
      <c r="AC329" s="97">
        <v>509</v>
      </c>
      <c r="AD329" s="97">
        <v>74</v>
      </c>
      <c r="AE329" s="97">
        <v>11</v>
      </c>
      <c r="AF329" s="97">
        <v>174</v>
      </c>
      <c r="AG329" s="97">
        <v>482.5</v>
      </c>
      <c r="AH329" s="97">
        <v>14</v>
      </c>
      <c r="AI329" s="97">
        <v>323</v>
      </c>
    </row>
    <row r="330" spans="1:35" ht="15" customHeight="1">
      <c r="A330" s="97" t="s">
        <v>1893</v>
      </c>
      <c r="B330" s="97" t="s">
        <v>1893</v>
      </c>
      <c r="C330" s="97" t="s">
        <v>1731</v>
      </c>
      <c r="D330" s="97" t="s">
        <v>3198</v>
      </c>
      <c r="E330" s="97" t="s">
        <v>34</v>
      </c>
      <c r="F330" s="97">
        <v>115</v>
      </c>
      <c r="G330" s="97">
        <v>3</v>
      </c>
      <c r="H330" s="97">
        <v>65</v>
      </c>
      <c r="I330" s="97">
        <v>82</v>
      </c>
      <c r="J330" s="97">
        <v>11</v>
      </c>
      <c r="K330" s="97">
        <v>290</v>
      </c>
      <c r="L330" s="97">
        <v>89.5</v>
      </c>
      <c r="M330" s="97">
        <v>28</v>
      </c>
      <c r="N330" s="97">
        <v>493</v>
      </c>
      <c r="O330" s="97">
        <v>71</v>
      </c>
      <c r="P330" s="97">
        <v>16</v>
      </c>
      <c r="Q330" s="97">
        <v>378</v>
      </c>
      <c r="R330" s="97">
        <v>59</v>
      </c>
      <c r="S330" s="97">
        <v>17</v>
      </c>
      <c r="T330" s="97">
        <v>348</v>
      </c>
      <c r="U330" s="97">
        <v>66</v>
      </c>
      <c r="V330" s="97">
        <v>31</v>
      </c>
      <c r="W330" s="97">
        <v>611</v>
      </c>
      <c r="X330" s="97">
        <v>87</v>
      </c>
      <c r="Y330" s="97">
        <v>2</v>
      </c>
      <c r="Z330" s="97">
        <v>25</v>
      </c>
      <c r="AA330" s="97">
        <v>54</v>
      </c>
      <c r="AB330" s="97">
        <v>22</v>
      </c>
      <c r="AC330" s="97">
        <v>428</v>
      </c>
      <c r="AD330" s="97">
        <v>67</v>
      </c>
      <c r="AE330" s="97">
        <v>22</v>
      </c>
      <c r="AF330" s="97">
        <v>471</v>
      </c>
      <c r="AG330" s="97">
        <v>482.5</v>
      </c>
      <c r="AH330" s="97">
        <v>13</v>
      </c>
      <c r="AI330" s="97">
        <v>323</v>
      </c>
    </row>
    <row r="331" spans="1:35" ht="15" customHeight="1">
      <c r="A331" s="97" t="s">
        <v>2028</v>
      </c>
      <c r="B331" s="97" t="s">
        <v>2028</v>
      </c>
      <c r="C331" s="97" t="s">
        <v>1765</v>
      </c>
      <c r="D331" s="97" t="s">
        <v>3198</v>
      </c>
      <c r="E331" s="97" t="s">
        <v>109</v>
      </c>
      <c r="F331" s="97">
        <v>121</v>
      </c>
      <c r="G331" s="97">
        <v>2</v>
      </c>
      <c r="H331" s="97">
        <v>13</v>
      </c>
      <c r="I331" s="97">
        <v>83</v>
      </c>
      <c r="J331" s="97">
        <v>13</v>
      </c>
      <c r="K331" s="97">
        <v>267</v>
      </c>
      <c r="L331" s="97">
        <v>86.5</v>
      </c>
      <c r="M331" s="97">
        <v>35</v>
      </c>
      <c r="N331" s="97">
        <v>565</v>
      </c>
      <c r="O331" s="97">
        <v>72</v>
      </c>
      <c r="P331" s="97">
        <v>22</v>
      </c>
      <c r="Q331" s="97">
        <v>358</v>
      </c>
      <c r="R331" s="97">
        <v>47</v>
      </c>
      <c r="S331" s="97">
        <v>40</v>
      </c>
      <c r="T331" s="97">
        <v>673</v>
      </c>
      <c r="U331" s="97">
        <v>73</v>
      </c>
      <c r="V331" s="97">
        <v>22</v>
      </c>
      <c r="W331" s="97">
        <v>393</v>
      </c>
      <c r="X331" s="97">
        <v>78</v>
      </c>
      <c r="Y331" s="97">
        <v>12</v>
      </c>
      <c r="Z331" s="97">
        <v>209</v>
      </c>
      <c r="AA331" s="97">
        <v>36</v>
      </c>
      <c r="AB331" s="97">
        <v>55</v>
      </c>
      <c r="AC331" s="97">
        <v>918</v>
      </c>
      <c r="AD331" s="97">
        <v>68</v>
      </c>
      <c r="AE331" s="97">
        <v>21</v>
      </c>
      <c r="AF331" s="97">
        <v>412</v>
      </c>
      <c r="AG331" s="97">
        <v>482.5</v>
      </c>
      <c r="AH331" s="97">
        <v>19</v>
      </c>
      <c r="AI331" s="97">
        <v>323</v>
      </c>
    </row>
    <row r="332" spans="1:35" ht="15" customHeight="1">
      <c r="A332" s="97" t="s">
        <v>2101</v>
      </c>
      <c r="B332" s="97" t="s">
        <v>2101</v>
      </c>
      <c r="C332" s="97" t="s">
        <v>1635</v>
      </c>
      <c r="D332" s="97" t="s">
        <v>3198</v>
      </c>
      <c r="E332" s="97" t="s">
        <v>73</v>
      </c>
      <c r="F332" s="97">
        <v>100</v>
      </c>
      <c r="G332" s="97">
        <v>30</v>
      </c>
      <c r="H332" s="97">
        <v>528</v>
      </c>
      <c r="I332" s="97">
        <v>77</v>
      </c>
      <c r="J332" s="97">
        <v>12</v>
      </c>
      <c r="K332" s="97">
        <v>369</v>
      </c>
      <c r="L332" s="97">
        <v>99.5</v>
      </c>
      <c r="M332" s="97">
        <v>16</v>
      </c>
      <c r="N332" s="97">
        <v>269</v>
      </c>
      <c r="O332" s="97">
        <v>71</v>
      </c>
      <c r="P332" s="97">
        <v>17</v>
      </c>
      <c r="Q332" s="97">
        <v>378</v>
      </c>
      <c r="R332" s="97">
        <v>53</v>
      </c>
      <c r="S332" s="97">
        <v>26</v>
      </c>
      <c r="T332" s="97">
        <v>526</v>
      </c>
      <c r="U332" s="97">
        <v>81</v>
      </c>
      <c r="V332" s="97">
        <v>6</v>
      </c>
      <c r="W332" s="97">
        <v>183</v>
      </c>
      <c r="X332" s="97">
        <v>73</v>
      </c>
      <c r="Y332" s="97">
        <v>16</v>
      </c>
      <c r="Z332" s="97">
        <v>359</v>
      </c>
      <c r="AA332" s="97">
        <v>61</v>
      </c>
      <c r="AB332" s="97">
        <v>6</v>
      </c>
      <c r="AC332" s="97">
        <v>172</v>
      </c>
      <c r="AD332" s="97">
        <v>71</v>
      </c>
      <c r="AE332" s="97">
        <v>17</v>
      </c>
      <c r="AF332" s="97">
        <v>290</v>
      </c>
      <c r="AG332" s="97">
        <v>481.5</v>
      </c>
      <c r="AH332" s="97">
        <v>14</v>
      </c>
      <c r="AI332" s="97">
        <v>329</v>
      </c>
    </row>
    <row r="333" spans="1:35" ht="15" customHeight="1">
      <c r="A333" s="97" t="s">
        <v>1120</v>
      </c>
      <c r="B333" s="97" t="s">
        <v>1120</v>
      </c>
      <c r="C333" s="97" t="s">
        <v>1121</v>
      </c>
      <c r="D333" s="97" t="s">
        <v>3198</v>
      </c>
      <c r="E333" s="97" t="s">
        <v>68</v>
      </c>
      <c r="F333" s="97">
        <v>108</v>
      </c>
      <c r="G333" s="97">
        <v>9</v>
      </c>
      <c r="H333" s="97">
        <v>212</v>
      </c>
      <c r="I333" s="97">
        <v>73</v>
      </c>
      <c r="J333" s="97">
        <v>31</v>
      </c>
      <c r="K333" s="97">
        <v>438</v>
      </c>
      <c r="L333" s="97">
        <v>105.5</v>
      </c>
      <c r="M333" s="97">
        <v>5</v>
      </c>
      <c r="N333" s="97">
        <v>168</v>
      </c>
      <c r="O333" s="97">
        <v>80</v>
      </c>
      <c r="P333" s="97">
        <v>9</v>
      </c>
      <c r="Q333" s="97">
        <v>207</v>
      </c>
      <c r="R333" s="97">
        <v>52</v>
      </c>
      <c r="S333" s="97">
        <v>35</v>
      </c>
      <c r="T333" s="97">
        <v>551</v>
      </c>
      <c r="U333" s="97">
        <v>63</v>
      </c>
      <c r="V333" s="97">
        <v>39</v>
      </c>
      <c r="W333" s="97">
        <v>692</v>
      </c>
      <c r="X333" s="97">
        <v>74</v>
      </c>
      <c r="Y333" s="97">
        <v>16</v>
      </c>
      <c r="Z333" s="97">
        <v>326</v>
      </c>
      <c r="AA333" s="97">
        <v>52</v>
      </c>
      <c r="AB333" s="97">
        <v>22</v>
      </c>
      <c r="AC333" s="97">
        <v>509</v>
      </c>
      <c r="AD333" s="97">
        <v>71</v>
      </c>
      <c r="AE333" s="97">
        <v>15</v>
      </c>
      <c r="AF333" s="97">
        <v>290</v>
      </c>
      <c r="AG333" s="97">
        <v>481.5</v>
      </c>
      <c r="AH333" s="97">
        <v>18</v>
      </c>
      <c r="AI333" s="97">
        <v>329</v>
      </c>
    </row>
    <row r="334" spans="1:35" ht="15" customHeight="1">
      <c r="A334" s="97" t="s">
        <v>1783</v>
      </c>
      <c r="B334" s="97" t="s">
        <v>1783</v>
      </c>
      <c r="C334" s="97" t="s">
        <v>1784</v>
      </c>
      <c r="D334" s="97" t="s">
        <v>3198</v>
      </c>
      <c r="E334" s="97" t="s">
        <v>34</v>
      </c>
      <c r="F334" s="97">
        <v>99</v>
      </c>
      <c r="G334" s="97">
        <v>37</v>
      </c>
      <c r="H334" s="97">
        <v>571</v>
      </c>
      <c r="I334" s="97">
        <v>63</v>
      </c>
      <c r="J334" s="97">
        <v>38</v>
      </c>
      <c r="K334" s="97">
        <v>642</v>
      </c>
      <c r="L334" s="97">
        <v>102.5</v>
      </c>
      <c r="M334" s="97">
        <v>11</v>
      </c>
      <c r="N334" s="97">
        <v>210</v>
      </c>
      <c r="O334" s="97">
        <v>75</v>
      </c>
      <c r="P334" s="97">
        <v>10</v>
      </c>
      <c r="Q334" s="97">
        <v>299</v>
      </c>
      <c r="R334" s="97">
        <v>67</v>
      </c>
      <c r="S334" s="97">
        <v>7</v>
      </c>
      <c r="T334" s="97">
        <v>177</v>
      </c>
      <c r="U334" s="97">
        <v>75</v>
      </c>
      <c r="V334" s="97">
        <v>11</v>
      </c>
      <c r="W334" s="97">
        <v>342</v>
      </c>
      <c r="X334" s="97">
        <v>67</v>
      </c>
      <c r="Y334" s="97">
        <v>40</v>
      </c>
      <c r="Z334" s="97">
        <v>570</v>
      </c>
      <c r="AA334" s="97">
        <v>55</v>
      </c>
      <c r="AB334" s="97">
        <v>20</v>
      </c>
      <c r="AC334" s="97">
        <v>392</v>
      </c>
      <c r="AD334" s="97">
        <v>64</v>
      </c>
      <c r="AE334" s="97">
        <v>34</v>
      </c>
      <c r="AF334" s="97">
        <v>586</v>
      </c>
      <c r="AG334" s="97">
        <v>481.5</v>
      </c>
      <c r="AH334" s="97">
        <v>14</v>
      </c>
      <c r="AI334" s="97">
        <v>329</v>
      </c>
    </row>
    <row r="335" spans="1:35" ht="15" customHeight="1">
      <c r="A335" s="97" t="s">
        <v>1185</v>
      </c>
      <c r="B335" s="97" t="s">
        <v>1185</v>
      </c>
      <c r="C335" s="97" t="s">
        <v>1186</v>
      </c>
      <c r="D335" s="97" t="s">
        <v>3198</v>
      </c>
      <c r="E335" s="97" t="s">
        <v>68</v>
      </c>
      <c r="F335" s="97">
        <v>93</v>
      </c>
      <c r="G335" s="97">
        <v>45</v>
      </c>
      <c r="H335" s="97">
        <v>755</v>
      </c>
      <c r="I335" s="97">
        <v>87</v>
      </c>
      <c r="J335" s="97">
        <v>14</v>
      </c>
      <c r="K335" s="97">
        <v>220</v>
      </c>
      <c r="L335" s="97">
        <v>66</v>
      </c>
      <c r="M335" s="97">
        <v>52</v>
      </c>
      <c r="N335" s="97">
        <v>876</v>
      </c>
      <c r="O335" s="97">
        <v>93</v>
      </c>
      <c r="P335" s="97">
        <v>3</v>
      </c>
      <c r="Q335" s="97">
        <v>68</v>
      </c>
      <c r="R335" s="97">
        <v>55</v>
      </c>
      <c r="S335" s="97">
        <v>30</v>
      </c>
      <c r="T335" s="97">
        <v>470</v>
      </c>
      <c r="U335" s="97">
        <v>87</v>
      </c>
      <c r="V335" s="97">
        <v>2</v>
      </c>
      <c r="W335" s="97">
        <v>57</v>
      </c>
      <c r="X335" s="97">
        <v>66</v>
      </c>
      <c r="Y335" s="97">
        <v>34</v>
      </c>
      <c r="Z335" s="97">
        <v>604</v>
      </c>
      <c r="AA335" s="97">
        <v>59</v>
      </c>
      <c r="AB335" s="97">
        <v>6</v>
      </c>
      <c r="AC335" s="97">
        <v>233</v>
      </c>
      <c r="AD335" s="97">
        <v>66</v>
      </c>
      <c r="AE335" s="97">
        <v>32</v>
      </c>
      <c r="AF335" s="97">
        <v>511</v>
      </c>
      <c r="AG335" s="97">
        <v>481</v>
      </c>
      <c r="AH335" s="97">
        <v>19</v>
      </c>
      <c r="AI335" s="97">
        <v>332</v>
      </c>
    </row>
    <row r="336" spans="1:35" ht="15" customHeight="1">
      <c r="A336" s="97" t="s">
        <v>1437</v>
      </c>
      <c r="B336" s="97" t="s">
        <v>1437</v>
      </c>
      <c r="C336" s="97" t="s">
        <v>1438</v>
      </c>
      <c r="D336" s="97" t="s">
        <v>3198</v>
      </c>
      <c r="E336" s="97" t="s">
        <v>56</v>
      </c>
      <c r="F336" s="97">
        <v>115</v>
      </c>
      <c r="G336" s="97">
        <v>1</v>
      </c>
      <c r="H336" s="97">
        <v>65</v>
      </c>
      <c r="I336" s="97">
        <v>88</v>
      </c>
      <c r="J336" s="97">
        <v>10</v>
      </c>
      <c r="K336" s="97">
        <v>206</v>
      </c>
      <c r="L336" s="97">
        <v>89</v>
      </c>
      <c r="M336" s="97">
        <v>27</v>
      </c>
      <c r="N336" s="97">
        <v>509</v>
      </c>
      <c r="O336" s="97">
        <v>61</v>
      </c>
      <c r="P336" s="97">
        <v>34</v>
      </c>
      <c r="Q336" s="97">
        <v>587</v>
      </c>
      <c r="R336" s="97">
        <v>42</v>
      </c>
      <c r="S336" s="97">
        <v>38</v>
      </c>
      <c r="T336" s="97">
        <v>774</v>
      </c>
      <c r="U336" s="97">
        <v>86</v>
      </c>
      <c r="V336" s="97">
        <v>4</v>
      </c>
      <c r="W336" s="97">
        <v>77</v>
      </c>
      <c r="X336" s="97">
        <v>85</v>
      </c>
      <c r="Y336" s="97">
        <v>4</v>
      </c>
      <c r="Z336" s="97">
        <v>45</v>
      </c>
      <c r="AA336" s="97">
        <v>52</v>
      </c>
      <c r="AB336" s="97">
        <v>20</v>
      </c>
      <c r="AC336" s="97">
        <v>509</v>
      </c>
      <c r="AD336" s="97">
        <v>64</v>
      </c>
      <c r="AE336" s="97">
        <v>33</v>
      </c>
      <c r="AF336" s="97">
        <v>586</v>
      </c>
      <c r="AG336" s="97">
        <v>481</v>
      </c>
      <c r="AH336" s="97">
        <v>15</v>
      </c>
      <c r="AI336" s="97">
        <v>332</v>
      </c>
    </row>
    <row r="337" spans="1:35" ht="15" customHeight="1">
      <c r="A337" s="97" t="s">
        <v>241</v>
      </c>
      <c r="B337" s="97" t="s">
        <v>241</v>
      </c>
      <c r="C337" s="97" t="s">
        <v>242</v>
      </c>
      <c r="D337" s="97" t="s">
        <v>3198</v>
      </c>
      <c r="E337" s="97" t="s">
        <v>28</v>
      </c>
      <c r="F337" s="97">
        <v>97</v>
      </c>
      <c r="G337" s="97">
        <v>40</v>
      </c>
      <c r="H337" s="97">
        <v>645</v>
      </c>
      <c r="I337" s="97">
        <v>100</v>
      </c>
      <c r="J337" s="97">
        <v>2</v>
      </c>
      <c r="K337" s="97">
        <v>86</v>
      </c>
      <c r="L337" s="97">
        <v>78</v>
      </c>
      <c r="M337" s="97">
        <v>40</v>
      </c>
      <c r="N337" s="97">
        <v>722</v>
      </c>
      <c r="O337" s="97">
        <v>83</v>
      </c>
      <c r="P337" s="97">
        <v>7</v>
      </c>
      <c r="Q337" s="97">
        <v>163</v>
      </c>
      <c r="R337" s="97">
        <v>45</v>
      </c>
      <c r="S337" s="97">
        <v>41</v>
      </c>
      <c r="T337" s="97">
        <v>720</v>
      </c>
      <c r="U337" s="97">
        <v>78</v>
      </c>
      <c r="V337" s="97">
        <v>12</v>
      </c>
      <c r="W337" s="97">
        <v>250</v>
      </c>
      <c r="X337" s="97">
        <v>77</v>
      </c>
      <c r="Y337" s="97">
        <v>11</v>
      </c>
      <c r="Z337" s="97">
        <v>240</v>
      </c>
      <c r="AA337" s="97">
        <v>71</v>
      </c>
      <c r="AB337" s="97">
        <v>1</v>
      </c>
      <c r="AC337" s="97">
        <v>32</v>
      </c>
      <c r="AD337" s="97">
        <v>69</v>
      </c>
      <c r="AE337" s="97">
        <v>18</v>
      </c>
      <c r="AF337" s="97">
        <v>367</v>
      </c>
      <c r="AG337" s="97">
        <v>481</v>
      </c>
      <c r="AH337" s="97">
        <v>15</v>
      </c>
      <c r="AI337" s="97">
        <v>332</v>
      </c>
    </row>
    <row r="338" spans="1:35" ht="15" customHeight="1">
      <c r="A338" s="97" t="s">
        <v>2045</v>
      </c>
      <c r="B338" s="97" t="s">
        <v>2045</v>
      </c>
      <c r="C338" s="97" t="s">
        <v>2046</v>
      </c>
      <c r="D338" s="97" t="s">
        <v>3198</v>
      </c>
      <c r="E338" s="97" t="s">
        <v>109</v>
      </c>
      <c r="F338" s="97">
        <v>107</v>
      </c>
      <c r="G338" s="97">
        <v>16</v>
      </c>
      <c r="H338" s="97">
        <v>242</v>
      </c>
      <c r="I338" s="97">
        <v>68</v>
      </c>
      <c r="J338" s="97">
        <v>30</v>
      </c>
      <c r="K338" s="97">
        <v>540</v>
      </c>
      <c r="L338" s="97">
        <v>94</v>
      </c>
      <c r="M338" s="97">
        <v>25</v>
      </c>
      <c r="N338" s="97">
        <v>382</v>
      </c>
      <c r="O338" s="97">
        <v>75</v>
      </c>
      <c r="P338" s="97">
        <v>17</v>
      </c>
      <c r="Q338" s="97">
        <v>299</v>
      </c>
      <c r="R338" s="97">
        <v>61</v>
      </c>
      <c r="S338" s="97">
        <v>14</v>
      </c>
      <c r="T338" s="97">
        <v>300</v>
      </c>
      <c r="U338" s="97">
        <v>76</v>
      </c>
      <c r="V338" s="97">
        <v>15</v>
      </c>
      <c r="W338" s="97">
        <v>308</v>
      </c>
      <c r="X338" s="97">
        <v>79</v>
      </c>
      <c r="Y338" s="97">
        <v>10</v>
      </c>
      <c r="Z338" s="97">
        <v>175</v>
      </c>
      <c r="AA338" s="97">
        <v>55</v>
      </c>
      <c r="AB338" s="97">
        <v>16</v>
      </c>
      <c r="AC338" s="97">
        <v>392</v>
      </c>
      <c r="AD338" s="97">
        <v>70</v>
      </c>
      <c r="AE338" s="97">
        <v>17</v>
      </c>
      <c r="AF338" s="97">
        <v>327</v>
      </c>
      <c r="AG338" s="97">
        <v>481</v>
      </c>
      <c r="AH338" s="97">
        <v>20</v>
      </c>
      <c r="AI338" s="97">
        <v>332</v>
      </c>
    </row>
    <row r="339" spans="1:35" ht="15" customHeight="1">
      <c r="A339" s="97" t="s">
        <v>1998</v>
      </c>
      <c r="B339" s="97" t="s">
        <v>1998</v>
      </c>
      <c r="C339" s="97" t="s">
        <v>1999</v>
      </c>
      <c r="D339" s="97" t="s">
        <v>3198</v>
      </c>
      <c r="E339" s="97" t="s">
        <v>109</v>
      </c>
      <c r="F339" s="97">
        <v>93</v>
      </c>
      <c r="G339" s="97">
        <v>49</v>
      </c>
      <c r="H339" s="97">
        <v>755</v>
      </c>
      <c r="I339" s="97">
        <v>69</v>
      </c>
      <c r="J339" s="97">
        <v>25</v>
      </c>
      <c r="K339" s="97">
        <v>524</v>
      </c>
      <c r="L339" s="97">
        <v>94.5</v>
      </c>
      <c r="M339" s="97">
        <v>22</v>
      </c>
      <c r="N339" s="97">
        <v>377</v>
      </c>
      <c r="O339" s="97">
        <v>87</v>
      </c>
      <c r="P339" s="97">
        <v>3</v>
      </c>
      <c r="Q339" s="97">
        <v>114</v>
      </c>
      <c r="R339" s="97">
        <v>54</v>
      </c>
      <c r="S339" s="97">
        <v>31</v>
      </c>
      <c r="T339" s="97">
        <v>494</v>
      </c>
      <c r="U339" s="97">
        <v>83</v>
      </c>
      <c r="V339" s="97">
        <v>11</v>
      </c>
      <c r="W339" s="97">
        <v>145</v>
      </c>
      <c r="X339" s="97">
        <v>67</v>
      </c>
      <c r="Y339" s="97">
        <v>29</v>
      </c>
      <c r="Z339" s="97">
        <v>570</v>
      </c>
      <c r="AA339" s="97">
        <v>48</v>
      </c>
      <c r="AB339" s="97">
        <v>34</v>
      </c>
      <c r="AC339" s="97">
        <v>671</v>
      </c>
      <c r="AD339" s="97">
        <v>66</v>
      </c>
      <c r="AE339" s="97">
        <v>28</v>
      </c>
      <c r="AF339" s="97">
        <v>511</v>
      </c>
      <c r="AG339" s="97">
        <v>480.5</v>
      </c>
      <c r="AH339" s="97">
        <v>21</v>
      </c>
      <c r="AI339" s="97">
        <v>336</v>
      </c>
    </row>
    <row r="340" spans="1:35" ht="15" customHeight="1">
      <c r="A340" s="97" t="s">
        <v>2901</v>
      </c>
      <c r="B340" s="97" t="s">
        <v>2901</v>
      </c>
      <c r="C340" s="97" t="s">
        <v>2902</v>
      </c>
      <c r="D340" s="97" t="s">
        <v>3198</v>
      </c>
      <c r="E340" s="97" t="s">
        <v>38</v>
      </c>
      <c r="F340" s="97">
        <v>120</v>
      </c>
      <c r="G340" s="97">
        <v>1</v>
      </c>
      <c r="H340" s="97">
        <v>21</v>
      </c>
      <c r="I340" s="97">
        <v>68</v>
      </c>
      <c r="J340" s="97">
        <v>26</v>
      </c>
      <c r="K340" s="97">
        <v>540</v>
      </c>
      <c r="L340" s="97">
        <v>89.5</v>
      </c>
      <c r="M340" s="97">
        <v>30</v>
      </c>
      <c r="N340" s="97">
        <v>493</v>
      </c>
      <c r="O340" s="97">
        <v>47</v>
      </c>
      <c r="P340" s="97">
        <v>49</v>
      </c>
      <c r="Q340" s="97">
        <v>825</v>
      </c>
      <c r="R340" s="97">
        <v>74</v>
      </c>
      <c r="S340" s="97">
        <v>4</v>
      </c>
      <c r="T340" s="97">
        <v>94</v>
      </c>
      <c r="U340" s="97">
        <v>82</v>
      </c>
      <c r="V340" s="97">
        <v>7</v>
      </c>
      <c r="W340" s="97">
        <v>166</v>
      </c>
      <c r="X340" s="97">
        <v>73</v>
      </c>
      <c r="Y340" s="97">
        <v>13</v>
      </c>
      <c r="Z340" s="97">
        <v>359</v>
      </c>
      <c r="AA340" s="97">
        <v>39</v>
      </c>
      <c r="AB340" s="97">
        <v>52</v>
      </c>
      <c r="AC340" s="97">
        <v>895</v>
      </c>
      <c r="AD340" s="97">
        <v>70</v>
      </c>
      <c r="AE340" s="97">
        <v>17</v>
      </c>
      <c r="AF340" s="97">
        <v>327</v>
      </c>
      <c r="AG340" s="97">
        <v>480.5</v>
      </c>
      <c r="AH340" s="97">
        <v>11</v>
      </c>
      <c r="AI340" s="97">
        <v>336</v>
      </c>
    </row>
    <row r="341" spans="1:35" ht="15" customHeight="1">
      <c r="A341" s="97" t="s">
        <v>775</v>
      </c>
      <c r="B341" s="97" t="s">
        <v>775</v>
      </c>
      <c r="C341" s="97" t="s">
        <v>776</v>
      </c>
      <c r="D341" s="97" t="s">
        <v>3198</v>
      </c>
      <c r="E341" s="97" t="s">
        <v>117</v>
      </c>
      <c r="F341" s="97">
        <v>100</v>
      </c>
      <c r="G341" s="97">
        <v>29</v>
      </c>
      <c r="H341" s="97">
        <v>528</v>
      </c>
      <c r="I341" s="97">
        <v>90</v>
      </c>
      <c r="J341" s="97">
        <v>10</v>
      </c>
      <c r="K341" s="97">
        <v>183</v>
      </c>
      <c r="L341" s="97">
        <v>97.5</v>
      </c>
      <c r="M341" s="97">
        <v>17</v>
      </c>
      <c r="N341" s="97">
        <v>310</v>
      </c>
      <c r="O341" s="97">
        <v>62</v>
      </c>
      <c r="P341" s="97">
        <v>31</v>
      </c>
      <c r="Q341" s="97">
        <v>564</v>
      </c>
      <c r="R341" s="97">
        <v>60</v>
      </c>
      <c r="S341" s="97">
        <v>13</v>
      </c>
      <c r="T341" s="97">
        <v>322</v>
      </c>
      <c r="U341" s="97">
        <v>71</v>
      </c>
      <c r="V341" s="97">
        <v>22</v>
      </c>
      <c r="W341" s="97">
        <v>462</v>
      </c>
      <c r="X341" s="97">
        <v>67</v>
      </c>
      <c r="Y341" s="97">
        <v>39</v>
      </c>
      <c r="Z341" s="97">
        <v>570</v>
      </c>
      <c r="AA341" s="97">
        <v>52</v>
      </c>
      <c r="AB341" s="97">
        <v>29</v>
      </c>
      <c r="AC341" s="97">
        <v>509</v>
      </c>
      <c r="AD341" s="97">
        <v>79</v>
      </c>
      <c r="AE341" s="97">
        <v>6</v>
      </c>
      <c r="AF341" s="97">
        <v>73</v>
      </c>
      <c r="AG341" s="97">
        <v>480.5</v>
      </c>
      <c r="AH341" s="97">
        <v>16</v>
      </c>
      <c r="AI341" s="97">
        <v>336</v>
      </c>
    </row>
    <row r="342" spans="1:35" ht="15" customHeight="1">
      <c r="A342" s="97" t="s">
        <v>1045</v>
      </c>
      <c r="B342" s="97" t="s">
        <v>1045</v>
      </c>
      <c r="C342" s="97" t="s">
        <v>1630</v>
      </c>
      <c r="D342" s="97" t="s">
        <v>3198</v>
      </c>
      <c r="E342" s="97" t="s">
        <v>68</v>
      </c>
      <c r="F342" s="97">
        <v>108</v>
      </c>
      <c r="G342" s="97">
        <v>9</v>
      </c>
      <c r="H342" s="97">
        <v>212</v>
      </c>
      <c r="I342" s="97">
        <v>77</v>
      </c>
      <c r="J342" s="97">
        <v>25</v>
      </c>
      <c r="K342" s="97">
        <v>369</v>
      </c>
      <c r="L342" s="97">
        <v>86</v>
      </c>
      <c r="M342" s="97">
        <v>24</v>
      </c>
      <c r="N342" s="97">
        <v>580</v>
      </c>
      <c r="O342" s="97">
        <v>75</v>
      </c>
      <c r="P342" s="97">
        <v>14</v>
      </c>
      <c r="Q342" s="97">
        <v>299</v>
      </c>
      <c r="R342" s="97">
        <v>57</v>
      </c>
      <c r="S342" s="97">
        <v>26</v>
      </c>
      <c r="T342" s="97">
        <v>409</v>
      </c>
      <c r="U342" s="97">
        <v>77</v>
      </c>
      <c r="V342" s="97">
        <v>14</v>
      </c>
      <c r="W342" s="97">
        <v>275</v>
      </c>
      <c r="X342" s="97">
        <v>79</v>
      </c>
      <c r="Y342" s="97">
        <v>7</v>
      </c>
      <c r="Z342" s="97">
        <v>175</v>
      </c>
      <c r="AA342" s="97">
        <v>63</v>
      </c>
      <c r="AB342" s="97">
        <v>1</v>
      </c>
      <c r="AC342" s="97">
        <v>123</v>
      </c>
      <c r="AD342" s="97">
        <v>62</v>
      </c>
      <c r="AE342" s="97">
        <v>37</v>
      </c>
      <c r="AF342" s="97">
        <v>672</v>
      </c>
      <c r="AG342" s="97">
        <v>480</v>
      </c>
      <c r="AH342" s="97">
        <v>20</v>
      </c>
      <c r="AI342" s="97">
        <v>339</v>
      </c>
    </row>
    <row r="343" spans="1:35" ht="15" customHeight="1">
      <c r="A343" s="97" t="s">
        <v>1308</v>
      </c>
      <c r="B343" s="97" t="s">
        <v>1308</v>
      </c>
      <c r="C343" s="97" t="s">
        <v>1309</v>
      </c>
      <c r="D343" s="97" t="s">
        <v>3198</v>
      </c>
      <c r="E343" s="97" t="s">
        <v>54</v>
      </c>
      <c r="F343" s="97">
        <v>116</v>
      </c>
      <c r="G343" s="97">
        <v>7</v>
      </c>
      <c r="H343" s="97">
        <v>47</v>
      </c>
      <c r="I343" s="97">
        <v>76</v>
      </c>
      <c r="J343" s="97">
        <v>19</v>
      </c>
      <c r="K343" s="97">
        <v>391</v>
      </c>
      <c r="L343" s="97">
        <v>91.5</v>
      </c>
      <c r="M343" s="97">
        <v>17</v>
      </c>
      <c r="N343" s="97">
        <v>443</v>
      </c>
      <c r="O343" s="97">
        <v>56</v>
      </c>
      <c r="P343" s="97">
        <v>34</v>
      </c>
      <c r="Q343" s="97">
        <v>682</v>
      </c>
      <c r="R343" s="97">
        <v>64</v>
      </c>
      <c r="S343" s="97">
        <v>15</v>
      </c>
      <c r="T343" s="97">
        <v>244</v>
      </c>
      <c r="U343" s="97">
        <v>76</v>
      </c>
      <c r="V343" s="97">
        <v>21</v>
      </c>
      <c r="W343" s="97">
        <v>308</v>
      </c>
      <c r="X343" s="97">
        <v>75</v>
      </c>
      <c r="Y343" s="97">
        <v>13</v>
      </c>
      <c r="Z343" s="97">
        <v>289</v>
      </c>
      <c r="AA343" s="97">
        <v>45</v>
      </c>
      <c r="AB343" s="97">
        <v>43</v>
      </c>
      <c r="AC343" s="97">
        <v>781</v>
      </c>
      <c r="AD343" s="97">
        <v>74</v>
      </c>
      <c r="AE343" s="97">
        <v>9</v>
      </c>
      <c r="AF343" s="97">
        <v>174</v>
      </c>
      <c r="AG343" s="97">
        <v>479.5</v>
      </c>
      <c r="AH343" s="97">
        <v>15</v>
      </c>
      <c r="AI343" s="97">
        <v>340</v>
      </c>
    </row>
    <row r="344" spans="1:35" ht="15" customHeight="1">
      <c r="A344" s="97" t="s">
        <v>1864</v>
      </c>
      <c r="B344" s="97" t="s">
        <v>1864</v>
      </c>
      <c r="C344" s="97" t="s">
        <v>1865</v>
      </c>
      <c r="D344" s="97" t="s">
        <v>3198</v>
      </c>
      <c r="E344" s="97" t="s">
        <v>34</v>
      </c>
      <c r="F344" s="97">
        <v>111</v>
      </c>
      <c r="G344" s="97">
        <v>8</v>
      </c>
      <c r="H344" s="97">
        <v>136</v>
      </c>
      <c r="I344" s="97">
        <v>78</v>
      </c>
      <c r="J344" s="97">
        <v>17</v>
      </c>
      <c r="K344" s="97">
        <v>353</v>
      </c>
      <c r="L344" s="97">
        <v>103.5</v>
      </c>
      <c r="M344" s="97">
        <v>8</v>
      </c>
      <c r="N344" s="97">
        <v>200</v>
      </c>
      <c r="O344" s="97">
        <v>61</v>
      </c>
      <c r="P344" s="97">
        <v>33</v>
      </c>
      <c r="Q344" s="97">
        <v>587</v>
      </c>
      <c r="R344" s="97">
        <v>57</v>
      </c>
      <c r="S344" s="97">
        <v>22</v>
      </c>
      <c r="T344" s="97">
        <v>409</v>
      </c>
      <c r="U344" s="97">
        <v>69</v>
      </c>
      <c r="V344" s="97">
        <v>25</v>
      </c>
      <c r="W344" s="97">
        <v>523</v>
      </c>
      <c r="X344" s="97">
        <v>80</v>
      </c>
      <c r="Y344" s="97">
        <v>13</v>
      </c>
      <c r="Z344" s="97">
        <v>151</v>
      </c>
      <c r="AA344" s="97">
        <v>51</v>
      </c>
      <c r="AB344" s="97">
        <v>29</v>
      </c>
      <c r="AC344" s="97">
        <v>555</v>
      </c>
      <c r="AD344" s="97">
        <v>69</v>
      </c>
      <c r="AE344" s="97">
        <v>16</v>
      </c>
      <c r="AF344" s="97">
        <v>367</v>
      </c>
      <c r="AG344" s="97">
        <v>479.5</v>
      </c>
      <c r="AH344" s="97">
        <v>15</v>
      </c>
      <c r="AI344" s="97">
        <v>340</v>
      </c>
    </row>
    <row r="345" spans="1:35" ht="15" customHeight="1">
      <c r="A345" s="97" t="s">
        <v>2092</v>
      </c>
      <c r="B345" s="97" t="s">
        <v>2092</v>
      </c>
      <c r="C345" s="97" t="s">
        <v>1740</v>
      </c>
      <c r="D345" s="97" t="s">
        <v>3198</v>
      </c>
      <c r="E345" s="97" t="s">
        <v>109</v>
      </c>
      <c r="F345" s="97">
        <v>107</v>
      </c>
      <c r="G345" s="97">
        <v>16</v>
      </c>
      <c r="H345" s="97">
        <v>242</v>
      </c>
      <c r="I345" s="97">
        <v>79</v>
      </c>
      <c r="J345" s="97">
        <v>17</v>
      </c>
      <c r="K345" s="97">
        <v>342</v>
      </c>
      <c r="L345" s="97">
        <v>91.5</v>
      </c>
      <c r="M345" s="97">
        <v>29</v>
      </c>
      <c r="N345" s="97">
        <v>443</v>
      </c>
      <c r="O345" s="97">
        <v>72</v>
      </c>
      <c r="P345" s="97">
        <v>22</v>
      </c>
      <c r="Q345" s="97">
        <v>358</v>
      </c>
      <c r="R345" s="97">
        <v>58</v>
      </c>
      <c r="S345" s="97">
        <v>23</v>
      </c>
      <c r="T345" s="97">
        <v>377</v>
      </c>
      <c r="U345" s="97">
        <v>72</v>
      </c>
      <c r="V345" s="97">
        <v>25</v>
      </c>
      <c r="W345" s="97">
        <v>433</v>
      </c>
      <c r="X345" s="97">
        <v>67</v>
      </c>
      <c r="Y345" s="97">
        <v>29</v>
      </c>
      <c r="Z345" s="97">
        <v>570</v>
      </c>
      <c r="AA345" s="97">
        <v>56</v>
      </c>
      <c r="AB345" s="97">
        <v>13</v>
      </c>
      <c r="AC345" s="97">
        <v>352</v>
      </c>
      <c r="AD345" s="97">
        <v>75</v>
      </c>
      <c r="AE345" s="97">
        <v>11</v>
      </c>
      <c r="AF345" s="97">
        <v>146</v>
      </c>
      <c r="AG345" s="97">
        <v>479.5</v>
      </c>
      <c r="AH345" s="97">
        <v>22</v>
      </c>
      <c r="AI345" s="97">
        <v>340</v>
      </c>
    </row>
    <row r="346" spans="1:35" ht="15" customHeight="1">
      <c r="A346" s="97" t="s">
        <v>2432</v>
      </c>
      <c r="B346" s="97" t="s">
        <v>2432</v>
      </c>
      <c r="C346" s="97" t="s">
        <v>2433</v>
      </c>
      <c r="D346" s="97" t="s">
        <v>3198</v>
      </c>
      <c r="E346" s="97" t="s">
        <v>131</v>
      </c>
      <c r="F346" s="97">
        <v>101</v>
      </c>
      <c r="G346" s="97">
        <v>17</v>
      </c>
      <c r="H346" s="97">
        <v>481</v>
      </c>
      <c r="I346" s="97">
        <v>79</v>
      </c>
      <c r="J346" s="97">
        <v>15</v>
      </c>
      <c r="K346" s="97">
        <v>342</v>
      </c>
      <c r="L346" s="97">
        <v>78.5</v>
      </c>
      <c r="M346" s="97">
        <v>37</v>
      </c>
      <c r="N346" s="97">
        <v>711</v>
      </c>
      <c r="O346" s="97">
        <v>71</v>
      </c>
      <c r="P346" s="97">
        <v>23</v>
      </c>
      <c r="Q346" s="97">
        <v>378</v>
      </c>
      <c r="R346" s="97">
        <v>71</v>
      </c>
      <c r="S346" s="97">
        <v>2</v>
      </c>
      <c r="T346" s="97">
        <v>123</v>
      </c>
      <c r="U346" s="97">
        <v>79</v>
      </c>
      <c r="V346" s="97">
        <v>9</v>
      </c>
      <c r="W346" s="97">
        <v>229</v>
      </c>
      <c r="X346" s="97">
        <v>84</v>
      </c>
      <c r="Y346" s="97">
        <v>1</v>
      </c>
      <c r="Z346" s="97">
        <v>59</v>
      </c>
      <c r="AA346" s="97">
        <v>67</v>
      </c>
      <c r="AB346" s="97">
        <v>5</v>
      </c>
      <c r="AC346" s="97">
        <v>66</v>
      </c>
      <c r="AD346" s="97">
        <v>83</v>
      </c>
      <c r="AE346" s="97">
        <v>2</v>
      </c>
      <c r="AF346" s="97">
        <v>22</v>
      </c>
      <c r="AG346" s="97">
        <v>479.5</v>
      </c>
      <c r="AH346" s="97">
        <v>14</v>
      </c>
      <c r="AI346" s="97">
        <v>340</v>
      </c>
    </row>
    <row r="347" spans="1:35" ht="15" customHeight="1">
      <c r="A347" s="97" t="s">
        <v>2298</v>
      </c>
      <c r="B347" s="97" t="s">
        <v>2298</v>
      </c>
      <c r="C347" s="97" t="s">
        <v>1541</v>
      </c>
      <c r="D347" s="97" t="s">
        <v>3198</v>
      </c>
      <c r="E347" s="97" t="s">
        <v>7</v>
      </c>
      <c r="F347" s="97">
        <v>107</v>
      </c>
      <c r="G347" s="97">
        <v>15</v>
      </c>
      <c r="H347" s="97">
        <v>242</v>
      </c>
      <c r="I347" s="97">
        <v>65</v>
      </c>
      <c r="J347" s="97">
        <v>23</v>
      </c>
      <c r="K347" s="97">
        <v>604</v>
      </c>
      <c r="L347" s="97">
        <v>99</v>
      </c>
      <c r="M347" s="97">
        <v>9</v>
      </c>
      <c r="N347" s="97">
        <v>277</v>
      </c>
      <c r="O347" s="97">
        <v>55</v>
      </c>
      <c r="P347" s="97">
        <v>43</v>
      </c>
      <c r="Q347" s="97">
        <v>694</v>
      </c>
      <c r="R347" s="97">
        <v>70</v>
      </c>
      <c r="S347" s="97">
        <v>3</v>
      </c>
      <c r="T347" s="97">
        <v>136</v>
      </c>
      <c r="U347" s="97">
        <v>83</v>
      </c>
      <c r="V347" s="97">
        <v>6</v>
      </c>
      <c r="W347" s="97">
        <v>145</v>
      </c>
      <c r="X347" s="97">
        <v>84</v>
      </c>
      <c r="Y347" s="97">
        <v>8</v>
      </c>
      <c r="Z347" s="97">
        <v>59</v>
      </c>
      <c r="AA347" s="97">
        <v>64</v>
      </c>
      <c r="AB347" s="97">
        <v>4</v>
      </c>
      <c r="AC347" s="97">
        <v>103</v>
      </c>
      <c r="AD347" s="97">
        <v>73</v>
      </c>
      <c r="AE347" s="97">
        <v>7</v>
      </c>
      <c r="AF347" s="97">
        <v>216</v>
      </c>
      <c r="AG347" s="97">
        <v>479</v>
      </c>
      <c r="AH347" s="97">
        <v>11</v>
      </c>
      <c r="AI347" s="97">
        <v>344</v>
      </c>
    </row>
    <row r="348" spans="1:35" ht="15" customHeight="1">
      <c r="A348" s="97" t="s">
        <v>2486</v>
      </c>
      <c r="B348" s="97" t="s">
        <v>2486</v>
      </c>
      <c r="C348" s="97" t="s">
        <v>2487</v>
      </c>
      <c r="D348" s="97" t="s">
        <v>3198</v>
      </c>
      <c r="E348" s="97" t="s">
        <v>131</v>
      </c>
      <c r="F348" s="97">
        <v>105</v>
      </c>
      <c r="G348" s="97">
        <v>9</v>
      </c>
      <c r="H348" s="97">
        <v>325</v>
      </c>
      <c r="I348" s="97">
        <v>74</v>
      </c>
      <c r="J348" s="97">
        <v>25</v>
      </c>
      <c r="K348" s="97">
        <v>424</v>
      </c>
      <c r="L348" s="97">
        <v>97</v>
      </c>
      <c r="M348" s="97">
        <v>14</v>
      </c>
      <c r="N348" s="97">
        <v>327</v>
      </c>
      <c r="O348" s="97">
        <v>70</v>
      </c>
      <c r="P348" s="97">
        <v>24</v>
      </c>
      <c r="Q348" s="97">
        <v>400</v>
      </c>
      <c r="R348" s="97">
        <v>49</v>
      </c>
      <c r="S348" s="97">
        <v>37</v>
      </c>
      <c r="T348" s="97">
        <v>624</v>
      </c>
      <c r="U348" s="97">
        <v>84</v>
      </c>
      <c r="V348" s="97">
        <v>2</v>
      </c>
      <c r="W348" s="97">
        <v>123</v>
      </c>
      <c r="X348" s="97">
        <v>70</v>
      </c>
      <c r="Y348" s="97">
        <v>22</v>
      </c>
      <c r="Z348" s="97">
        <v>473</v>
      </c>
      <c r="AA348" s="97">
        <v>52</v>
      </c>
      <c r="AB348" s="97">
        <v>37</v>
      </c>
      <c r="AC348" s="97">
        <v>509</v>
      </c>
      <c r="AD348" s="97">
        <v>85</v>
      </c>
      <c r="AE348" s="97">
        <v>1</v>
      </c>
      <c r="AF348" s="97">
        <v>11</v>
      </c>
      <c r="AG348" s="97">
        <v>479</v>
      </c>
      <c r="AH348" s="97">
        <v>15</v>
      </c>
      <c r="AI348" s="97">
        <v>344</v>
      </c>
    </row>
    <row r="349" spans="1:35" ht="15" customHeight="1">
      <c r="A349" s="97" t="s">
        <v>2069</v>
      </c>
      <c r="B349" s="97" t="s">
        <v>2069</v>
      </c>
      <c r="C349" s="97" t="s">
        <v>2070</v>
      </c>
      <c r="D349" s="97" t="s">
        <v>3198</v>
      </c>
      <c r="E349" s="97" t="s">
        <v>109</v>
      </c>
      <c r="F349" s="97">
        <v>101</v>
      </c>
      <c r="G349" s="97">
        <v>31</v>
      </c>
      <c r="H349" s="97">
        <v>481</v>
      </c>
      <c r="I349" s="97">
        <v>97</v>
      </c>
      <c r="J349" s="97">
        <v>3</v>
      </c>
      <c r="K349" s="97">
        <v>112</v>
      </c>
      <c r="L349" s="97">
        <v>73</v>
      </c>
      <c r="M349" s="97">
        <v>49</v>
      </c>
      <c r="N349" s="97">
        <v>808</v>
      </c>
      <c r="O349" s="97">
        <v>72</v>
      </c>
      <c r="P349" s="97">
        <v>22</v>
      </c>
      <c r="Q349" s="97">
        <v>358</v>
      </c>
      <c r="R349" s="97">
        <v>62</v>
      </c>
      <c r="S349" s="97">
        <v>13</v>
      </c>
      <c r="T349" s="97">
        <v>277</v>
      </c>
      <c r="U349" s="97">
        <v>74</v>
      </c>
      <c r="V349" s="97">
        <v>20</v>
      </c>
      <c r="W349" s="97">
        <v>366</v>
      </c>
      <c r="X349" s="97">
        <v>58</v>
      </c>
      <c r="Y349" s="97">
        <v>45</v>
      </c>
      <c r="Z349" s="97">
        <v>820</v>
      </c>
      <c r="AA349" s="97">
        <v>44</v>
      </c>
      <c r="AB349" s="97">
        <v>45</v>
      </c>
      <c r="AC349" s="97">
        <v>804</v>
      </c>
      <c r="AD349" s="97">
        <v>55</v>
      </c>
      <c r="AE349" s="97">
        <v>47</v>
      </c>
      <c r="AF349" s="97">
        <v>835</v>
      </c>
      <c r="AG349" s="97">
        <v>479</v>
      </c>
      <c r="AH349" s="97">
        <v>23</v>
      </c>
      <c r="AI349" s="97">
        <v>344</v>
      </c>
    </row>
    <row r="350" spans="1:35" ht="15" customHeight="1">
      <c r="A350" s="97" t="s">
        <v>920</v>
      </c>
      <c r="B350" s="97" t="s">
        <v>920</v>
      </c>
      <c r="C350" s="97" t="s">
        <v>921</v>
      </c>
      <c r="D350" s="97" t="s">
        <v>3198</v>
      </c>
      <c r="E350" s="97" t="s">
        <v>60</v>
      </c>
      <c r="F350" s="97">
        <v>110</v>
      </c>
      <c r="G350" s="97">
        <v>8</v>
      </c>
      <c r="H350" s="97">
        <v>159</v>
      </c>
      <c r="I350" s="97">
        <v>85</v>
      </c>
      <c r="J350" s="97">
        <v>15</v>
      </c>
      <c r="K350" s="97">
        <v>244</v>
      </c>
      <c r="L350" s="97">
        <v>77</v>
      </c>
      <c r="M350" s="97">
        <v>36</v>
      </c>
      <c r="N350" s="97">
        <v>740</v>
      </c>
      <c r="O350" s="97">
        <v>79</v>
      </c>
      <c r="P350" s="97">
        <v>11</v>
      </c>
      <c r="Q350" s="97">
        <v>228</v>
      </c>
      <c r="R350" s="97">
        <v>58</v>
      </c>
      <c r="S350" s="97">
        <v>24</v>
      </c>
      <c r="T350" s="97">
        <v>377</v>
      </c>
      <c r="U350" s="97">
        <v>70</v>
      </c>
      <c r="V350" s="97">
        <v>20</v>
      </c>
      <c r="W350" s="97">
        <v>485</v>
      </c>
      <c r="X350" s="97">
        <v>77</v>
      </c>
      <c r="Y350" s="97">
        <v>13</v>
      </c>
      <c r="Z350" s="97">
        <v>240</v>
      </c>
      <c r="AA350" s="97">
        <v>52</v>
      </c>
      <c r="AB350" s="97">
        <v>25</v>
      </c>
      <c r="AC350" s="97">
        <v>509</v>
      </c>
      <c r="AD350" s="97">
        <v>65</v>
      </c>
      <c r="AE350" s="97">
        <v>26</v>
      </c>
      <c r="AF350" s="97">
        <v>548</v>
      </c>
      <c r="AG350" s="97">
        <v>479</v>
      </c>
      <c r="AH350" s="97">
        <v>19</v>
      </c>
      <c r="AI350" s="97">
        <v>344</v>
      </c>
    </row>
    <row r="351" spans="1:35" ht="15" customHeight="1">
      <c r="A351" s="97" t="s">
        <v>736</v>
      </c>
      <c r="B351" s="97" t="s">
        <v>736</v>
      </c>
      <c r="C351" s="97" t="s">
        <v>737</v>
      </c>
      <c r="D351" s="97" t="s">
        <v>3198</v>
      </c>
      <c r="E351" s="97" t="s">
        <v>117</v>
      </c>
      <c r="F351" s="97">
        <v>111</v>
      </c>
      <c r="G351" s="97">
        <v>6</v>
      </c>
      <c r="H351" s="97">
        <v>136</v>
      </c>
      <c r="I351" s="97">
        <v>65</v>
      </c>
      <c r="J351" s="97">
        <v>38</v>
      </c>
      <c r="K351" s="97">
        <v>604</v>
      </c>
      <c r="L351" s="97">
        <v>101.5</v>
      </c>
      <c r="M351" s="97">
        <v>13</v>
      </c>
      <c r="N351" s="97">
        <v>225</v>
      </c>
      <c r="O351" s="97">
        <v>53</v>
      </c>
      <c r="P351" s="97">
        <v>43</v>
      </c>
      <c r="Q351" s="97">
        <v>739</v>
      </c>
      <c r="R351" s="97">
        <v>56</v>
      </c>
      <c r="S351" s="97">
        <v>21</v>
      </c>
      <c r="T351" s="97">
        <v>433</v>
      </c>
      <c r="U351" s="97">
        <v>92</v>
      </c>
      <c r="V351" s="97">
        <v>1</v>
      </c>
      <c r="W351" s="97">
        <v>10</v>
      </c>
      <c r="X351" s="97">
        <v>78</v>
      </c>
      <c r="Y351" s="97">
        <v>15</v>
      </c>
      <c r="Z351" s="97">
        <v>209</v>
      </c>
      <c r="AA351" s="97">
        <v>52</v>
      </c>
      <c r="AB351" s="97">
        <v>29</v>
      </c>
      <c r="AC351" s="97">
        <v>509</v>
      </c>
      <c r="AD351" s="97">
        <v>58</v>
      </c>
      <c r="AE351" s="97">
        <v>47</v>
      </c>
      <c r="AF351" s="97">
        <v>770</v>
      </c>
      <c r="AG351" s="97">
        <v>478.5</v>
      </c>
      <c r="AH351" s="97">
        <v>17</v>
      </c>
      <c r="AI351" s="97">
        <v>348</v>
      </c>
    </row>
    <row r="352" spans="1:35" ht="15" customHeight="1">
      <c r="A352" s="97" t="s">
        <v>1699</v>
      </c>
      <c r="B352" s="97" t="s">
        <v>1699</v>
      </c>
      <c r="C352" s="97" t="s">
        <v>119</v>
      </c>
      <c r="D352" s="97" t="s">
        <v>3198</v>
      </c>
      <c r="E352" s="97" t="s">
        <v>9</v>
      </c>
      <c r="F352" s="97">
        <v>101</v>
      </c>
      <c r="G352" s="97">
        <v>37</v>
      </c>
      <c r="H352" s="97">
        <v>481</v>
      </c>
      <c r="I352" s="97">
        <v>71</v>
      </c>
      <c r="J352" s="97">
        <v>47</v>
      </c>
      <c r="K352" s="97">
        <v>475</v>
      </c>
      <c r="L352" s="97">
        <v>105.5</v>
      </c>
      <c r="M352" s="97">
        <v>27</v>
      </c>
      <c r="N352" s="97">
        <v>168</v>
      </c>
      <c r="O352" s="97">
        <v>55</v>
      </c>
      <c r="P352" s="97">
        <v>50</v>
      </c>
      <c r="Q352" s="97">
        <v>694</v>
      </c>
      <c r="R352" s="97">
        <v>65</v>
      </c>
      <c r="S352" s="97">
        <v>43</v>
      </c>
      <c r="T352" s="97">
        <v>223</v>
      </c>
      <c r="U352" s="97">
        <v>81</v>
      </c>
      <c r="V352" s="97">
        <v>29</v>
      </c>
      <c r="W352" s="97">
        <v>183</v>
      </c>
      <c r="X352" s="97">
        <v>83</v>
      </c>
      <c r="Y352" s="97">
        <v>11</v>
      </c>
      <c r="Z352" s="97">
        <v>79</v>
      </c>
      <c r="AA352" s="97">
        <v>61</v>
      </c>
      <c r="AB352" s="97">
        <v>30</v>
      </c>
      <c r="AC352" s="97">
        <v>172</v>
      </c>
      <c r="AD352" s="97">
        <v>71</v>
      </c>
      <c r="AE352" s="97">
        <v>28</v>
      </c>
      <c r="AF352" s="97">
        <v>290</v>
      </c>
      <c r="AG352" s="97">
        <v>478.5</v>
      </c>
      <c r="AH352" s="97">
        <v>50</v>
      </c>
      <c r="AI352" s="97">
        <v>348</v>
      </c>
    </row>
    <row r="353" spans="1:35" ht="15" customHeight="1">
      <c r="A353" s="97" t="s">
        <v>2089</v>
      </c>
      <c r="B353" s="97" t="s">
        <v>2089</v>
      </c>
      <c r="C353" s="97" t="s">
        <v>2090</v>
      </c>
      <c r="D353" s="97" t="s">
        <v>3198</v>
      </c>
      <c r="E353" s="97" t="s">
        <v>109</v>
      </c>
      <c r="F353" s="97">
        <v>123</v>
      </c>
      <c r="G353" s="97">
        <v>1</v>
      </c>
      <c r="H353" s="97">
        <v>10</v>
      </c>
      <c r="I353" s="97">
        <v>61</v>
      </c>
      <c r="J353" s="97">
        <v>41</v>
      </c>
      <c r="K353" s="97">
        <v>678</v>
      </c>
      <c r="L353" s="97">
        <v>106.5</v>
      </c>
      <c r="M353" s="97">
        <v>10</v>
      </c>
      <c r="N353" s="97">
        <v>156</v>
      </c>
      <c r="O353" s="97">
        <v>55</v>
      </c>
      <c r="P353" s="97">
        <v>40</v>
      </c>
      <c r="Q353" s="97">
        <v>694</v>
      </c>
      <c r="R353" s="97">
        <v>60</v>
      </c>
      <c r="S353" s="97">
        <v>16</v>
      </c>
      <c r="T353" s="97">
        <v>322</v>
      </c>
      <c r="U353" s="97">
        <v>73</v>
      </c>
      <c r="V353" s="97">
        <v>22</v>
      </c>
      <c r="W353" s="97">
        <v>393</v>
      </c>
      <c r="X353" s="97">
        <v>84</v>
      </c>
      <c r="Y353" s="97">
        <v>3</v>
      </c>
      <c r="Z353" s="97">
        <v>59</v>
      </c>
      <c r="AA353" s="97">
        <v>61</v>
      </c>
      <c r="AB353" s="97">
        <v>5</v>
      </c>
      <c r="AC353" s="97">
        <v>172</v>
      </c>
      <c r="AD353" s="97">
        <v>84</v>
      </c>
      <c r="AE353" s="97">
        <v>1</v>
      </c>
      <c r="AF353" s="97">
        <v>16</v>
      </c>
      <c r="AG353" s="97">
        <v>478.5</v>
      </c>
      <c r="AH353" s="97">
        <v>24</v>
      </c>
      <c r="AI353" s="97">
        <v>348</v>
      </c>
    </row>
    <row r="354" spans="1:35" ht="15" customHeight="1">
      <c r="A354" s="97" t="s">
        <v>2103</v>
      </c>
      <c r="B354" s="97" t="s">
        <v>2103</v>
      </c>
      <c r="C354" s="97" t="s">
        <v>2104</v>
      </c>
      <c r="D354" s="97" t="s">
        <v>3198</v>
      </c>
      <c r="E354" s="97" t="s">
        <v>73</v>
      </c>
      <c r="F354" s="97">
        <v>104</v>
      </c>
      <c r="G354" s="97">
        <v>18</v>
      </c>
      <c r="H354" s="97">
        <v>357</v>
      </c>
      <c r="I354" s="97">
        <v>63</v>
      </c>
      <c r="J354" s="97">
        <v>31</v>
      </c>
      <c r="K354" s="97">
        <v>642</v>
      </c>
      <c r="L354" s="97">
        <v>101</v>
      </c>
      <c r="M354" s="97">
        <v>15</v>
      </c>
      <c r="N354" s="97">
        <v>234</v>
      </c>
      <c r="O354" s="97">
        <v>73</v>
      </c>
      <c r="P354" s="97">
        <v>16</v>
      </c>
      <c r="Q354" s="97">
        <v>339</v>
      </c>
      <c r="R354" s="97">
        <v>58</v>
      </c>
      <c r="S354" s="97">
        <v>19</v>
      </c>
      <c r="T354" s="97">
        <v>377</v>
      </c>
      <c r="U354" s="97">
        <v>79</v>
      </c>
      <c r="V354" s="97">
        <v>10</v>
      </c>
      <c r="W354" s="97">
        <v>229</v>
      </c>
      <c r="X354" s="97">
        <v>81</v>
      </c>
      <c r="Y354" s="97">
        <v>2</v>
      </c>
      <c r="Z354" s="97">
        <v>124</v>
      </c>
      <c r="AA354" s="97">
        <v>58</v>
      </c>
      <c r="AB354" s="97">
        <v>14</v>
      </c>
      <c r="AC354" s="97">
        <v>278</v>
      </c>
      <c r="AD354" s="97">
        <v>75</v>
      </c>
      <c r="AE354" s="97">
        <v>7</v>
      </c>
      <c r="AF354" s="97">
        <v>146</v>
      </c>
      <c r="AG354" s="97">
        <v>478</v>
      </c>
      <c r="AH354" s="97">
        <v>15</v>
      </c>
      <c r="AI354" s="97">
        <v>351</v>
      </c>
    </row>
    <row r="355" spans="1:35" ht="15" customHeight="1">
      <c r="A355" s="97" t="s">
        <v>2435</v>
      </c>
      <c r="B355" s="97" t="s">
        <v>2435</v>
      </c>
      <c r="C355" s="97" t="s">
        <v>2436</v>
      </c>
      <c r="D355" s="97" t="s">
        <v>3198</v>
      </c>
      <c r="E355" s="97" t="s">
        <v>131</v>
      </c>
      <c r="F355" s="97">
        <v>118</v>
      </c>
      <c r="G355" s="97">
        <v>1</v>
      </c>
      <c r="H355" s="97">
        <v>33</v>
      </c>
      <c r="I355" s="97">
        <v>60</v>
      </c>
      <c r="J355" s="97">
        <v>45</v>
      </c>
      <c r="K355" s="97">
        <v>696</v>
      </c>
      <c r="L355" s="97">
        <v>96</v>
      </c>
      <c r="M355" s="97">
        <v>16</v>
      </c>
      <c r="N355" s="97">
        <v>346</v>
      </c>
      <c r="O355" s="97">
        <v>70</v>
      </c>
      <c r="P355" s="97">
        <v>24</v>
      </c>
      <c r="Q355" s="97">
        <v>400</v>
      </c>
      <c r="R355" s="97">
        <v>65</v>
      </c>
      <c r="S355" s="97">
        <v>6</v>
      </c>
      <c r="T355" s="97">
        <v>223</v>
      </c>
      <c r="U355" s="97">
        <v>69</v>
      </c>
      <c r="V355" s="97">
        <v>30</v>
      </c>
      <c r="W355" s="97">
        <v>523</v>
      </c>
      <c r="X355" s="97">
        <v>78</v>
      </c>
      <c r="Y355" s="97">
        <v>4</v>
      </c>
      <c r="Z355" s="97">
        <v>209</v>
      </c>
      <c r="AA355" s="97">
        <v>54</v>
      </c>
      <c r="AB355" s="97">
        <v>32</v>
      </c>
      <c r="AC355" s="97">
        <v>428</v>
      </c>
      <c r="AD355" s="97">
        <v>71</v>
      </c>
      <c r="AE355" s="97">
        <v>16</v>
      </c>
      <c r="AF355" s="97">
        <v>290</v>
      </c>
      <c r="AG355" s="97">
        <v>478</v>
      </c>
      <c r="AH355" s="97">
        <v>16</v>
      </c>
      <c r="AI355" s="97">
        <v>351</v>
      </c>
    </row>
    <row r="356" spans="1:35" ht="15" customHeight="1">
      <c r="A356" s="97" t="s">
        <v>1816</v>
      </c>
      <c r="B356" s="97" t="s">
        <v>1816</v>
      </c>
      <c r="C356" s="97" t="s">
        <v>1817</v>
      </c>
      <c r="D356" s="97" t="s">
        <v>3198</v>
      </c>
      <c r="E356" s="97" t="s">
        <v>34</v>
      </c>
      <c r="F356" s="97">
        <v>116</v>
      </c>
      <c r="G356" s="97">
        <v>2</v>
      </c>
      <c r="H356" s="97">
        <v>47</v>
      </c>
      <c r="I356" s="97">
        <v>72</v>
      </c>
      <c r="J356" s="97">
        <v>28</v>
      </c>
      <c r="K356" s="97">
        <v>458</v>
      </c>
      <c r="L356" s="97">
        <v>103</v>
      </c>
      <c r="M356" s="97">
        <v>10</v>
      </c>
      <c r="N356" s="97">
        <v>205</v>
      </c>
      <c r="O356" s="97">
        <v>66</v>
      </c>
      <c r="P356" s="97">
        <v>26</v>
      </c>
      <c r="Q356" s="97">
        <v>484</v>
      </c>
      <c r="R356" s="97">
        <v>58</v>
      </c>
      <c r="S356" s="97">
        <v>20</v>
      </c>
      <c r="T356" s="97">
        <v>377</v>
      </c>
      <c r="U356" s="97">
        <v>63</v>
      </c>
      <c r="V356" s="97">
        <v>35</v>
      </c>
      <c r="W356" s="97">
        <v>692</v>
      </c>
      <c r="X356" s="97">
        <v>79</v>
      </c>
      <c r="Y356" s="97">
        <v>17</v>
      </c>
      <c r="Z356" s="97">
        <v>175</v>
      </c>
      <c r="AA356" s="97">
        <v>53</v>
      </c>
      <c r="AB356" s="97">
        <v>23</v>
      </c>
      <c r="AC356" s="97">
        <v>470</v>
      </c>
      <c r="AD356" s="97">
        <v>68</v>
      </c>
      <c r="AE356" s="97">
        <v>19</v>
      </c>
      <c r="AF356" s="97">
        <v>412</v>
      </c>
      <c r="AG356" s="97">
        <v>478</v>
      </c>
      <c r="AH356" s="97">
        <v>16</v>
      </c>
      <c r="AI356" s="97">
        <v>351</v>
      </c>
    </row>
    <row r="357" spans="1:35" ht="15" customHeight="1">
      <c r="A357" s="97" t="s">
        <v>778</v>
      </c>
      <c r="B357" s="97" t="s">
        <v>778</v>
      </c>
      <c r="C357" s="97" t="s">
        <v>779</v>
      </c>
      <c r="D357" s="97" t="s">
        <v>3198</v>
      </c>
      <c r="E357" s="97" t="s">
        <v>117</v>
      </c>
      <c r="F357" s="97">
        <v>104</v>
      </c>
      <c r="G357" s="97">
        <v>16</v>
      </c>
      <c r="H357" s="97">
        <v>357</v>
      </c>
      <c r="I357" s="97">
        <v>76</v>
      </c>
      <c r="J357" s="97">
        <v>23</v>
      </c>
      <c r="K357" s="97">
        <v>391</v>
      </c>
      <c r="L357" s="97">
        <v>104</v>
      </c>
      <c r="M357" s="97">
        <v>11</v>
      </c>
      <c r="N357" s="97">
        <v>188</v>
      </c>
      <c r="O357" s="97">
        <v>68</v>
      </c>
      <c r="P357" s="97">
        <v>24</v>
      </c>
      <c r="Q357" s="97">
        <v>453</v>
      </c>
      <c r="R357" s="97">
        <v>53</v>
      </c>
      <c r="S357" s="97">
        <v>29</v>
      </c>
      <c r="T357" s="97">
        <v>526</v>
      </c>
      <c r="U357" s="97">
        <v>73</v>
      </c>
      <c r="V357" s="97">
        <v>17</v>
      </c>
      <c r="W357" s="97">
        <v>393</v>
      </c>
      <c r="X357" s="97">
        <v>79</v>
      </c>
      <c r="Y357" s="97">
        <v>13</v>
      </c>
      <c r="Z357" s="97">
        <v>175</v>
      </c>
      <c r="AA357" s="97">
        <v>63</v>
      </c>
      <c r="AB357" s="97">
        <v>5</v>
      </c>
      <c r="AC357" s="97">
        <v>123</v>
      </c>
      <c r="AD357" s="97">
        <v>64</v>
      </c>
      <c r="AE357" s="97">
        <v>33</v>
      </c>
      <c r="AF357" s="97">
        <v>586</v>
      </c>
      <c r="AG357" s="97">
        <v>478</v>
      </c>
      <c r="AH357" s="97">
        <v>18</v>
      </c>
      <c r="AI357" s="97">
        <v>351</v>
      </c>
    </row>
    <row r="358" spans="1:35" ht="15" customHeight="1">
      <c r="A358" s="97" t="s">
        <v>652</v>
      </c>
      <c r="B358" s="97" t="s">
        <v>652</v>
      </c>
      <c r="C358" s="97" t="s">
        <v>653</v>
      </c>
      <c r="D358" s="97" t="s">
        <v>3198</v>
      </c>
      <c r="E358" s="97" t="s">
        <v>17</v>
      </c>
      <c r="F358" s="97">
        <v>107</v>
      </c>
      <c r="G358" s="97">
        <v>18</v>
      </c>
      <c r="H358" s="97">
        <v>242</v>
      </c>
      <c r="I358" s="97">
        <v>82</v>
      </c>
      <c r="J358" s="97">
        <v>21</v>
      </c>
      <c r="K358" s="97">
        <v>290</v>
      </c>
      <c r="L358" s="97">
        <v>84</v>
      </c>
      <c r="M358" s="97">
        <v>40</v>
      </c>
      <c r="N358" s="97">
        <v>622</v>
      </c>
      <c r="O358" s="97">
        <v>57</v>
      </c>
      <c r="P358" s="97">
        <v>43</v>
      </c>
      <c r="Q358" s="97">
        <v>665</v>
      </c>
      <c r="R358" s="97">
        <v>63</v>
      </c>
      <c r="S358" s="97">
        <v>16</v>
      </c>
      <c r="T358" s="97">
        <v>262</v>
      </c>
      <c r="U358" s="97">
        <v>85</v>
      </c>
      <c r="V358" s="97">
        <v>2</v>
      </c>
      <c r="W358" s="97">
        <v>96</v>
      </c>
      <c r="X358" s="97">
        <v>73</v>
      </c>
      <c r="Y358" s="97">
        <v>25</v>
      </c>
      <c r="Z358" s="97">
        <v>359</v>
      </c>
      <c r="AA358" s="97">
        <v>59</v>
      </c>
      <c r="AB358" s="97">
        <v>14</v>
      </c>
      <c r="AC358" s="97">
        <v>233</v>
      </c>
      <c r="AD358" s="97">
        <v>73</v>
      </c>
      <c r="AE358" s="97">
        <v>12</v>
      </c>
      <c r="AF358" s="97">
        <v>216</v>
      </c>
      <c r="AG358" s="97">
        <v>478</v>
      </c>
      <c r="AH358" s="97">
        <v>20</v>
      </c>
      <c r="AI358" s="97">
        <v>351</v>
      </c>
    </row>
    <row r="359" spans="1:35" ht="15" customHeight="1">
      <c r="A359" s="97" t="s">
        <v>2124</v>
      </c>
      <c r="B359" s="97" t="s">
        <v>2124</v>
      </c>
      <c r="C359" s="97" t="s">
        <v>2125</v>
      </c>
      <c r="D359" s="97" t="s">
        <v>3198</v>
      </c>
      <c r="E359" s="97" t="s">
        <v>73</v>
      </c>
      <c r="F359" s="97">
        <v>110</v>
      </c>
      <c r="G359" s="97">
        <v>6</v>
      </c>
      <c r="H359" s="97">
        <v>159</v>
      </c>
      <c r="I359" s="97">
        <v>80</v>
      </c>
      <c r="J359" s="97">
        <v>10</v>
      </c>
      <c r="K359" s="97">
        <v>325</v>
      </c>
      <c r="L359" s="97">
        <v>75.5</v>
      </c>
      <c r="M359" s="97">
        <v>48</v>
      </c>
      <c r="N359" s="97">
        <v>763</v>
      </c>
      <c r="O359" s="97">
        <v>99</v>
      </c>
      <c r="P359" s="97">
        <v>3</v>
      </c>
      <c r="Q359" s="97">
        <v>25</v>
      </c>
      <c r="R359" s="97">
        <v>47</v>
      </c>
      <c r="S359" s="97">
        <v>40</v>
      </c>
      <c r="T359" s="97">
        <v>673</v>
      </c>
      <c r="U359" s="97">
        <v>66</v>
      </c>
      <c r="V359" s="97">
        <v>35</v>
      </c>
      <c r="W359" s="97">
        <v>611</v>
      </c>
      <c r="X359" s="97">
        <v>57</v>
      </c>
      <c r="Y359" s="97">
        <v>52</v>
      </c>
      <c r="Z359" s="97">
        <v>838</v>
      </c>
      <c r="AA359" s="97">
        <v>44</v>
      </c>
      <c r="AB359" s="97">
        <v>50</v>
      </c>
      <c r="AC359" s="97">
        <v>804</v>
      </c>
      <c r="AD359" s="97">
        <v>62</v>
      </c>
      <c r="AE359" s="97">
        <v>47</v>
      </c>
      <c r="AF359" s="97">
        <v>672</v>
      </c>
      <c r="AG359" s="97">
        <v>477.5</v>
      </c>
      <c r="AH359" s="97">
        <v>16</v>
      </c>
      <c r="AI359" s="97">
        <v>356</v>
      </c>
    </row>
    <row r="360" spans="1:35" ht="15" customHeight="1">
      <c r="A360" s="97" t="s">
        <v>1873</v>
      </c>
      <c r="B360" s="97" t="s">
        <v>1873</v>
      </c>
      <c r="C360" s="97" t="s">
        <v>185</v>
      </c>
      <c r="D360" s="97" t="s">
        <v>3198</v>
      </c>
      <c r="E360" s="97" t="s">
        <v>34</v>
      </c>
      <c r="F360" s="97">
        <v>100</v>
      </c>
      <c r="G360" s="97">
        <v>34</v>
      </c>
      <c r="H360" s="97">
        <v>528</v>
      </c>
      <c r="I360" s="97">
        <v>82</v>
      </c>
      <c r="J360" s="97">
        <v>11</v>
      </c>
      <c r="K360" s="97">
        <v>290</v>
      </c>
      <c r="L360" s="97">
        <v>99</v>
      </c>
      <c r="M360" s="97">
        <v>15</v>
      </c>
      <c r="N360" s="97">
        <v>277</v>
      </c>
      <c r="O360" s="97">
        <v>70</v>
      </c>
      <c r="P360" s="97">
        <v>18</v>
      </c>
      <c r="Q360" s="97">
        <v>400</v>
      </c>
      <c r="R360" s="97">
        <v>58</v>
      </c>
      <c r="S360" s="97">
        <v>20</v>
      </c>
      <c r="T360" s="97">
        <v>377</v>
      </c>
      <c r="U360" s="97">
        <v>68</v>
      </c>
      <c r="V360" s="97">
        <v>28</v>
      </c>
      <c r="W360" s="97">
        <v>555</v>
      </c>
      <c r="X360" s="97">
        <v>84</v>
      </c>
      <c r="Y360" s="97">
        <v>6</v>
      </c>
      <c r="Z360" s="97">
        <v>59</v>
      </c>
      <c r="AA360" s="97">
        <v>59</v>
      </c>
      <c r="AB360" s="97">
        <v>13</v>
      </c>
      <c r="AC360" s="97">
        <v>233</v>
      </c>
      <c r="AD360" s="97">
        <v>67</v>
      </c>
      <c r="AE360" s="97">
        <v>22</v>
      </c>
      <c r="AF360" s="97">
        <v>471</v>
      </c>
      <c r="AG360" s="97">
        <v>477</v>
      </c>
      <c r="AH360" s="97">
        <v>17</v>
      </c>
      <c r="AI360" s="97">
        <v>357</v>
      </c>
    </row>
    <row r="361" spans="1:35" ht="15" customHeight="1">
      <c r="A361" s="97" t="s">
        <v>1446</v>
      </c>
      <c r="B361" s="97" t="s">
        <v>1446</v>
      </c>
      <c r="C361" s="97" t="s">
        <v>1447</v>
      </c>
      <c r="D361" s="97" t="s">
        <v>3198</v>
      </c>
      <c r="E361" s="97" t="s">
        <v>56</v>
      </c>
      <c r="F361" s="97">
        <v>102</v>
      </c>
      <c r="G361" s="97">
        <v>19</v>
      </c>
      <c r="H361" s="97">
        <v>442</v>
      </c>
      <c r="I361" s="97">
        <v>83</v>
      </c>
      <c r="J361" s="97">
        <v>15</v>
      </c>
      <c r="K361" s="97">
        <v>267</v>
      </c>
      <c r="L361" s="97">
        <v>85</v>
      </c>
      <c r="M361" s="97">
        <v>34</v>
      </c>
      <c r="N361" s="97">
        <v>592</v>
      </c>
      <c r="O361" s="97">
        <v>84</v>
      </c>
      <c r="P361" s="97">
        <v>7</v>
      </c>
      <c r="Q361" s="97">
        <v>147</v>
      </c>
      <c r="R361" s="97">
        <v>49</v>
      </c>
      <c r="S361" s="97">
        <v>31</v>
      </c>
      <c r="T361" s="97">
        <v>624</v>
      </c>
      <c r="U361" s="97">
        <v>73</v>
      </c>
      <c r="V361" s="97">
        <v>33</v>
      </c>
      <c r="W361" s="97">
        <v>393</v>
      </c>
      <c r="X361" s="97">
        <v>89</v>
      </c>
      <c r="Y361" s="97">
        <v>1</v>
      </c>
      <c r="Z361" s="97">
        <v>8</v>
      </c>
      <c r="AA361" s="97">
        <v>51</v>
      </c>
      <c r="AB361" s="97">
        <v>25</v>
      </c>
      <c r="AC361" s="97">
        <v>555</v>
      </c>
      <c r="AD361" s="97">
        <v>64</v>
      </c>
      <c r="AE361" s="97">
        <v>33</v>
      </c>
      <c r="AF361" s="97">
        <v>586</v>
      </c>
      <c r="AG361" s="97">
        <v>476</v>
      </c>
      <c r="AH361" s="97">
        <v>16</v>
      </c>
      <c r="AI361" s="97">
        <v>358</v>
      </c>
    </row>
    <row r="362" spans="1:35" ht="15" customHeight="1">
      <c r="A362" s="97" t="s">
        <v>1417</v>
      </c>
      <c r="B362" s="97" t="s">
        <v>1417</v>
      </c>
      <c r="C362" s="97" t="s">
        <v>1418</v>
      </c>
      <c r="D362" s="97" t="s">
        <v>3198</v>
      </c>
      <c r="E362" s="97" t="s">
        <v>56</v>
      </c>
      <c r="F362" s="97">
        <v>103</v>
      </c>
      <c r="G362" s="97">
        <v>17</v>
      </c>
      <c r="H362" s="97">
        <v>400</v>
      </c>
      <c r="I362" s="97">
        <v>58</v>
      </c>
      <c r="J362" s="97">
        <v>34</v>
      </c>
      <c r="K362" s="97">
        <v>734</v>
      </c>
      <c r="L362" s="97">
        <v>100</v>
      </c>
      <c r="M362" s="97">
        <v>12</v>
      </c>
      <c r="N362" s="97">
        <v>258</v>
      </c>
      <c r="O362" s="97">
        <v>71</v>
      </c>
      <c r="P362" s="97">
        <v>15</v>
      </c>
      <c r="Q362" s="97">
        <v>378</v>
      </c>
      <c r="R362" s="97">
        <v>57</v>
      </c>
      <c r="S362" s="97">
        <v>19</v>
      </c>
      <c r="T362" s="97">
        <v>409</v>
      </c>
      <c r="U362" s="97">
        <v>87</v>
      </c>
      <c r="V362" s="97">
        <v>3</v>
      </c>
      <c r="W362" s="97">
        <v>57</v>
      </c>
      <c r="X362" s="97">
        <v>71</v>
      </c>
      <c r="Y362" s="97">
        <v>28</v>
      </c>
      <c r="Z362" s="97">
        <v>439</v>
      </c>
      <c r="AA362" s="97">
        <v>59</v>
      </c>
      <c r="AB362" s="97">
        <v>5</v>
      </c>
      <c r="AC362" s="97">
        <v>233</v>
      </c>
      <c r="AD362" s="97">
        <v>64</v>
      </c>
      <c r="AE362" s="97">
        <v>33</v>
      </c>
      <c r="AF362" s="97">
        <v>586</v>
      </c>
      <c r="AG362" s="97">
        <v>476</v>
      </c>
      <c r="AH362" s="97">
        <v>16</v>
      </c>
      <c r="AI362" s="97">
        <v>358</v>
      </c>
    </row>
    <row r="363" spans="1:35" ht="15" customHeight="1">
      <c r="A363" s="97" t="s">
        <v>2118</v>
      </c>
      <c r="B363" s="97" t="s">
        <v>2118</v>
      </c>
      <c r="C363" s="97" t="s">
        <v>2119</v>
      </c>
      <c r="D363" s="97" t="s">
        <v>3198</v>
      </c>
      <c r="E363" s="97" t="s">
        <v>73</v>
      </c>
      <c r="F363" s="97">
        <v>94</v>
      </c>
      <c r="G363" s="97">
        <v>48</v>
      </c>
      <c r="H363" s="97">
        <v>733</v>
      </c>
      <c r="I363" s="97">
        <v>68</v>
      </c>
      <c r="J363" s="97">
        <v>23</v>
      </c>
      <c r="K363" s="97">
        <v>540</v>
      </c>
      <c r="L363" s="97">
        <v>98</v>
      </c>
      <c r="M363" s="97">
        <v>20</v>
      </c>
      <c r="N363" s="97">
        <v>294</v>
      </c>
      <c r="O363" s="97">
        <v>82</v>
      </c>
      <c r="P363" s="97">
        <v>7</v>
      </c>
      <c r="Q363" s="97">
        <v>174</v>
      </c>
      <c r="R363" s="97">
        <v>67</v>
      </c>
      <c r="S363" s="97">
        <v>11</v>
      </c>
      <c r="T363" s="97">
        <v>177</v>
      </c>
      <c r="U363" s="97">
        <v>67</v>
      </c>
      <c r="V363" s="97">
        <v>31</v>
      </c>
      <c r="W363" s="97">
        <v>587</v>
      </c>
      <c r="X363" s="97">
        <v>69</v>
      </c>
      <c r="Y363" s="97">
        <v>26</v>
      </c>
      <c r="Z363" s="97">
        <v>504</v>
      </c>
      <c r="AA363" s="97">
        <v>58</v>
      </c>
      <c r="AB363" s="97">
        <v>14</v>
      </c>
      <c r="AC363" s="97">
        <v>278</v>
      </c>
      <c r="AD363" s="97">
        <v>71</v>
      </c>
      <c r="AE363" s="97">
        <v>17</v>
      </c>
      <c r="AF363" s="97">
        <v>290</v>
      </c>
      <c r="AG363" s="97">
        <v>476</v>
      </c>
      <c r="AH363" s="97">
        <v>17</v>
      </c>
      <c r="AI363" s="97">
        <v>358</v>
      </c>
    </row>
    <row r="364" spans="1:35" ht="15" customHeight="1">
      <c r="A364" s="97" t="s">
        <v>2057</v>
      </c>
      <c r="B364" s="97" t="s">
        <v>2057</v>
      </c>
      <c r="C364" s="97" t="s">
        <v>2058</v>
      </c>
      <c r="D364" s="97" t="s">
        <v>3198</v>
      </c>
      <c r="E364" s="97" t="s">
        <v>109</v>
      </c>
      <c r="F364" s="97">
        <v>103</v>
      </c>
      <c r="G364" s="97">
        <v>27</v>
      </c>
      <c r="H364" s="97">
        <v>400</v>
      </c>
      <c r="I364" s="97">
        <v>76</v>
      </c>
      <c r="J364" s="97">
        <v>20</v>
      </c>
      <c r="K364" s="97">
        <v>391</v>
      </c>
      <c r="L364" s="97">
        <v>91</v>
      </c>
      <c r="M364" s="97">
        <v>30</v>
      </c>
      <c r="N364" s="97">
        <v>458</v>
      </c>
      <c r="O364" s="97">
        <v>62</v>
      </c>
      <c r="P364" s="97">
        <v>31</v>
      </c>
      <c r="Q364" s="97">
        <v>564</v>
      </c>
      <c r="R364" s="97">
        <v>60</v>
      </c>
      <c r="S364" s="97">
        <v>16</v>
      </c>
      <c r="T364" s="97">
        <v>322</v>
      </c>
      <c r="U364" s="97">
        <v>84</v>
      </c>
      <c r="V364" s="97">
        <v>9</v>
      </c>
      <c r="W364" s="97">
        <v>123</v>
      </c>
      <c r="X364" s="97">
        <v>64</v>
      </c>
      <c r="Y364" s="97">
        <v>36</v>
      </c>
      <c r="Z364" s="97">
        <v>680</v>
      </c>
      <c r="AA364" s="97">
        <v>35</v>
      </c>
      <c r="AB364" s="97">
        <v>56</v>
      </c>
      <c r="AC364" s="97">
        <v>924</v>
      </c>
      <c r="AD364" s="97">
        <v>71</v>
      </c>
      <c r="AE364" s="97">
        <v>14</v>
      </c>
      <c r="AF364" s="97">
        <v>290</v>
      </c>
      <c r="AG364" s="97">
        <v>476</v>
      </c>
      <c r="AH364" s="97">
        <v>25</v>
      </c>
      <c r="AI364" s="97">
        <v>358</v>
      </c>
    </row>
    <row r="365" spans="1:35" ht="15" customHeight="1">
      <c r="A365" s="97" t="s">
        <v>2504</v>
      </c>
      <c r="B365" s="97" t="s">
        <v>2504</v>
      </c>
      <c r="C365" s="97" t="s">
        <v>2505</v>
      </c>
      <c r="D365" s="97" t="s">
        <v>3198</v>
      </c>
      <c r="E365" s="97" t="s">
        <v>131</v>
      </c>
      <c r="F365" s="97">
        <v>94</v>
      </c>
      <c r="G365" s="97">
        <v>32</v>
      </c>
      <c r="H365" s="97">
        <v>733</v>
      </c>
      <c r="I365" s="97">
        <v>81</v>
      </c>
      <c r="J365" s="97">
        <v>14</v>
      </c>
      <c r="K365" s="97">
        <v>309</v>
      </c>
      <c r="L365" s="97">
        <v>104</v>
      </c>
      <c r="M365" s="97">
        <v>6</v>
      </c>
      <c r="N365" s="97">
        <v>188</v>
      </c>
      <c r="O365" s="97">
        <v>66</v>
      </c>
      <c r="P365" s="97">
        <v>31</v>
      </c>
      <c r="Q365" s="97">
        <v>484</v>
      </c>
      <c r="R365" s="97">
        <v>61</v>
      </c>
      <c r="S365" s="97">
        <v>13</v>
      </c>
      <c r="T365" s="97">
        <v>300</v>
      </c>
      <c r="U365" s="97">
        <v>70</v>
      </c>
      <c r="V365" s="97">
        <v>27</v>
      </c>
      <c r="W365" s="97">
        <v>485</v>
      </c>
      <c r="X365" s="97">
        <v>62</v>
      </c>
      <c r="Y365" s="97">
        <v>40</v>
      </c>
      <c r="Z365" s="97">
        <v>729</v>
      </c>
      <c r="AA365" s="97">
        <v>50</v>
      </c>
      <c r="AB365" s="97">
        <v>41</v>
      </c>
      <c r="AC365" s="97">
        <v>591</v>
      </c>
      <c r="AD365" s="97">
        <v>60</v>
      </c>
      <c r="AE365" s="97">
        <v>49</v>
      </c>
      <c r="AF365" s="97">
        <v>727</v>
      </c>
      <c r="AG365" s="97">
        <v>476</v>
      </c>
      <c r="AH365" s="97">
        <v>17</v>
      </c>
      <c r="AI365" s="97">
        <v>358</v>
      </c>
    </row>
    <row r="366" spans="1:35" ht="15" customHeight="1">
      <c r="A366" s="97" t="s">
        <v>2507</v>
      </c>
      <c r="B366" s="97" t="s">
        <v>2507</v>
      </c>
      <c r="C366" s="97" t="s">
        <v>2508</v>
      </c>
      <c r="D366" s="97" t="s">
        <v>3198</v>
      </c>
      <c r="E366" s="97" t="s">
        <v>131</v>
      </c>
      <c r="F366" s="97">
        <v>104</v>
      </c>
      <c r="G366" s="97">
        <v>10</v>
      </c>
      <c r="H366" s="97">
        <v>357</v>
      </c>
      <c r="I366" s="97">
        <v>89</v>
      </c>
      <c r="J366" s="97">
        <v>8</v>
      </c>
      <c r="K366" s="97">
        <v>196</v>
      </c>
      <c r="L366" s="97">
        <v>104</v>
      </c>
      <c r="M366" s="97">
        <v>6</v>
      </c>
      <c r="N366" s="97">
        <v>188</v>
      </c>
      <c r="O366" s="97">
        <v>62</v>
      </c>
      <c r="P366" s="97">
        <v>34</v>
      </c>
      <c r="Q366" s="97">
        <v>564</v>
      </c>
      <c r="R366" s="97">
        <v>52</v>
      </c>
      <c r="S366" s="97">
        <v>30</v>
      </c>
      <c r="T366" s="97">
        <v>551</v>
      </c>
      <c r="U366" s="97">
        <v>65</v>
      </c>
      <c r="V366" s="97">
        <v>33</v>
      </c>
      <c r="W366" s="97">
        <v>643</v>
      </c>
      <c r="X366" s="97">
        <v>64</v>
      </c>
      <c r="Y366" s="97">
        <v>34</v>
      </c>
      <c r="Z366" s="97">
        <v>680</v>
      </c>
      <c r="AA366" s="97">
        <v>53</v>
      </c>
      <c r="AB366" s="97">
        <v>33</v>
      </c>
      <c r="AC366" s="97">
        <v>470</v>
      </c>
      <c r="AD366" s="97">
        <v>71</v>
      </c>
      <c r="AE366" s="97">
        <v>16</v>
      </c>
      <c r="AF366" s="97">
        <v>290</v>
      </c>
      <c r="AG366" s="97">
        <v>476</v>
      </c>
      <c r="AH366" s="97">
        <v>17</v>
      </c>
      <c r="AI366" s="97">
        <v>358</v>
      </c>
    </row>
    <row r="367" spans="1:35" ht="15" customHeight="1">
      <c r="A367" s="97" t="s">
        <v>2873</v>
      </c>
      <c r="B367" s="97" t="s">
        <v>2873</v>
      </c>
      <c r="C367" s="97" t="s">
        <v>2874</v>
      </c>
      <c r="D367" s="97" t="s">
        <v>3198</v>
      </c>
      <c r="E367" s="97" t="s">
        <v>38</v>
      </c>
      <c r="F367" s="97">
        <v>89</v>
      </c>
      <c r="G367" s="97">
        <v>45</v>
      </c>
      <c r="H367" s="97">
        <v>835</v>
      </c>
      <c r="I367" s="97">
        <v>69</v>
      </c>
      <c r="J367" s="97">
        <v>24</v>
      </c>
      <c r="K367" s="97">
        <v>524</v>
      </c>
      <c r="L367" s="97">
        <v>85</v>
      </c>
      <c r="M367" s="97">
        <v>35</v>
      </c>
      <c r="N367" s="97">
        <v>592</v>
      </c>
      <c r="O367" s="97">
        <v>73</v>
      </c>
      <c r="P367" s="97">
        <v>12</v>
      </c>
      <c r="Q367" s="97">
        <v>339</v>
      </c>
      <c r="R367" s="97">
        <v>79</v>
      </c>
      <c r="S367" s="97">
        <v>2</v>
      </c>
      <c r="T367" s="97">
        <v>49</v>
      </c>
      <c r="U367" s="97">
        <v>81</v>
      </c>
      <c r="V367" s="97">
        <v>9</v>
      </c>
      <c r="W367" s="97">
        <v>183</v>
      </c>
      <c r="X367" s="97">
        <v>70</v>
      </c>
      <c r="Y367" s="97">
        <v>22</v>
      </c>
      <c r="Z367" s="97">
        <v>473</v>
      </c>
      <c r="AA367" s="97">
        <v>68</v>
      </c>
      <c r="AB367" s="97">
        <v>3</v>
      </c>
      <c r="AC367" s="97">
        <v>54</v>
      </c>
      <c r="AD367" s="97">
        <v>88</v>
      </c>
      <c r="AE367" s="97">
        <v>1</v>
      </c>
      <c r="AF367" s="97">
        <v>3</v>
      </c>
      <c r="AG367" s="97">
        <v>476</v>
      </c>
      <c r="AH367" s="97">
        <v>12</v>
      </c>
      <c r="AI367" s="97">
        <v>358</v>
      </c>
    </row>
    <row r="368" spans="1:35" ht="15" customHeight="1">
      <c r="A368" s="97" t="s">
        <v>2203</v>
      </c>
      <c r="B368" s="97" t="s">
        <v>2203</v>
      </c>
      <c r="C368" s="97" t="s">
        <v>107</v>
      </c>
      <c r="D368" s="97" t="s">
        <v>3198</v>
      </c>
      <c r="E368" s="97" t="s">
        <v>73</v>
      </c>
      <c r="F368" s="97">
        <v>99</v>
      </c>
      <c r="G368" s="97">
        <v>36</v>
      </c>
      <c r="H368" s="97">
        <v>571</v>
      </c>
      <c r="I368" s="97">
        <v>71</v>
      </c>
      <c r="J368" s="97">
        <v>18</v>
      </c>
      <c r="K368" s="97">
        <v>475</v>
      </c>
      <c r="L368" s="97">
        <v>99.5</v>
      </c>
      <c r="M368" s="97">
        <v>16</v>
      </c>
      <c r="N368" s="97">
        <v>269</v>
      </c>
      <c r="O368" s="97">
        <v>54</v>
      </c>
      <c r="P368" s="97">
        <v>36</v>
      </c>
      <c r="Q368" s="97">
        <v>718</v>
      </c>
      <c r="R368" s="97">
        <v>83</v>
      </c>
      <c r="S368" s="97">
        <v>1</v>
      </c>
      <c r="T368" s="97">
        <v>30</v>
      </c>
      <c r="U368" s="97">
        <v>69</v>
      </c>
      <c r="V368" s="97">
        <v>24</v>
      </c>
      <c r="W368" s="97">
        <v>523</v>
      </c>
      <c r="X368" s="97">
        <v>60</v>
      </c>
      <c r="Y368" s="97">
        <v>44</v>
      </c>
      <c r="Z368" s="97">
        <v>777</v>
      </c>
      <c r="AA368" s="97">
        <v>37</v>
      </c>
      <c r="AB368" s="97">
        <v>54</v>
      </c>
      <c r="AC368" s="97">
        <v>912</v>
      </c>
      <c r="AD368" s="97">
        <v>43</v>
      </c>
      <c r="AE368" s="97">
        <v>56</v>
      </c>
      <c r="AF368" s="97">
        <v>928</v>
      </c>
      <c r="AG368" s="97">
        <v>475.5</v>
      </c>
      <c r="AH368" s="97">
        <v>18</v>
      </c>
      <c r="AI368" s="97">
        <v>365</v>
      </c>
    </row>
    <row r="369" spans="1:35" ht="15" customHeight="1">
      <c r="A369" s="97" t="s">
        <v>1329</v>
      </c>
      <c r="B369" s="97" t="s">
        <v>1329</v>
      </c>
      <c r="C369" s="97" t="s">
        <v>1330</v>
      </c>
      <c r="D369" s="97" t="s">
        <v>3198</v>
      </c>
      <c r="E369" s="97" t="s">
        <v>54</v>
      </c>
      <c r="F369" s="97">
        <v>110</v>
      </c>
      <c r="G369" s="97">
        <v>15</v>
      </c>
      <c r="H369" s="97">
        <v>159</v>
      </c>
      <c r="I369" s="97">
        <v>92</v>
      </c>
      <c r="J369" s="97">
        <v>7</v>
      </c>
      <c r="K369" s="97">
        <v>166</v>
      </c>
      <c r="L369" s="97">
        <v>75.5</v>
      </c>
      <c r="M369" s="97">
        <v>42</v>
      </c>
      <c r="N369" s="97">
        <v>763</v>
      </c>
      <c r="O369" s="97">
        <v>58</v>
      </c>
      <c r="P369" s="97">
        <v>33</v>
      </c>
      <c r="Q369" s="97">
        <v>649</v>
      </c>
      <c r="R369" s="97">
        <v>64</v>
      </c>
      <c r="S369" s="97">
        <v>15</v>
      </c>
      <c r="T369" s="97">
        <v>244</v>
      </c>
      <c r="U369" s="97">
        <v>76</v>
      </c>
      <c r="V369" s="97">
        <v>21</v>
      </c>
      <c r="W369" s="97">
        <v>308</v>
      </c>
      <c r="X369" s="97">
        <v>67</v>
      </c>
      <c r="Y369" s="97">
        <v>28</v>
      </c>
      <c r="Z369" s="97">
        <v>570</v>
      </c>
      <c r="AA369" s="97">
        <v>53</v>
      </c>
      <c r="AB369" s="97">
        <v>21</v>
      </c>
      <c r="AC369" s="97">
        <v>470</v>
      </c>
      <c r="AD369" s="97">
        <v>45</v>
      </c>
      <c r="AE369" s="97">
        <v>55</v>
      </c>
      <c r="AF369" s="97">
        <v>923</v>
      </c>
      <c r="AG369" s="97">
        <v>475.5</v>
      </c>
      <c r="AH369" s="97">
        <v>16</v>
      </c>
      <c r="AI369" s="97">
        <v>365</v>
      </c>
    </row>
    <row r="370" spans="1:35" ht="15" customHeight="1">
      <c r="A370" s="97" t="s">
        <v>1039</v>
      </c>
      <c r="B370" s="97" t="s">
        <v>1039</v>
      </c>
      <c r="C370" s="97" t="s">
        <v>1040</v>
      </c>
      <c r="D370" s="97" t="s">
        <v>3198</v>
      </c>
      <c r="E370" s="97" t="s">
        <v>68</v>
      </c>
      <c r="F370" s="97">
        <v>101</v>
      </c>
      <c r="G370" s="97">
        <v>31</v>
      </c>
      <c r="H370" s="97">
        <v>481</v>
      </c>
      <c r="I370" s="97">
        <v>85</v>
      </c>
      <c r="J370" s="97">
        <v>16</v>
      </c>
      <c r="K370" s="97">
        <v>244</v>
      </c>
      <c r="L370" s="97">
        <v>87</v>
      </c>
      <c r="M370" s="97">
        <v>23</v>
      </c>
      <c r="N370" s="97">
        <v>553</v>
      </c>
      <c r="O370" s="97">
        <v>66</v>
      </c>
      <c r="P370" s="97">
        <v>23</v>
      </c>
      <c r="Q370" s="97">
        <v>484</v>
      </c>
      <c r="R370" s="97">
        <v>58</v>
      </c>
      <c r="S370" s="97">
        <v>22</v>
      </c>
      <c r="T370" s="97">
        <v>377</v>
      </c>
      <c r="U370" s="97">
        <v>78</v>
      </c>
      <c r="V370" s="97">
        <v>12</v>
      </c>
      <c r="W370" s="97">
        <v>250</v>
      </c>
      <c r="X370" s="97">
        <v>89</v>
      </c>
      <c r="Y370" s="97">
        <v>1</v>
      </c>
      <c r="Z370" s="97">
        <v>8</v>
      </c>
      <c r="AA370" s="97">
        <v>63</v>
      </c>
      <c r="AB370" s="97">
        <v>1</v>
      </c>
      <c r="AC370" s="97">
        <v>123</v>
      </c>
      <c r="AD370" s="97">
        <v>67</v>
      </c>
      <c r="AE370" s="97">
        <v>28</v>
      </c>
      <c r="AF370" s="97">
        <v>471</v>
      </c>
      <c r="AG370" s="97">
        <v>475</v>
      </c>
      <c r="AH370" s="97">
        <v>21</v>
      </c>
      <c r="AI370" s="97">
        <v>367</v>
      </c>
    </row>
    <row r="371" spans="1:35" ht="15" customHeight="1">
      <c r="A371" s="97" t="s">
        <v>288</v>
      </c>
      <c r="B371" s="97" t="s">
        <v>288</v>
      </c>
      <c r="C371" s="97" t="s">
        <v>289</v>
      </c>
      <c r="D371" s="97" t="s">
        <v>3198</v>
      </c>
      <c r="E371" s="97" t="s">
        <v>28</v>
      </c>
      <c r="F371" s="97">
        <v>124</v>
      </c>
      <c r="G371" s="97">
        <v>1</v>
      </c>
      <c r="H371" s="97">
        <v>4</v>
      </c>
      <c r="I371" s="97">
        <v>79</v>
      </c>
      <c r="J371" s="97">
        <v>16</v>
      </c>
      <c r="K371" s="97">
        <v>342</v>
      </c>
      <c r="L371" s="97">
        <v>64</v>
      </c>
      <c r="M371" s="97">
        <v>51</v>
      </c>
      <c r="N371" s="97">
        <v>886</v>
      </c>
      <c r="O371" s="97">
        <v>63</v>
      </c>
      <c r="P371" s="97">
        <v>35</v>
      </c>
      <c r="Q371" s="97">
        <v>540</v>
      </c>
      <c r="R371" s="97">
        <v>59</v>
      </c>
      <c r="S371" s="97">
        <v>14</v>
      </c>
      <c r="T371" s="97">
        <v>348</v>
      </c>
      <c r="U371" s="97">
        <v>86</v>
      </c>
      <c r="V371" s="97">
        <v>3</v>
      </c>
      <c r="W371" s="97">
        <v>77</v>
      </c>
      <c r="X371" s="97">
        <v>87</v>
      </c>
      <c r="Y371" s="97">
        <v>1</v>
      </c>
      <c r="Z371" s="97">
        <v>25</v>
      </c>
      <c r="AA371" s="97">
        <v>64</v>
      </c>
      <c r="AB371" s="97">
        <v>7</v>
      </c>
      <c r="AC371" s="97">
        <v>103</v>
      </c>
      <c r="AD371" s="97">
        <v>84</v>
      </c>
      <c r="AE371" s="97">
        <v>2</v>
      </c>
      <c r="AF371" s="97">
        <v>16</v>
      </c>
      <c r="AG371" s="97">
        <v>475</v>
      </c>
      <c r="AH371" s="97">
        <v>16</v>
      </c>
      <c r="AI371" s="97">
        <v>367</v>
      </c>
    </row>
    <row r="372" spans="1:35" ht="15" customHeight="1">
      <c r="A372" s="97" t="s">
        <v>238</v>
      </c>
      <c r="B372" s="97" t="s">
        <v>238</v>
      </c>
      <c r="C372" s="97" t="s">
        <v>239</v>
      </c>
      <c r="D372" s="97" t="s">
        <v>3198</v>
      </c>
      <c r="E372" s="97" t="s">
        <v>28</v>
      </c>
      <c r="F372" s="97">
        <v>102</v>
      </c>
      <c r="G372" s="97">
        <v>25</v>
      </c>
      <c r="H372" s="97">
        <v>442</v>
      </c>
      <c r="I372" s="97">
        <v>84</v>
      </c>
      <c r="J372" s="97">
        <v>12</v>
      </c>
      <c r="K372" s="97">
        <v>251</v>
      </c>
      <c r="L372" s="97">
        <v>80.5</v>
      </c>
      <c r="M372" s="97">
        <v>39</v>
      </c>
      <c r="N372" s="97">
        <v>687</v>
      </c>
      <c r="O372" s="97">
        <v>73</v>
      </c>
      <c r="P372" s="97">
        <v>19</v>
      </c>
      <c r="Q372" s="97">
        <v>339</v>
      </c>
      <c r="R372" s="97">
        <v>62</v>
      </c>
      <c r="S372" s="97">
        <v>10</v>
      </c>
      <c r="T372" s="97">
        <v>277</v>
      </c>
      <c r="U372" s="97">
        <v>73</v>
      </c>
      <c r="V372" s="97">
        <v>24</v>
      </c>
      <c r="W372" s="97">
        <v>393</v>
      </c>
      <c r="X372" s="97">
        <v>75</v>
      </c>
      <c r="Y372" s="97">
        <v>15</v>
      </c>
      <c r="Z372" s="97">
        <v>289</v>
      </c>
      <c r="AA372" s="97">
        <v>67</v>
      </c>
      <c r="AB372" s="97">
        <v>3</v>
      </c>
      <c r="AC372" s="97">
        <v>66</v>
      </c>
      <c r="AD372" s="97">
        <v>75</v>
      </c>
      <c r="AE372" s="97">
        <v>6</v>
      </c>
      <c r="AF372" s="97">
        <v>146</v>
      </c>
      <c r="AG372" s="97">
        <v>474.5</v>
      </c>
      <c r="AH372" s="97">
        <v>17</v>
      </c>
      <c r="AI372" s="97">
        <v>369</v>
      </c>
    </row>
    <row r="373" spans="1:35" ht="15" customHeight="1">
      <c r="A373" s="97" t="s">
        <v>1300</v>
      </c>
      <c r="B373" s="97" t="s">
        <v>1300</v>
      </c>
      <c r="C373" s="97" t="s">
        <v>1301</v>
      </c>
      <c r="D373" s="97" t="s">
        <v>3198</v>
      </c>
      <c r="E373" s="97" t="s">
        <v>54</v>
      </c>
      <c r="F373" s="97">
        <v>112</v>
      </c>
      <c r="G373" s="97">
        <v>11</v>
      </c>
      <c r="H373" s="97">
        <v>114</v>
      </c>
      <c r="I373" s="97">
        <v>67</v>
      </c>
      <c r="J373" s="97">
        <v>31</v>
      </c>
      <c r="K373" s="97">
        <v>565</v>
      </c>
      <c r="L373" s="97">
        <v>79.5</v>
      </c>
      <c r="M373" s="97">
        <v>35</v>
      </c>
      <c r="N373" s="97">
        <v>698</v>
      </c>
      <c r="O373" s="97">
        <v>72</v>
      </c>
      <c r="P373" s="97">
        <v>21</v>
      </c>
      <c r="Q373" s="97">
        <v>358</v>
      </c>
      <c r="R373" s="97">
        <v>67</v>
      </c>
      <c r="S373" s="97">
        <v>6</v>
      </c>
      <c r="T373" s="97">
        <v>177</v>
      </c>
      <c r="U373" s="97">
        <v>77</v>
      </c>
      <c r="V373" s="97">
        <v>16</v>
      </c>
      <c r="W373" s="97">
        <v>275</v>
      </c>
      <c r="X373" s="97">
        <v>69</v>
      </c>
      <c r="Y373" s="97">
        <v>22</v>
      </c>
      <c r="Z373" s="97">
        <v>504</v>
      </c>
      <c r="AA373" s="97">
        <v>49</v>
      </c>
      <c r="AB373" s="97">
        <v>27</v>
      </c>
      <c r="AC373" s="97">
        <v>633</v>
      </c>
      <c r="AD373" s="97">
        <v>62</v>
      </c>
      <c r="AE373" s="97">
        <v>37</v>
      </c>
      <c r="AF373" s="97">
        <v>672</v>
      </c>
      <c r="AG373" s="97">
        <v>474.5</v>
      </c>
      <c r="AH373" s="97">
        <v>17</v>
      </c>
      <c r="AI373" s="97">
        <v>369</v>
      </c>
    </row>
    <row r="374" spans="1:35" ht="15" customHeight="1">
      <c r="A374" s="97" t="s">
        <v>2498</v>
      </c>
      <c r="B374" s="97" t="s">
        <v>2498</v>
      </c>
      <c r="C374" s="97" t="s">
        <v>2499</v>
      </c>
      <c r="D374" s="97" t="s">
        <v>3198</v>
      </c>
      <c r="E374" s="97" t="s">
        <v>131</v>
      </c>
      <c r="F374" s="97">
        <v>104</v>
      </c>
      <c r="G374" s="97">
        <v>10</v>
      </c>
      <c r="H374" s="97">
        <v>357</v>
      </c>
      <c r="I374" s="97">
        <v>78</v>
      </c>
      <c r="J374" s="97">
        <v>18</v>
      </c>
      <c r="K374" s="97">
        <v>353</v>
      </c>
      <c r="L374" s="97">
        <v>81.5</v>
      </c>
      <c r="M374" s="97">
        <v>34</v>
      </c>
      <c r="N374" s="97">
        <v>673</v>
      </c>
      <c r="O374" s="97">
        <v>76</v>
      </c>
      <c r="P374" s="97">
        <v>17</v>
      </c>
      <c r="Q374" s="97">
        <v>287</v>
      </c>
      <c r="R374" s="97">
        <v>57</v>
      </c>
      <c r="S374" s="97">
        <v>19</v>
      </c>
      <c r="T374" s="97">
        <v>409</v>
      </c>
      <c r="U374" s="97">
        <v>78</v>
      </c>
      <c r="V374" s="97">
        <v>11</v>
      </c>
      <c r="W374" s="97">
        <v>250</v>
      </c>
      <c r="X374" s="97">
        <v>67</v>
      </c>
      <c r="Y374" s="97">
        <v>28</v>
      </c>
      <c r="Z374" s="97">
        <v>570</v>
      </c>
      <c r="AA374" s="97">
        <v>67</v>
      </c>
      <c r="AB374" s="97">
        <v>5</v>
      </c>
      <c r="AC374" s="97">
        <v>66</v>
      </c>
      <c r="AD374" s="97">
        <v>71</v>
      </c>
      <c r="AE374" s="97">
        <v>16</v>
      </c>
      <c r="AF374" s="97">
        <v>290</v>
      </c>
      <c r="AG374" s="97">
        <v>474.5</v>
      </c>
      <c r="AH374" s="97">
        <v>19</v>
      </c>
      <c r="AI374" s="97">
        <v>369</v>
      </c>
    </row>
    <row r="375" spans="1:35" ht="15" customHeight="1">
      <c r="A375" s="97" t="s">
        <v>2403</v>
      </c>
      <c r="B375" s="97" t="s">
        <v>2403</v>
      </c>
      <c r="C375" s="97" t="s">
        <v>2409</v>
      </c>
      <c r="D375" s="97" t="s">
        <v>3198</v>
      </c>
      <c r="E375" s="97" t="s">
        <v>7</v>
      </c>
      <c r="F375" s="97">
        <v>110</v>
      </c>
      <c r="G375" s="97">
        <v>9</v>
      </c>
      <c r="H375" s="97">
        <v>159</v>
      </c>
      <c r="I375" s="97">
        <v>87</v>
      </c>
      <c r="J375" s="97">
        <v>6</v>
      </c>
      <c r="K375" s="97">
        <v>220</v>
      </c>
      <c r="L375" s="97">
        <v>91</v>
      </c>
      <c r="M375" s="97">
        <v>20</v>
      </c>
      <c r="N375" s="97">
        <v>458</v>
      </c>
      <c r="O375" s="97">
        <v>67</v>
      </c>
      <c r="P375" s="97">
        <v>22</v>
      </c>
      <c r="Q375" s="97">
        <v>468</v>
      </c>
      <c r="R375" s="97">
        <v>49</v>
      </c>
      <c r="S375" s="97">
        <v>31</v>
      </c>
      <c r="T375" s="97">
        <v>624</v>
      </c>
      <c r="U375" s="97">
        <v>70</v>
      </c>
      <c r="V375" s="97">
        <v>25</v>
      </c>
      <c r="W375" s="97">
        <v>485</v>
      </c>
      <c r="X375" s="97">
        <v>69</v>
      </c>
      <c r="Y375" s="97">
        <v>42</v>
      </c>
      <c r="Z375" s="97">
        <v>504</v>
      </c>
      <c r="AA375" s="97">
        <v>47</v>
      </c>
      <c r="AB375" s="97">
        <v>48</v>
      </c>
      <c r="AC375" s="97">
        <v>719</v>
      </c>
      <c r="AD375" s="97">
        <v>58</v>
      </c>
      <c r="AE375" s="97">
        <v>43</v>
      </c>
      <c r="AF375" s="97">
        <v>770</v>
      </c>
      <c r="AG375" s="97">
        <v>474</v>
      </c>
      <c r="AH375" s="97">
        <v>12</v>
      </c>
      <c r="AI375" s="97">
        <v>372</v>
      </c>
    </row>
    <row r="376" spans="1:35" ht="15" customHeight="1">
      <c r="A376" s="97" t="s">
        <v>548</v>
      </c>
      <c r="B376" s="97" t="s">
        <v>548</v>
      </c>
      <c r="C376" s="97" t="s">
        <v>549</v>
      </c>
      <c r="D376" s="97" t="s">
        <v>3198</v>
      </c>
      <c r="E376" s="97" t="s">
        <v>17</v>
      </c>
      <c r="F376" s="97">
        <v>105</v>
      </c>
      <c r="G376" s="97">
        <v>21</v>
      </c>
      <c r="H376" s="97">
        <v>325</v>
      </c>
      <c r="I376" s="97">
        <v>82</v>
      </c>
      <c r="J376" s="97">
        <v>21</v>
      </c>
      <c r="K376" s="97">
        <v>290</v>
      </c>
      <c r="L376" s="97">
        <v>93</v>
      </c>
      <c r="M376" s="97">
        <v>23</v>
      </c>
      <c r="N376" s="97">
        <v>405</v>
      </c>
      <c r="O376" s="97">
        <v>71</v>
      </c>
      <c r="P376" s="97">
        <v>20</v>
      </c>
      <c r="Q376" s="97">
        <v>378</v>
      </c>
      <c r="R376" s="97">
        <v>56</v>
      </c>
      <c r="S376" s="97">
        <v>25</v>
      </c>
      <c r="T376" s="97">
        <v>433</v>
      </c>
      <c r="U376" s="97">
        <v>67</v>
      </c>
      <c r="V376" s="97">
        <v>37</v>
      </c>
      <c r="W376" s="97">
        <v>587</v>
      </c>
      <c r="X376" s="97">
        <v>75</v>
      </c>
      <c r="Y376" s="97">
        <v>21</v>
      </c>
      <c r="Z376" s="97">
        <v>289</v>
      </c>
      <c r="AA376" s="97">
        <v>55</v>
      </c>
      <c r="AB376" s="97">
        <v>26</v>
      </c>
      <c r="AC376" s="97">
        <v>392</v>
      </c>
      <c r="AD376" s="97">
        <v>67</v>
      </c>
      <c r="AE376" s="97">
        <v>34</v>
      </c>
      <c r="AF376" s="97">
        <v>471</v>
      </c>
      <c r="AG376" s="97">
        <v>474</v>
      </c>
      <c r="AH376" s="97">
        <v>21</v>
      </c>
      <c r="AI376" s="97">
        <v>372</v>
      </c>
    </row>
    <row r="377" spans="1:35" ht="15" customHeight="1">
      <c r="A377" s="97" t="s">
        <v>663</v>
      </c>
      <c r="B377" s="97" t="s">
        <v>663</v>
      </c>
      <c r="C377" s="97" t="s">
        <v>664</v>
      </c>
      <c r="D377" s="97" t="s">
        <v>3198</v>
      </c>
      <c r="E377" s="97" t="s">
        <v>17</v>
      </c>
      <c r="F377" s="97">
        <v>106</v>
      </c>
      <c r="G377" s="97">
        <v>19</v>
      </c>
      <c r="H377" s="97">
        <v>287</v>
      </c>
      <c r="I377" s="97">
        <v>77</v>
      </c>
      <c r="J377" s="97">
        <v>25</v>
      </c>
      <c r="K377" s="97">
        <v>369</v>
      </c>
      <c r="L377" s="97">
        <v>89</v>
      </c>
      <c r="M377" s="97">
        <v>31</v>
      </c>
      <c r="N377" s="97">
        <v>509</v>
      </c>
      <c r="O377" s="97">
        <v>71</v>
      </c>
      <c r="P377" s="97">
        <v>20</v>
      </c>
      <c r="Q377" s="97">
        <v>378</v>
      </c>
      <c r="R377" s="97">
        <v>55</v>
      </c>
      <c r="S377" s="97">
        <v>27</v>
      </c>
      <c r="T377" s="97">
        <v>470</v>
      </c>
      <c r="U377" s="97">
        <v>76</v>
      </c>
      <c r="V377" s="97">
        <v>15</v>
      </c>
      <c r="W377" s="97">
        <v>308</v>
      </c>
      <c r="X377" s="97">
        <v>72</v>
      </c>
      <c r="Y377" s="97">
        <v>27</v>
      </c>
      <c r="Z377" s="97">
        <v>396</v>
      </c>
      <c r="AA377" s="97">
        <v>50</v>
      </c>
      <c r="AB377" s="97">
        <v>39</v>
      </c>
      <c r="AC377" s="97">
        <v>591</v>
      </c>
      <c r="AD377" s="97">
        <v>68</v>
      </c>
      <c r="AE377" s="97">
        <v>27</v>
      </c>
      <c r="AF377" s="97">
        <v>412</v>
      </c>
      <c r="AG377" s="97">
        <v>474</v>
      </c>
      <c r="AH377" s="97">
        <v>21</v>
      </c>
      <c r="AI377" s="97">
        <v>372</v>
      </c>
    </row>
    <row r="378" spans="1:35" ht="15" customHeight="1">
      <c r="A378" s="97" t="s">
        <v>1414</v>
      </c>
      <c r="B378" s="97" t="s">
        <v>1414</v>
      </c>
      <c r="C378" s="97" t="s">
        <v>1415</v>
      </c>
      <c r="D378" s="97" t="s">
        <v>3198</v>
      </c>
      <c r="E378" s="97" t="s">
        <v>56</v>
      </c>
      <c r="F378" s="97">
        <v>114</v>
      </c>
      <c r="G378" s="97">
        <v>3</v>
      </c>
      <c r="H378" s="97">
        <v>80</v>
      </c>
      <c r="I378" s="97">
        <v>68</v>
      </c>
      <c r="J378" s="97">
        <v>22</v>
      </c>
      <c r="K378" s="97">
        <v>540</v>
      </c>
      <c r="L378" s="97">
        <v>94.5</v>
      </c>
      <c r="M378" s="97">
        <v>17</v>
      </c>
      <c r="N378" s="97">
        <v>377</v>
      </c>
      <c r="O378" s="97">
        <v>69</v>
      </c>
      <c r="P378" s="97">
        <v>23</v>
      </c>
      <c r="Q378" s="97">
        <v>428</v>
      </c>
      <c r="R378" s="97">
        <v>48</v>
      </c>
      <c r="S378" s="97">
        <v>32</v>
      </c>
      <c r="T378" s="97">
        <v>649</v>
      </c>
      <c r="U378" s="97">
        <v>80</v>
      </c>
      <c r="V378" s="97">
        <v>18</v>
      </c>
      <c r="W378" s="97">
        <v>205</v>
      </c>
      <c r="X378" s="97">
        <v>74</v>
      </c>
      <c r="Y378" s="97">
        <v>20</v>
      </c>
      <c r="Z378" s="97">
        <v>326</v>
      </c>
      <c r="AA378" s="97">
        <v>58</v>
      </c>
      <c r="AB378" s="97">
        <v>7</v>
      </c>
      <c r="AC378" s="97">
        <v>278</v>
      </c>
      <c r="AD378" s="97">
        <v>74</v>
      </c>
      <c r="AE378" s="97">
        <v>11</v>
      </c>
      <c r="AF378" s="97">
        <v>174</v>
      </c>
      <c r="AG378" s="97">
        <v>473.5</v>
      </c>
      <c r="AH378" s="97">
        <v>18</v>
      </c>
      <c r="AI378" s="97">
        <v>375</v>
      </c>
    </row>
    <row r="379" spans="1:35" ht="15" customHeight="1">
      <c r="A379" s="97" t="s">
        <v>886</v>
      </c>
      <c r="B379" s="97" t="s">
        <v>886</v>
      </c>
      <c r="C379" s="97" t="s">
        <v>887</v>
      </c>
      <c r="D379" s="97" t="s">
        <v>3198</v>
      </c>
      <c r="E379" s="97" t="s">
        <v>60</v>
      </c>
      <c r="F379" s="97">
        <v>103</v>
      </c>
      <c r="G379" s="97">
        <v>31</v>
      </c>
      <c r="H379" s="97">
        <v>400</v>
      </c>
      <c r="I379" s="97">
        <v>90</v>
      </c>
      <c r="J379" s="97">
        <v>12</v>
      </c>
      <c r="K379" s="97">
        <v>183</v>
      </c>
      <c r="L379" s="97">
        <v>83</v>
      </c>
      <c r="M379" s="97">
        <v>35</v>
      </c>
      <c r="N379" s="97">
        <v>642</v>
      </c>
      <c r="O379" s="97">
        <v>54</v>
      </c>
      <c r="P379" s="97">
        <v>37</v>
      </c>
      <c r="Q379" s="97">
        <v>718</v>
      </c>
      <c r="R379" s="97">
        <v>62</v>
      </c>
      <c r="S379" s="97">
        <v>16</v>
      </c>
      <c r="T379" s="97">
        <v>277</v>
      </c>
      <c r="U379" s="97">
        <v>81</v>
      </c>
      <c r="V379" s="97">
        <v>5</v>
      </c>
      <c r="W379" s="97">
        <v>183</v>
      </c>
      <c r="X379" s="97">
        <v>59</v>
      </c>
      <c r="Y379" s="97">
        <v>48</v>
      </c>
      <c r="Z379" s="97">
        <v>799</v>
      </c>
      <c r="AA379" s="97">
        <v>32</v>
      </c>
      <c r="AB379" s="97">
        <v>57</v>
      </c>
      <c r="AC379" s="97">
        <v>930</v>
      </c>
      <c r="AD379" s="97">
        <v>58</v>
      </c>
      <c r="AE379" s="97">
        <v>45</v>
      </c>
      <c r="AF379" s="97">
        <v>770</v>
      </c>
      <c r="AG379" s="97">
        <v>473</v>
      </c>
      <c r="AH379" s="97">
        <v>20</v>
      </c>
      <c r="AI379" s="97">
        <v>376</v>
      </c>
    </row>
    <row r="380" spans="1:35" ht="15" customHeight="1">
      <c r="A380" s="97" t="s">
        <v>259</v>
      </c>
      <c r="B380" s="97" t="s">
        <v>259</v>
      </c>
      <c r="C380" s="97" t="s">
        <v>260</v>
      </c>
      <c r="D380" s="97" t="s">
        <v>3198</v>
      </c>
      <c r="E380" s="97" t="s">
        <v>28</v>
      </c>
      <c r="F380" s="97">
        <v>115</v>
      </c>
      <c r="G380" s="97">
        <v>3</v>
      </c>
      <c r="H380" s="97">
        <v>65</v>
      </c>
      <c r="I380" s="97">
        <v>77</v>
      </c>
      <c r="J380" s="97">
        <v>19</v>
      </c>
      <c r="K380" s="97">
        <v>369</v>
      </c>
      <c r="L380" s="97">
        <v>88</v>
      </c>
      <c r="M380" s="97">
        <v>32</v>
      </c>
      <c r="N380" s="97">
        <v>534</v>
      </c>
      <c r="O380" s="97">
        <v>69</v>
      </c>
      <c r="P380" s="97">
        <v>27</v>
      </c>
      <c r="Q380" s="97">
        <v>428</v>
      </c>
      <c r="R380" s="97">
        <v>48</v>
      </c>
      <c r="S380" s="97">
        <v>34</v>
      </c>
      <c r="T380" s="97">
        <v>649</v>
      </c>
      <c r="U380" s="97">
        <v>76</v>
      </c>
      <c r="V380" s="97">
        <v>16</v>
      </c>
      <c r="W380" s="97">
        <v>308</v>
      </c>
      <c r="X380" s="97">
        <v>81</v>
      </c>
      <c r="Y380" s="97">
        <v>5</v>
      </c>
      <c r="Z380" s="97">
        <v>124</v>
      </c>
      <c r="AA380" s="97">
        <v>55</v>
      </c>
      <c r="AB380" s="97">
        <v>30</v>
      </c>
      <c r="AC380" s="97">
        <v>392</v>
      </c>
      <c r="AD380" s="97">
        <v>68</v>
      </c>
      <c r="AE380" s="97">
        <v>24</v>
      </c>
      <c r="AF380" s="97">
        <v>412</v>
      </c>
      <c r="AG380" s="97">
        <v>473</v>
      </c>
      <c r="AH380" s="97">
        <v>18</v>
      </c>
      <c r="AI380" s="97">
        <v>376</v>
      </c>
    </row>
    <row r="381" spans="1:35" ht="15" customHeight="1">
      <c r="A381" s="97" t="s">
        <v>2320</v>
      </c>
      <c r="B381" s="97" t="s">
        <v>2320</v>
      </c>
      <c r="C381" s="97" t="s">
        <v>2324</v>
      </c>
      <c r="D381" s="97" t="s">
        <v>3198</v>
      </c>
      <c r="E381" s="97" t="s">
        <v>7</v>
      </c>
      <c r="F381" s="97">
        <v>108</v>
      </c>
      <c r="G381" s="97">
        <v>11</v>
      </c>
      <c r="H381" s="97">
        <v>212</v>
      </c>
      <c r="I381" s="97">
        <v>83</v>
      </c>
      <c r="J381" s="97">
        <v>8</v>
      </c>
      <c r="K381" s="97">
        <v>267</v>
      </c>
      <c r="L381" s="97">
        <v>87</v>
      </c>
      <c r="M381" s="97">
        <v>30</v>
      </c>
      <c r="N381" s="97">
        <v>553</v>
      </c>
      <c r="O381" s="97">
        <v>81</v>
      </c>
      <c r="P381" s="97">
        <v>7</v>
      </c>
      <c r="Q381" s="97">
        <v>195</v>
      </c>
      <c r="R381" s="97">
        <v>60</v>
      </c>
      <c r="S381" s="97">
        <v>14</v>
      </c>
      <c r="T381" s="97">
        <v>322</v>
      </c>
      <c r="U381" s="97">
        <v>54</v>
      </c>
      <c r="V381" s="97">
        <v>48</v>
      </c>
      <c r="W381" s="97">
        <v>845</v>
      </c>
      <c r="X381" s="97">
        <v>82</v>
      </c>
      <c r="Y381" s="97">
        <v>13</v>
      </c>
      <c r="Z381" s="97">
        <v>100</v>
      </c>
      <c r="AA381" s="97">
        <v>55</v>
      </c>
      <c r="AB381" s="97">
        <v>28</v>
      </c>
      <c r="AC381" s="97">
        <v>392</v>
      </c>
      <c r="AD381" s="97">
        <v>63</v>
      </c>
      <c r="AE381" s="97">
        <v>36</v>
      </c>
      <c r="AF381" s="97">
        <v>633</v>
      </c>
      <c r="AG381" s="97">
        <v>473</v>
      </c>
      <c r="AH381" s="97">
        <v>13</v>
      </c>
      <c r="AI381" s="97">
        <v>376</v>
      </c>
    </row>
    <row r="382" spans="1:35" ht="15" customHeight="1">
      <c r="A382" s="97" t="s">
        <v>479</v>
      </c>
      <c r="B382" s="97" t="s">
        <v>479</v>
      </c>
      <c r="C382" s="97" t="s">
        <v>483</v>
      </c>
      <c r="D382" s="97" t="s">
        <v>3198</v>
      </c>
      <c r="E382" s="97" t="s">
        <v>19</v>
      </c>
      <c r="F382" s="97">
        <v>112</v>
      </c>
      <c r="G382" s="97">
        <v>8</v>
      </c>
      <c r="H382" s="97">
        <v>114</v>
      </c>
      <c r="I382" s="97">
        <v>64</v>
      </c>
      <c r="J382" s="97">
        <v>36</v>
      </c>
      <c r="K382" s="97">
        <v>627</v>
      </c>
      <c r="L382" s="97">
        <v>113.5</v>
      </c>
      <c r="M382" s="97">
        <v>6</v>
      </c>
      <c r="N382" s="97">
        <v>71</v>
      </c>
      <c r="O382" s="97">
        <v>64</v>
      </c>
      <c r="P382" s="97">
        <v>24</v>
      </c>
      <c r="Q382" s="97">
        <v>517</v>
      </c>
      <c r="R382" s="97">
        <v>52</v>
      </c>
      <c r="S382" s="97">
        <v>27</v>
      </c>
      <c r="T382" s="97">
        <v>551</v>
      </c>
      <c r="U382" s="97">
        <v>67</v>
      </c>
      <c r="V382" s="97">
        <v>34</v>
      </c>
      <c r="W382" s="97">
        <v>587</v>
      </c>
      <c r="X382" s="97">
        <v>75</v>
      </c>
      <c r="Y382" s="97">
        <v>14</v>
      </c>
      <c r="Z382" s="97">
        <v>289</v>
      </c>
      <c r="AA382" s="97">
        <v>60</v>
      </c>
      <c r="AB382" s="97">
        <v>13</v>
      </c>
      <c r="AC382" s="97">
        <v>203</v>
      </c>
      <c r="AD382" s="97">
        <v>76</v>
      </c>
      <c r="AE382" s="97">
        <v>6</v>
      </c>
      <c r="AF382" s="97">
        <v>125</v>
      </c>
      <c r="AG382" s="97">
        <v>472.5</v>
      </c>
      <c r="AH382" s="97">
        <v>17</v>
      </c>
      <c r="AI382" s="97">
        <v>379</v>
      </c>
    </row>
    <row r="383" spans="1:35" ht="15" customHeight="1">
      <c r="A383" s="97" t="s">
        <v>345</v>
      </c>
      <c r="B383" s="97" t="s">
        <v>345</v>
      </c>
      <c r="C383" s="97" t="s">
        <v>346</v>
      </c>
      <c r="D383" s="97" t="s">
        <v>3198</v>
      </c>
      <c r="E383" s="97" t="s">
        <v>28</v>
      </c>
      <c r="F383" s="97">
        <v>104</v>
      </c>
      <c r="G383" s="97">
        <v>19</v>
      </c>
      <c r="H383" s="97">
        <v>357</v>
      </c>
      <c r="I383" s="97">
        <v>86</v>
      </c>
      <c r="J383" s="97">
        <v>10</v>
      </c>
      <c r="K383" s="97">
        <v>233</v>
      </c>
      <c r="L383" s="97">
        <v>56</v>
      </c>
      <c r="M383" s="97">
        <v>54</v>
      </c>
      <c r="N383" s="97">
        <v>923</v>
      </c>
      <c r="O383" s="97">
        <v>81</v>
      </c>
      <c r="P383" s="97">
        <v>8</v>
      </c>
      <c r="Q383" s="97">
        <v>195</v>
      </c>
      <c r="R383" s="97">
        <v>67</v>
      </c>
      <c r="S383" s="97">
        <v>5</v>
      </c>
      <c r="T383" s="97">
        <v>177</v>
      </c>
      <c r="U383" s="97">
        <v>78</v>
      </c>
      <c r="V383" s="97">
        <v>12</v>
      </c>
      <c r="W383" s="97">
        <v>250</v>
      </c>
      <c r="X383" s="97">
        <v>76</v>
      </c>
      <c r="Y383" s="97">
        <v>13</v>
      </c>
      <c r="Z383" s="97">
        <v>260</v>
      </c>
      <c r="AA383" s="97">
        <v>66</v>
      </c>
      <c r="AB383" s="97">
        <v>6</v>
      </c>
      <c r="AC383" s="97">
        <v>80</v>
      </c>
      <c r="AD383" s="97">
        <v>79</v>
      </c>
      <c r="AE383" s="97">
        <v>3</v>
      </c>
      <c r="AF383" s="97">
        <v>73</v>
      </c>
      <c r="AG383" s="97">
        <v>472</v>
      </c>
      <c r="AH383" s="97">
        <v>19</v>
      </c>
      <c r="AI383" s="97">
        <v>380</v>
      </c>
    </row>
    <row r="384" spans="1:35" ht="15" customHeight="1">
      <c r="A384" s="97" t="s">
        <v>1323</v>
      </c>
      <c r="B384" s="97" t="s">
        <v>1323</v>
      </c>
      <c r="C384" s="97" t="s">
        <v>1324</v>
      </c>
      <c r="D384" s="97" t="s">
        <v>3198</v>
      </c>
      <c r="E384" s="97" t="s">
        <v>54</v>
      </c>
      <c r="F384" s="97">
        <v>102</v>
      </c>
      <c r="G384" s="97">
        <v>30</v>
      </c>
      <c r="H384" s="97">
        <v>442</v>
      </c>
      <c r="I384" s="97">
        <v>91</v>
      </c>
      <c r="J384" s="97">
        <v>8</v>
      </c>
      <c r="K384" s="97">
        <v>176</v>
      </c>
      <c r="L384" s="97">
        <v>79</v>
      </c>
      <c r="M384" s="97">
        <v>38</v>
      </c>
      <c r="N384" s="97">
        <v>709</v>
      </c>
      <c r="O384" s="97">
        <v>73</v>
      </c>
      <c r="P384" s="97">
        <v>17</v>
      </c>
      <c r="Q384" s="97">
        <v>339</v>
      </c>
      <c r="R384" s="97">
        <v>47</v>
      </c>
      <c r="S384" s="97">
        <v>44</v>
      </c>
      <c r="T384" s="97">
        <v>673</v>
      </c>
      <c r="U384" s="97">
        <v>80</v>
      </c>
      <c r="V384" s="97">
        <v>13</v>
      </c>
      <c r="W384" s="97">
        <v>205</v>
      </c>
      <c r="X384" s="97">
        <v>74</v>
      </c>
      <c r="Y384" s="97">
        <v>16</v>
      </c>
      <c r="Z384" s="97">
        <v>326</v>
      </c>
      <c r="AA384" s="97">
        <v>55</v>
      </c>
      <c r="AB384" s="97">
        <v>16</v>
      </c>
      <c r="AC384" s="97">
        <v>392</v>
      </c>
      <c r="AD384" s="97">
        <v>74</v>
      </c>
      <c r="AE384" s="97">
        <v>9</v>
      </c>
      <c r="AF384" s="97">
        <v>174</v>
      </c>
      <c r="AG384" s="97">
        <v>472</v>
      </c>
      <c r="AH384" s="97">
        <v>18</v>
      </c>
      <c r="AI384" s="97">
        <v>380</v>
      </c>
    </row>
    <row r="385" spans="1:35" ht="15" customHeight="1">
      <c r="A385" s="97" t="s">
        <v>2527</v>
      </c>
      <c r="B385" s="97" t="s">
        <v>2527</v>
      </c>
      <c r="C385" s="97" t="s">
        <v>2528</v>
      </c>
      <c r="D385" s="97" t="s">
        <v>3198</v>
      </c>
      <c r="E385" s="97" t="s">
        <v>131</v>
      </c>
      <c r="F385" s="97">
        <v>102</v>
      </c>
      <c r="G385" s="97">
        <v>16</v>
      </c>
      <c r="H385" s="97">
        <v>442</v>
      </c>
      <c r="I385" s="97">
        <v>71</v>
      </c>
      <c r="J385" s="97">
        <v>29</v>
      </c>
      <c r="K385" s="97">
        <v>475</v>
      </c>
      <c r="L385" s="97">
        <v>95</v>
      </c>
      <c r="M385" s="97">
        <v>17</v>
      </c>
      <c r="N385" s="97">
        <v>364</v>
      </c>
      <c r="O385" s="97">
        <v>80</v>
      </c>
      <c r="P385" s="97">
        <v>10</v>
      </c>
      <c r="Q385" s="97">
        <v>207</v>
      </c>
      <c r="R385" s="97">
        <v>44</v>
      </c>
      <c r="S385" s="97">
        <v>41</v>
      </c>
      <c r="T385" s="97">
        <v>736</v>
      </c>
      <c r="U385" s="97">
        <v>80</v>
      </c>
      <c r="V385" s="97">
        <v>6</v>
      </c>
      <c r="W385" s="97">
        <v>205</v>
      </c>
      <c r="X385" s="97">
        <v>73</v>
      </c>
      <c r="Y385" s="97">
        <v>13</v>
      </c>
      <c r="Z385" s="97">
        <v>359</v>
      </c>
      <c r="AA385" s="97">
        <v>65</v>
      </c>
      <c r="AB385" s="97">
        <v>8</v>
      </c>
      <c r="AC385" s="97">
        <v>89</v>
      </c>
      <c r="AD385" s="97">
        <v>73</v>
      </c>
      <c r="AE385" s="97">
        <v>12</v>
      </c>
      <c r="AF385" s="97">
        <v>216</v>
      </c>
      <c r="AG385" s="97">
        <v>472</v>
      </c>
      <c r="AH385" s="97">
        <v>20</v>
      </c>
      <c r="AI385" s="97">
        <v>380</v>
      </c>
    </row>
    <row r="386" spans="1:35" ht="15" customHeight="1">
      <c r="A386" s="97" t="s">
        <v>2522</v>
      </c>
      <c r="B386" s="97" t="s">
        <v>2522</v>
      </c>
      <c r="C386" s="97" t="s">
        <v>1656</v>
      </c>
      <c r="D386" s="97" t="s">
        <v>3198</v>
      </c>
      <c r="E386" s="97" t="s">
        <v>131</v>
      </c>
      <c r="F386" s="97">
        <v>94</v>
      </c>
      <c r="G386" s="97">
        <v>32</v>
      </c>
      <c r="H386" s="97">
        <v>733</v>
      </c>
      <c r="I386" s="97">
        <v>76</v>
      </c>
      <c r="J386" s="97">
        <v>20</v>
      </c>
      <c r="K386" s="97">
        <v>391</v>
      </c>
      <c r="L386" s="97">
        <v>91.5</v>
      </c>
      <c r="M386" s="97">
        <v>20</v>
      </c>
      <c r="N386" s="97">
        <v>443</v>
      </c>
      <c r="O386" s="97">
        <v>75</v>
      </c>
      <c r="P386" s="97">
        <v>18</v>
      </c>
      <c r="Q386" s="97">
        <v>299</v>
      </c>
      <c r="R386" s="97">
        <v>52</v>
      </c>
      <c r="S386" s="97">
        <v>30</v>
      </c>
      <c r="T386" s="97">
        <v>551</v>
      </c>
      <c r="U386" s="97">
        <v>83</v>
      </c>
      <c r="V386" s="97">
        <v>3</v>
      </c>
      <c r="W386" s="97">
        <v>145</v>
      </c>
      <c r="X386" s="97">
        <v>82</v>
      </c>
      <c r="Y386" s="97">
        <v>2</v>
      </c>
      <c r="Z386" s="97">
        <v>100</v>
      </c>
      <c r="AA386" s="97">
        <v>61</v>
      </c>
      <c r="AB386" s="97">
        <v>16</v>
      </c>
      <c r="AC386" s="97">
        <v>172</v>
      </c>
      <c r="AD386" s="97">
        <v>67</v>
      </c>
      <c r="AE386" s="97">
        <v>34</v>
      </c>
      <c r="AF386" s="97">
        <v>471</v>
      </c>
      <c r="AG386" s="97">
        <v>471.5</v>
      </c>
      <c r="AH386" s="97">
        <v>21</v>
      </c>
      <c r="AI386" s="97">
        <v>383</v>
      </c>
    </row>
    <row r="387" spans="1:35" ht="15" customHeight="1">
      <c r="A387" s="97" t="s">
        <v>217</v>
      </c>
      <c r="B387" s="97" t="s">
        <v>217</v>
      </c>
      <c r="C387" s="97" t="s">
        <v>218</v>
      </c>
      <c r="D387" s="97" t="s">
        <v>3198</v>
      </c>
      <c r="E387" s="97" t="s">
        <v>28</v>
      </c>
      <c r="F387" s="97">
        <v>90</v>
      </c>
      <c r="G387" s="97">
        <v>45</v>
      </c>
      <c r="H387" s="97">
        <v>815</v>
      </c>
      <c r="I387" s="97">
        <v>76</v>
      </c>
      <c r="J387" s="97">
        <v>23</v>
      </c>
      <c r="K387" s="97">
        <v>391</v>
      </c>
      <c r="L387" s="97">
        <v>102.5</v>
      </c>
      <c r="M387" s="97">
        <v>9</v>
      </c>
      <c r="N387" s="97">
        <v>210</v>
      </c>
      <c r="O387" s="97">
        <v>78</v>
      </c>
      <c r="P387" s="97">
        <v>10</v>
      </c>
      <c r="Q387" s="97">
        <v>250</v>
      </c>
      <c r="R387" s="97">
        <v>53</v>
      </c>
      <c r="S387" s="97">
        <v>27</v>
      </c>
      <c r="T387" s="97">
        <v>526</v>
      </c>
      <c r="U387" s="97">
        <v>72</v>
      </c>
      <c r="V387" s="97">
        <v>25</v>
      </c>
      <c r="W387" s="97">
        <v>433</v>
      </c>
      <c r="X387" s="97">
        <v>76</v>
      </c>
      <c r="Y387" s="97">
        <v>13</v>
      </c>
      <c r="Z387" s="97">
        <v>260</v>
      </c>
      <c r="AA387" s="97">
        <v>61</v>
      </c>
      <c r="AB387" s="97">
        <v>14</v>
      </c>
      <c r="AC387" s="97">
        <v>172</v>
      </c>
      <c r="AD387" s="97">
        <v>69</v>
      </c>
      <c r="AE387" s="97">
        <v>18</v>
      </c>
      <c r="AF387" s="97">
        <v>367</v>
      </c>
      <c r="AG387" s="97">
        <v>471.5</v>
      </c>
      <c r="AH387" s="97">
        <v>20</v>
      </c>
      <c r="AI387" s="97">
        <v>383</v>
      </c>
    </row>
    <row r="388" spans="1:35" ht="15" customHeight="1">
      <c r="A388" s="97" t="s">
        <v>282</v>
      </c>
      <c r="B388" s="97" t="s">
        <v>282</v>
      </c>
      <c r="C388" s="97" t="s">
        <v>283</v>
      </c>
      <c r="D388" s="97" t="s">
        <v>3198</v>
      </c>
      <c r="E388" s="97" t="s">
        <v>28</v>
      </c>
      <c r="F388" s="97">
        <v>101</v>
      </c>
      <c r="G388" s="97">
        <v>27</v>
      </c>
      <c r="H388" s="97">
        <v>481</v>
      </c>
      <c r="I388" s="97">
        <v>76</v>
      </c>
      <c r="J388" s="97">
        <v>23</v>
      </c>
      <c r="K388" s="97">
        <v>391</v>
      </c>
      <c r="L388" s="97">
        <v>95</v>
      </c>
      <c r="M388" s="97">
        <v>23</v>
      </c>
      <c r="N388" s="97">
        <v>364</v>
      </c>
      <c r="O388" s="97">
        <v>74</v>
      </c>
      <c r="P388" s="97">
        <v>16</v>
      </c>
      <c r="Q388" s="97">
        <v>317</v>
      </c>
      <c r="R388" s="97">
        <v>50</v>
      </c>
      <c r="S388" s="97">
        <v>31</v>
      </c>
      <c r="T388" s="97">
        <v>599</v>
      </c>
      <c r="U388" s="97">
        <v>75</v>
      </c>
      <c r="V388" s="97">
        <v>19</v>
      </c>
      <c r="W388" s="97">
        <v>342</v>
      </c>
      <c r="X388" s="97">
        <v>79</v>
      </c>
      <c r="Y388" s="97">
        <v>6</v>
      </c>
      <c r="Z388" s="97">
        <v>175</v>
      </c>
      <c r="AA388" s="97">
        <v>63</v>
      </c>
      <c r="AB388" s="97">
        <v>9</v>
      </c>
      <c r="AC388" s="97">
        <v>123</v>
      </c>
      <c r="AD388" s="97">
        <v>69</v>
      </c>
      <c r="AE388" s="97">
        <v>18</v>
      </c>
      <c r="AF388" s="97">
        <v>367</v>
      </c>
      <c r="AG388" s="97">
        <v>471</v>
      </c>
      <c r="AH388" s="97">
        <v>21</v>
      </c>
      <c r="AI388" s="97">
        <v>385</v>
      </c>
    </row>
    <row r="389" spans="1:35" ht="15" customHeight="1">
      <c r="A389" s="97" t="s">
        <v>798</v>
      </c>
      <c r="B389" s="97" t="s">
        <v>798</v>
      </c>
      <c r="C389" s="97" t="s">
        <v>799</v>
      </c>
      <c r="D389" s="97" t="s">
        <v>3198</v>
      </c>
      <c r="E389" s="97" t="s">
        <v>117</v>
      </c>
      <c r="F389" s="97">
        <v>105</v>
      </c>
      <c r="G389" s="97">
        <v>14</v>
      </c>
      <c r="H389" s="97">
        <v>325</v>
      </c>
      <c r="I389" s="97">
        <v>61</v>
      </c>
      <c r="J389" s="97">
        <v>44</v>
      </c>
      <c r="K389" s="97">
        <v>678</v>
      </c>
      <c r="L389" s="97">
        <v>93</v>
      </c>
      <c r="M389" s="97">
        <v>21</v>
      </c>
      <c r="N389" s="97">
        <v>405</v>
      </c>
      <c r="O389" s="97">
        <v>74</v>
      </c>
      <c r="P389" s="97">
        <v>16</v>
      </c>
      <c r="Q389" s="97">
        <v>317</v>
      </c>
      <c r="R389" s="97">
        <v>61</v>
      </c>
      <c r="S389" s="97">
        <v>11</v>
      </c>
      <c r="T389" s="97">
        <v>300</v>
      </c>
      <c r="U389" s="97">
        <v>77</v>
      </c>
      <c r="V389" s="97">
        <v>9</v>
      </c>
      <c r="W389" s="97">
        <v>275</v>
      </c>
      <c r="X389" s="97">
        <v>85</v>
      </c>
      <c r="Y389" s="97">
        <v>4</v>
      </c>
      <c r="Z389" s="97">
        <v>45</v>
      </c>
      <c r="AA389" s="97">
        <v>50</v>
      </c>
      <c r="AB389" s="97">
        <v>35</v>
      </c>
      <c r="AC389" s="97">
        <v>591</v>
      </c>
      <c r="AD389" s="97">
        <v>83</v>
      </c>
      <c r="AE389" s="97">
        <v>1</v>
      </c>
      <c r="AF389" s="97">
        <v>22</v>
      </c>
      <c r="AG389" s="97">
        <v>471</v>
      </c>
      <c r="AH389" s="97">
        <v>19</v>
      </c>
      <c r="AI389" s="97">
        <v>385</v>
      </c>
    </row>
    <row r="390" spans="1:35" ht="15" customHeight="1">
      <c r="A390" s="97" t="s">
        <v>2405</v>
      </c>
      <c r="B390" s="97" t="s">
        <v>2405</v>
      </c>
      <c r="C390" s="97" t="s">
        <v>2412</v>
      </c>
      <c r="D390" s="97" t="s">
        <v>3198</v>
      </c>
      <c r="E390" s="97" t="s">
        <v>7</v>
      </c>
      <c r="F390" s="97">
        <v>99</v>
      </c>
      <c r="G390" s="97">
        <v>32</v>
      </c>
      <c r="H390" s="97">
        <v>571</v>
      </c>
      <c r="I390" s="97">
        <v>70</v>
      </c>
      <c r="J390" s="97">
        <v>18</v>
      </c>
      <c r="K390" s="97">
        <v>505</v>
      </c>
      <c r="L390" s="97">
        <v>105</v>
      </c>
      <c r="M390" s="97">
        <v>5</v>
      </c>
      <c r="N390" s="97">
        <v>172</v>
      </c>
      <c r="O390" s="97">
        <v>68</v>
      </c>
      <c r="P390" s="97">
        <v>20</v>
      </c>
      <c r="Q390" s="97">
        <v>453</v>
      </c>
      <c r="R390" s="97">
        <v>57</v>
      </c>
      <c r="S390" s="97">
        <v>16</v>
      </c>
      <c r="T390" s="97">
        <v>409</v>
      </c>
      <c r="U390" s="97">
        <v>72</v>
      </c>
      <c r="V390" s="97">
        <v>20</v>
      </c>
      <c r="W390" s="97">
        <v>433</v>
      </c>
      <c r="X390" s="97">
        <v>78</v>
      </c>
      <c r="Y390" s="97">
        <v>26</v>
      </c>
      <c r="Z390" s="97">
        <v>209</v>
      </c>
      <c r="AA390" s="97">
        <v>48</v>
      </c>
      <c r="AB390" s="97">
        <v>45</v>
      </c>
      <c r="AC390" s="97">
        <v>671</v>
      </c>
      <c r="AD390" s="97">
        <v>49</v>
      </c>
      <c r="AE390" s="97">
        <v>51</v>
      </c>
      <c r="AF390" s="97">
        <v>904</v>
      </c>
      <c r="AG390" s="97">
        <v>471</v>
      </c>
      <c r="AH390" s="97">
        <v>14</v>
      </c>
      <c r="AI390" s="97">
        <v>385</v>
      </c>
    </row>
    <row r="391" spans="1:35" ht="15" customHeight="1">
      <c r="A391" s="97" t="s">
        <v>2235</v>
      </c>
      <c r="B391" s="97" t="s">
        <v>2235</v>
      </c>
      <c r="C391" s="97" t="s">
        <v>1600</v>
      </c>
      <c r="D391" s="97" t="s">
        <v>3198</v>
      </c>
      <c r="E391" s="97" t="s">
        <v>73</v>
      </c>
      <c r="F391" s="97">
        <v>103</v>
      </c>
      <c r="G391" s="97">
        <v>21</v>
      </c>
      <c r="H391" s="97">
        <v>400</v>
      </c>
      <c r="I391" s="97">
        <v>63</v>
      </c>
      <c r="J391" s="97">
        <v>31</v>
      </c>
      <c r="K391" s="97">
        <v>642</v>
      </c>
      <c r="L391" s="97">
        <v>105</v>
      </c>
      <c r="M391" s="97">
        <v>10</v>
      </c>
      <c r="N391" s="97">
        <v>172</v>
      </c>
      <c r="O391" s="97">
        <v>87</v>
      </c>
      <c r="P391" s="97">
        <v>5</v>
      </c>
      <c r="Q391" s="97">
        <v>114</v>
      </c>
      <c r="R391" s="97">
        <v>51</v>
      </c>
      <c r="S391" s="97">
        <v>31</v>
      </c>
      <c r="T391" s="97">
        <v>571</v>
      </c>
      <c r="U391" s="97">
        <v>62</v>
      </c>
      <c r="V391" s="97">
        <v>38</v>
      </c>
      <c r="W391" s="97">
        <v>716</v>
      </c>
      <c r="X391" s="97">
        <v>69</v>
      </c>
      <c r="Y391" s="97">
        <v>26</v>
      </c>
      <c r="Z391" s="97">
        <v>504</v>
      </c>
      <c r="AA391" s="97">
        <v>58</v>
      </c>
      <c r="AB391" s="97">
        <v>14</v>
      </c>
      <c r="AC391" s="97">
        <v>278</v>
      </c>
      <c r="AD391" s="97">
        <v>72</v>
      </c>
      <c r="AE391" s="97">
        <v>13</v>
      </c>
      <c r="AF391" s="97">
        <v>256</v>
      </c>
      <c r="AG391" s="97">
        <v>471</v>
      </c>
      <c r="AH391" s="97">
        <v>19</v>
      </c>
      <c r="AI391" s="97">
        <v>385</v>
      </c>
    </row>
    <row r="392" spans="1:35" ht="15" customHeight="1">
      <c r="A392" s="97" t="s">
        <v>2168</v>
      </c>
      <c r="B392" s="97" t="s">
        <v>2168</v>
      </c>
      <c r="C392" s="97" t="s">
        <v>2169</v>
      </c>
      <c r="D392" s="97" t="s">
        <v>3198</v>
      </c>
      <c r="E392" s="97" t="s">
        <v>73</v>
      </c>
      <c r="F392" s="97">
        <v>124</v>
      </c>
      <c r="G392" s="97">
        <v>1</v>
      </c>
      <c r="H392" s="97">
        <v>4</v>
      </c>
      <c r="I392" s="97">
        <v>67</v>
      </c>
      <c r="J392" s="97">
        <v>25</v>
      </c>
      <c r="K392" s="97">
        <v>565</v>
      </c>
      <c r="L392" s="97">
        <v>88.5</v>
      </c>
      <c r="M392" s="97">
        <v>30</v>
      </c>
      <c r="N392" s="97">
        <v>519</v>
      </c>
      <c r="O392" s="97">
        <v>63</v>
      </c>
      <c r="P392" s="97">
        <v>27</v>
      </c>
      <c r="Q392" s="97">
        <v>540</v>
      </c>
      <c r="R392" s="97">
        <v>56</v>
      </c>
      <c r="S392" s="97">
        <v>24</v>
      </c>
      <c r="T392" s="97">
        <v>433</v>
      </c>
      <c r="U392" s="97">
        <v>72</v>
      </c>
      <c r="V392" s="97">
        <v>19</v>
      </c>
      <c r="W392" s="97">
        <v>433</v>
      </c>
      <c r="X392" s="97">
        <v>75</v>
      </c>
      <c r="Y392" s="97">
        <v>10</v>
      </c>
      <c r="Z392" s="97">
        <v>289</v>
      </c>
      <c r="AA392" s="97">
        <v>57</v>
      </c>
      <c r="AB392" s="97">
        <v>19</v>
      </c>
      <c r="AC392" s="97">
        <v>306</v>
      </c>
      <c r="AD392" s="97">
        <v>76</v>
      </c>
      <c r="AE392" s="97">
        <v>6</v>
      </c>
      <c r="AF392" s="97">
        <v>125</v>
      </c>
      <c r="AG392" s="97">
        <v>470.5</v>
      </c>
      <c r="AH392" s="97">
        <v>20</v>
      </c>
      <c r="AI392" s="97">
        <v>389</v>
      </c>
    </row>
    <row r="393" spans="1:35" ht="15" customHeight="1">
      <c r="A393" s="97" t="s">
        <v>2300</v>
      </c>
      <c r="B393" s="97" t="s">
        <v>2300</v>
      </c>
      <c r="C393" s="97" t="s">
        <v>2301</v>
      </c>
      <c r="D393" s="97" t="s">
        <v>3198</v>
      </c>
      <c r="E393" s="97" t="s">
        <v>7</v>
      </c>
      <c r="F393" s="97">
        <v>105</v>
      </c>
      <c r="G393" s="97">
        <v>17</v>
      </c>
      <c r="H393" s="97">
        <v>325</v>
      </c>
      <c r="I393" s="97">
        <v>63</v>
      </c>
      <c r="J393" s="97">
        <v>28</v>
      </c>
      <c r="K393" s="97">
        <v>642</v>
      </c>
      <c r="L393" s="97">
        <v>97.5</v>
      </c>
      <c r="M393" s="97">
        <v>11</v>
      </c>
      <c r="N393" s="97">
        <v>310</v>
      </c>
      <c r="O393" s="97">
        <v>74</v>
      </c>
      <c r="P393" s="97">
        <v>13</v>
      </c>
      <c r="Q393" s="97">
        <v>317</v>
      </c>
      <c r="R393" s="97">
        <v>54</v>
      </c>
      <c r="S393" s="97">
        <v>20</v>
      </c>
      <c r="T393" s="97">
        <v>494</v>
      </c>
      <c r="U393" s="97">
        <v>77</v>
      </c>
      <c r="V393" s="97">
        <v>14</v>
      </c>
      <c r="W393" s="97">
        <v>275</v>
      </c>
      <c r="X393" s="97">
        <v>81</v>
      </c>
      <c r="Y393" s="97">
        <v>17</v>
      </c>
      <c r="Z393" s="97">
        <v>124</v>
      </c>
      <c r="AA393" s="97">
        <v>60</v>
      </c>
      <c r="AB393" s="97">
        <v>11</v>
      </c>
      <c r="AC393" s="97">
        <v>203</v>
      </c>
      <c r="AD393" s="97">
        <v>67</v>
      </c>
      <c r="AE393" s="97">
        <v>26</v>
      </c>
      <c r="AF393" s="97">
        <v>471</v>
      </c>
      <c r="AG393" s="97">
        <v>470.5</v>
      </c>
      <c r="AH393" s="97">
        <v>15</v>
      </c>
      <c r="AI393" s="97">
        <v>389</v>
      </c>
    </row>
    <row r="394" spans="1:35" ht="15" customHeight="1">
      <c r="A394" s="97" t="s">
        <v>506</v>
      </c>
      <c r="B394" s="97" t="s">
        <v>506</v>
      </c>
      <c r="C394" s="97" t="s">
        <v>516</v>
      </c>
      <c r="D394" s="97" t="s">
        <v>3198</v>
      </c>
      <c r="E394" s="97" t="s">
        <v>19</v>
      </c>
      <c r="F394" s="97">
        <v>103</v>
      </c>
      <c r="G394" s="97">
        <v>24</v>
      </c>
      <c r="H394" s="97">
        <v>400</v>
      </c>
      <c r="I394" s="97">
        <v>86</v>
      </c>
      <c r="J394" s="97">
        <v>7</v>
      </c>
      <c r="K394" s="97">
        <v>233</v>
      </c>
      <c r="L394" s="97">
        <v>82.5</v>
      </c>
      <c r="M394" s="97">
        <v>32</v>
      </c>
      <c r="N394" s="97">
        <v>657</v>
      </c>
      <c r="O394" s="97">
        <v>64</v>
      </c>
      <c r="P394" s="97">
        <v>24</v>
      </c>
      <c r="Q394" s="97">
        <v>517</v>
      </c>
      <c r="R394" s="97">
        <v>63</v>
      </c>
      <c r="S394" s="97">
        <v>11</v>
      </c>
      <c r="T394" s="97">
        <v>262</v>
      </c>
      <c r="U394" s="97">
        <v>72</v>
      </c>
      <c r="V394" s="97">
        <v>22</v>
      </c>
      <c r="W394" s="97">
        <v>433</v>
      </c>
      <c r="X394" s="97">
        <v>69</v>
      </c>
      <c r="Y394" s="97">
        <v>26</v>
      </c>
      <c r="Z394" s="97">
        <v>504</v>
      </c>
      <c r="AA394" s="97">
        <v>61</v>
      </c>
      <c r="AB394" s="97">
        <v>11</v>
      </c>
      <c r="AC394" s="97">
        <v>172</v>
      </c>
      <c r="AD394" s="97">
        <v>65</v>
      </c>
      <c r="AE394" s="97">
        <v>28</v>
      </c>
      <c r="AF394" s="97">
        <v>548</v>
      </c>
      <c r="AG394" s="97">
        <v>470.5</v>
      </c>
      <c r="AH394" s="97">
        <v>18</v>
      </c>
      <c r="AI394" s="97">
        <v>389</v>
      </c>
    </row>
    <row r="395" spans="1:35" ht="15" customHeight="1">
      <c r="A395" s="97" t="s">
        <v>1194</v>
      </c>
      <c r="B395" s="97" t="s">
        <v>1194</v>
      </c>
      <c r="C395" s="97" t="s">
        <v>1195</v>
      </c>
      <c r="D395" s="97" t="s">
        <v>3198</v>
      </c>
      <c r="E395" s="97" t="s">
        <v>54</v>
      </c>
      <c r="F395" s="97">
        <v>110</v>
      </c>
      <c r="G395" s="97">
        <v>15</v>
      </c>
      <c r="H395" s="97">
        <v>159</v>
      </c>
      <c r="I395" s="97">
        <v>90</v>
      </c>
      <c r="J395" s="97">
        <v>9</v>
      </c>
      <c r="K395" s="97">
        <v>183</v>
      </c>
      <c r="L395" s="97">
        <v>74</v>
      </c>
      <c r="M395" s="97">
        <v>47</v>
      </c>
      <c r="N395" s="97">
        <v>791</v>
      </c>
      <c r="O395" s="97">
        <v>62</v>
      </c>
      <c r="P395" s="97">
        <v>28</v>
      </c>
      <c r="Q395" s="97">
        <v>564</v>
      </c>
      <c r="R395" s="97">
        <v>65</v>
      </c>
      <c r="S395" s="97">
        <v>13</v>
      </c>
      <c r="T395" s="97">
        <v>223</v>
      </c>
      <c r="U395" s="97">
        <v>69</v>
      </c>
      <c r="V395" s="97">
        <v>34</v>
      </c>
      <c r="W395" s="97">
        <v>523</v>
      </c>
      <c r="X395" s="97">
        <v>53</v>
      </c>
      <c r="Y395" s="97">
        <v>50</v>
      </c>
      <c r="Z395" s="97">
        <v>888</v>
      </c>
      <c r="AA395" s="97">
        <v>49</v>
      </c>
      <c r="AB395" s="97">
        <v>27</v>
      </c>
      <c r="AC395" s="97">
        <v>633</v>
      </c>
      <c r="AD395" s="97">
        <v>77</v>
      </c>
      <c r="AE395" s="97">
        <v>5</v>
      </c>
      <c r="AF395" s="97">
        <v>102</v>
      </c>
      <c r="AG395" s="97">
        <v>470</v>
      </c>
      <c r="AH395" s="97">
        <v>19</v>
      </c>
      <c r="AI395" s="97">
        <v>392</v>
      </c>
    </row>
    <row r="396" spans="1:35" ht="15" customHeight="1">
      <c r="A396" s="97" t="s">
        <v>1849</v>
      </c>
      <c r="B396" s="97" t="s">
        <v>1849</v>
      </c>
      <c r="C396" s="97" t="s">
        <v>1850</v>
      </c>
      <c r="D396" s="97" t="s">
        <v>3198</v>
      </c>
      <c r="E396" s="97" t="s">
        <v>34</v>
      </c>
      <c r="F396" s="97">
        <v>123</v>
      </c>
      <c r="G396" s="97">
        <v>1</v>
      </c>
      <c r="H396" s="97">
        <v>10</v>
      </c>
      <c r="I396" s="97">
        <v>68</v>
      </c>
      <c r="J396" s="97">
        <v>33</v>
      </c>
      <c r="K396" s="97">
        <v>540</v>
      </c>
      <c r="L396" s="97">
        <v>85</v>
      </c>
      <c r="M396" s="97">
        <v>38</v>
      </c>
      <c r="N396" s="97">
        <v>592</v>
      </c>
      <c r="O396" s="97">
        <v>66</v>
      </c>
      <c r="P396" s="97">
        <v>26</v>
      </c>
      <c r="Q396" s="97">
        <v>484</v>
      </c>
      <c r="R396" s="97">
        <v>52</v>
      </c>
      <c r="S396" s="97">
        <v>30</v>
      </c>
      <c r="T396" s="97">
        <v>551</v>
      </c>
      <c r="U396" s="97">
        <v>76</v>
      </c>
      <c r="V396" s="97">
        <v>10</v>
      </c>
      <c r="W396" s="97">
        <v>308</v>
      </c>
      <c r="X396" s="97">
        <v>76</v>
      </c>
      <c r="Y396" s="97">
        <v>22</v>
      </c>
      <c r="Z396" s="97">
        <v>260</v>
      </c>
      <c r="AA396" s="97">
        <v>50</v>
      </c>
      <c r="AB396" s="97">
        <v>32</v>
      </c>
      <c r="AC396" s="97">
        <v>591</v>
      </c>
      <c r="AD396" s="97">
        <v>67</v>
      </c>
      <c r="AE396" s="97">
        <v>22</v>
      </c>
      <c r="AF396" s="97">
        <v>471</v>
      </c>
      <c r="AG396" s="97">
        <v>470</v>
      </c>
      <c r="AH396" s="97">
        <v>18</v>
      </c>
      <c r="AI396" s="97">
        <v>392</v>
      </c>
    </row>
    <row r="397" spans="1:35" ht="15" customHeight="1">
      <c r="A397" s="97" t="s">
        <v>1393</v>
      </c>
      <c r="B397" s="97" t="s">
        <v>1393</v>
      </c>
      <c r="C397" s="97" t="s">
        <v>1394</v>
      </c>
      <c r="D397" s="97" t="s">
        <v>3198</v>
      </c>
      <c r="E397" s="97" t="s">
        <v>56</v>
      </c>
      <c r="F397" s="97">
        <v>107</v>
      </c>
      <c r="G397" s="97">
        <v>11</v>
      </c>
      <c r="H397" s="97">
        <v>242</v>
      </c>
      <c r="I397" s="97">
        <v>65</v>
      </c>
      <c r="J397" s="97">
        <v>28</v>
      </c>
      <c r="K397" s="97">
        <v>604</v>
      </c>
      <c r="L397" s="97">
        <v>102.5</v>
      </c>
      <c r="M397" s="97">
        <v>8</v>
      </c>
      <c r="N397" s="97">
        <v>210</v>
      </c>
      <c r="O397" s="97">
        <v>60</v>
      </c>
      <c r="P397" s="97">
        <v>37</v>
      </c>
      <c r="Q397" s="97">
        <v>607</v>
      </c>
      <c r="R397" s="97">
        <v>56</v>
      </c>
      <c r="S397" s="97">
        <v>22</v>
      </c>
      <c r="T397" s="97">
        <v>433</v>
      </c>
      <c r="U397" s="97">
        <v>79</v>
      </c>
      <c r="V397" s="97">
        <v>20</v>
      </c>
      <c r="W397" s="97">
        <v>229</v>
      </c>
      <c r="X397" s="97">
        <v>72</v>
      </c>
      <c r="Y397" s="97">
        <v>23</v>
      </c>
      <c r="Z397" s="97">
        <v>396</v>
      </c>
      <c r="AA397" s="97">
        <v>50</v>
      </c>
      <c r="AB397" s="97">
        <v>27</v>
      </c>
      <c r="AC397" s="97">
        <v>591</v>
      </c>
      <c r="AD397" s="97">
        <v>75</v>
      </c>
      <c r="AE397" s="97">
        <v>10</v>
      </c>
      <c r="AF397" s="97">
        <v>146</v>
      </c>
      <c r="AG397" s="97">
        <v>469.5</v>
      </c>
      <c r="AH397" s="97">
        <v>19</v>
      </c>
      <c r="AI397" s="97">
        <v>394</v>
      </c>
    </row>
    <row r="398" spans="1:35" ht="15" customHeight="1">
      <c r="A398" s="97" t="s">
        <v>1375</v>
      </c>
      <c r="B398" s="97" t="s">
        <v>1375</v>
      </c>
      <c r="C398" s="97" t="s">
        <v>1376</v>
      </c>
      <c r="D398" s="97" t="s">
        <v>3198</v>
      </c>
      <c r="E398" s="97" t="s">
        <v>56</v>
      </c>
      <c r="F398" s="97">
        <v>96</v>
      </c>
      <c r="G398" s="97">
        <v>32</v>
      </c>
      <c r="H398" s="97">
        <v>676</v>
      </c>
      <c r="I398" s="97">
        <v>90</v>
      </c>
      <c r="J398" s="97">
        <v>8</v>
      </c>
      <c r="K398" s="97">
        <v>183</v>
      </c>
      <c r="L398" s="97">
        <v>68.5</v>
      </c>
      <c r="M398" s="97">
        <v>52</v>
      </c>
      <c r="N398" s="97">
        <v>857</v>
      </c>
      <c r="O398" s="97">
        <v>82</v>
      </c>
      <c r="P398" s="97">
        <v>10</v>
      </c>
      <c r="Q398" s="97">
        <v>174</v>
      </c>
      <c r="R398" s="97">
        <v>50</v>
      </c>
      <c r="S398" s="97">
        <v>30</v>
      </c>
      <c r="T398" s="97">
        <v>599</v>
      </c>
      <c r="U398" s="97">
        <v>83</v>
      </c>
      <c r="V398" s="97">
        <v>10</v>
      </c>
      <c r="W398" s="97">
        <v>145</v>
      </c>
      <c r="X398" s="97">
        <v>81</v>
      </c>
      <c r="Y398" s="97">
        <v>9</v>
      </c>
      <c r="Z398" s="97">
        <v>124</v>
      </c>
      <c r="AA398" s="97">
        <v>43</v>
      </c>
      <c r="AB398" s="97">
        <v>47</v>
      </c>
      <c r="AC398" s="97">
        <v>824</v>
      </c>
      <c r="AD398" s="97">
        <v>61</v>
      </c>
      <c r="AE398" s="97">
        <v>41</v>
      </c>
      <c r="AF398" s="97">
        <v>703</v>
      </c>
      <c r="AG398" s="97">
        <v>469.5</v>
      </c>
      <c r="AH398" s="97">
        <v>19</v>
      </c>
      <c r="AI398" s="97">
        <v>394</v>
      </c>
    </row>
    <row r="399" spans="1:35" ht="15" customHeight="1">
      <c r="A399" s="97" t="s">
        <v>1822</v>
      </c>
      <c r="B399" s="97" t="s">
        <v>1822</v>
      </c>
      <c r="C399" s="97" t="s">
        <v>1823</v>
      </c>
      <c r="D399" s="97" t="s">
        <v>3198</v>
      </c>
      <c r="E399" s="97" t="s">
        <v>34</v>
      </c>
      <c r="F399" s="97">
        <v>110</v>
      </c>
      <c r="G399" s="97">
        <v>12</v>
      </c>
      <c r="H399" s="97">
        <v>159</v>
      </c>
      <c r="I399" s="97">
        <v>55</v>
      </c>
      <c r="J399" s="97">
        <v>47</v>
      </c>
      <c r="K399" s="97">
        <v>766</v>
      </c>
      <c r="L399" s="97">
        <v>94</v>
      </c>
      <c r="M399" s="97">
        <v>19</v>
      </c>
      <c r="N399" s="97">
        <v>382</v>
      </c>
      <c r="O399" s="97">
        <v>77</v>
      </c>
      <c r="P399" s="97">
        <v>7</v>
      </c>
      <c r="Q399" s="97">
        <v>274</v>
      </c>
      <c r="R399" s="97">
        <v>59</v>
      </c>
      <c r="S399" s="97">
        <v>17</v>
      </c>
      <c r="T399" s="97">
        <v>348</v>
      </c>
      <c r="U399" s="97">
        <v>74</v>
      </c>
      <c r="V399" s="97">
        <v>13</v>
      </c>
      <c r="W399" s="97">
        <v>366</v>
      </c>
      <c r="X399" s="97">
        <v>83</v>
      </c>
      <c r="Y399" s="97">
        <v>10</v>
      </c>
      <c r="Z399" s="97">
        <v>79</v>
      </c>
      <c r="AA399" s="97">
        <v>50</v>
      </c>
      <c r="AB399" s="97">
        <v>32</v>
      </c>
      <c r="AC399" s="97">
        <v>591</v>
      </c>
      <c r="AD399" s="97">
        <v>76</v>
      </c>
      <c r="AE399" s="97">
        <v>3</v>
      </c>
      <c r="AF399" s="97">
        <v>125</v>
      </c>
      <c r="AG399" s="97">
        <v>469</v>
      </c>
      <c r="AH399" s="97">
        <v>19</v>
      </c>
      <c r="AI399" s="97">
        <v>396</v>
      </c>
    </row>
    <row r="400" spans="1:35" ht="15" customHeight="1">
      <c r="A400" s="97" t="s">
        <v>432</v>
      </c>
      <c r="B400" s="97" t="s">
        <v>432</v>
      </c>
      <c r="C400" s="97" t="s">
        <v>433</v>
      </c>
      <c r="D400" s="97" t="s">
        <v>3198</v>
      </c>
      <c r="E400" s="97" t="s">
        <v>19</v>
      </c>
      <c r="F400" s="97">
        <v>95</v>
      </c>
      <c r="G400" s="97">
        <v>43</v>
      </c>
      <c r="H400" s="97">
        <v>710</v>
      </c>
      <c r="I400" s="97">
        <v>44</v>
      </c>
      <c r="J400" s="97">
        <v>51</v>
      </c>
      <c r="K400" s="97">
        <v>877</v>
      </c>
      <c r="L400" s="97">
        <v>92</v>
      </c>
      <c r="M400" s="97">
        <v>21</v>
      </c>
      <c r="N400" s="97">
        <v>426</v>
      </c>
      <c r="O400" s="97">
        <v>88</v>
      </c>
      <c r="P400" s="97">
        <v>6</v>
      </c>
      <c r="Q400" s="97">
        <v>106</v>
      </c>
      <c r="R400" s="97">
        <v>67</v>
      </c>
      <c r="S400" s="97">
        <v>7</v>
      </c>
      <c r="T400" s="97">
        <v>177</v>
      </c>
      <c r="U400" s="97">
        <v>83</v>
      </c>
      <c r="V400" s="97">
        <v>3</v>
      </c>
      <c r="W400" s="97">
        <v>145</v>
      </c>
      <c r="X400" s="97">
        <v>54</v>
      </c>
      <c r="Y400" s="97">
        <v>52</v>
      </c>
      <c r="Z400" s="97">
        <v>880</v>
      </c>
      <c r="AA400" s="97">
        <v>55</v>
      </c>
      <c r="AB400" s="97">
        <v>26</v>
      </c>
      <c r="AC400" s="97">
        <v>392</v>
      </c>
      <c r="AD400" s="97">
        <v>68</v>
      </c>
      <c r="AE400" s="97">
        <v>21</v>
      </c>
      <c r="AF400" s="97">
        <v>412</v>
      </c>
      <c r="AG400" s="97">
        <v>469</v>
      </c>
      <c r="AH400" s="97">
        <v>19</v>
      </c>
      <c r="AI400" s="97">
        <v>396</v>
      </c>
    </row>
    <row r="401" spans="1:35" ht="15" customHeight="1">
      <c r="A401" s="97" t="s">
        <v>781</v>
      </c>
      <c r="B401" s="97" t="s">
        <v>781</v>
      </c>
      <c r="C401" s="97" t="s">
        <v>1689</v>
      </c>
      <c r="D401" s="97" t="s">
        <v>3198</v>
      </c>
      <c r="E401" s="97" t="s">
        <v>117</v>
      </c>
      <c r="F401" s="97">
        <v>104</v>
      </c>
      <c r="G401" s="97">
        <v>16</v>
      </c>
      <c r="H401" s="97">
        <v>357</v>
      </c>
      <c r="I401" s="97">
        <v>74</v>
      </c>
      <c r="J401" s="97">
        <v>25</v>
      </c>
      <c r="K401" s="97">
        <v>424</v>
      </c>
      <c r="L401" s="97">
        <v>84</v>
      </c>
      <c r="M401" s="97">
        <v>35</v>
      </c>
      <c r="N401" s="97">
        <v>622</v>
      </c>
      <c r="O401" s="97">
        <v>75</v>
      </c>
      <c r="P401" s="97">
        <v>14</v>
      </c>
      <c r="Q401" s="97">
        <v>299</v>
      </c>
      <c r="R401" s="97">
        <v>59</v>
      </c>
      <c r="S401" s="97">
        <v>16</v>
      </c>
      <c r="T401" s="97">
        <v>348</v>
      </c>
      <c r="U401" s="97">
        <v>73</v>
      </c>
      <c r="V401" s="97">
        <v>17</v>
      </c>
      <c r="W401" s="97">
        <v>393</v>
      </c>
      <c r="X401" s="97">
        <v>56</v>
      </c>
      <c r="Y401" s="97">
        <v>49</v>
      </c>
      <c r="Z401" s="97">
        <v>849</v>
      </c>
      <c r="AA401" s="97">
        <v>36</v>
      </c>
      <c r="AB401" s="97">
        <v>54</v>
      </c>
      <c r="AC401" s="97">
        <v>918</v>
      </c>
      <c r="AD401" s="97">
        <v>60</v>
      </c>
      <c r="AE401" s="97">
        <v>41</v>
      </c>
      <c r="AF401" s="97">
        <v>727</v>
      </c>
      <c r="AG401" s="97">
        <v>469</v>
      </c>
      <c r="AH401" s="97">
        <v>20</v>
      </c>
      <c r="AI401" s="97">
        <v>396</v>
      </c>
    </row>
    <row r="402" spans="1:35" ht="15" customHeight="1">
      <c r="A402" s="97" t="s">
        <v>1020</v>
      </c>
      <c r="B402" s="97" t="s">
        <v>1020</v>
      </c>
      <c r="C402" s="97" t="s">
        <v>1021</v>
      </c>
      <c r="D402" s="97" t="s">
        <v>3198</v>
      </c>
      <c r="E402" s="97" t="s">
        <v>60</v>
      </c>
      <c r="F402" s="97">
        <v>98</v>
      </c>
      <c r="G402" s="97">
        <v>43</v>
      </c>
      <c r="H402" s="97">
        <v>611</v>
      </c>
      <c r="I402" s="97">
        <v>105</v>
      </c>
      <c r="J402" s="97">
        <v>2</v>
      </c>
      <c r="K402" s="97">
        <v>57</v>
      </c>
      <c r="L402" s="97">
        <v>73</v>
      </c>
      <c r="M402" s="97">
        <v>40</v>
      </c>
      <c r="N402" s="97">
        <v>808</v>
      </c>
      <c r="O402" s="97">
        <v>61</v>
      </c>
      <c r="P402" s="97">
        <v>31</v>
      </c>
      <c r="Q402" s="97">
        <v>587</v>
      </c>
      <c r="R402" s="97">
        <v>57</v>
      </c>
      <c r="S402" s="97">
        <v>28</v>
      </c>
      <c r="T402" s="97">
        <v>409</v>
      </c>
      <c r="U402" s="97">
        <v>75</v>
      </c>
      <c r="V402" s="97">
        <v>13</v>
      </c>
      <c r="W402" s="97">
        <v>342</v>
      </c>
      <c r="X402" s="97">
        <v>69</v>
      </c>
      <c r="Y402" s="97">
        <v>29</v>
      </c>
      <c r="Z402" s="97">
        <v>504</v>
      </c>
      <c r="AA402" s="97">
        <v>54</v>
      </c>
      <c r="AB402" s="97">
        <v>17</v>
      </c>
      <c r="AC402" s="97">
        <v>428</v>
      </c>
      <c r="AD402" s="97">
        <v>73</v>
      </c>
      <c r="AE402" s="97">
        <v>9</v>
      </c>
      <c r="AF402" s="97">
        <v>216</v>
      </c>
      <c r="AG402" s="97">
        <v>469</v>
      </c>
      <c r="AH402" s="97">
        <v>21</v>
      </c>
      <c r="AI402" s="97">
        <v>396</v>
      </c>
    </row>
    <row r="403" spans="1:35" ht="15" customHeight="1">
      <c r="A403" s="97" t="s">
        <v>371</v>
      </c>
      <c r="B403" s="97" t="s">
        <v>371</v>
      </c>
      <c r="C403" s="97" t="s">
        <v>372</v>
      </c>
      <c r="D403" s="97" t="s">
        <v>3198</v>
      </c>
      <c r="E403" s="97" t="s">
        <v>28</v>
      </c>
      <c r="F403" s="97">
        <v>101</v>
      </c>
      <c r="G403" s="97">
        <v>27</v>
      </c>
      <c r="H403" s="97">
        <v>481</v>
      </c>
      <c r="I403" s="97">
        <v>70</v>
      </c>
      <c r="J403" s="97">
        <v>30</v>
      </c>
      <c r="K403" s="97">
        <v>505</v>
      </c>
      <c r="L403" s="97">
        <v>85.5</v>
      </c>
      <c r="M403" s="97">
        <v>35</v>
      </c>
      <c r="N403" s="97">
        <v>585</v>
      </c>
      <c r="O403" s="97">
        <v>75</v>
      </c>
      <c r="P403" s="97">
        <v>15</v>
      </c>
      <c r="Q403" s="97">
        <v>299</v>
      </c>
      <c r="R403" s="97">
        <v>56</v>
      </c>
      <c r="S403" s="97">
        <v>20</v>
      </c>
      <c r="T403" s="97">
        <v>433</v>
      </c>
      <c r="U403" s="97">
        <v>81</v>
      </c>
      <c r="V403" s="97">
        <v>7</v>
      </c>
      <c r="W403" s="97">
        <v>183</v>
      </c>
      <c r="X403" s="97">
        <v>83</v>
      </c>
      <c r="Y403" s="97">
        <v>3</v>
      </c>
      <c r="Z403" s="97">
        <v>79</v>
      </c>
      <c r="AA403" s="97">
        <v>64</v>
      </c>
      <c r="AB403" s="97">
        <v>7</v>
      </c>
      <c r="AC403" s="97">
        <v>103</v>
      </c>
      <c r="AD403" s="97">
        <v>74</v>
      </c>
      <c r="AE403" s="97">
        <v>9</v>
      </c>
      <c r="AF403" s="97">
        <v>174</v>
      </c>
      <c r="AG403" s="97">
        <v>468.5</v>
      </c>
      <c r="AH403" s="97">
        <v>22</v>
      </c>
      <c r="AI403" s="97">
        <v>400</v>
      </c>
    </row>
    <row r="404" spans="1:35" ht="15" customHeight="1">
      <c r="A404" s="97" t="s">
        <v>1173</v>
      </c>
      <c r="B404" s="97" t="s">
        <v>1173</v>
      </c>
      <c r="C404" s="97" t="s">
        <v>1174</v>
      </c>
      <c r="D404" s="97" t="s">
        <v>3198</v>
      </c>
      <c r="E404" s="97" t="s">
        <v>68</v>
      </c>
      <c r="F404" s="97">
        <v>107</v>
      </c>
      <c r="G404" s="97">
        <v>11</v>
      </c>
      <c r="H404" s="97">
        <v>242</v>
      </c>
      <c r="I404" s="97">
        <v>105</v>
      </c>
      <c r="J404" s="97">
        <v>5</v>
      </c>
      <c r="K404" s="97">
        <v>57</v>
      </c>
      <c r="L404" s="97">
        <v>73.5</v>
      </c>
      <c r="M404" s="97">
        <v>44</v>
      </c>
      <c r="N404" s="97">
        <v>797</v>
      </c>
      <c r="O404" s="97">
        <v>74</v>
      </c>
      <c r="P404" s="97">
        <v>15</v>
      </c>
      <c r="Q404" s="97">
        <v>317</v>
      </c>
      <c r="R404" s="97">
        <v>52</v>
      </c>
      <c r="S404" s="97">
        <v>35</v>
      </c>
      <c r="T404" s="97">
        <v>551</v>
      </c>
      <c r="U404" s="97">
        <v>57</v>
      </c>
      <c r="V404" s="97">
        <v>48</v>
      </c>
      <c r="W404" s="97">
        <v>801</v>
      </c>
      <c r="X404" s="97">
        <v>49</v>
      </c>
      <c r="Y404" s="97">
        <v>54</v>
      </c>
      <c r="Z404" s="97">
        <v>919</v>
      </c>
      <c r="AA404" s="97">
        <v>43</v>
      </c>
      <c r="AB404" s="97">
        <v>48</v>
      </c>
      <c r="AC404" s="97">
        <v>824</v>
      </c>
      <c r="AD404" s="97">
        <v>67</v>
      </c>
      <c r="AE404" s="97">
        <v>28</v>
      </c>
      <c r="AF404" s="97">
        <v>471</v>
      </c>
      <c r="AG404" s="97">
        <v>468.5</v>
      </c>
      <c r="AH404" s="97">
        <v>22</v>
      </c>
      <c r="AI404" s="97">
        <v>400</v>
      </c>
    </row>
    <row r="405" spans="1:35" ht="15" customHeight="1">
      <c r="A405" s="97" t="s">
        <v>2066</v>
      </c>
      <c r="B405" s="97" t="s">
        <v>2066</v>
      </c>
      <c r="C405" s="97" t="s">
        <v>2067</v>
      </c>
      <c r="D405" s="97" t="s">
        <v>3198</v>
      </c>
      <c r="E405" s="97" t="s">
        <v>109</v>
      </c>
      <c r="F405" s="97">
        <v>109</v>
      </c>
      <c r="G405" s="97">
        <v>13</v>
      </c>
      <c r="H405" s="97">
        <v>185</v>
      </c>
      <c r="I405" s="97">
        <v>62</v>
      </c>
      <c r="J405" s="97">
        <v>40</v>
      </c>
      <c r="K405" s="97">
        <v>665</v>
      </c>
      <c r="L405" s="97">
        <v>119.5</v>
      </c>
      <c r="M405" s="97">
        <v>3</v>
      </c>
      <c r="N405" s="97">
        <v>32</v>
      </c>
      <c r="O405" s="97">
        <v>61</v>
      </c>
      <c r="P405" s="97">
        <v>32</v>
      </c>
      <c r="Q405" s="97">
        <v>587</v>
      </c>
      <c r="R405" s="97">
        <v>50</v>
      </c>
      <c r="S405" s="97">
        <v>36</v>
      </c>
      <c r="T405" s="97">
        <v>599</v>
      </c>
      <c r="U405" s="97">
        <v>67</v>
      </c>
      <c r="V405" s="97">
        <v>35</v>
      </c>
      <c r="W405" s="97">
        <v>587</v>
      </c>
      <c r="X405" s="97">
        <v>82</v>
      </c>
      <c r="Y405" s="97">
        <v>6</v>
      </c>
      <c r="Z405" s="97">
        <v>100</v>
      </c>
      <c r="AA405" s="97">
        <v>58</v>
      </c>
      <c r="AB405" s="97">
        <v>10</v>
      </c>
      <c r="AC405" s="97">
        <v>278</v>
      </c>
      <c r="AD405" s="97">
        <v>68</v>
      </c>
      <c r="AE405" s="97">
        <v>21</v>
      </c>
      <c r="AF405" s="97">
        <v>412</v>
      </c>
      <c r="AG405" s="97">
        <v>468.5</v>
      </c>
      <c r="AH405" s="97">
        <v>26</v>
      </c>
      <c r="AI405" s="97">
        <v>400</v>
      </c>
    </row>
    <row r="406" spans="1:35" ht="15" customHeight="1">
      <c r="A406" s="97" t="s">
        <v>2861</v>
      </c>
      <c r="B406" s="97" t="s">
        <v>2861</v>
      </c>
      <c r="C406" s="97" t="s">
        <v>2862</v>
      </c>
      <c r="D406" s="97" t="s">
        <v>3198</v>
      </c>
      <c r="E406" s="97" t="s">
        <v>38</v>
      </c>
      <c r="F406" s="97">
        <v>106</v>
      </c>
      <c r="G406" s="97">
        <v>14</v>
      </c>
      <c r="H406" s="97">
        <v>287</v>
      </c>
      <c r="I406" s="97">
        <v>71</v>
      </c>
      <c r="J406" s="97">
        <v>18</v>
      </c>
      <c r="K406" s="97">
        <v>475</v>
      </c>
      <c r="L406" s="97">
        <v>98.5</v>
      </c>
      <c r="M406" s="97">
        <v>15</v>
      </c>
      <c r="N406" s="97">
        <v>285</v>
      </c>
      <c r="O406" s="97">
        <v>70</v>
      </c>
      <c r="P406" s="97">
        <v>17</v>
      </c>
      <c r="Q406" s="97">
        <v>400</v>
      </c>
      <c r="R406" s="97">
        <v>50</v>
      </c>
      <c r="S406" s="97">
        <v>27</v>
      </c>
      <c r="T406" s="97">
        <v>599</v>
      </c>
      <c r="U406" s="97">
        <v>73</v>
      </c>
      <c r="V406" s="97">
        <v>18</v>
      </c>
      <c r="W406" s="97">
        <v>393</v>
      </c>
      <c r="X406" s="97">
        <v>62</v>
      </c>
      <c r="Y406" s="97">
        <v>43</v>
      </c>
      <c r="Z406" s="97">
        <v>729</v>
      </c>
      <c r="AA406" s="97">
        <v>54</v>
      </c>
      <c r="AB406" s="97">
        <v>23</v>
      </c>
      <c r="AC406" s="97">
        <v>428</v>
      </c>
      <c r="AD406" s="97">
        <v>67</v>
      </c>
      <c r="AE406" s="97">
        <v>25</v>
      </c>
      <c r="AF406" s="97">
        <v>471</v>
      </c>
      <c r="AG406" s="97">
        <v>468.5</v>
      </c>
      <c r="AH406" s="97">
        <v>13</v>
      </c>
      <c r="AI406" s="97">
        <v>400</v>
      </c>
    </row>
    <row r="407" spans="1:35" ht="15" customHeight="1">
      <c r="A407" s="97" t="s">
        <v>2165</v>
      </c>
      <c r="B407" s="97" t="s">
        <v>2165</v>
      </c>
      <c r="C407" s="97" t="s">
        <v>2166</v>
      </c>
      <c r="D407" s="97" t="s">
        <v>3198</v>
      </c>
      <c r="E407" s="97" t="s">
        <v>73</v>
      </c>
      <c r="F407" s="97">
        <v>103</v>
      </c>
      <c r="G407" s="97">
        <v>21</v>
      </c>
      <c r="H407" s="97">
        <v>400</v>
      </c>
      <c r="I407" s="97">
        <v>68</v>
      </c>
      <c r="J407" s="97">
        <v>23</v>
      </c>
      <c r="K407" s="97">
        <v>540</v>
      </c>
      <c r="L407" s="97">
        <v>97</v>
      </c>
      <c r="M407" s="97">
        <v>21</v>
      </c>
      <c r="N407" s="97">
        <v>327</v>
      </c>
      <c r="O407" s="97">
        <v>60</v>
      </c>
      <c r="P407" s="97">
        <v>31</v>
      </c>
      <c r="Q407" s="97">
        <v>607</v>
      </c>
      <c r="R407" s="97">
        <v>70</v>
      </c>
      <c r="S407" s="97">
        <v>7</v>
      </c>
      <c r="T407" s="97">
        <v>136</v>
      </c>
      <c r="U407" s="97">
        <v>70</v>
      </c>
      <c r="V407" s="97">
        <v>20</v>
      </c>
      <c r="W407" s="97">
        <v>485</v>
      </c>
      <c r="X407" s="97">
        <v>71</v>
      </c>
      <c r="Y407" s="97">
        <v>22</v>
      </c>
      <c r="Z407" s="97">
        <v>439</v>
      </c>
      <c r="AA407" s="97">
        <v>47</v>
      </c>
      <c r="AB407" s="97">
        <v>44</v>
      </c>
      <c r="AC407" s="97">
        <v>719</v>
      </c>
      <c r="AD407" s="97">
        <v>63</v>
      </c>
      <c r="AE407" s="97">
        <v>44</v>
      </c>
      <c r="AF407" s="97">
        <v>633</v>
      </c>
      <c r="AG407" s="97">
        <v>468</v>
      </c>
      <c r="AH407" s="97">
        <v>21</v>
      </c>
      <c r="AI407" s="97">
        <v>404</v>
      </c>
    </row>
    <row r="408" spans="1:35" ht="15" customHeight="1">
      <c r="A408" s="97" t="s">
        <v>1384</v>
      </c>
      <c r="B408" s="97" t="s">
        <v>1384</v>
      </c>
      <c r="C408" s="97" t="s">
        <v>1552</v>
      </c>
      <c r="D408" s="97" t="s">
        <v>3198</v>
      </c>
      <c r="E408" s="97" t="s">
        <v>56</v>
      </c>
      <c r="F408" s="97">
        <v>96</v>
      </c>
      <c r="G408" s="97">
        <v>32</v>
      </c>
      <c r="H408" s="97">
        <v>676</v>
      </c>
      <c r="I408" s="97">
        <v>85</v>
      </c>
      <c r="J408" s="97">
        <v>13</v>
      </c>
      <c r="K408" s="97">
        <v>244</v>
      </c>
      <c r="L408" s="97">
        <v>107</v>
      </c>
      <c r="M408" s="97">
        <v>6</v>
      </c>
      <c r="N408" s="97">
        <v>148</v>
      </c>
      <c r="O408" s="97">
        <v>64</v>
      </c>
      <c r="P408" s="97">
        <v>28</v>
      </c>
      <c r="Q408" s="97">
        <v>517</v>
      </c>
      <c r="R408" s="97">
        <v>40</v>
      </c>
      <c r="S408" s="97">
        <v>39</v>
      </c>
      <c r="T408" s="97">
        <v>811</v>
      </c>
      <c r="U408" s="97">
        <v>76</v>
      </c>
      <c r="V408" s="97">
        <v>29</v>
      </c>
      <c r="W408" s="97">
        <v>308</v>
      </c>
      <c r="X408" s="97">
        <v>69</v>
      </c>
      <c r="Y408" s="97">
        <v>34</v>
      </c>
      <c r="Z408" s="97">
        <v>504</v>
      </c>
      <c r="AA408" s="97">
        <v>50</v>
      </c>
      <c r="AB408" s="97">
        <v>27</v>
      </c>
      <c r="AC408" s="97">
        <v>591</v>
      </c>
      <c r="AD408" s="97">
        <v>64</v>
      </c>
      <c r="AE408" s="97">
        <v>33</v>
      </c>
      <c r="AF408" s="97">
        <v>586</v>
      </c>
      <c r="AG408" s="97">
        <v>468</v>
      </c>
      <c r="AH408" s="97">
        <v>21</v>
      </c>
      <c r="AI408" s="97">
        <v>404</v>
      </c>
    </row>
    <row r="409" spans="1:35" ht="15" customHeight="1">
      <c r="A409" s="97" t="s">
        <v>1353</v>
      </c>
      <c r="B409" s="97" t="s">
        <v>1353</v>
      </c>
      <c r="C409" s="97" t="s">
        <v>1354</v>
      </c>
      <c r="D409" s="97" t="s">
        <v>3198</v>
      </c>
      <c r="E409" s="97" t="s">
        <v>54</v>
      </c>
      <c r="F409" s="97">
        <v>104</v>
      </c>
      <c r="G409" s="97">
        <v>26</v>
      </c>
      <c r="H409" s="97">
        <v>357</v>
      </c>
      <c r="I409" s="97">
        <v>55</v>
      </c>
      <c r="J409" s="97">
        <v>44</v>
      </c>
      <c r="K409" s="97">
        <v>766</v>
      </c>
      <c r="L409" s="97">
        <v>119</v>
      </c>
      <c r="M409" s="97">
        <v>1</v>
      </c>
      <c r="N409" s="97">
        <v>33</v>
      </c>
      <c r="O409" s="97">
        <v>59</v>
      </c>
      <c r="P409" s="97">
        <v>32</v>
      </c>
      <c r="Q409" s="97">
        <v>626</v>
      </c>
      <c r="R409" s="97">
        <v>54</v>
      </c>
      <c r="S409" s="97">
        <v>33</v>
      </c>
      <c r="T409" s="97">
        <v>494</v>
      </c>
      <c r="U409" s="97">
        <v>77</v>
      </c>
      <c r="V409" s="97">
        <v>16</v>
      </c>
      <c r="W409" s="97">
        <v>275</v>
      </c>
      <c r="X409" s="97">
        <v>69</v>
      </c>
      <c r="Y409" s="97">
        <v>22</v>
      </c>
      <c r="Z409" s="97">
        <v>504</v>
      </c>
      <c r="AA409" s="97">
        <v>40</v>
      </c>
      <c r="AB409" s="97">
        <v>53</v>
      </c>
      <c r="AC409" s="97">
        <v>881</v>
      </c>
      <c r="AD409" s="97">
        <v>58</v>
      </c>
      <c r="AE409" s="97">
        <v>45</v>
      </c>
      <c r="AF409" s="97">
        <v>770</v>
      </c>
      <c r="AG409" s="97">
        <v>468</v>
      </c>
      <c r="AH409" s="97">
        <v>20</v>
      </c>
      <c r="AI409" s="97">
        <v>404</v>
      </c>
    </row>
    <row r="410" spans="1:35" ht="15" customHeight="1">
      <c r="A410" s="97" t="s">
        <v>1289</v>
      </c>
      <c r="B410" s="97" t="s">
        <v>1289</v>
      </c>
      <c r="C410" s="97" t="s">
        <v>1290</v>
      </c>
      <c r="D410" s="97" t="s">
        <v>3198</v>
      </c>
      <c r="E410" s="97" t="s">
        <v>54</v>
      </c>
      <c r="F410" s="97">
        <v>104</v>
      </c>
      <c r="G410" s="97">
        <v>26</v>
      </c>
      <c r="H410" s="97">
        <v>357</v>
      </c>
      <c r="I410" s="97">
        <v>60</v>
      </c>
      <c r="J410" s="97">
        <v>40</v>
      </c>
      <c r="K410" s="97">
        <v>696</v>
      </c>
      <c r="L410" s="97">
        <v>98</v>
      </c>
      <c r="M410" s="97">
        <v>12</v>
      </c>
      <c r="N410" s="97">
        <v>294</v>
      </c>
      <c r="O410" s="97">
        <v>62</v>
      </c>
      <c r="P410" s="97">
        <v>28</v>
      </c>
      <c r="Q410" s="97">
        <v>564</v>
      </c>
      <c r="R410" s="97">
        <v>61</v>
      </c>
      <c r="S410" s="97">
        <v>23</v>
      </c>
      <c r="T410" s="97">
        <v>300</v>
      </c>
      <c r="U410" s="97">
        <v>83</v>
      </c>
      <c r="V410" s="97">
        <v>8</v>
      </c>
      <c r="W410" s="97">
        <v>145</v>
      </c>
      <c r="X410" s="97">
        <v>76</v>
      </c>
      <c r="Y410" s="97">
        <v>12</v>
      </c>
      <c r="Z410" s="97">
        <v>260</v>
      </c>
      <c r="AA410" s="97">
        <v>48</v>
      </c>
      <c r="AB410" s="97">
        <v>35</v>
      </c>
      <c r="AC410" s="97">
        <v>671</v>
      </c>
      <c r="AD410" s="97">
        <v>62</v>
      </c>
      <c r="AE410" s="97">
        <v>37</v>
      </c>
      <c r="AF410" s="97">
        <v>672</v>
      </c>
      <c r="AG410" s="97">
        <v>468</v>
      </c>
      <c r="AH410" s="97">
        <v>20</v>
      </c>
      <c r="AI410" s="97">
        <v>404</v>
      </c>
    </row>
    <row r="411" spans="1:35" ht="15" customHeight="1">
      <c r="A411" s="97" t="s">
        <v>908</v>
      </c>
      <c r="B411" s="97" t="s">
        <v>908</v>
      </c>
      <c r="C411" s="97" t="s">
        <v>1597</v>
      </c>
      <c r="D411" s="97" t="s">
        <v>3198</v>
      </c>
      <c r="E411" s="97" t="s">
        <v>60</v>
      </c>
      <c r="F411" s="97">
        <v>103</v>
      </c>
      <c r="G411" s="97">
        <v>31</v>
      </c>
      <c r="H411" s="97">
        <v>400</v>
      </c>
      <c r="I411" s="97">
        <v>69</v>
      </c>
      <c r="J411" s="97">
        <v>31</v>
      </c>
      <c r="K411" s="97">
        <v>524</v>
      </c>
      <c r="L411" s="97">
        <v>98</v>
      </c>
      <c r="M411" s="97">
        <v>12</v>
      </c>
      <c r="N411" s="97">
        <v>294</v>
      </c>
      <c r="O411" s="97">
        <v>84</v>
      </c>
      <c r="P411" s="97">
        <v>7</v>
      </c>
      <c r="Q411" s="97">
        <v>147</v>
      </c>
      <c r="R411" s="97">
        <v>54</v>
      </c>
      <c r="S411" s="97">
        <v>32</v>
      </c>
      <c r="T411" s="97">
        <v>494</v>
      </c>
      <c r="U411" s="97">
        <v>60</v>
      </c>
      <c r="V411" s="97">
        <v>43</v>
      </c>
      <c r="W411" s="97">
        <v>748</v>
      </c>
      <c r="X411" s="97">
        <v>74</v>
      </c>
      <c r="Y411" s="97">
        <v>21</v>
      </c>
      <c r="Z411" s="97">
        <v>326</v>
      </c>
      <c r="AA411" s="97">
        <v>53</v>
      </c>
      <c r="AB411" s="97">
        <v>21</v>
      </c>
      <c r="AC411" s="97">
        <v>470</v>
      </c>
      <c r="AD411" s="97">
        <v>72</v>
      </c>
      <c r="AE411" s="97">
        <v>13</v>
      </c>
      <c r="AF411" s="97">
        <v>256</v>
      </c>
      <c r="AG411" s="97">
        <v>468</v>
      </c>
      <c r="AH411" s="97">
        <v>22</v>
      </c>
      <c r="AI411" s="97">
        <v>404</v>
      </c>
    </row>
    <row r="412" spans="1:35" ht="15" customHeight="1">
      <c r="A412" s="97" t="s">
        <v>2826</v>
      </c>
      <c r="B412" s="97" t="s">
        <v>2826</v>
      </c>
      <c r="C412" s="97" t="s">
        <v>2827</v>
      </c>
      <c r="D412" s="97" t="s">
        <v>3198</v>
      </c>
      <c r="E412" s="97" t="s">
        <v>38</v>
      </c>
      <c r="F412" s="97">
        <v>104</v>
      </c>
      <c r="G412" s="97">
        <v>18</v>
      </c>
      <c r="H412" s="97">
        <v>357</v>
      </c>
      <c r="I412" s="97">
        <v>76</v>
      </c>
      <c r="J412" s="97">
        <v>14</v>
      </c>
      <c r="K412" s="97">
        <v>391</v>
      </c>
      <c r="L412" s="97">
        <v>89.5</v>
      </c>
      <c r="M412" s="97">
        <v>30</v>
      </c>
      <c r="N412" s="97">
        <v>493</v>
      </c>
      <c r="O412" s="97">
        <v>65</v>
      </c>
      <c r="P412" s="97">
        <v>24</v>
      </c>
      <c r="Q412" s="97">
        <v>501</v>
      </c>
      <c r="R412" s="97">
        <v>62</v>
      </c>
      <c r="S412" s="97">
        <v>9</v>
      </c>
      <c r="T412" s="97">
        <v>277</v>
      </c>
      <c r="U412" s="97">
        <v>71</v>
      </c>
      <c r="V412" s="97">
        <v>23</v>
      </c>
      <c r="W412" s="97">
        <v>462</v>
      </c>
      <c r="X412" s="97">
        <v>71</v>
      </c>
      <c r="Y412" s="97">
        <v>17</v>
      </c>
      <c r="Z412" s="97">
        <v>439</v>
      </c>
      <c r="AA412" s="97">
        <v>55</v>
      </c>
      <c r="AB412" s="97">
        <v>22</v>
      </c>
      <c r="AC412" s="97">
        <v>392</v>
      </c>
      <c r="AD412" s="97">
        <v>63</v>
      </c>
      <c r="AE412" s="97">
        <v>30</v>
      </c>
      <c r="AF412" s="97">
        <v>633</v>
      </c>
      <c r="AG412" s="97">
        <v>467.5</v>
      </c>
      <c r="AH412" s="97">
        <v>14</v>
      </c>
      <c r="AI412" s="97">
        <v>409</v>
      </c>
    </row>
    <row r="413" spans="1:35" ht="15" customHeight="1">
      <c r="A413" s="97" t="s">
        <v>2121</v>
      </c>
      <c r="B413" s="97" t="s">
        <v>2121</v>
      </c>
      <c r="C413" s="97" t="s">
        <v>2122</v>
      </c>
      <c r="D413" s="97" t="s">
        <v>3198</v>
      </c>
      <c r="E413" s="97" t="s">
        <v>73</v>
      </c>
      <c r="F413" s="97">
        <v>105</v>
      </c>
      <c r="G413" s="97">
        <v>16</v>
      </c>
      <c r="H413" s="97">
        <v>325</v>
      </c>
      <c r="I413" s="97">
        <v>66</v>
      </c>
      <c r="J413" s="97">
        <v>29</v>
      </c>
      <c r="K413" s="97">
        <v>584</v>
      </c>
      <c r="L413" s="97">
        <v>95</v>
      </c>
      <c r="M413" s="97">
        <v>23</v>
      </c>
      <c r="N413" s="97">
        <v>364</v>
      </c>
      <c r="O413" s="97">
        <v>63</v>
      </c>
      <c r="P413" s="97">
        <v>27</v>
      </c>
      <c r="Q413" s="97">
        <v>540</v>
      </c>
      <c r="R413" s="97">
        <v>58</v>
      </c>
      <c r="S413" s="97">
        <v>19</v>
      </c>
      <c r="T413" s="97">
        <v>377</v>
      </c>
      <c r="U413" s="97">
        <v>80</v>
      </c>
      <c r="V413" s="97">
        <v>8</v>
      </c>
      <c r="W413" s="97">
        <v>205</v>
      </c>
      <c r="X413" s="97">
        <v>58</v>
      </c>
      <c r="Y413" s="97">
        <v>49</v>
      </c>
      <c r="Z413" s="97">
        <v>820</v>
      </c>
      <c r="AA413" s="97">
        <v>61</v>
      </c>
      <c r="AB413" s="97">
        <v>6</v>
      </c>
      <c r="AC413" s="97">
        <v>172</v>
      </c>
      <c r="AD413" s="97">
        <v>68</v>
      </c>
      <c r="AE413" s="97">
        <v>30</v>
      </c>
      <c r="AF413" s="97">
        <v>412</v>
      </c>
      <c r="AG413" s="97">
        <v>467</v>
      </c>
      <c r="AH413" s="97">
        <v>22</v>
      </c>
      <c r="AI413" s="97">
        <v>410</v>
      </c>
    </row>
    <row r="414" spans="1:35" ht="15" customHeight="1">
      <c r="A414" s="97" t="s">
        <v>2261</v>
      </c>
      <c r="B414" s="97" t="s">
        <v>2261</v>
      </c>
      <c r="C414" s="97" t="s">
        <v>2262</v>
      </c>
      <c r="D414" s="97" t="s">
        <v>3198</v>
      </c>
      <c r="E414" s="97" t="s">
        <v>7</v>
      </c>
      <c r="F414" s="97">
        <v>112</v>
      </c>
      <c r="G414" s="97">
        <v>5</v>
      </c>
      <c r="H414" s="97">
        <v>114</v>
      </c>
      <c r="I414" s="97">
        <v>60</v>
      </c>
      <c r="J414" s="97">
        <v>36</v>
      </c>
      <c r="K414" s="97">
        <v>696</v>
      </c>
      <c r="L414" s="97">
        <v>109</v>
      </c>
      <c r="M414" s="97">
        <v>3</v>
      </c>
      <c r="N414" s="97">
        <v>114</v>
      </c>
      <c r="O414" s="97">
        <v>65</v>
      </c>
      <c r="P414" s="97">
        <v>25</v>
      </c>
      <c r="Q414" s="97">
        <v>501</v>
      </c>
      <c r="R414" s="97">
        <v>51</v>
      </c>
      <c r="S414" s="97">
        <v>27</v>
      </c>
      <c r="T414" s="97">
        <v>571</v>
      </c>
      <c r="U414" s="97">
        <v>70</v>
      </c>
      <c r="V414" s="97">
        <v>25</v>
      </c>
      <c r="W414" s="97">
        <v>485</v>
      </c>
      <c r="X414" s="97">
        <v>90</v>
      </c>
      <c r="Y414" s="97">
        <v>2</v>
      </c>
      <c r="Z414" s="97">
        <v>4</v>
      </c>
      <c r="AA414" s="97">
        <v>54</v>
      </c>
      <c r="AB414" s="97">
        <v>33</v>
      </c>
      <c r="AC414" s="97">
        <v>428</v>
      </c>
      <c r="AD414" s="97">
        <v>71</v>
      </c>
      <c r="AE414" s="97">
        <v>11</v>
      </c>
      <c r="AF414" s="97">
        <v>290</v>
      </c>
      <c r="AG414" s="97">
        <v>467</v>
      </c>
      <c r="AH414" s="97">
        <v>16</v>
      </c>
      <c r="AI414" s="97">
        <v>410</v>
      </c>
    </row>
    <row r="415" spans="1:35" ht="15" customHeight="1">
      <c r="A415" s="97" t="s">
        <v>2477</v>
      </c>
      <c r="B415" s="97" t="s">
        <v>2477</v>
      </c>
      <c r="C415" s="97" t="s">
        <v>2478</v>
      </c>
      <c r="D415" s="97" t="s">
        <v>3198</v>
      </c>
      <c r="E415" s="97" t="s">
        <v>131</v>
      </c>
      <c r="F415" s="97">
        <v>94</v>
      </c>
      <c r="G415" s="97">
        <v>32</v>
      </c>
      <c r="H415" s="97">
        <v>733</v>
      </c>
      <c r="I415" s="97">
        <v>71</v>
      </c>
      <c r="J415" s="97">
        <v>29</v>
      </c>
      <c r="K415" s="97">
        <v>475</v>
      </c>
      <c r="L415" s="97">
        <v>81</v>
      </c>
      <c r="M415" s="97">
        <v>36</v>
      </c>
      <c r="N415" s="97">
        <v>679</v>
      </c>
      <c r="O415" s="97">
        <v>74</v>
      </c>
      <c r="P415" s="97">
        <v>19</v>
      </c>
      <c r="Q415" s="97">
        <v>317</v>
      </c>
      <c r="R415" s="97">
        <v>67</v>
      </c>
      <c r="S415" s="97">
        <v>4</v>
      </c>
      <c r="T415" s="97">
        <v>177</v>
      </c>
      <c r="U415" s="97">
        <v>80</v>
      </c>
      <c r="V415" s="97">
        <v>6</v>
      </c>
      <c r="W415" s="97">
        <v>205</v>
      </c>
      <c r="X415" s="97">
        <v>59</v>
      </c>
      <c r="Y415" s="97">
        <v>48</v>
      </c>
      <c r="Z415" s="97">
        <v>799</v>
      </c>
      <c r="AA415" s="97">
        <v>55</v>
      </c>
      <c r="AB415" s="97">
        <v>30</v>
      </c>
      <c r="AC415" s="97">
        <v>392</v>
      </c>
      <c r="AD415" s="97">
        <v>63</v>
      </c>
      <c r="AE415" s="97">
        <v>42</v>
      </c>
      <c r="AF415" s="97">
        <v>633</v>
      </c>
      <c r="AG415" s="97">
        <v>467</v>
      </c>
      <c r="AH415" s="97">
        <v>22</v>
      </c>
      <c r="AI415" s="97">
        <v>410</v>
      </c>
    </row>
    <row r="416" spans="1:35" ht="15" customHeight="1">
      <c r="A416" s="97" t="s">
        <v>2074</v>
      </c>
      <c r="B416" s="97" t="s">
        <v>2074</v>
      </c>
      <c r="C416" s="97" t="s">
        <v>2075</v>
      </c>
      <c r="D416" s="97" t="s">
        <v>3198</v>
      </c>
      <c r="E416" s="97" t="s">
        <v>109</v>
      </c>
      <c r="F416" s="97">
        <v>96</v>
      </c>
      <c r="G416" s="97">
        <v>42</v>
      </c>
      <c r="H416" s="97">
        <v>676</v>
      </c>
      <c r="I416" s="97">
        <v>77</v>
      </c>
      <c r="J416" s="97">
        <v>19</v>
      </c>
      <c r="K416" s="97">
        <v>369</v>
      </c>
      <c r="L416" s="97">
        <v>84.5</v>
      </c>
      <c r="M416" s="97">
        <v>36</v>
      </c>
      <c r="N416" s="97">
        <v>606</v>
      </c>
      <c r="O416" s="97">
        <v>93</v>
      </c>
      <c r="P416" s="97">
        <v>1</v>
      </c>
      <c r="Q416" s="97">
        <v>68</v>
      </c>
      <c r="R416" s="97">
        <v>43</v>
      </c>
      <c r="S416" s="97">
        <v>48</v>
      </c>
      <c r="T416" s="97">
        <v>757</v>
      </c>
      <c r="U416" s="97">
        <v>73</v>
      </c>
      <c r="V416" s="97">
        <v>22</v>
      </c>
      <c r="W416" s="97">
        <v>393</v>
      </c>
      <c r="X416" s="97">
        <v>73</v>
      </c>
      <c r="Y416" s="97">
        <v>19</v>
      </c>
      <c r="Z416" s="97">
        <v>359</v>
      </c>
      <c r="AA416" s="97">
        <v>57</v>
      </c>
      <c r="AB416" s="97">
        <v>11</v>
      </c>
      <c r="AC416" s="97">
        <v>306</v>
      </c>
      <c r="AD416" s="97">
        <v>58</v>
      </c>
      <c r="AE416" s="97">
        <v>40</v>
      </c>
      <c r="AF416" s="97">
        <v>770</v>
      </c>
      <c r="AG416" s="97">
        <v>466.5</v>
      </c>
      <c r="AH416" s="97">
        <v>27</v>
      </c>
      <c r="AI416" s="97">
        <v>413</v>
      </c>
    </row>
    <row r="417" spans="1:35" ht="15" customHeight="1">
      <c r="A417" s="97" t="s">
        <v>1317</v>
      </c>
      <c r="B417" s="97" t="s">
        <v>1317</v>
      </c>
      <c r="C417" s="97" t="s">
        <v>1318</v>
      </c>
      <c r="D417" s="97" t="s">
        <v>3198</v>
      </c>
      <c r="E417" s="97" t="s">
        <v>54</v>
      </c>
      <c r="F417" s="97">
        <v>99</v>
      </c>
      <c r="G417" s="97">
        <v>34</v>
      </c>
      <c r="H417" s="97">
        <v>571</v>
      </c>
      <c r="I417" s="97">
        <v>73</v>
      </c>
      <c r="J417" s="97">
        <v>24</v>
      </c>
      <c r="K417" s="97">
        <v>438</v>
      </c>
      <c r="L417" s="97">
        <v>79.5</v>
      </c>
      <c r="M417" s="97">
        <v>35</v>
      </c>
      <c r="N417" s="97">
        <v>698</v>
      </c>
      <c r="O417" s="97">
        <v>69</v>
      </c>
      <c r="P417" s="97">
        <v>24</v>
      </c>
      <c r="Q417" s="97">
        <v>428</v>
      </c>
      <c r="R417" s="97">
        <v>64</v>
      </c>
      <c r="S417" s="97">
        <v>15</v>
      </c>
      <c r="T417" s="97">
        <v>244</v>
      </c>
      <c r="U417" s="97">
        <v>82</v>
      </c>
      <c r="V417" s="97">
        <v>11</v>
      </c>
      <c r="W417" s="97">
        <v>166</v>
      </c>
      <c r="X417" s="97">
        <v>82</v>
      </c>
      <c r="Y417" s="97">
        <v>2</v>
      </c>
      <c r="Z417" s="97">
        <v>100</v>
      </c>
      <c r="AA417" s="97">
        <v>49</v>
      </c>
      <c r="AB417" s="97">
        <v>27</v>
      </c>
      <c r="AC417" s="97">
        <v>633</v>
      </c>
      <c r="AD417" s="97">
        <v>67</v>
      </c>
      <c r="AE417" s="97">
        <v>26</v>
      </c>
      <c r="AF417" s="97">
        <v>471</v>
      </c>
      <c r="AG417" s="97">
        <v>466.5</v>
      </c>
      <c r="AH417" s="97">
        <v>22</v>
      </c>
      <c r="AI417" s="97">
        <v>413</v>
      </c>
    </row>
    <row r="418" spans="1:35" ht="15" customHeight="1">
      <c r="A418" s="97" t="s">
        <v>1080</v>
      </c>
      <c r="B418" s="97" t="s">
        <v>1080</v>
      </c>
      <c r="C418" s="97" t="s">
        <v>1081</v>
      </c>
      <c r="D418" s="97" t="s">
        <v>3198</v>
      </c>
      <c r="E418" s="97" t="s">
        <v>68</v>
      </c>
      <c r="F418" s="97">
        <v>107</v>
      </c>
      <c r="G418" s="97">
        <v>11</v>
      </c>
      <c r="H418" s="97">
        <v>242</v>
      </c>
      <c r="I418" s="97">
        <v>77</v>
      </c>
      <c r="J418" s="97">
        <v>25</v>
      </c>
      <c r="K418" s="97">
        <v>369</v>
      </c>
      <c r="L418" s="97">
        <v>86</v>
      </c>
      <c r="M418" s="97">
        <v>24</v>
      </c>
      <c r="N418" s="97">
        <v>580</v>
      </c>
      <c r="O418" s="97">
        <v>73</v>
      </c>
      <c r="P418" s="97">
        <v>17</v>
      </c>
      <c r="Q418" s="97">
        <v>339</v>
      </c>
      <c r="R418" s="97">
        <v>53</v>
      </c>
      <c r="S418" s="97">
        <v>32</v>
      </c>
      <c r="T418" s="97">
        <v>526</v>
      </c>
      <c r="U418" s="97">
        <v>70</v>
      </c>
      <c r="V418" s="97">
        <v>30</v>
      </c>
      <c r="W418" s="97">
        <v>485</v>
      </c>
      <c r="X418" s="97">
        <v>83</v>
      </c>
      <c r="Y418" s="97">
        <v>4</v>
      </c>
      <c r="Z418" s="97">
        <v>79</v>
      </c>
      <c r="AA418" s="97">
        <v>49</v>
      </c>
      <c r="AB418" s="97">
        <v>32</v>
      </c>
      <c r="AC418" s="97">
        <v>633</v>
      </c>
      <c r="AD418" s="97">
        <v>76</v>
      </c>
      <c r="AE418" s="97">
        <v>6</v>
      </c>
      <c r="AF418" s="97">
        <v>125</v>
      </c>
      <c r="AG418" s="97">
        <v>466</v>
      </c>
      <c r="AH418" s="97">
        <v>23</v>
      </c>
      <c r="AI418" s="97">
        <v>415</v>
      </c>
    </row>
    <row r="419" spans="1:35" ht="15" customHeight="1">
      <c r="A419" s="97" t="s">
        <v>853</v>
      </c>
      <c r="B419" s="97" t="s">
        <v>853</v>
      </c>
      <c r="C419" s="97" t="s">
        <v>854</v>
      </c>
      <c r="D419" s="97" t="s">
        <v>3198</v>
      </c>
      <c r="E419" s="97" t="s">
        <v>117</v>
      </c>
      <c r="F419" s="97">
        <v>106</v>
      </c>
      <c r="G419" s="97">
        <v>11</v>
      </c>
      <c r="H419" s="97">
        <v>287</v>
      </c>
      <c r="I419" s="97">
        <v>66</v>
      </c>
      <c r="J419" s="97">
        <v>36</v>
      </c>
      <c r="K419" s="97">
        <v>584</v>
      </c>
      <c r="L419" s="97">
        <v>107</v>
      </c>
      <c r="M419" s="97">
        <v>8</v>
      </c>
      <c r="N419" s="97">
        <v>148</v>
      </c>
      <c r="O419" s="97">
        <v>60</v>
      </c>
      <c r="P419" s="97">
        <v>34</v>
      </c>
      <c r="Q419" s="97">
        <v>607</v>
      </c>
      <c r="R419" s="97">
        <v>59</v>
      </c>
      <c r="S419" s="97">
        <v>16</v>
      </c>
      <c r="T419" s="97">
        <v>348</v>
      </c>
      <c r="U419" s="97">
        <v>68</v>
      </c>
      <c r="V419" s="97">
        <v>27</v>
      </c>
      <c r="W419" s="97">
        <v>555</v>
      </c>
      <c r="X419" s="97">
        <v>85</v>
      </c>
      <c r="Y419" s="97">
        <v>4</v>
      </c>
      <c r="Z419" s="97">
        <v>45</v>
      </c>
      <c r="AA419" s="97">
        <v>47</v>
      </c>
      <c r="AB419" s="97">
        <v>42</v>
      </c>
      <c r="AC419" s="97">
        <v>719</v>
      </c>
      <c r="AD419" s="97">
        <v>75</v>
      </c>
      <c r="AE419" s="97">
        <v>12</v>
      </c>
      <c r="AF419" s="97">
        <v>146</v>
      </c>
      <c r="AG419" s="97">
        <v>466</v>
      </c>
      <c r="AH419" s="97">
        <v>21</v>
      </c>
      <c r="AI419" s="97">
        <v>415</v>
      </c>
    </row>
    <row r="420" spans="1:35" ht="15" customHeight="1">
      <c r="A420" s="97" t="s">
        <v>822</v>
      </c>
      <c r="B420" s="97" t="s">
        <v>822</v>
      </c>
      <c r="C420" s="97" t="s">
        <v>823</v>
      </c>
      <c r="D420" s="97" t="s">
        <v>3198</v>
      </c>
      <c r="E420" s="97" t="s">
        <v>117</v>
      </c>
      <c r="F420" s="97">
        <v>96</v>
      </c>
      <c r="G420" s="97">
        <v>38</v>
      </c>
      <c r="H420" s="97">
        <v>676</v>
      </c>
      <c r="I420" s="97">
        <v>73</v>
      </c>
      <c r="J420" s="97">
        <v>26</v>
      </c>
      <c r="K420" s="97">
        <v>438</v>
      </c>
      <c r="L420" s="97">
        <v>92</v>
      </c>
      <c r="M420" s="97">
        <v>24</v>
      </c>
      <c r="N420" s="97">
        <v>426</v>
      </c>
      <c r="O420" s="97">
        <v>73</v>
      </c>
      <c r="P420" s="97">
        <v>17</v>
      </c>
      <c r="Q420" s="97">
        <v>339</v>
      </c>
      <c r="R420" s="97">
        <v>54</v>
      </c>
      <c r="S420" s="97">
        <v>27</v>
      </c>
      <c r="T420" s="97">
        <v>494</v>
      </c>
      <c r="U420" s="97">
        <v>78</v>
      </c>
      <c r="V420" s="97">
        <v>8</v>
      </c>
      <c r="W420" s="97">
        <v>250</v>
      </c>
      <c r="X420" s="97">
        <v>86</v>
      </c>
      <c r="Y420" s="97">
        <v>2</v>
      </c>
      <c r="Z420" s="97">
        <v>34</v>
      </c>
      <c r="AA420" s="97">
        <v>64</v>
      </c>
      <c r="AB420" s="97">
        <v>3</v>
      </c>
      <c r="AC420" s="97">
        <v>103</v>
      </c>
      <c r="AD420" s="97">
        <v>74</v>
      </c>
      <c r="AE420" s="97">
        <v>14</v>
      </c>
      <c r="AF420" s="97">
        <v>174</v>
      </c>
      <c r="AG420" s="97">
        <v>466</v>
      </c>
      <c r="AH420" s="97">
        <v>21</v>
      </c>
      <c r="AI420" s="97">
        <v>415</v>
      </c>
    </row>
    <row r="421" spans="1:35" ht="15" customHeight="1">
      <c r="A421" s="97" t="s">
        <v>801</v>
      </c>
      <c r="B421" s="97" t="s">
        <v>801</v>
      </c>
      <c r="C421" s="97" t="s">
        <v>802</v>
      </c>
      <c r="D421" s="97" t="s">
        <v>3198</v>
      </c>
      <c r="E421" s="97" t="s">
        <v>117</v>
      </c>
      <c r="F421" s="97">
        <v>89</v>
      </c>
      <c r="G421" s="97">
        <v>47</v>
      </c>
      <c r="H421" s="97">
        <v>835</v>
      </c>
      <c r="I421" s="97">
        <v>80</v>
      </c>
      <c r="J421" s="97">
        <v>17</v>
      </c>
      <c r="K421" s="97">
        <v>325</v>
      </c>
      <c r="L421" s="97">
        <v>59.5</v>
      </c>
      <c r="M421" s="97">
        <v>52</v>
      </c>
      <c r="N421" s="97">
        <v>913</v>
      </c>
      <c r="O421" s="97">
        <v>78</v>
      </c>
      <c r="P421" s="97">
        <v>11</v>
      </c>
      <c r="Q421" s="97">
        <v>250</v>
      </c>
      <c r="R421" s="97">
        <v>67</v>
      </c>
      <c r="S421" s="97">
        <v>6</v>
      </c>
      <c r="T421" s="97">
        <v>177</v>
      </c>
      <c r="U421" s="97">
        <v>92</v>
      </c>
      <c r="V421" s="97">
        <v>1</v>
      </c>
      <c r="W421" s="97">
        <v>10</v>
      </c>
      <c r="X421" s="97">
        <v>75</v>
      </c>
      <c r="Y421" s="97">
        <v>22</v>
      </c>
      <c r="Z421" s="97">
        <v>289</v>
      </c>
      <c r="AA421" s="97">
        <v>65</v>
      </c>
      <c r="AB421" s="97">
        <v>2</v>
      </c>
      <c r="AC421" s="97">
        <v>89</v>
      </c>
      <c r="AD421" s="97">
        <v>81</v>
      </c>
      <c r="AE421" s="97">
        <v>3</v>
      </c>
      <c r="AF421" s="97">
        <v>42</v>
      </c>
      <c r="AG421" s="97">
        <v>465.5</v>
      </c>
      <c r="AH421" s="97">
        <v>23</v>
      </c>
      <c r="AI421" s="97">
        <v>418</v>
      </c>
    </row>
    <row r="422" spans="1:35" ht="15" customHeight="1">
      <c r="A422" s="97" t="s">
        <v>2197</v>
      </c>
      <c r="B422" s="97" t="s">
        <v>2197</v>
      </c>
      <c r="C422" s="97" t="s">
        <v>2198</v>
      </c>
      <c r="D422" s="97" t="s">
        <v>3198</v>
      </c>
      <c r="E422" s="97" t="s">
        <v>73</v>
      </c>
      <c r="F422" s="97">
        <v>103</v>
      </c>
      <c r="G422" s="97">
        <v>21</v>
      </c>
      <c r="H422" s="97">
        <v>400</v>
      </c>
      <c r="I422" s="97">
        <v>76</v>
      </c>
      <c r="J422" s="97">
        <v>13</v>
      </c>
      <c r="K422" s="97">
        <v>391</v>
      </c>
      <c r="L422" s="97">
        <v>80.5</v>
      </c>
      <c r="M422" s="97">
        <v>42</v>
      </c>
      <c r="N422" s="97">
        <v>687</v>
      </c>
      <c r="O422" s="97">
        <v>71</v>
      </c>
      <c r="P422" s="97">
        <v>17</v>
      </c>
      <c r="Q422" s="97">
        <v>378</v>
      </c>
      <c r="R422" s="97">
        <v>68</v>
      </c>
      <c r="S422" s="97">
        <v>9</v>
      </c>
      <c r="T422" s="97">
        <v>165</v>
      </c>
      <c r="U422" s="97">
        <v>67</v>
      </c>
      <c r="V422" s="97">
        <v>31</v>
      </c>
      <c r="W422" s="97">
        <v>587</v>
      </c>
      <c r="X422" s="97">
        <v>84</v>
      </c>
      <c r="Y422" s="97">
        <v>1</v>
      </c>
      <c r="Z422" s="97">
        <v>59</v>
      </c>
      <c r="AA422" s="97">
        <v>63</v>
      </c>
      <c r="AB422" s="97">
        <v>3</v>
      </c>
      <c r="AC422" s="97">
        <v>123</v>
      </c>
      <c r="AD422" s="97">
        <v>68</v>
      </c>
      <c r="AE422" s="97">
        <v>30</v>
      </c>
      <c r="AF422" s="97">
        <v>412</v>
      </c>
      <c r="AG422" s="97">
        <v>465.5</v>
      </c>
      <c r="AH422" s="97">
        <v>23</v>
      </c>
      <c r="AI422" s="97">
        <v>418</v>
      </c>
    </row>
    <row r="423" spans="1:35" ht="15" customHeight="1">
      <c r="A423" s="97" t="s">
        <v>2650</v>
      </c>
      <c r="B423" s="97" t="s">
        <v>2650</v>
      </c>
      <c r="C423" s="97" t="s">
        <v>2654</v>
      </c>
      <c r="D423" s="97" t="s">
        <v>3198</v>
      </c>
      <c r="E423" s="97" t="s">
        <v>49</v>
      </c>
      <c r="F423" s="97">
        <v>101</v>
      </c>
      <c r="G423" s="97">
        <v>24</v>
      </c>
      <c r="H423" s="97">
        <v>481</v>
      </c>
      <c r="I423" s="97">
        <v>88</v>
      </c>
      <c r="J423" s="97">
        <v>17</v>
      </c>
      <c r="K423" s="97">
        <v>206</v>
      </c>
      <c r="L423" s="97">
        <v>80.5</v>
      </c>
      <c r="M423" s="97">
        <v>43</v>
      </c>
      <c r="N423" s="97">
        <v>687</v>
      </c>
      <c r="O423" s="97">
        <v>72</v>
      </c>
      <c r="P423" s="97">
        <v>23</v>
      </c>
      <c r="Q423" s="97">
        <v>358</v>
      </c>
      <c r="R423" s="97">
        <v>59</v>
      </c>
      <c r="S423" s="97">
        <v>15</v>
      </c>
      <c r="T423" s="97">
        <v>348</v>
      </c>
      <c r="U423" s="97">
        <v>65</v>
      </c>
      <c r="V423" s="97">
        <v>33</v>
      </c>
      <c r="W423" s="97">
        <v>643</v>
      </c>
      <c r="X423" s="97">
        <v>72</v>
      </c>
      <c r="Y423" s="97">
        <v>8</v>
      </c>
      <c r="Z423" s="97">
        <v>396</v>
      </c>
      <c r="AA423" s="97">
        <v>50</v>
      </c>
      <c r="AB423" s="97">
        <v>26</v>
      </c>
      <c r="AC423" s="97">
        <v>591</v>
      </c>
      <c r="AD423" s="97">
        <v>65</v>
      </c>
      <c r="AE423" s="97">
        <v>21</v>
      </c>
      <c r="AF423" s="97">
        <v>548</v>
      </c>
      <c r="AG423" s="97">
        <v>465.5</v>
      </c>
      <c r="AH423" s="97">
        <v>23</v>
      </c>
      <c r="AI423" s="97">
        <v>418</v>
      </c>
    </row>
    <row r="424" spans="1:35" ht="15" customHeight="1">
      <c r="A424" s="97" t="s">
        <v>2600</v>
      </c>
      <c r="B424" s="97" t="s">
        <v>2600</v>
      </c>
      <c r="C424" s="97" t="s">
        <v>2601</v>
      </c>
      <c r="D424" s="97" t="s">
        <v>3198</v>
      </c>
      <c r="E424" s="97" t="s">
        <v>49</v>
      </c>
      <c r="F424" s="97">
        <v>105</v>
      </c>
      <c r="G424" s="97">
        <v>15</v>
      </c>
      <c r="H424" s="97">
        <v>325</v>
      </c>
      <c r="I424" s="97">
        <v>80</v>
      </c>
      <c r="J424" s="97">
        <v>25</v>
      </c>
      <c r="K424" s="97">
        <v>325</v>
      </c>
      <c r="L424" s="97">
        <v>88</v>
      </c>
      <c r="M424" s="97">
        <v>36</v>
      </c>
      <c r="N424" s="97">
        <v>534</v>
      </c>
      <c r="O424" s="97">
        <v>70</v>
      </c>
      <c r="P424" s="97">
        <v>29</v>
      </c>
      <c r="Q424" s="97">
        <v>400</v>
      </c>
      <c r="R424" s="97">
        <v>57</v>
      </c>
      <c r="S424" s="97">
        <v>22</v>
      </c>
      <c r="T424" s="97">
        <v>409</v>
      </c>
      <c r="U424" s="97">
        <v>65</v>
      </c>
      <c r="V424" s="97">
        <v>33</v>
      </c>
      <c r="W424" s="97">
        <v>643</v>
      </c>
      <c r="X424" s="97">
        <v>69</v>
      </c>
      <c r="Y424" s="97">
        <v>16</v>
      </c>
      <c r="Z424" s="97">
        <v>504</v>
      </c>
      <c r="AA424" s="97">
        <v>46</v>
      </c>
      <c r="AB424" s="97">
        <v>36</v>
      </c>
      <c r="AC424" s="97">
        <v>755</v>
      </c>
      <c r="AD424" s="97">
        <v>59</v>
      </c>
      <c r="AE424" s="97">
        <v>36</v>
      </c>
      <c r="AF424" s="97">
        <v>746</v>
      </c>
      <c r="AG424" s="97">
        <v>465</v>
      </c>
      <c r="AH424" s="97">
        <v>24</v>
      </c>
      <c r="AI424" s="97">
        <v>421</v>
      </c>
    </row>
    <row r="425" spans="1:35" ht="15" customHeight="1">
      <c r="A425" s="97" t="s">
        <v>1819</v>
      </c>
      <c r="B425" s="97" t="s">
        <v>1819</v>
      </c>
      <c r="C425" s="97" t="s">
        <v>1820</v>
      </c>
      <c r="D425" s="97" t="s">
        <v>3198</v>
      </c>
      <c r="E425" s="97" t="s">
        <v>34</v>
      </c>
      <c r="F425" s="97">
        <v>101</v>
      </c>
      <c r="G425" s="97">
        <v>30</v>
      </c>
      <c r="H425" s="97">
        <v>481</v>
      </c>
      <c r="I425" s="97">
        <v>87</v>
      </c>
      <c r="J425" s="97">
        <v>9</v>
      </c>
      <c r="K425" s="97">
        <v>220</v>
      </c>
      <c r="L425" s="97">
        <v>89</v>
      </c>
      <c r="M425" s="97">
        <v>29</v>
      </c>
      <c r="N425" s="97">
        <v>509</v>
      </c>
      <c r="O425" s="97">
        <v>74</v>
      </c>
      <c r="P425" s="97">
        <v>11</v>
      </c>
      <c r="Q425" s="97">
        <v>317</v>
      </c>
      <c r="R425" s="97">
        <v>61</v>
      </c>
      <c r="S425" s="97">
        <v>14</v>
      </c>
      <c r="T425" s="97">
        <v>300</v>
      </c>
      <c r="U425" s="97">
        <v>53</v>
      </c>
      <c r="V425" s="97">
        <v>48</v>
      </c>
      <c r="W425" s="97">
        <v>858</v>
      </c>
      <c r="X425" s="97">
        <v>69</v>
      </c>
      <c r="Y425" s="97">
        <v>35</v>
      </c>
      <c r="Z425" s="97">
        <v>504</v>
      </c>
      <c r="AA425" s="97">
        <v>48</v>
      </c>
      <c r="AB425" s="97">
        <v>36</v>
      </c>
      <c r="AC425" s="97">
        <v>671</v>
      </c>
      <c r="AD425" s="97">
        <v>57</v>
      </c>
      <c r="AE425" s="97">
        <v>50</v>
      </c>
      <c r="AF425" s="97">
        <v>798</v>
      </c>
      <c r="AG425" s="97">
        <v>465</v>
      </c>
      <c r="AH425" s="97">
        <v>20</v>
      </c>
      <c r="AI425" s="97">
        <v>421</v>
      </c>
    </row>
    <row r="426" spans="1:35" ht="15" customHeight="1">
      <c r="A426" s="97" t="s">
        <v>1496</v>
      </c>
      <c r="B426" s="97" t="s">
        <v>1496</v>
      </c>
      <c r="C426" s="97" t="s">
        <v>1497</v>
      </c>
      <c r="D426" s="97" t="s">
        <v>3198</v>
      </c>
      <c r="E426" s="97" t="s">
        <v>56</v>
      </c>
      <c r="F426" s="97">
        <v>93</v>
      </c>
      <c r="G426" s="97">
        <v>40</v>
      </c>
      <c r="H426" s="97">
        <v>755</v>
      </c>
      <c r="I426" s="97">
        <v>59</v>
      </c>
      <c r="J426" s="97">
        <v>32</v>
      </c>
      <c r="K426" s="97">
        <v>721</v>
      </c>
      <c r="L426" s="97">
        <v>114.5</v>
      </c>
      <c r="M426" s="97">
        <v>3</v>
      </c>
      <c r="N426" s="97">
        <v>61</v>
      </c>
      <c r="O426" s="97">
        <v>65</v>
      </c>
      <c r="P426" s="97">
        <v>27</v>
      </c>
      <c r="Q426" s="97">
        <v>501</v>
      </c>
      <c r="R426" s="97">
        <v>51</v>
      </c>
      <c r="S426" s="97">
        <v>27</v>
      </c>
      <c r="T426" s="97">
        <v>571</v>
      </c>
      <c r="U426" s="97">
        <v>82</v>
      </c>
      <c r="V426" s="97">
        <v>13</v>
      </c>
      <c r="W426" s="97">
        <v>166</v>
      </c>
      <c r="X426" s="97">
        <v>78</v>
      </c>
      <c r="Y426" s="97">
        <v>15</v>
      </c>
      <c r="Z426" s="97">
        <v>209</v>
      </c>
      <c r="AA426" s="97">
        <v>60</v>
      </c>
      <c r="AB426" s="97">
        <v>3</v>
      </c>
      <c r="AC426" s="97">
        <v>203</v>
      </c>
      <c r="AD426" s="97">
        <v>71</v>
      </c>
      <c r="AE426" s="97">
        <v>17</v>
      </c>
      <c r="AF426" s="97">
        <v>290</v>
      </c>
      <c r="AG426" s="97">
        <v>464.5</v>
      </c>
      <c r="AH426" s="97">
        <v>22</v>
      </c>
      <c r="AI426" s="97">
        <v>423</v>
      </c>
    </row>
    <row r="427" spans="1:35" ht="15" customHeight="1">
      <c r="A427" s="97" t="s">
        <v>464</v>
      </c>
      <c r="B427" s="97" t="s">
        <v>464</v>
      </c>
      <c r="C427" s="97" t="s">
        <v>468</v>
      </c>
      <c r="D427" s="97" t="s">
        <v>3198</v>
      </c>
      <c r="E427" s="97" t="s">
        <v>19</v>
      </c>
      <c r="F427" s="97">
        <v>109</v>
      </c>
      <c r="G427" s="97">
        <v>13</v>
      </c>
      <c r="H427" s="97">
        <v>185</v>
      </c>
      <c r="I427" s="97">
        <v>73</v>
      </c>
      <c r="J427" s="97">
        <v>21</v>
      </c>
      <c r="K427" s="97">
        <v>438</v>
      </c>
      <c r="L427" s="97">
        <v>83.5</v>
      </c>
      <c r="M427" s="97">
        <v>29</v>
      </c>
      <c r="N427" s="97">
        <v>632</v>
      </c>
      <c r="O427" s="97">
        <v>77</v>
      </c>
      <c r="P427" s="97">
        <v>16</v>
      </c>
      <c r="Q427" s="97">
        <v>274</v>
      </c>
      <c r="R427" s="97">
        <v>57</v>
      </c>
      <c r="S427" s="97">
        <v>18</v>
      </c>
      <c r="T427" s="97">
        <v>409</v>
      </c>
      <c r="U427" s="97">
        <v>65</v>
      </c>
      <c r="V427" s="97">
        <v>38</v>
      </c>
      <c r="W427" s="97">
        <v>643</v>
      </c>
      <c r="X427" s="97">
        <v>54</v>
      </c>
      <c r="Y427" s="97">
        <v>52</v>
      </c>
      <c r="Z427" s="97">
        <v>880</v>
      </c>
      <c r="AA427" s="97">
        <v>44</v>
      </c>
      <c r="AB427" s="97">
        <v>50</v>
      </c>
      <c r="AC427" s="97">
        <v>804</v>
      </c>
      <c r="AD427" s="97">
        <v>70</v>
      </c>
      <c r="AE427" s="97">
        <v>20</v>
      </c>
      <c r="AF427" s="97">
        <v>327</v>
      </c>
      <c r="AG427" s="97">
        <v>464.5</v>
      </c>
      <c r="AH427" s="97">
        <v>20</v>
      </c>
      <c r="AI427" s="97">
        <v>423</v>
      </c>
    </row>
    <row r="428" spans="1:35" ht="15" customHeight="1">
      <c r="A428" s="97" t="s">
        <v>533</v>
      </c>
      <c r="B428" s="97" t="s">
        <v>533</v>
      </c>
      <c r="C428" s="97" t="s">
        <v>534</v>
      </c>
      <c r="D428" s="97" t="s">
        <v>3198</v>
      </c>
      <c r="E428" s="97" t="s">
        <v>17</v>
      </c>
      <c r="F428" s="97">
        <v>105</v>
      </c>
      <c r="G428" s="97">
        <v>21</v>
      </c>
      <c r="H428" s="97">
        <v>325</v>
      </c>
      <c r="I428" s="97">
        <v>75</v>
      </c>
      <c r="J428" s="97">
        <v>28</v>
      </c>
      <c r="K428" s="97">
        <v>409</v>
      </c>
      <c r="L428" s="97">
        <v>82.5</v>
      </c>
      <c r="M428" s="97">
        <v>42</v>
      </c>
      <c r="N428" s="97">
        <v>657</v>
      </c>
      <c r="O428" s="97">
        <v>77</v>
      </c>
      <c r="P428" s="97">
        <v>11</v>
      </c>
      <c r="Q428" s="97">
        <v>274</v>
      </c>
      <c r="R428" s="97">
        <v>51</v>
      </c>
      <c r="S428" s="97">
        <v>34</v>
      </c>
      <c r="T428" s="97">
        <v>571</v>
      </c>
      <c r="U428" s="97">
        <v>74</v>
      </c>
      <c r="V428" s="97">
        <v>24</v>
      </c>
      <c r="W428" s="97">
        <v>366</v>
      </c>
      <c r="X428" s="97">
        <v>85</v>
      </c>
      <c r="Y428" s="97">
        <v>3</v>
      </c>
      <c r="Z428" s="97">
        <v>45</v>
      </c>
      <c r="AA428" s="97">
        <v>60</v>
      </c>
      <c r="AB428" s="97">
        <v>11</v>
      </c>
      <c r="AC428" s="97">
        <v>203</v>
      </c>
      <c r="AD428" s="97">
        <v>70</v>
      </c>
      <c r="AE428" s="97">
        <v>22</v>
      </c>
      <c r="AF428" s="97">
        <v>327</v>
      </c>
      <c r="AG428" s="97">
        <v>464.5</v>
      </c>
      <c r="AH428" s="97">
        <v>23</v>
      </c>
      <c r="AI428" s="97">
        <v>423</v>
      </c>
    </row>
    <row r="429" spans="1:35" ht="15" customHeight="1">
      <c r="A429" s="97" t="s">
        <v>605</v>
      </c>
      <c r="B429" s="97" t="s">
        <v>605</v>
      </c>
      <c r="C429" s="97" t="s">
        <v>606</v>
      </c>
      <c r="D429" s="97" t="s">
        <v>3198</v>
      </c>
      <c r="E429" s="97" t="s">
        <v>17</v>
      </c>
      <c r="F429" s="97">
        <v>110</v>
      </c>
      <c r="G429" s="97">
        <v>14</v>
      </c>
      <c r="H429" s="97">
        <v>159</v>
      </c>
      <c r="I429" s="97">
        <v>87</v>
      </c>
      <c r="J429" s="97">
        <v>13</v>
      </c>
      <c r="K429" s="97">
        <v>220</v>
      </c>
      <c r="L429" s="97">
        <v>88.5</v>
      </c>
      <c r="M429" s="97">
        <v>33</v>
      </c>
      <c r="N429" s="97">
        <v>519</v>
      </c>
      <c r="O429" s="97">
        <v>59</v>
      </c>
      <c r="P429" s="97">
        <v>40</v>
      </c>
      <c r="Q429" s="97">
        <v>626</v>
      </c>
      <c r="R429" s="97">
        <v>44</v>
      </c>
      <c r="S429" s="97">
        <v>49</v>
      </c>
      <c r="T429" s="97">
        <v>736</v>
      </c>
      <c r="U429" s="97">
        <v>76</v>
      </c>
      <c r="V429" s="97">
        <v>15</v>
      </c>
      <c r="W429" s="97">
        <v>308</v>
      </c>
      <c r="X429" s="97">
        <v>65</v>
      </c>
      <c r="Y429" s="97">
        <v>43</v>
      </c>
      <c r="Z429" s="97">
        <v>651</v>
      </c>
      <c r="AA429" s="97">
        <v>47</v>
      </c>
      <c r="AB429" s="97">
        <v>44</v>
      </c>
      <c r="AC429" s="97">
        <v>719</v>
      </c>
      <c r="AD429" s="97">
        <v>66</v>
      </c>
      <c r="AE429" s="97">
        <v>39</v>
      </c>
      <c r="AF429" s="97">
        <v>511</v>
      </c>
      <c r="AG429" s="97">
        <v>464.5</v>
      </c>
      <c r="AH429" s="97">
        <v>23</v>
      </c>
      <c r="AI429" s="97">
        <v>423</v>
      </c>
    </row>
    <row r="430" spans="1:35" ht="15" customHeight="1">
      <c r="A430" s="97" t="s">
        <v>581</v>
      </c>
      <c r="B430" s="97" t="s">
        <v>581</v>
      </c>
      <c r="C430" s="97" t="s">
        <v>582</v>
      </c>
      <c r="D430" s="97" t="s">
        <v>3198</v>
      </c>
      <c r="E430" s="97" t="s">
        <v>17</v>
      </c>
      <c r="F430" s="97">
        <v>94</v>
      </c>
      <c r="G430" s="97">
        <v>45</v>
      </c>
      <c r="H430" s="97">
        <v>733</v>
      </c>
      <c r="I430" s="97">
        <v>84</v>
      </c>
      <c r="J430" s="97">
        <v>17</v>
      </c>
      <c r="K430" s="97">
        <v>251</v>
      </c>
      <c r="L430" s="97">
        <v>85.5</v>
      </c>
      <c r="M430" s="97">
        <v>36</v>
      </c>
      <c r="N430" s="97">
        <v>585</v>
      </c>
      <c r="O430" s="97">
        <v>73</v>
      </c>
      <c r="P430" s="97">
        <v>17</v>
      </c>
      <c r="Q430" s="97">
        <v>339</v>
      </c>
      <c r="R430" s="97">
        <v>57</v>
      </c>
      <c r="S430" s="97">
        <v>23</v>
      </c>
      <c r="T430" s="97">
        <v>409</v>
      </c>
      <c r="U430" s="97">
        <v>71</v>
      </c>
      <c r="V430" s="97">
        <v>30</v>
      </c>
      <c r="W430" s="97">
        <v>462</v>
      </c>
      <c r="X430" s="97">
        <v>71</v>
      </c>
      <c r="Y430" s="97">
        <v>31</v>
      </c>
      <c r="Z430" s="97">
        <v>439</v>
      </c>
      <c r="AA430" s="97">
        <v>52</v>
      </c>
      <c r="AB430" s="97">
        <v>34</v>
      </c>
      <c r="AC430" s="97">
        <v>509</v>
      </c>
      <c r="AD430" s="97">
        <v>51</v>
      </c>
      <c r="AE430" s="97">
        <v>55</v>
      </c>
      <c r="AF430" s="97">
        <v>890</v>
      </c>
      <c r="AG430" s="97">
        <v>464.5</v>
      </c>
      <c r="AH430" s="97">
        <v>23</v>
      </c>
      <c r="AI430" s="97">
        <v>423</v>
      </c>
    </row>
    <row r="431" spans="1:35" ht="15" customHeight="1">
      <c r="A431" s="97" t="s">
        <v>2549</v>
      </c>
      <c r="B431" s="97" t="s">
        <v>2549</v>
      </c>
      <c r="C431" s="97" t="s">
        <v>1625</v>
      </c>
      <c r="D431" s="97" t="s">
        <v>3198</v>
      </c>
      <c r="E431" s="97" t="s">
        <v>131</v>
      </c>
      <c r="F431" s="97">
        <v>104</v>
      </c>
      <c r="G431" s="97">
        <v>10</v>
      </c>
      <c r="H431" s="97">
        <v>357</v>
      </c>
      <c r="I431" s="97">
        <v>79</v>
      </c>
      <c r="J431" s="97">
        <v>15</v>
      </c>
      <c r="K431" s="97">
        <v>342</v>
      </c>
      <c r="L431" s="97">
        <v>91.5</v>
      </c>
      <c r="M431" s="97">
        <v>20</v>
      </c>
      <c r="N431" s="97">
        <v>443</v>
      </c>
      <c r="O431" s="97">
        <v>74</v>
      </c>
      <c r="P431" s="97">
        <v>19</v>
      </c>
      <c r="Q431" s="97">
        <v>317</v>
      </c>
      <c r="R431" s="97">
        <v>52</v>
      </c>
      <c r="S431" s="97">
        <v>30</v>
      </c>
      <c r="T431" s="97">
        <v>551</v>
      </c>
      <c r="U431" s="97">
        <v>64</v>
      </c>
      <c r="V431" s="97">
        <v>36</v>
      </c>
      <c r="W431" s="97">
        <v>667</v>
      </c>
      <c r="X431" s="97">
        <v>65</v>
      </c>
      <c r="Y431" s="97">
        <v>33</v>
      </c>
      <c r="Z431" s="97">
        <v>651</v>
      </c>
      <c r="AA431" s="97">
        <v>49</v>
      </c>
      <c r="AB431" s="97">
        <v>44</v>
      </c>
      <c r="AC431" s="97">
        <v>633</v>
      </c>
      <c r="AD431" s="97">
        <v>68</v>
      </c>
      <c r="AE431" s="97">
        <v>30</v>
      </c>
      <c r="AF431" s="97">
        <v>412</v>
      </c>
      <c r="AG431" s="97">
        <v>464.5</v>
      </c>
      <c r="AH431" s="97">
        <v>23</v>
      </c>
      <c r="AI431" s="97">
        <v>423</v>
      </c>
    </row>
    <row r="432" spans="1:35" ht="15" customHeight="1">
      <c r="A432" s="97" t="s">
        <v>1890</v>
      </c>
      <c r="B432" s="97" t="s">
        <v>1890</v>
      </c>
      <c r="C432" s="97" t="s">
        <v>1891</v>
      </c>
      <c r="D432" s="97" t="s">
        <v>3198</v>
      </c>
      <c r="E432" s="97" t="s">
        <v>34</v>
      </c>
      <c r="F432" s="97">
        <v>101</v>
      </c>
      <c r="G432" s="97">
        <v>30</v>
      </c>
      <c r="H432" s="97">
        <v>481</v>
      </c>
      <c r="I432" s="97">
        <v>54</v>
      </c>
      <c r="J432" s="97">
        <v>49</v>
      </c>
      <c r="K432" s="97">
        <v>782</v>
      </c>
      <c r="L432" s="97">
        <v>114.5</v>
      </c>
      <c r="M432" s="97">
        <v>3</v>
      </c>
      <c r="N432" s="97">
        <v>61</v>
      </c>
      <c r="O432" s="97">
        <v>68</v>
      </c>
      <c r="P432" s="97">
        <v>22</v>
      </c>
      <c r="Q432" s="97">
        <v>453</v>
      </c>
      <c r="R432" s="97">
        <v>57</v>
      </c>
      <c r="S432" s="97">
        <v>22</v>
      </c>
      <c r="T432" s="97">
        <v>409</v>
      </c>
      <c r="U432" s="97">
        <v>70</v>
      </c>
      <c r="V432" s="97">
        <v>22</v>
      </c>
      <c r="W432" s="97">
        <v>485</v>
      </c>
      <c r="X432" s="97">
        <v>78</v>
      </c>
      <c r="Y432" s="97">
        <v>18</v>
      </c>
      <c r="Z432" s="97">
        <v>209</v>
      </c>
      <c r="AA432" s="97">
        <v>60</v>
      </c>
      <c r="AB432" s="97">
        <v>9</v>
      </c>
      <c r="AC432" s="97">
        <v>203</v>
      </c>
      <c r="AD432" s="97">
        <v>64</v>
      </c>
      <c r="AE432" s="97">
        <v>34</v>
      </c>
      <c r="AF432" s="97">
        <v>586</v>
      </c>
      <c r="AG432" s="97">
        <v>464.5</v>
      </c>
      <c r="AH432" s="97">
        <v>21</v>
      </c>
      <c r="AI432" s="97">
        <v>423</v>
      </c>
    </row>
    <row r="433" spans="1:35" ht="15" customHeight="1">
      <c r="A433" s="97" t="s">
        <v>2782</v>
      </c>
      <c r="B433" s="97" t="s">
        <v>2782</v>
      </c>
      <c r="C433" s="97" t="s">
        <v>2783</v>
      </c>
      <c r="D433" s="97" t="s">
        <v>3198</v>
      </c>
      <c r="E433" s="97" t="s">
        <v>38</v>
      </c>
      <c r="F433" s="97">
        <v>115</v>
      </c>
      <c r="G433" s="97">
        <v>2</v>
      </c>
      <c r="H433" s="97">
        <v>65</v>
      </c>
      <c r="I433" s="97">
        <v>63</v>
      </c>
      <c r="J433" s="97">
        <v>31</v>
      </c>
      <c r="K433" s="97">
        <v>642</v>
      </c>
      <c r="L433" s="97">
        <v>114.5</v>
      </c>
      <c r="M433" s="97">
        <v>2</v>
      </c>
      <c r="N433" s="97">
        <v>61</v>
      </c>
      <c r="O433" s="97">
        <v>58</v>
      </c>
      <c r="P433" s="97">
        <v>39</v>
      </c>
      <c r="Q433" s="97">
        <v>649</v>
      </c>
      <c r="R433" s="97">
        <v>47</v>
      </c>
      <c r="S433" s="97">
        <v>34</v>
      </c>
      <c r="T433" s="97">
        <v>673</v>
      </c>
      <c r="U433" s="97">
        <v>67</v>
      </c>
      <c r="V433" s="97">
        <v>30</v>
      </c>
      <c r="W433" s="97">
        <v>587</v>
      </c>
      <c r="X433" s="97">
        <v>73</v>
      </c>
      <c r="Y433" s="97">
        <v>13</v>
      </c>
      <c r="Z433" s="97">
        <v>359</v>
      </c>
      <c r="AA433" s="97">
        <v>52</v>
      </c>
      <c r="AB433" s="97">
        <v>27</v>
      </c>
      <c r="AC433" s="97">
        <v>509</v>
      </c>
      <c r="AD433" s="97">
        <v>73</v>
      </c>
      <c r="AE433" s="97">
        <v>13</v>
      </c>
      <c r="AF433" s="97">
        <v>216</v>
      </c>
      <c r="AG433" s="97">
        <v>464.5</v>
      </c>
      <c r="AH433" s="97">
        <v>15</v>
      </c>
      <c r="AI433" s="97">
        <v>423</v>
      </c>
    </row>
    <row r="434" spans="1:35" ht="15" customHeight="1">
      <c r="A434" s="97" t="s">
        <v>2686</v>
      </c>
      <c r="B434" s="97" t="s">
        <v>2686</v>
      </c>
      <c r="C434" s="97" t="s">
        <v>2684</v>
      </c>
      <c r="D434" s="97" t="s">
        <v>3198</v>
      </c>
      <c r="E434" s="97" t="s">
        <v>49</v>
      </c>
      <c r="F434" s="97">
        <v>89</v>
      </c>
      <c r="G434" s="97">
        <v>49</v>
      </c>
      <c r="H434" s="97">
        <v>835</v>
      </c>
      <c r="I434" s="97">
        <v>67</v>
      </c>
      <c r="J434" s="97">
        <v>37</v>
      </c>
      <c r="K434" s="97">
        <v>565</v>
      </c>
      <c r="L434" s="97">
        <v>108</v>
      </c>
      <c r="M434" s="97">
        <v>7</v>
      </c>
      <c r="N434" s="97">
        <v>134</v>
      </c>
      <c r="O434" s="97">
        <v>68</v>
      </c>
      <c r="P434" s="97">
        <v>31</v>
      </c>
      <c r="Q434" s="97">
        <v>453</v>
      </c>
      <c r="R434" s="97">
        <v>62</v>
      </c>
      <c r="S434" s="97">
        <v>12</v>
      </c>
      <c r="T434" s="97">
        <v>277</v>
      </c>
      <c r="U434" s="97">
        <v>70</v>
      </c>
      <c r="V434" s="97">
        <v>20</v>
      </c>
      <c r="W434" s="97">
        <v>485</v>
      </c>
      <c r="X434" s="97">
        <v>61</v>
      </c>
      <c r="Y434" s="97">
        <v>37</v>
      </c>
      <c r="Z434" s="97">
        <v>754</v>
      </c>
      <c r="AA434" s="97">
        <v>50</v>
      </c>
      <c r="AB434" s="97">
        <v>26</v>
      </c>
      <c r="AC434" s="97">
        <v>591</v>
      </c>
      <c r="AD434" s="97">
        <v>60</v>
      </c>
      <c r="AE434" s="97">
        <v>31</v>
      </c>
      <c r="AF434" s="97">
        <v>727</v>
      </c>
      <c r="AG434" s="97">
        <v>464</v>
      </c>
      <c r="AH434" s="97">
        <v>25</v>
      </c>
      <c r="AI434" s="97">
        <v>431</v>
      </c>
    </row>
    <row r="435" spans="1:35" ht="15" customHeight="1">
      <c r="A435" s="97" t="s">
        <v>687</v>
      </c>
      <c r="B435" s="97" t="s">
        <v>687</v>
      </c>
      <c r="C435" s="97" t="s">
        <v>209</v>
      </c>
      <c r="D435" s="97" t="s">
        <v>3198</v>
      </c>
      <c r="E435" s="97" t="s">
        <v>17</v>
      </c>
      <c r="F435" s="97">
        <v>100</v>
      </c>
      <c r="G435" s="97">
        <v>30</v>
      </c>
      <c r="H435" s="97">
        <v>528</v>
      </c>
      <c r="I435" s="97">
        <v>58</v>
      </c>
      <c r="J435" s="97">
        <v>46</v>
      </c>
      <c r="K435" s="97">
        <v>734</v>
      </c>
      <c r="L435" s="97">
        <v>103</v>
      </c>
      <c r="M435" s="97">
        <v>10</v>
      </c>
      <c r="N435" s="97">
        <v>205</v>
      </c>
      <c r="O435" s="97">
        <v>63</v>
      </c>
      <c r="P435" s="97">
        <v>34</v>
      </c>
      <c r="Q435" s="97">
        <v>540</v>
      </c>
      <c r="R435" s="97">
        <v>64</v>
      </c>
      <c r="S435" s="97">
        <v>14</v>
      </c>
      <c r="T435" s="97">
        <v>244</v>
      </c>
      <c r="U435" s="97">
        <v>76</v>
      </c>
      <c r="V435" s="97">
        <v>15</v>
      </c>
      <c r="W435" s="97">
        <v>308</v>
      </c>
      <c r="X435" s="97">
        <v>88</v>
      </c>
      <c r="Y435" s="97">
        <v>2</v>
      </c>
      <c r="Z435" s="97">
        <v>15</v>
      </c>
      <c r="AA435" s="97">
        <v>68</v>
      </c>
      <c r="AB435" s="97">
        <v>3</v>
      </c>
      <c r="AC435" s="97">
        <v>54</v>
      </c>
      <c r="AD435" s="97">
        <v>76</v>
      </c>
      <c r="AE435" s="97">
        <v>6</v>
      </c>
      <c r="AF435" s="97">
        <v>125</v>
      </c>
      <c r="AG435" s="97">
        <v>464</v>
      </c>
      <c r="AH435" s="97">
        <v>26</v>
      </c>
      <c r="AI435" s="97">
        <v>431</v>
      </c>
    </row>
    <row r="436" spans="1:35" ht="15" customHeight="1">
      <c r="A436" s="97" t="s">
        <v>640</v>
      </c>
      <c r="B436" s="97" t="s">
        <v>640</v>
      </c>
      <c r="C436" s="97" t="s">
        <v>641</v>
      </c>
      <c r="D436" s="97" t="s">
        <v>3198</v>
      </c>
      <c r="E436" s="97" t="s">
        <v>17</v>
      </c>
      <c r="F436" s="97">
        <v>96</v>
      </c>
      <c r="G436" s="97">
        <v>43</v>
      </c>
      <c r="H436" s="97">
        <v>676</v>
      </c>
      <c r="I436" s="97">
        <v>69</v>
      </c>
      <c r="J436" s="97">
        <v>34</v>
      </c>
      <c r="K436" s="97">
        <v>524</v>
      </c>
      <c r="L436" s="97">
        <v>88.5</v>
      </c>
      <c r="M436" s="97">
        <v>33</v>
      </c>
      <c r="N436" s="97">
        <v>519</v>
      </c>
      <c r="O436" s="97">
        <v>82</v>
      </c>
      <c r="P436" s="97">
        <v>3</v>
      </c>
      <c r="Q436" s="97">
        <v>174</v>
      </c>
      <c r="R436" s="97">
        <v>58</v>
      </c>
      <c r="S436" s="97">
        <v>22</v>
      </c>
      <c r="T436" s="97">
        <v>377</v>
      </c>
      <c r="U436" s="97">
        <v>70</v>
      </c>
      <c r="V436" s="97">
        <v>32</v>
      </c>
      <c r="W436" s="97">
        <v>485</v>
      </c>
      <c r="X436" s="97">
        <v>58</v>
      </c>
      <c r="Y436" s="97">
        <v>51</v>
      </c>
      <c r="Z436" s="97">
        <v>820</v>
      </c>
      <c r="AA436" s="97">
        <v>46</v>
      </c>
      <c r="AB436" s="97">
        <v>50</v>
      </c>
      <c r="AC436" s="97">
        <v>755</v>
      </c>
      <c r="AD436" s="97">
        <v>52</v>
      </c>
      <c r="AE436" s="97">
        <v>54</v>
      </c>
      <c r="AF436" s="97">
        <v>879</v>
      </c>
      <c r="AG436" s="97">
        <v>463.5</v>
      </c>
      <c r="AH436" s="97">
        <v>27</v>
      </c>
      <c r="AI436" s="97">
        <v>433</v>
      </c>
    </row>
    <row r="437" spans="1:35" ht="15" customHeight="1">
      <c r="A437" s="97" t="s">
        <v>1320</v>
      </c>
      <c r="B437" s="97" t="s">
        <v>1320</v>
      </c>
      <c r="C437" s="97" t="s">
        <v>1321</v>
      </c>
      <c r="D437" s="97" t="s">
        <v>3198</v>
      </c>
      <c r="E437" s="97" t="s">
        <v>54</v>
      </c>
      <c r="F437" s="97">
        <v>100</v>
      </c>
      <c r="G437" s="97">
        <v>33</v>
      </c>
      <c r="H437" s="97">
        <v>528</v>
      </c>
      <c r="I437" s="97">
        <v>83</v>
      </c>
      <c r="J437" s="97">
        <v>13</v>
      </c>
      <c r="K437" s="97">
        <v>267</v>
      </c>
      <c r="L437" s="97">
        <v>84.5</v>
      </c>
      <c r="M437" s="97">
        <v>26</v>
      </c>
      <c r="N437" s="97">
        <v>606</v>
      </c>
      <c r="O437" s="97">
        <v>60</v>
      </c>
      <c r="P437" s="97">
        <v>30</v>
      </c>
      <c r="Q437" s="97">
        <v>607</v>
      </c>
      <c r="R437" s="97">
        <v>65</v>
      </c>
      <c r="S437" s="97">
        <v>13</v>
      </c>
      <c r="T437" s="97">
        <v>223</v>
      </c>
      <c r="U437" s="97">
        <v>71</v>
      </c>
      <c r="V437" s="97">
        <v>28</v>
      </c>
      <c r="W437" s="97">
        <v>462</v>
      </c>
      <c r="X437" s="97">
        <v>79</v>
      </c>
      <c r="Y437" s="97">
        <v>8</v>
      </c>
      <c r="Z437" s="97">
        <v>175</v>
      </c>
      <c r="AA437" s="97">
        <v>59</v>
      </c>
      <c r="AB437" s="97">
        <v>7</v>
      </c>
      <c r="AC437" s="97">
        <v>233</v>
      </c>
      <c r="AD437" s="97">
        <v>81</v>
      </c>
      <c r="AE437" s="97">
        <v>2</v>
      </c>
      <c r="AF437" s="97">
        <v>42</v>
      </c>
      <c r="AG437" s="97">
        <v>463.5</v>
      </c>
      <c r="AH437" s="97">
        <v>23</v>
      </c>
      <c r="AI437" s="97">
        <v>433</v>
      </c>
    </row>
    <row r="438" spans="1:35" ht="15" customHeight="1">
      <c r="A438" s="97" t="s">
        <v>1271</v>
      </c>
      <c r="B438" s="97" t="s">
        <v>1271</v>
      </c>
      <c r="C438" s="97" t="s">
        <v>1272</v>
      </c>
      <c r="D438" s="97" t="s">
        <v>3198</v>
      </c>
      <c r="E438" s="97" t="s">
        <v>54</v>
      </c>
      <c r="F438" s="97">
        <v>97</v>
      </c>
      <c r="G438" s="97">
        <v>36</v>
      </c>
      <c r="H438" s="97">
        <v>645</v>
      </c>
      <c r="I438" s="97">
        <v>45</v>
      </c>
      <c r="J438" s="97">
        <v>51</v>
      </c>
      <c r="K438" s="97">
        <v>871</v>
      </c>
      <c r="L438" s="97">
        <v>60.5</v>
      </c>
      <c r="M438" s="97">
        <v>52</v>
      </c>
      <c r="N438" s="97">
        <v>909</v>
      </c>
      <c r="O438" s="97">
        <v>86</v>
      </c>
      <c r="P438" s="97">
        <v>2</v>
      </c>
      <c r="Q438" s="97">
        <v>126</v>
      </c>
      <c r="R438" s="97">
        <v>90</v>
      </c>
      <c r="S438" s="97">
        <v>1</v>
      </c>
      <c r="T438" s="97">
        <v>5</v>
      </c>
      <c r="U438" s="97">
        <v>85</v>
      </c>
      <c r="V438" s="97">
        <v>5</v>
      </c>
      <c r="W438" s="97">
        <v>96</v>
      </c>
      <c r="X438" s="97">
        <v>72</v>
      </c>
      <c r="Y438" s="97">
        <v>20</v>
      </c>
      <c r="Z438" s="97">
        <v>396</v>
      </c>
      <c r="AA438" s="97">
        <v>70</v>
      </c>
      <c r="AB438" s="97">
        <v>1</v>
      </c>
      <c r="AC438" s="97">
        <v>37</v>
      </c>
      <c r="AD438" s="97">
        <v>72</v>
      </c>
      <c r="AE438" s="97">
        <v>16</v>
      </c>
      <c r="AF438" s="97">
        <v>256</v>
      </c>
      <c r="AG438" s="97">
        <v>463.5</v>
      </c>
      <c r="AH438" s="97">
        <v>23</v>
      </c>
      <c r="AI438" s="97">
        <v>433</v>
      </c>
    </row>
    <row r="439" spans="1:35" ht="15" customHeight="1">
      <c r="A439" s="97" t="s">
        <v>2674</v>
      </c>
      <c r="B439" s="97" t="s">
        <v>2674</v>
      </c>
      <c r="C439" s="97" t="s">
        <v>2675</v>
      </c>
      <c r="D439" s="97" t="s">
        <v>3198</v>
      </c>
      <c r="E439" s="97" t="s">
        <v>49</v>
      </c>
      <c r="F439" s="97">
        <v>84</v>
      </c>
      <c r="G439" s="97">
        <v>53</v>
      </c>
      <c r="H439" s="97">
        <v>891</v>
      </c>
      <c r="I439" s="97">
        <v>93</v>
      </c>
      <c r="J439" s="97">
        <v>12</v>
      </c>
      <c r="K439" s="97">
        <v>155</v>
      </c>
      <c r="L439" s="97">
        <v>101.5</v>
      </c>
      <c r="M439" s="97">
        <v>13</v>
      </c>
      <c r="N439" s="97">
        <v>225</v>
      </c>
      <c r="O439" s="97">
        <v>75</v>
      </c>
      <c r="P439" s="97">
        <v>20</v>
      </c>
      <c r="Q439" s="97">
        <v>299</v>
      </c>
      <c r="R439" s="97">
        <v>42</v>
      </c>
      <c r="S439" s="97">
        <v>44</v>
      </c>
      <c r="T439" s="97">
        <v>774</v>
      </c>
      <c r="U439" s="97">
        <v>68</v>
      </c>
      <c r="V439" s="97">
        <v>23</v>
      </c>
      <c r="W439" s="97">
        <v>555</v>
      </c>
      <c r="X439" s="97">
        <v>62</v>
      </c>
      <c r="Y439" s="97">
        <v>35</v>
      </c>
      <c r="Z439" s="97">
        <v>729</v>
      </c>
      <c r="AA439" s="97">
        <v>48</v>
      </c>
      <c r="AB439" s="97">
        <v>31</v>
      </c>
      <c r="AC439" s="97">
        <v>671</v>
      </c>
      <c r="AD439" s="97">
        <v>60</v>
      </c>
      <c r="AE439" s="97">
        <v>31</v>
      </c>
      <c r="AF439" s="97">
        <v>727</v>
      </c>
      <c r="AG439" s="97">
        <v>463.5</v>
      </c>
      <c r="AH439" s="97">
        <v>26</v>
      </c>
      <c r="AI439" s="97">
        <v>433</v>
      </c>
    </row>
    <row r="440" spans="1:35" ht="15" customHeight="1">
      <c r="A440" s="97" t="s">
        <v>2728</v>
      </c>
      <c r="B440" s="97" t="s">
        <v>2728</v>
      </c>
      <c r="C440" s="97" t="s">
        <v>2729</v>
      </c>
      <c r="D440" s="97" t="s">
        <v>3198</v>
      </c>
      <c r="E440" s="97" t="s">
        <v>49</v>
      </c>
      <c r="F440" s="97">
        <v>109</v>
      </c>
      <c r="G440" s="97">
        <v>9</v>
      </c>
      <c r="H440" s="97">
        <v>185</v>
      </c>
      <c r="I440" s="97">
        <v>74</v>
      </c>
      <c r="J440" s="97">
        <v>30</v>
      </c>
      <c r="K440" s="97">
        <v>424</v>
      </c>
      <c r="L440" s="97">
        <v>91.5</v>
      </c>
      <c r="M440" s="97">
        <v>30</v>
      </c>
      <c r="N440" s="97">
        <v>443</v>
      </c>
      <c r="O440" s="97">
        <v>61</v>
      </c>
      <c r="P440" s="97">
        <v>37</v>
      </c>
      <c r="Q440" s="97">
        <v>587</v>
      </c>
      <c r="R440" s="97">
        <v>56</v>
      </c>
      <c r="S440" s="97">
        <v>24</v>
      </c>
      <c r="T440" s="97">
        <v>433</v>
      </c>
      <c r="U440" s="97">
        <v>72</v>
      </c>
      <c r="V440" s="97">
        <v>19</v>
      </c>
      <c r="W440" s="97">
        <v>433</v>
      </c>
      <c r="X440" s="97">
        <v>58</v>
      </c>
      <c r="Y440" s="97">
        <v>43</v>
      </c>
      <c r="Z440" s="97">
        <v>820</v>
      </c>
      <c r="AA440" s="97">
        <v>44</v>
      </c>
      <c r="AB440" s="97">
        <v>38</v>
      </c>
      <c r="AC440" s="97">
        <v>804</v>
      </c>
      <c r="AD440" s="97">
        <v>35</v>
      </c>
      <c r="AE440" s="97">
        <v>56</v>
      </c>
      <c r="AF440" s="97">
        <v>934</v>
      </c>
      <c r="AG440" s="97">
        <v>463.5</v>
      </c>
      <c r="AH440" s="97">
        <v>26</v>
      </c>
      <c r="AI440" s="97">
        <v>433</v>
      </c>
    </row>
    <row r="441" spans="1:35" ht="15" customHeight="1">
      <c r="A441" s="97" t="s">
        <v>2352</v>
      </c>
      <c r="B441" s="97" t="s">
        <v>2352</v>
      </c>
      <c r="C441" s="97" t="s">
        <v>2362</v>
      </c>
      <c r="D441" s="97" t="s">
        <v>3198</v>
      </c>
      <c r="E441" s="97" t="s">
        <v>7</v>
      </c>
      <c r="F441" s="97">
        <v>81</v>
      </c>
      <c r="G441" s="97">
        <v>52</v>
      </c>
      <c r="H441" s="97">
        <v>906</v>
      </c>
      <c r="I441" s="97">
        <v>66</v>
      </c>
      <c r="J441" s="97">
        <v>21</v>
      </c>
      <c r="K441" s="97">
        <v>584</v>
      </c>
      <c r="L441" s="97">
        <v>91</v>
      </c>
      <c r="M441" s="97">
        <v>20</v>
      </c>
      <c r="N441" s="97">
        <v>458</v>
      </c>
      <c r="O441" s="97">
        <v>88</v>
      </c>
      <c r="P441" s="97">
        <v>3</v>
      </c>
      <c r="Q441" s="97">
        <v>106</v>
      </c>
      <c r="R441" s="97">
        <v>53</v>
      </c>
      <c r="S441" s="97">
        <v>26</v>
      </c>
      <c r="T441" s="97">
        <v>526</v>
      </c>
      <c r="U441" s="97">
        <v>84</v>
      </c>
      <c r="V441" s="97">
        <v>4</v>
      </c>
      <c r="W441" s="97">
        <v>123</v>
      </c>
      <c r="X441" s="97">
        <v>52</v>
      </c>
      <c r="Y441" s="97">
        <v>53</v>
      </c>
      <c r="Z441" s="97">
        <v>897</v>
      </c>
      <c r="AA441" s="97">
        <v>56</v>
      </c>
      <c r="AB441" s="97">
        <v>23</v>
      </c>
      <c r="AC441" s="97">
        <v>352</v>
      </c>
      <c r="AD441" s="97">
        <v>68</v>
      </c>
      <c r="AE441" s="97">
        <v>22</v>
      </c>
      <c r="AF441" s="97">
        <v>412</v>
      </c>
      <c r="AG441" s="97">
        <v>463</v>
      </c>
      <c r="AH441" s="97">
        <v>17</v>
      </c>
      <c r="AI441" s="97">
        <v>438</v>
      </c>
    </row>
    <row r="442" spans="1:35" ht="15" customHeight="1">
      <c r="A442" s="97" t="s">
        <v>889</v>
      </c>
      <c r="B442" s="97" t="s">
        <v>889</v>
      </c>
      <c r="C442" s="97" t="s">
        <v>890</v>
      </c>
      <c r="D442" s="97" t="s">
        <v>3198</v>
      </c>
      <c r="E442" s="97" t="s">
        <v>60</v>
      </c>
      <c r="F442" s="97">
        <v>110</v>
      </c>
      <c r="G442" s="97">
        <v>8</v>
      </c>
      <c r="H442" s="97">
        <v>159</v>
      </c>
      <c r="I442" s="97">
        <v>54</v>
      </c>
      <c r="J442" s="97">
        <v>45</v>
      </c>
      <c r="K442" s="97">
        <v>782</v>
      </c>
      <c r="L442" s="97">
        <v>87</v>
      </c>
      <c r="M442" s="97">
        <v>31</v>
      </c>
      <c r="N442" s="97">
        <v>553</v>
      </c>
      <c r="O442" s="97">
        <v>69</v>
      </c>
      <c r="P442" s="97">
        <v>23</v>
      </c>
      <c r="Q442" s="97">
        <v>428</v>
      </c>
      <c r="R442" s="97">
        <v>60</v>
      </c>
      <c r="S442" s="97">
        <v>20</v>
      </c>
      <c r="T442" s="97">
        <v>322</v>
      </c>
      <c r="U442" s="97">
        <v>83</v>
      </c>
      <c r="V442" s="97">
        <v>4</v>
      </c>
      <c r="W442" s="97">
        <v>145</v>
      </c>
      <c r="X442" s="97">
        <v>74</v>
      </c>
      <c r="Y442" s="97">
        <v>21</v>
      </c>
      <c r="Z442" s="97">
        <v>326</v>
      </c>
      <c r="AA442" s="97">
        <v>47</v>
      </c>
      <c r="AB442" s="97">
        <v>42</v>
      </c>
      <c r="AC442" s="97">
        <v>719</v>
      </c>
      <c r="AD442" s="97">
        <v>63</v>
      </c>
      <c r="AE442" s="97">
        <v>35</v>
      </c>
      <c r="AF442" s="97">
        <v>633</v>
      </c>
      <c r="AG442" s="97">
        <v>463</v>
      </c>
      <c r="AH442" s="97">
        <v>23</v>
      </c>
      <c r="AI442" s="97">
        <v>438</v>
      </c>
    </row>
    <row r="443" spans="1:35" ht="15" customHeight="1">
      <c r="A443" s="97" t="s">
        <v>274</v>
      </c>
      <c r="B443" s="97" t="s">
        <v>274</v>
      </c>
      <c r="C443" s="97" t="s">
        <v>275</v>
      </c>
      <c r="D443" s="97" t="s">
        <v>3198</v>
      </c>
      <c r="E443" s="97" t="s">
        <v>28</v>
      </c>
      <c r="F443" s="97">
        <v>105</v>
      </c>
      <c r="G443" s="97">
        <v>17</v>
      </c>
      <c r="H443" s="97">
        <v>325</v>
      </c>
      <c r="I443" s="97">
        <v>94</v>
      </c>
      <c r="J443" s="97">
        <v>7</v>
      </c>
      <c r="K443" s="97">
        <v>141</v>
      </c>
      <c r="L443" s="97">
        <v>94</v>
      </c>
      <c r="M443" s="97">
        <v>24</v>
      </c>
      <c r="N443" s="97">
        <v>382</v>
      </c>
      <c r="O443" s="97">
        <v>64</v>
      </c>
      <c r="P443" s="97">
        <v>31</v>
      </c>
      <c r="Q443" s="97">
        <v>517</v>
      </c>
      <c r="R443" s="97">
        <v>42</v>
      </c>
      <c r="S443" s="97">
        <v>42</v>
      </c>
      <c r="T443" s="97">
        <v>774</v>
      </c>
      <c r="U443" s="97">
        <v>64</v>
      </c>
      <c r="V443" s="97">
        <v>36</v>
      </c>
      <c r="W443" s="97">
        <v>667</v>
      </c>
      <c r="X443" s="97">
        <v>61</v>
      </c>
      <c r="Y443" s="97">
        <v>46</v>
      </c>
      <c r="Z443" s="97">
        <v>754</v>
      </c>
      <c r="AA443" s="97">
        <v>57</v>
      </c>
      <c r="AB443" s="97">
        <v>24</v>
      </c>
      <c r="AC443" s="97">
        <v>306</v>
      </c>
      <c r="AD443" s="97">
        <v>75</v>
      </c>
      <c r="AE443" s="97">
        <v>6</v>
      </c>
      <c r="AF443" s="97">
        <v>146</v>
      </c>
      <c r="AG443" s="97">
        <v>463</v>
      </c>
      <c r="AH443" s="97">
        <v>23</v>
      </c>
      <c r="AI443" s="97">
        <v>438</v>
      </c>
    </row>
    <row r="444" spans="1:35" ht="15" customHeight="1">
      <c r="A444" s="97" t="s">
        <v>253</v>
      </c>
      <c r="B444" s="97" t="s">
        <v>253</v>
      </c>
      <c r="C444" s="97" t="s">
        <v>254</v>
      </c>
      <c r="D444" s="97" t="s">
        <v>3198</v>
      </c>
      <c r="E444" s="97" t="s">
        <v>28</v>
      </c>
      <c r="F444" s="97">
        <v>97</v>
      </c>
      <c r="G444" s="97">
        <v>40</v>
      </c>
      <c r="H444" s="97">
        <v>645</v>
      </c>
      <c r="I444" s="97">
        <v>78</v>
      </c>
      <c r="J444" s="97">
        <v>17</v>
      </c>
      <c r="K444" s="97">
        <v>353</v>
      </c>
      <c r="L444" s="97">
        <v>97</v>
      </c>
      <c r="M444" s="97">
        <v>19</v>
      </c>
      <c r="N444" s="97">
        <v>327</v>
      </c>
      <c r="O444" s="97">
        <v>72</v>
      </c>
      <c r="P444" s="97">
        <v>20</v>
      </c>
      <c r="Q444" s="97">
        <v>358</v>
      </c>
      <c r="R444" s="97">
        <v>56</v>
      </c>
      <c r="S444" s="97">
        <v>20</v>
      </c>
      <c r="T444" s="97">
        <v>433</v>
      </c>
      <c r="U444" s="97">
        <v>63</v>
      </c>
      <c r="V444" s="97">
        <v>39</v>
      </c>
      <c r="W444" s="97">
        <v>692</v>
      </c>
      <c r="X444" s="97">
        <v>68</v>
      </c>
      <c r="Y444" s="97">
        <v>30</v>
      </c>
      <c r="Z444" s="97">
        <v>541</v>
      </c>
      <c r="AA444" s="97">
        <v>62</v>
      </c>
      <c r="AB444" s="97">
        <v>12</v>
      </c>
      <c r="AC444" s="97">
        <v>146</v>
      </c>
      <c r="AD444" s="97">
        <v>69</v>
      </c>
      <c r="AE444" s="97">
        <v>18</v>
      </c>
      <c r="AF444" s="97">
        <v>367</v>
      </c>
      <c r="AG444" s="97">
        <v>463</v>
      </c>
      <c r="AH444" s="97">
        <v>23</v>
      </c>
      <c r="AI444" s="97">
        <v>438</v>
      </c>
    </row>
    <row r="445" spans="1:35" ht="15" customHeight="1">
      <c r="A445" s="97" t="s">
        <v>810</v>
      </c>
      <c r="B445" s="97" t="s">
        <v>810</v>
      </c>
      <c r="C445" s="97" t="s">
        <v>811</v>
      </c>
      <c r="D445" s="97" t="s">
        <v>3198</v>
      </c>
      <c r="E445" s="97" t="s">
        <v>117</v>
      </c>
      <c r="F445" s="97">
        <v>110</v>
      </c>
      <c r="G445" s="97">
        <v>7</v>
      </c>
      <c r="H445" s="97">
        <v>159</v>
      </c>
      <c r="I445" s="97">
        <v>53</v>
      </c>
      <c r="J445" s="97">
        <v>48</v>
      </c>
      <c r="K445" s="97">
        <v>792</v>
      </c>
      <c r="L445" s="97">
        <v>111.5</v>
      </c>
      <c r="M445" s="97">
        <v>4</v>
      </c>
      <c r="N445" s="97">
        <v>91</v>
      </c>
      <c r="O445" s="97">
        <v>45</v>
      </c>
      <c r="P445" s="97">
        <v>51</v>
      </c>
      <c r="Q445" s="97">
        <v>840</v>
      </c>
      <c r="R445" s="97">
        <v>74</v>
      </c>
      <c r="S445" s="97">
        <v>2</v>
      </c>
      <c r="T445" s="97">
        <v>94</v>
      </c>
      <c r="U445" s="97">
        <v>69</v>
      </c>
      <c r="V445" s="97">
        <v>25</v>
      </c>
      <c r="W445" s="97">
        <v>523</v>
      </c>
      <c r="X445" s="97">
        <v>77</v>
      </c>
      <c r="Y445" s="97">
        <v>18</v>
      </c>
      <c r="Z445" s="97">
        <v>240</v>
      </c>
      <c r="AA445" s="97">
        <v>55</v>
      </c>
      <c r="AB445" s="97">
        <v>22</v>
      </c>
      <c r="AC445" s="97">
        <v>392</v>
      </c>
      <c r="AD445" s="97">
        <v>76</v>
      </c>
      <c r="AE445" s="97">
        <v>10</v>
      </c>
      <c r="AF445" s="97">
        <v>125</v>
      </c>
      <c r="AG445" s="97">
        <v>462.5</v>
      </c>
      <c r="AH445" s="97">
        <v>24</v>
      </c>
      <c r="AI445" s="97">
        <v>442</v>
      </c>
    </row>
    <row r="446" spans="1:35" ht="15" customHeight="1">
      <c r="A446" s="97" t="s">
        <v>244</v>
      </c>
      <c r="B446" s="97" t="s">
        <v>244</v>
      </c>
      <c r="C446" s="97" t="s">
        <v>245</v>
      </c>
      <c r="D446" s="97" t="s">
        <v>3198</v>
      </c>
      <c r="E446" s="97" t="s">
        <v>28</v>
      </c>
      <c r="F446" s="97">
        <v>98</v>
      </c>
      <c r="G446" s="97">
        <v>39</v>
      </c>
      <c r="H446" s="97">
        <v>611</v>
      </c>
      <c r="I446" s="97">
        <v>77</v>
      </c>
      <c r="J446" s="97">
        <v>19</v>
      </c>
      <c r="K446" s="97">
        <v>369</v>
      </c>
      <c r="L446" s="97">
        <v>75</v>
      </c>
      <c r="M446" s="97">
        <v>45</v>
      </c>
      <c r="N446" s="97">
        <v>776</v>
      </c>
      <c r="O446" s="97">
        <v>79</v>
      </c>
      <c r="P446" s="97">
        <v>9</v>
      </c>
      <c r="Q446" s="97">
        <v>228</v>
      </c>
      <c r="R446" s="97">
        <v>52</v>
      </c>
      <c r="S446" s="97">
        <v>30</v>
      </c>
      <c r="T446" s="97">
        <v>551</v>
      </c>
      <c r="U446" s="97">
        <v>81</v>
      </c>
      <c r="V446" s="97">
        <v>7</v>
      </c>
      <c r="W446" s="97">
        <v>183</v>
      </c>
      <c r="X446" s="97">
        <v>65</v>
      </c>
      <c r="Y446" s="97">
        <v>38</v>
      </c>
      <c r="Z446" s="97">
        <v>651</v>
      </c>
      <c r="AA446" s="97">
        <v>59</v>
      </c>
      <c r="AB446" s="97">
        <v>17</v>
      </c>
      <c r="AC446" s="97">
        <v>233</v>
      </c>
      <c r="AD446" s="97">
        <v>51</v>
      </c>
      <c r="AE446" s="97">
        <v>55</v>
      </c>
      <c r="AF446" s="97">
        <v>890</v>
      </c>
      <c r="AG446" s="97">
        <v>462</v>
      </c>
      <c r="AH446" s="97">
        <v>25</v>
      </c>
      <c r="AI446" s="97">
        <v>443</v>
      </c>
    </row>
    <row r="447" spans="1:35" ht="15" customHeight="1">
      <c r="A447" s="97" t="s">
        <v>348</v>
      </c>
      <c r="B447" s="97" t="s">
        <v>348</v>
      </c>
      <c r="C447" s="97" t="s">
        <v>349</v>
      </c>
      <c r="D447" s="97" t="s">
        <v>3198</v>
      </c>
      <c r="E447" s="97" t="s">
        <v>28</v>
      </c>
      <c r="F447" s="97">
        <v>114</v>
      </c>
      <c r="G447" s="97">
        <v>4</v>
      </c>
      <c r="H447" s="97">
        <v>80</v>
      </c>
      <c r="I447" s="97">
        <v>78</v>
      </c>
      <c r="J447" s="97">
        <v>17</v>
      </c>
      <c r="K447" s="97">
        <v>353</v>
      </c>
      <c r="L447" s="97">
        <v>68</v>
      </c>
      <c r="M447" s="97">
        <v>50</v>
      </c>
      <c r="N447" s="97">
        <v>862</v>
      </c>
      <c r="O447" s="97">
        <v>78</v>
      </c>
      <c r="P447" s="97">
        <v>10</v>
      </c>
      <c r="Q447" s="97">
        <v>250</v>
      </c>
      <c r="R447" s="97">
        <v>48</v>
      </c>
      <c r="S447" s="97">
        <v>34</v>
      </c>
      <c r="T447" s="97">
        <v>649</v>
      </c>
      <c r="U447" s="97">
        <v>76</v>
      </c>
      <c r="V447" s="97">
        <v>16</v>
      </c>
      <c r="W447" s="97">
        <v>308</v>
      </c>
      <c r="X447" s="97">
        <v>73</v>
      </c>
      <c r="Y447" s="97">
        <v>19</v>
      </c>
      <c r="Z447" s="97">
        <v>359</v>
      </c>
      <c r="AA447" s="97">
        <v>63</v>
      </c>
      <c r="AB447" s="97">
        <v>9</v>
      </c>
      <c r="AC447" s="97">
        <v>123</v>
      </c>
      <c r="AD447" s="97">
        <v>68</v>
      </c>
      <c r="AE447" s="97">
        <v>24</v>
      </c>
      <c r="AF447" s="97">
        <v>412</v>
      </c>
      <c r="AG447" s="97">
        <v>462</v>
      </c>
      <c r="AH447" s="97">
        <v>25</v>
      </c>
      <c r="AI447" s="97">
        <v>443</v>
      </c>
    </row>
    <row r="448" spans="1:35" ht="15" customHeight="1">
      <c r="A448" s="97" t="s">
        <v>1423</v>
      </c>
      <c r="B448" s="97" t="s">
        <v>1423</v>
      </c>
      <c r="C448" s="97" t="s">
        <v>1424</v>
      </c>
      <c r="D448" s="97" t="s">
        <v>3198</v>
      </c>
      <c r="E448" s="97" t="s">
        <v>56</v>
      </c>
      <c r="F448" s="97">
        <v>93</v>
      </c>
      <c r="G448" s="97">
        <v>40</v>
      </c>
      <c r="H448" s="97">
        <v>755</v>
      </c>
      <c r="I448" s="97">
        <v>51</v>
      </c>
      <c r="J448" s="97">
        <v>44</v>
      </c>
      <c r="K448" s="97">
        <v>817</v>
      </c>
      <c r="L448" s="97">
        <v>101</v>
      </c>
      <c r="M448" s="97">
        <v>9</v>
      </c>
      <c r="N448" s="97">
        <v>234</v>
      </c>
      <c r="O448" s="97">
        <v>71</v>
      </c>
      <c r="P448" s="97">
        <v>15</v>
      </c>
      <c r="Q448" s="97">
        <v>378</v>
      </c>
      <c r="R448" s="97">
        <v>60</v>
      </c>
      <c r="S448" s="97">
        <v>10</v>
      </c>
      <c r="T448" s="97">
        <v>322</v>
      </c>
      <c r="U448" s="97">
        <v>86</v>
      </c>
      <c r="V448" s="97">
        <v>4</v>
      </c>
      <c r="W448" s="97">
        <v>77</v>
      </c>
      <c r="X448" s="97">
        <v>60</v>
      </c>
      <c r="Y448" s="97">
        <v>50</v>
      </c>
      <c r="Z448" s="97">
        <v>777</v>
      </c>
      <c r="AA448" s="97">
        <v>59</v>
      </c>
      <c r="AB448" s="97">
        <v>5</v>
      </c>
      <c r="AC448" s="97">
        <v>233</v>
      </c>
      <c r="AD448" s="97">
        <v>74</v>
      </c>
      <c r="AE448" s="97">
        <v>11</v>
      </c>
      <c r="AF448" s="97">
        <v>174</v>
      </c>
      <c r="AG448" s="97">
        <v>462</v>
      </c>
      <c r="AH448" s="97">
        <v>23</v>
      </c>
      <c r="AI448" s="97">
        <v>443</v>
      </c>
    </row>
    <row r="449" spans="1:35" ht="15" customHeight="1">
      <c r="A449" s="97" t="s">
        <v>2785</v>
      </c>
      <c r="B449" s="97" t="s">
        <v>2785</v>
      </c>
      <c r="C449" s="97" t="s">
        <v>2786</v>
      </c>
      <c r="D449" s="97" t="s">
        <v>3198</v>
      </c>
      <c r="E449" s="97" t="s">
        <v>38</v>
      </c>
      <c r="F449" s="97">
        <v>102</v>
      </c>
      <c r="G449" s="97">
        <v>23</v>
      </c>
      <c r="H449" s="97">
        <v>442</v>
      </c>
      <c r="I449" s="97">
        <v>81</v>
      </c>
      <c r="J449" s="97">
        <v>10</v>
      </c>
      <c r="K449" s="97">
        <v>309</v>
      </c>
      <c r="L449" s="97">
        <v>96</v>
      </c>
      <c r="M449" s="97">
        <v>18</v>
      </c>
      <c r="N449" s="97">
        <v>346</v>
      </c>
      <c r="O449" s="97">
        <v>56</v>
      </c>
      <c r="P449" s="97">
        <v>42</v>
      </c>
      <c r="Q449" s="97">
        <v>682</v>
      </c>
      <c r="R449" s="97">
        <v>55</v>
      </c>
      <c r="S449" s="97">
        <v>17</v>
      </c>
      <c r="T449" s="97">
        <v>470</v>
      </c>
      <c r="U449" s="97">
        <v>72</v>
      </c>
      <c r="V449" s="97">
        <v>21</v>
      </c>
      <c r="W449" s="97">
        <v>433</v>
      </c>
      <c r="X449" s="97">
        <v>77</v>
      </c>
      <c r="Y449" s="97">
        <v>3</v>
      </c>
      <c r="Z449" s="97">
        <v>240</v>
      </c>
      <c r="AA449" s="97">
        <v>49</v>
      </c>
      <c r="AB449" s="97">
        <v>35</v>
      </c>
      <c r="AC449" s="97">
        <v>633</v>
      </c>
      <c r="AD449" s="97">
        <v>63</v>
      </c>
      <c r="AE449" s="97">
        <v>30</v>
      </c>
      <c r="AF449" s="97">
        <v>633</v>
      </c>
      <c r="AG449" s="97">
        <v>462</v>
      </c>
      <c r="AH449" s="97">
        <v>16</v>
      </c>
      <c r="AI449" s="97">
        <v>443</v>
      </c>
    </row>
    <row r="450" spans="1:35" ht="15" customHeight="1">
      <c r="A450" s="97" t="s">
        <v>1077</v>
      </c>
      <c r="B450" s="97" t="s">
        <v>1077</v>
      </c>
      <c r="C450" s="97" t="s">
        <v>1078</v>
      </c>
      <c r="D450" s="97" t="s">
        <v>3198</v>
      </c>
      <c r="E450" s="97" t="s">
        <v>68</v>
      </c>
      <c r="F450" s="97">
        <v>105</v>
      </c>
      <c r="G450" s="97">
        <v>19</v>
      </c>
      <c r="H450" s="97">
        <v>325</v>
      </c>
      <c r="I450" s="97">
        <v>81</v>
      </c>
      <c r="J450" s="97">
        <v>21</v>
      </c>
      <c r="K450" s="97">
        <v>309</v>
      </c>
      <c r="L450" s="97">
        <v>90.5</v>
      </c>
      <c r="M450" s="97">
        <v>17</v>
      </c>
      <c r="N450" s="97">
        <v>470</v>
      </c>
      <c r="O450" s="97">
        <v>62</v>
      </c>
      <c r="P450" s="97">
        <v>32</v>
      </c>
      <c r="Q450" s="97">
        <v>564</v>
      </c>
      <c r="R450" s="97">
        <v>59</v>
      </c>
      <c r="S450" s="97">
        <v>19</v>
      </c>
      <c r="T450" s="97">
        <v>348</v>
      </c>
      <c r="U450" s="97">
        <v>64</v>
      </c>
      <c r="V450" s="97">
        <v>37</v>
      </c>
      <c r="W450" s="97">
        <v>667</v>
      </c>
      <c r="X450" s="97">
        <v>69</v>
      </c>
      <c r="Y450" s="97">
        <v>26</v>
      </c>
      <c r="Z450" s="97">
        <v>504</v>
      </c>
      <c r="AA450" s="97">
        <v>54</v>
      </c>
      <c r="AB450" s="97">
        <v>18</v>
      </c>
      <c r="AC450" s="97">
        <v>428</v>
      </c>
      <c r="AD450" s="97">
        <v>58</v>
      </c>
      <c r="AE450" s="97">
        <v>44</v>
      </c>
      <c r="AF450" s="97">
        <v>770</v>
      </c>
      <c r="AG450" s="97">
        <v>461.5</v>
      </c>
      <c r="AH450" s="97">
        <v>24</v>
      </c>
      <c r="AI450" s="97">
        <v>447</v>
      </c>
    </row>
    <row r="451" spans="1:35" ht="15" customHeight="1">
      <c r="A451" s="97" t="s">
        <v>1801</v>
      </c>
      <c r="B451" s="97" t="s">
        <v>1801</v>
      </c>
      <c r="C451" s="97" t="s">
        <v>1802</v>
      </c>
      <c r="D451" s="97" t="s">
        <v>3198</v>
      </c>
      <c r="E451" s="97" t="s">
        <v>34</v>
      </c>
      <c r="F451" s="97">
        <v>99</v>
      </c>
      <c r="G451" s="97">
        <v>37</v>
      </c>
      <c r="H451" s="97">
        <v>571</v>
      </c>
      <c r="I451" s="97">
        <v>72</v>
      </c>
      <c r="J451" s="97">
        <v>28</v>
      </c>
      <c r="K451" s="97">
        <v>458</v>
      </c>
      <c r="L451" s="97">
        <v>88.5</v>
      </c>
      <c r="M451" s="97">
        <v>31</v>
      </c>
      <c r="N451" s="97">
        <v>519</v>
      </c>
      <c r="O451" s="97">
        <v>80</v>
      </c>
      <c r="P451" s="97">
        <v>3</v>
      </c>
      <c r="Q451" s="97">
        <v>207</v>
      </c>
      <c r="R451" s="97">
        <v>59</v>
      </c>
      <c r="S451" s="97">
        <v>17</v>
      </c>
      <c r="T451" s="97">
        <v>348</v>
      </c>
      <c r="U451" s="97">
        <v>63</v>
      </c>
      <c r="V451" s="97">
        <v>35</v>
      </c>
      <c r="W451" s="97">
        <v>692</v>
      </c>
      <c r="X451" s="97">
        <v>76</v>
      </c>
      <c r="Y451" s="97">
        <v>22</v>
      </c>
      <c r="Z451" s="97">
        <v>260</v>
      </c>
      <c r="AA451" s="97">
        <v>51</v>
      </c>
      <c r="AB451" s="97">
        <v>29</v>
      </c>
      <c r="AC451" s="97">
        <v>555</v>
      </c>
      <c r="AD451" s="97">
        <v>63</v>
      </c>
      <c r="AE451" s="97">
        <v>38</v>
      </c>
      <c r="AF451" s="97">
        <v>633</v>
      </c>
      <c r="AG451" s="97">
        <v>461.5</v>
      </c>
      <c r="AH451" s="97">
        <v>22</v>
      </c>
      <c r="AI451" s="97">
        <v>447</v>
      </c>
    </row>
    <row r="452" spans="1:35" ht="15" customHeight="1">
      <c r="A452" s="97" t="s">
        <v>961</v>
      </c>
      <c r="B452" s="97" t="s">
        <v>961</v>
      </c>
      <c r="C452" s="97" t="s">
        <v>3247</v>
      </c>
      <c r="D452" s="97" t="s">
        <v>3198</v>
      </c>
      <c r="E452" s="97" t="s">
        <v>60</v>
      </c>
      <c r="F452" s="97">
        <v>106</v>
      </c>
      <c r="G452" s="97">
        <v>20</v>
      </c>
      <c r="H452" s="97">
        <v>287</v>
      </c>
      <c r="I452" s="97">
        <v>74</v>
      </c>
      <c r="J452" s="97">
        <v>24</v>
      </c>
      <c r="K452" s="97">
        <v>424</v>
      </c>
      <c r="L452" s="97">
        <v>94</v>
      </c>
      <c r="M452" s="97">
        <v>20</v>
      </c>
      <c r="N452" s="97">
        <v>382</v>
      </c>
      <c r="O452" s="97">
        <v>86</v>
      </c>
      <c r="P452" s="97">
        <v>5</v>
      </c>
      <c r="Q452" s="97">
        <v>126</v>
      </c>
      <c r="R452" s="97">
        <v>44</v>
      </c>
      <c r="S452" s="97">
        <v>43</v>
      </c>
      <c r="T452" s="97">
        <v>736</v>
      </c>
      <c r="U452" s="97">
        <v>57</v>
      </c>
      <c r="V452" s="97">
        <v>49</v>
      </c>
      <c r="W452" s="97">
        <v>801</v>
      </c>
      <c r="X452" s="97">
        <v>61</v>
      </c>
      <c r="Y452" s="97">
        <v>45</v>
      </c>
      <c r="Z452" s="97">
        <v>754</v>
      </c>
      <c r="AA452" s="97">
        <v>52</v>
      </c>
      <c r="AB452" s="97">
        <v>25</v>
      </c>
      <c r="AC452" s="97">
        <v>509</v>
      </c>
      <c r="AD452" s="97">
        <v>54</v>
      </c>
      <c r="AE452" s="97">
        <v>55</v>
      </c>
      <c r="AF452" s="97">
        <v>855</v>
      </c>
      <c r="AG452" s="97">
        <v>461</v>
      </c>
      <c r="AH452" s="97">
        <v>24</v>
      </c>
      <c r="AI452" s="97">
        <v>449</v>
      </c>
    </row>
    <row r="453" spans="1:35" ht="15" customHeight="1">
      <c r="A453" s="97" t="s">
        <v>2817</v>
      </c>
      <c r="B453" s="97" t="s">
        <v>2817</v>
      </c>
      <c r="C453" s="97" t="s">
        <v>2818</v>
      </c>
      <c r="D453" s="97" t="s">
        <v>3198</v>
      </c>
      <c r="E453" s="97" t="s">
        <v>38</v>
      </c>
      <c r="F453" s="97">
        <v>94</v>
      </c>
      <c r="G453" s="97">
        <v>40</v>
      </c>
      <c r="H453" s="97">
        <v>733</v>
      </c>
      <c r="I453" s="97">
        <v>75</v>
      </c>
      <c r="J453" s="97">
        <v>15</v>
      </c>
      <c r="K453" s="97">
        <v>409</v>
      </c>
      <c r="L453" s="97">
        <v>90</v>
      </c>
      <c r="M453" s="97">
        <v>28</v>
      </c>
      <c r="N453" s="97">
        <v>481</v>
      </c>
      <c r="O453" s="97">
        <v>79</v>
      </c>
      <c r="P453" s="97">
        <v>10</v>
      </c>
      <c r="Q453" s="97">
        <v>228</v>
      </c>
      <c r="R453" s="97">
        <v>44</v>
      </c>
      <c r="S453" s="97">
        <v>43</v>
      </c>
      <c r="T453" s="97">
        <v>736</v>
      </c>
      <c r="U453" s="97">
        <v>79</v>
      </c>
      <c r="V453" s="97">
        <v>11</v>
      </c>
      <c r="W453" s="97">
        <v>229</v>
      </c>
      <c r="X453" s="97">
        <v>69</v>
      </c>
      <c r="Y453" s="97">
        <v>24</v>
      </c>
      <c r="Z453" s="97">
        <v>504</v>
      </c>
      <c r="AA453" s="97">
        <v>50</v>
      </c>
      <c r="AB453" s="97">
        <v>32</v>
      </c>
      <c r="AC453" s="97">
        <v>591</v>
      </c>
      <c r="AD453" s="97">
        <v>70</v>
      </c>
      <c r="AE453" s="97">
        <v>17</v>
      </c>
      <c r="AF453" s="97">
        <v>327</v>
      </c>
      <c r="AG453" s="97">
        <v>461</v>
      </c>
      <c r="AH453" s="97">
        <v>17</v>
      </c>
      <c r="AI453" s="97">
        <v>449</v>
      </c>
    </row>
    <row r="454" spans="1:35" ht="15" customHeight="1">
      <c r="A454" s="97" t="s">
        <v>2516</v>
      </c>
      <c r="B454" s="97" t="s">
        <v>2516</v>
      </c>
      <c r="C454" s="97" t="s">
        <v>2517</v>
      </c>
      <c r="D454" s="97" t="s">
        <v>3198</v>
      </c>
      <c r="E454" s="97" t="s">
        <v>131</v>
      </c>
      <c r="F454" s="97">
        <v>99</v>
      </c>
      <c r="G454" s="97">
        <v>22</v>
      </c>
      <c r="H454" s="97">
        <v>571</v>
      </c>
      <c r="I454" s="97">
        <v>93</v>
      </c>
      <c r="J454" s="97">
        <v>5</v>
      </c>
      <c r="K454" s="97">
        <v>155</v>
      </c>
      <c r="L454" s="97">
        <v>85</v>
      </c>
      <c r="M454" s="97">
        <v>30</v>
      </c>
      <c r="N454" s="97">
        <v>592</v>
      </c>
      <c r="O454" s="97">
        <v>69</v>
      </c>
      <c r="P454" s="97">
        <v>26</v>
      </c>
      <c r="Q454" s="97">
        <v>428</v>
      </c>
      <c r="R454" s="97">
        <v>56</v>
      </c>
      <c r="S454" s="97">
        <v>21</v>
      </c>
      <c r="T454" s="97">
        <v>433</v>
      </c>
      <c r="U454" s="97">
        <v>59</v>
      </c>
      <c r="V454" s="97">
        <v>41</v>
      </c>
      <c r="W454" s="97">
        <v>762</v>
      </c>
      <c r="X454" s="97">
        <v>74</v>
      </c>
      <c r="Y454" s="97">
        <v>10</v>
      </c>
      <c r="Z454" s="97">
        <v>326</v>
      </c>
      <c r="AA454" s="97">
        <v>57</v>
      </c>
      <c r="AB454" s="97">
        <v>27</v>
      </c>
      <c r="AC454" s="97">
        <v>306</v>
      </c>
      <c r="AD454" s="97">
        <v>68</v>
      </c>
      <c r="AE454" s="97">
        <v>30</v>
      </c>
      <c r="AF454" s="97">
        <v>412</v>
      </c>
      <c r="AG454" s="97">
        <v>461</v>
      </c>
      <c r="AH454" s="97">
        <v>24</v>
      </c>
      <c r="AI454" s="97">
        <v>449</v>
      </c>
    </row>
    <row r="455" spans="1:35" ht="15" customHeight="1">
      <c r="A455" s="97" t="s">
        <v>2217</v>
      </c>
      <c r="B455" s="97" t="s">
        <v>2217</v>
      </c>
      <c r="C455" s="97" t="s">
        <v>2218</v>
      </c>
      <c r="D455" s="97" t="s">
        <v>3198</v>
      </c>
      <c r="E455" s="97" t="s">
        <v>73</v>
      </c>
      <c r="F455" s="97">
        <v>85</v>
      </c>
      <c r="G455" s="97">
        <v>55</v>
      </c>
      <c r="H455" s="97">
        <v>885</v>
      </c>
      <c r="I455" s="97">
        <v>70</v>
      </c>
      <c r="J455" s="97">
        <v>20</v>
      </c>
      <c r="K455" s="97">
        <v>505</v>
      </c>
      <c r="L455" s="97">
        <v>87.5</v>
      </c>
      <c r="M455" s="97">
        <v>34</v>
      </c>
      <c r="N455" s="97">
        <v>541</v>
      </c>
      <c r="O455" s="97">
        <v>84</v>
      </c>
      <c r="P455" s="97">
        <v>6</v>
      </c>
      <c r="Q455" s="97">
        <v>147</v>
      </c>
      <c r="R455" s="97">
        <v>53</v>
      </c>
      <c r="S455" s="97">
        <v>26</v>
      </c>
      <c r="T455" s="97">
        <v>526</v>
      </c>
      <c r="U455" s="97">
        <v>81</v>
      </c>
      <c r="V455" s="97">
        <v>6</v>
      </c>
      <c r="W455" s="97">
        <v>183</v>
      </c>
      <c r="X455" s="97">
        <v>75</v>
      </c>
      <c r="Y455" s="97">
        <v>10</v>
      </c>
      <c r="Z455" s="97">
        <v>289</v>
      </c>
      <c r="AA455" s="97">
        <v>58</v>
      </c>
      <c r="AB455" s="97">
        <v>14</v>
      </c>
      <c r="AC455" s="97">
        <v>278</v>
      </c>
      <c r="AD455" s="97">
        <v>70</v>
      </c>
      <c r="AE455" s="97">
        <v>20</v>
      </c>
      <c r="AF455" s="97">
        <v>327</v>
      </c>
      <c r="AG455" s="97">
        <v>460.5</v>
      </c>
      <c r="AH455" s="97">
        <v>24</v>
      </c>
      <c r="AI455" s="97">
        <v>452</v>
      </c>
    </row>
    <row r="456" spans="1:35" ht="15" customHeight="1">
      <c r="A456" s="97" t="s">
        <v>952</v>
      </c>
      <c r="B456" s="97" t="s">
        <v>952</v>
      </c>
      <c r="C456" s="97" t="s">
        <v>953</v>
      </c>
      <c r="D456" s="97" t="s">
        <v>3198</v>
      </c>
      <c r="E456" s="97" t="s">
        <v>60</v>
      </c>
      <c r="F456" s="97">
        <v>106</v>
      </c>
      <c r="G456" s="97">
        <v>20</v>
      </c>
      <c r="H456" s="97">
        <v>287</v>
      </c>
      <c r="I456" s="97">
        <v>75</v>
      </c>
      <c r="J456" s="97">
        <v>23</v>
      </c>
      <c r="K456" s="97">
        <v>409</v>
      </c>
      <c r="L456" s="97">
        <v>83.5</v>
      </c>
      <c r="M456" s="97">
        <v>34</v>
      </c>
      <c r="N456" s="97">
        <v>632</v>
      </c>
      <c r="O456" s="97">
        <v>71</v>
      </c>
      <c r="P456" s="97">
        <v>20</v>
      </c>
      <c r="Q456" s="97">
        <v>378</v>
      </c>
      <c r="R456" s="97">
        <v>56</v>
      </c>
      <c r="S456" s="97">
        <v>29</v>
      </c>
      <c r="T456" s="97">
        <v>433</v>
      </c>
      <c r="U456" s="97">
        <v>69</v>
      </c>
      <c r="V456" s="97">
        <v>23</v>
      </c>
      <c r="W456" s="97">
        <v>523</v>
      </c>
      <c r="X456" s="97">
        <v>63</v>
      </c>
      <c r="Y456" s="97">
        <v>42</v>
      </c>
      <c r="Z456" s="97">
        <v>712</v>
      </c>
      <c r="AA456" s="97">
        <v>54</v>
      </c>
      <c r="AB456" s="97">
        <v>17</v>
      </c>
      <c r="AC456" s="97">
        <v>428</v>
      </c>
      <c r="AD456" s="97">
        <v>77</v>
      </c>
      <c r="AE456" s="97">
        <v>5</v>
      </c>
      <c r="AF456" s="97">
        <v>102</v>
      </c>
      <c r="AG456" s="97">
        <v>460.5</v>
      </c>
      <c r="AH456" s="97">
        <v>25</v>
      </c>
      <c r="AI456" s="97">
        <v>452</v>
      </c>
    </row>
    <row r="457" spans="1:35" ht="15" customHeight="1">
      <c r="A457" s="97" t="s">
        <v>455</v>
      </c>
      <c r="B457" s="97" t="s">
        <v>455</v>
      </c>
      <c r="C457" s="97" t="s">
        <v>459</v>
      </c>
      <c r="D457" s="97" t="s">
        <v>3198</v>
      </c>
      <c r="E457" s="97" t="s">
        <v>19</v>
      </c>
      <c r="F457" s="97">
        <v>124</v>
      </c>
      <c r="G457" s="97">
        <v>1</v>
      </c>
      <c r="H457" s="97">
        <v>4</v>
      </c>
      <c r="I457" s="97">
        <v>79</v>
      </c>
      <c r="J457" s="97">
        <v>16</v>
      </c>
      <c r="K457" s="97">
        <v>342</v>
      </c>
      <c r="L457" s="97">
        <v>77.5</v>
      </c>
      <c r="M457" s="97">
        <v>42</v>
      </c>
      <c r="N457" s="97">
        <v>734</v>
      </c>
      <c r="O457" s="97">
        <v>59</v>
      </c>
      <c r="P457" s="97">
        <v>33</v>
      </c>
      <c r="Q457" s="97">
        <v>626</v>
      </c>
      <c r="R457" s="97">
        <v>47</v>
      </c>
      <c r="S457" s="97">
        <v>36</v>
      </c>
      <c r="T457" s="97">
        <v>673</v>
      </c>
      <c r="U457" s="97">
        <v>74</v>
      </c>
      <c r="V457" s="97">
        <v>17</v>
      </c>
      <c r="W457" s="97">
        <v>366</v>
      </c>
      <c r="X457" s="97">
        <v>74</v>
      </c>
      <c r="Y457" s="97">
        <v>17</v>
      </c>
      <c r="Z457" s="97">
        <v>326</v>
      </c>
      <c r="AA457" s="97">
        <v>51</v>
      </c>
      <c r="AB457" s="97">
        <v>32</v>
      </c>
      <c r="AC457" s="97">
        <v>555</v>
      </c>
      <c r="AD457" s="97">
        <v>53</v>
      </c>
      <c r="AE457" s="97">
        <v>51</v>
      </c>
      <c r="AF457" s="97">
        <v>869</v>
      </c>
      <c r="AG457" s="97">
        <v>460.5</v>
      </c>
      <c r="AH457" s="97">
        <v>21</v>
      </c>
      <c r="AI457" s="97">
        <v>452</v>
      </c>
    </row>
    <row r="458" spans="1:35" ht="15" customHeight="1">
      <c r="A458" s="97" t="s">
        <v>1828</v>
      </c>
      <c r="B458" s="97" t="s">
        <v>1828</v>
      </c>
      <c r="C458" s="97" t="s">
        <v>1829</v>
      </c>
      <c r="D458" s="97" t="s">
        <v>3198</v>
      </c>
      <c r="E458" s="97" t="s">
        <v>34</v>
      </c>
      <c r="F458" s="97">
        <v>102</v>
      </c>
      <c r="G458" s="97">
        <v>27</v>
      </c>
      <c r="H458" s="97">
        <v>442</v>
      </c>
      <c r="I458" s="97">
        <v>69</v>
      </c>
      <c r="J458" s="97">
        <v>32</v>
      </c>
      <c r="K458" s="97">
        <v>524</v>
      </c>
      <c r="L458" s="97">
        <v>77.5</v>
      </c>
      <c r="M458" s="97">
        <v>44</v>
      </c>
      <c r="N458" s="97">
        <v>734</v>
      </c>
      <c r="O458" s="97">
        <v>68</v>
      </c>
      <c r="P458" s="97">
        <v>22</v>
      </c>
      <c r="Q458" s="97">
        <v>453</v>
      </c>
      <c r="R458" s="97">
        <v>53</v>
      </c>
      <c r="S458" s="97">
        <v>29</v>
      </c>
      <c r="T458" s="97">
        <v>526</v>
      </c>
      <c r="U458" s="97">
        <v>91</v>
      </c>
      <c r="V458" s="97">
        <v>1</v>
      </c>
      <c r="W458" s="97">
        <v>12</v>
      </c>
      <c r="X458" s="97">
        <v>84</v>
      </c>
      <c r="Y458" s="97">
        <v>6</v>
      </c>
      <c r="Z458" s="97">
        <v>59</v>
      </c>
      <c r="AA458" s="97">
        <v>60</v>
      </c>
      <c r="AB458" s="97">
        <v>9</v>
      </c>
      <c r="AC458" s="97">
        <v>203</v>
      </c>
      <c r="AD458" s="97">
        <v>74</v>
      </c>
      <c r="AE458" s="97">
        <v>6</v>
      </c>
      <c r="AF458" s="97">
        <v>174</v>
      </c>
      <c r="AG458" s="97">
        <v>460.5</v>
      </c>
      <c r="AH458" s="97">
        <v>23</v>
      </c>
      <c r="AI458" s="97">
        <v>452</v>
      </c>
    </row>
    <row r="459" spans="1:35" ht="15" customHeight="1">
      <c r="A459" s="97" t="s">
        <v>1775</v>
      </c>
      <c r="B459" s="97" t="s">
        <v>1775</v>
      </c>
      <c r="C459" s="97" t="s">
        <v>1776</v>
      </c>
      <c r="D459" s="97" t="s">
        <v>3198</v>
      </c>
      <c r="E459" s="97" t="s">
        <v>34</v>
      </c>
      <c r="F459" s="97">
        <v>94</v>
      </c>
      <c r="G459" s="97">
        <v>48</v>
      </c>
      <c r="H459" s="97">
        <v>733</v>
      </c>
      <c r="I459" s="97">
        <v>102</v>
      </c>
      <c r="J459" s="97">
        <v>2</v>
      </c>
      <c r="K459" s="97">
        <v>72</v>
      </c>
      <c r="L459" s="97">
        <v>69</v>
      </c>
      <c r="M459" s="97">
        <v>50</v>
      </c>
      <c r="N459" s="97">
        <v>851</v>
      </c>
      <c r="O459" s="97">
        <v>68</v>
      </c>
      <c r="P459" s="97">
        <v>22</v>
      </c>
      <c r="Q459" s="97">
        <v>453</v>
      </c>
      <c r="R459" s="97">
        <v>54</v>
      </c>
      <c r="S459" s="97">
        <v>27</v>
      </c>
      <c r="T459" s="97">
        <v>494</v>
      </c>
      <c r="U459" s="97">
        <v>73</v>
      </c>
      <c r="V459" s="97">
        <v>16</v>
      </c>
      <c r="W459" s="97">
        <v>393</v>
      </c>
      <c r="X459" s="97">
        <v>56</v>
      </c>
      <c r="Y459" s="97">
        <v>53</v>
      </c>
      <c r="Z459" s="97">
        <v>849</v>
      </c>
      <c r="AA459" s="97">
        <v>46</v>
      </c>
      <c r="AB459" s="97">
        <v>43</v>
      </c>
      <c r="AC459" s="97">
        <v>755</v>
      </c>
      <c r="AD459" s="97">
        <v>61</v>
      </c>
      <c r="AE459" s="97">
        <v>44</v>
      </c>
      <c r="AF459" s="97">
        <v>703</v>
      </c>
      <c r="AG459" s="97">
        <v>460</v>
      </c>
      <c r="AH459" s="97">
        <v>24</v>
      </c>
      <c r="AI459" s="97">
        <v>456</v>
      </c>
    </row>
    <row r="460" spans="1:35" ht="15" customHeight="1">
      <c r="A460" s="97" t="s">
        <v>2109</v>
      </c>
      <c r="B460" s="97" t="s">
        <v>2109</v>
      </c>
      <c r="C460" s="97" t="s">
        <v>2110</v>
      </c>
      <c r="D460" s="97" t="s">
        <v>3198</v>
      </c>
      <c r="E460" s="97" t="s">
        <v>73</v>
      </c>
      <c r="F460" s="97">
        <v>107</v>
      </c>
      <c r="G460" s="97">
        <v>11</v>
      </c>
      <c r="H460" s="97">
        <v>242</v>
      </c>
      <c r="I460" s="97">
        <v>59</v>
      </c>
      <c r="J460" s="97">
        <v>39</v>
      </c>
      <c r="K460" s="97">
        <v>721</v>
      </c>
      <c r="L460" s="97">
        <v>104.5</v>
      </c>
      <c r="M460" s="97">
        <v>11</v>
      </c>
      <c r="N460" s="97">
        <v>177</v>
      </c>
      <c r="O460" s="97">
        <v>47</v>
      </c>
      <c r="P460" s="97">
        <v>44</v>
      </c>
      <c r="Q460" s="97">
        <v>825</v>
      </c>
      <c r="R460" s="97">
        <v>54</v>
      </c>
      <c r="S460" s="97">
        <v>25</v>
      </c>
      <c r="T460" s="97">
        <v>494</v>
      </c>
      <c r="U460" s="97">
        <v>88</v>
      </c>
      <c r="V460" s="97">
        <v>1</v>
      </c>
      <c r="W460" s="97">
        <v>44</v>
      </c>
      <c r="X460" s="97">
        <v>72</v>
      </c>
      <c r="Y460" s="97">
        <v>18</v>
      </c>
      <c r="Z460" s="97">
        <v>396</v>
      </c>
      <c r="AA460" s="97">
        <v>48</v>
      </c>
      <c r="AB460" s="97">
        <v>41</v>
      </c>
      <c r="AC460" s="97">
        <v>671</v>
      </c>
      <c r="AD460" s="97">
        <v>69</v>
      </c>
      <c r="AE460" s="97">
        <v>23</v>
      </c>
      <c r="AF460" s="97">
        <v>367</v>
      </c>
      <c r="AG460" s="97">
        <v>459.5</v>
      </c>
      <c r="AH460" s="97">
        <v>25</v>
      </c>
      <c r="AI460" s="97">
        <v>457</v>
      </c>
    </row>
    <row r="461" spans="1:35" ht="15" customHeight="1">
      <c r="A461" s="97" t="s">
        <v>2907</v>
      </c>
      <c r="B461" s="97" t="s">
        <v>2907</v>
      </c>
      <c r="C461" s="97" t="s">
        <v>2908</v>
      </c>
      <c r="D461" s="97" t="s">
        <v>3198</v>
      </c>
      <c r="E461" s="97" t="s">
        <v>38</v>
      </c>
      <c r="F461" s="97">
        <v>103</v>
      </c>
      <c r="G461" s="97">
        <v>19</v>
      </c>
      <c r="H461" s="97">
        <v>400</v>
      </c>
      <c r="I461" s="97">
        <v>72</v>
      </c>
      <c r="J461" s="97">
        <v>17</v>
      </c>
      <c r="K461" s="97">
        <v>458</v>
      </c>
      <c r="L461" s="97">
        <v>84.5</v>
      </c>
      <c r="M461" s="97">
        <v>36</v>
      </c>
      <c r="N461" s="97">
        <v>606</v>
      </c>
      <c r="O461" s="97">
        <v>80</v>
      </c>
      <c r="P461" s="97">
        <v>8</v>
      </c>
      <c r="Q461" s="97">
        <v>207</v>
      </c>
      <c r="R461" s="97">
        <v>57</v>
      </c>
      <c r="S461" s="97">
        <v>14</v>
      </c>
      <c r="T461" s="97">
        <v>409</v>
      </c>
      <c r="U461" s="97">
        <v>63</v>
      </c>
      <c r="V461" s="97">
        <v>41</v>
      </c>
      <c r="W461" s="97">
        <v>692</v>
      </c>
      <c r="X461" s="97">
        <v>67</v>
      </c>
      <c r="Y461" s="97">
        <v>32</v>
      </c>
      <c r="Z461" s="97">
        <v>570</v>
      </c>
      <c r="AA461" s="97">
        <v>49</v>
      </c>
      <c r="AB461" s="97">
        <v>35</v>
      </c>
      <c r="AC461" s="97">
        <v>633</v>
      </c>
      <c r="AD461" s="97">
        <v>68</v>
      </c>
      <c r="AE461" s="97">
        <v>21</v>
      </c>
      <c r="AF461" s="97">
        <v>412</v>
      </c>
      <c r="AG461" s="97">
        <v>459.5</v>
      </c>
      <c r="AH461" s="97">
        <v>18</v>
      </c>
      <c r="AI461" s="97">
        <v>457</v>
      </c>
    </row>
    <row r="462" spans="1:35" ht="15" customHeight="1">
      <c r="A462" s="97" t="s">
        <v>1469</v>
      </c>
      <c r="B462" s="97" t="s">
        <v>1469</v>
      </c>
      <c r="C462" s="97" t="s">
        <v>1470</v>
      </c>
      <c r="D462" s="97" t="s">
        <v>3198</v>
      </c>
      <c r="E462" s="97" t="s">
        <v>56</v>
      </c>
      <c r="F462" s="97">
        <v>103</v>
      </c>
      <c r="G462" s="97">
        <v>17</v>
      </c>
      <c r="H462" s="97">
        <v>400</v>
      </c>
      <c r="I462" s="97">
        <v>73</v>
      </c>
      <c r="J462" s="97">
        <v>18</v>
      </c>
      <c r="K462" s="97">
        <v>438</v>
      </c>
      <c r="L462" s="97">
        <v>76</v>
      </c>
      <c r="M462" s="97">
        <v>45</v>
      </c>
      <c r="N462" s="97">
        <v>759</v>
      </c>
      <c r="O462" s="97">
        <v>77</v>
      </c>
      <c r="P462" s="97">
        <v>11</v>
      </c>
      <c r="Q462" s="97">
        <v>274</v>
      </c>
      <c r="R462" s="97">
        <v>56</v>
      </c>
      <c r="S462" s="97">
        <v>22</v>
      </c>
      <c r="T462" s="97">
        <v>433</v>
      </c>
      <c r="U462" s="97">
        <v>74</v>
      </c>
      <c r="V462" s="97">
        <v>31</v>
      </c>
      <c r="W462" s="97">
        <v>366</v>
      </c>
      <c r="X462" s="97">
        <v>62</v>
      </c>
      <c r="Y462" s="97">
        <v>47</v>
      </c>
      <c r="Z462" s="97">
        <v>729</v>
      </c>
      <c r="AA462" s="97">
        <v>51</v>
      </c>
      <c r="AB462" s="97">
        <v>25</v>
      </c>
      <c r="AC462" s="97">
        <v>555</v>
      </c>
      <c r="AD462" s="97">
        <v>58</v>
      </c>
      <c r="AE462" s="97">
        <v>49</v>
      </c>
      <c r="AF462" s="97">
        <v>770</v>
      </c>
      <c r="AG462" s="97">
        <v>459</v>
      </c>
      <c r="AH462" s="97">
        <v>24</v>
      </c>
      <c r="AI462" s="97">
        <v>459</v>
      </c>
    </row>
    <row r="463" spans="1:35" ht="15" customHeight="1">
      <c r="A463" s="97" t="s">
        <v>1314</v>
      </c>
      <c r="B463" s="97" t="s">
        <v>1314</v>
      </c>
      <c r="C463" s="97" t="s">
        <v>1315</v>
      </c>
      <c r="D463" s="97" t="s">
        <v>3198</v>
      </c>
      <c r="E463" s="97" t="s">
        <v>54</v>
      </c>
      <c r="F463" s="97">
        <v>102</v>
      </c>
      <c r="G463" s="97">
        <v>30</v>
      </c>
      <c r="H463" s="97">
        <v>442</v>
      </c>
      <c r="I463" s="97">
        <v>88</v>
      </c>
      <c r="J463" s="97">
        <v>10</v>
      </c>
      <c r="K463" s="97">
        <v>206</v>
      </c>
      <c r="L463" s="97">
        <v>74</v>
      </c>
      <c r="M463" s="97">
        <v>47</v>
      </c>
      <c r="N463" s="97">
        <v>791</v>
      </c>
      <c r="O463" s="97">
        <v>85</v>
      </c>
      <c r="P463" s="97">
        <v>5</v>
      </c>
      <c r="Q463" s="97">
        <v>135</v>
      </c>
      <c r="R463" s="97">
        <v>51</v>
      </c>
      <c r="S463" s="97">
        <v>37</v>
      </c>
      <c r="T463" s="97">
        <v>571</v>
      </c>
      <c r="U463" s="97">
        <v>59</v>
      </c>
      <c r="V463" s="97">
        <v>48</v>
      </c>
      <c r="W463" s="97">
        <v>762</v>
      </c>
      <c r="X463" s="97">
        <v>78</v>
      </c>
      <c r="Y463" s="97">
        <v>10</v>
      </c>
      <c r="Z463" s="97">
        <v>209</v>
      </c>
      <c r="AA463" s="97">
        <v>59</v>
      </c>
      <c r="AB463" s="97">
        <v>7</v>
      </c>
      <c r="AC463" s="97">
        <v>233</v>
      </c>
      <c r="AD463" s="97">
        <v>65</v>
      </c>
      <c r="AE463" s="97">
        <v>32</v>
      </c>
      <c r="AF463" s="97">
        <v>548</v>
      </c>
      <c r="AG463" s="97">
        <v>459</v>
      </c>
      <c r="AH463" s="97">
        <v>25</v>
      </c>
      <c r="AI463" s="97">
        <v>459</v>
      </c>
    </row>
    <row r="464" spans="1:35" ht="15" customHeight="1">
      <c r="A464" s="97" t="s">
        <v>487</v>
      </c>
      <c r="B464" s="97" t="s">
        <v>487</v>
      </c>
      <c r="C464" s="97" t="s">
        <v>495</v>
      </c>
      <c r="D464" s="97" t="s">
        <v>3198</v>
      </c>
      <c r="E464" s="97" t="s">
        <v>19</v>
      </c>
      <c r="F464" s="97">
        <v>102</v>
      </c>
      <c r="G464" s="97">
        <v>28</v>
      </c>
      <c r="H464" s="97">
        <v>442</v>
      </c>
      <c r="I464" s="97">
        <v>84</v>
      </c>
      <c r="J464" s="97">
        <v>8</v>
      </c>
      <c r="K464" s="97">
        <v>251</v>
      </c>
      <c r="L464" s="97">
        <v>90</v>
      </c>
      <c r="M464" s="97">
        <v>23</v>
      </c>
      <c r="N464" s="97">
        <v>481</v>
      </c>
      <c r="O464" s="97">
        <v>57</v>
      </c>
      <c r="P464" s="97">
        <v>38</v>
      </c>
      <c r="Q464" s="97">
        <v>665</v>
      </c>
      <c r="R464" s="97">
        <v>56</v>
      </c>
      <c r="S464" s="97">
        <v>21</v>
      </c>
      <c r="T464" s="97">
        <v>433</v>
      </c>
      <c r="U464" s="97">
        <v>70</v>
      </c>
      <c r="V464" s="97">
        <v>27</v>
      </c>
      <c r="W464" s="97">
        <v>485</v>
      </c>
      <c r="X464" s="97">
        <v>83</v>
      </c>
      <c r="Y464" s="97">
        <v>4</v>
      </c>
      <c r="Z464" s="97">
        <v>79</v>
      </c>
      <c r="AA464" s="97">
        <v>46</v>
      </c>
      <c r="AB464" s="97">
        <v>46</v>
      </c>
      <c r="AC464" s="97">
        <v>755</v>
      </c>
      <c r="AD464" s="97">
        <v>74</v>
      </c>
      <c r="AE464" s="97">
        <v>9</v>
      </c>
      <c r="AF464" s="97">
        <v>174</v>
      </c>
      <c r="AG464" s="97">
        <v>459</v>
      </c>
      <c r="AH464" s="97">
        <v>22</v>
      </c>
      <c r="AI464" s="97">
        <v>459</v>
      </c>
    </row>
    <row r="465" spans="1:35" ht="15" customHeight="1">
      <c r="A465" s="97" t="s">
        <v>1191</v>
      </c>
      <c r="B465" s="97" t="s">
        <v>1191</v>
      </c>
      <c r="C465" s="97" t="s">
        <v>1192</v>
      </c>
      <c r="D465" s="97" t="s">
        <v>3198</v>
      </c>
      <c r="E465" s="97" t="s">
        <v>54</v>
      </c>
      <c r="F465" s="97">
        <v>103</v>
      </c>
      <c r="G465" s="97">
        <v>28</v>
      </c>
      <c r="H465" s="97">
        <v>400</v>
      </c>
      <c r="I465" s="97">
        <v>77</v>
      </c>
      <c r="J465" s="97">
        <v>17</v>
      </c>
      <c r="K465" s="97">
        <v>369</v>
      </c>
      <c r="L465" s="97">
        <v>55.5</v>
      </c>
      <c r="M465" s="97">
        <v>54</v>
      </c>
      <c r="N465" s="97">
        <v>924</v>
      </c>
      <c r="O465" s="97">
        <v>78</v>
      </c>
      <c r="P465" s="97">
        <v>11</v>
      </c>
      <c r="Q465" s="97">
        <v>250</v>
      </c>
      <c r="R465" s="97">
        <v>67</v>
      </c>
      <c r="S465" s="97">
        <v>6</v>
      </c>
      <c r="T465" s="97">
        <v>177</v>
      </c>
      <c r="U465" s="97">
        <v>78</v>
      </c>
      <c r="V465" s="97">
        <v>15</v>
      </c>
      <c r="W465" s="97">
        <v>250</v>
      </c>
      <c r="X465" s="97">
        <v>60</v>
      </c>
      <c r="Y465" s="97">
        <v>43</v>
      </c>
      <c r="Z465" s="97">
        <v>777</v>
      </c>
      <c r="AA465" s="97">
        <v>54</v>
      </c>
      <c r="AB465" s="97">
        <v>18</v>
      </c>
      <c r="AC465" s="97">
        <v>428</v>
      </c>
      <c r="AD465" s="97">
        <v>74</v>
      </c>
      <c r="AE465" s="97">
        <v>9</v>
      </c>
      <c r="AF465" s="97">
        <v>174</v>
      </c>
      <c r="AG465" s="97">
        <v>458.5</v>
      </c>
      <c r="AH465" s="97">
        <v>26</v>
      </c>
      <c r="AI465" s="97">
        <v>462</v>
      </c>
    </row>
    <row r="466" spans="1:35" ht="15" customHeight="1">
      <c r="A466" s="97" t="s">
        <v>1964</v>
      </c>
      <c r="B466" s="97" t="s">
        <v>1964</v>
      </c>
      <c r="C466" s="97" t="s">
        <v>1965</v>
      </c>
      <c r="D466" s="97" t="s">
        <v>3198</v>
      </c>
      <c r="E466" s="97" t="s">
        <v>109</v>
      </c>
      <c r="F466" s="97">
        <v>107</v>
      </c>
      <c r="G466" s="97">
        <v>16</v>
      </c>
      <c r="H466" s="97">
        <v>242</v>
      </c>
      <c r="I466" s="97">
        <v>82</v>
      </c>
      <c r="J466" s="97">
        <v>15</v>
      </c>
      <c r="K466" s="97">
        <v>290</v>
      </c>
      <c r="L466" s="97">
        <v>84.5</v>
      </c>
      <c r="M466" s="97">
        <v>36</v>
      </c>
      <c r="N466" s="97">
        <v>606</v>
      </c>
      <c r="O466" s="97">
        <v>63</v>
      </c>
      <c r="P466" s="97">
        <v>27</v>
      </c>
      <c r="Q466" s="97">
        <v>540</v>
      </c>
      <c r="R466" s="97">
        <v>52</v>
      </c>
      <c r="S466" s="97">
        <v>33</v>
      </c>
      <c r="T466" s="97">
        <v>551</v>
      </c>
      <c r="U466" s="97">
        <v>70</v>
      </c>
      <c r="V466" s="97">
        <v>28</v>
      </c>
      <c r="W466" s="97">
        <v>485</v>
      </c>
      <c r="X466" s="97">
        <v>74</v>
      </c>
      <c r="Y466" s="97">
        <v>16</v>
      </c>
      <c r="Z466" s="97">
        <v>326</v>
      </c>
      <c r="AA466" s="97">
        <v>54</v>
      </c>
      <c r="AB466" s="97">
        <v>20</v>
      </c>
      <c r="AC466" s="97">
        <v>428</v>
      </c>
      <c r="AD466" s="97">
        <v>83</v>
      </c>
      <c r="AE466" s="97">
        <v>2</v>
      </c>
      <c r="AF466" s="97">
        <v>22</v>
      </c>
      <c r="AG466" s="97">
        <v>458.5</v>
      </c>
      <c r="AH466" s="97">
        <v>28</v>
      </c>
      <c r="AI466" s="97">
        <v>462</v>
      </c>
    </row>
    <row r="467" spans="1:35" ht="15" customHeight="1">
      <c r="A467" s="97" t="s">
        <v>2695</v>
      </c>
      <c r="B467" s="97" t="s">
        <v>2695</v>
      </c>
      <c r="C467" s="97" t="s">
        <v>2693</v>
      </c>
      <c r="D467" s="97" t="s">
        <v>3198</v>
      </c>
      <c r="E467" s="97" t="s">
        <v>49</v>
      </c>
      <c r="F467" s="97">
        <v>97</v>
      </c>
      <c r="G467" s="97">
        <v>34</v>
      </c>
      <c r="H467" s="97">
        <v>645</v>
      </c>
      <c r="I467" s="97">
        <v>90</v>
      </c>
      <c r="J467" s="97">
        <v>15</v>
      </c>
      <c r="K467" s="97">
        <v>183</v>
      </c>
      <c r="L467" s="97">
        <v>71</v>
      </c>
      <c r="M467" s="97">
        <v>51</v>
      </c>
      <c r="N467" s="97">
        <v>829</v>
      </c>
      <c r="O467" s="97">
        <v>75</v>
      </c>
      <c r="P467" s="97">
        <v>20</v>
      </c>
      <c r="Q467" s="97">
        <v>299</v>
      </c>
      <c r="R467" s="97">
        <v>59</v>
      </c>
      <c r="S467" s="97">
        <v>15</v>
      </c>
      <c r="T467" s="97">
        <v>348</v>
      </c>
      <c r="U467" s="97">
        <v>66</v>
      </c>
      <c r="V467" s="97">
        <v>28</v>
      </c>
      <c r="W467" s="97">
        <v>611</v>
      </c>
      <c r="X467" s="97">
        <v>60</v>
      </c>
      <c r="Y467" s="97">
        <v>39</v>
      </c>
      <c r="Z467" s="97">
        <v>777</v>
      </c>
      <c r="AA467" s="97">
        <v>53</v>
      </c>
      <c r="AB467" s="97">
        <v>18</v>
      </c>
      <c r="AC467" s="97">
        <v>470</v>
      </c>
      <c r="AD467" s="97">
        <v>73</v>
      </c>
      <c r="AE467" s="97">
        <v>5</v>
      </c>
      <c r="AF467" s="97">
        <v>216</v>
      </c>
      <c r="AG467" s="97">
        <v>458</v>
      </c>
      <c r="AH467" s="97">
        <v>28</v>
      </c>
      <c r="AI467" s="97">
        <v>464</v>
      </c>
    </row>
    <row r="468" spans="1:35" ht="15" customHeight="1">
      <c r="A468" s="97" t="s">
        <v>990</v>
      </c>
      <c r="B468" s="97" t="s">
        <v>990</v>
      </c>
      <c r="C468" s="97" t="s">
        <v>991</v>
      </c>
      <c r="D468" s="97" t="s">
        <v>3198</v>
      </c>
      <c r="E468" s="97" t="s">
        <v>60</v>
      </c>
      <c r="F468" s="97">
        <v>107</v>
      </c>
      <c r="G468" s="97">
        <v>15</v>
      </c>
      <c r="H468" s="97">
        <v>242</v>
      </c>
      <c r="I468" s="97">
        <v>70</v>
      </c>
      <c r="J468" s="97">
        <v>30</v>
      </c>
      <c r="K468" s="97">
        <v>505</v>
      </c>
      <c r="L468" s="97">
        <v>97</v>
      </c>
      <c r="M468" s="97">
        <v>16</v>
      </c>
      <c r="N468" s="97">
        <v>327</v>
      </c>
      <c r="O468" s="97">
        <v>53</v>
      </c>
      <c r="P468" s="97">
        <v>41</v>
      </c>
      <c r="Q468" s="97">
        <v>739</v>
      </c>
      <c r="R468" s="97">
        <v>62</v>
      </c>
      <c r="S468" s="97">
        <v>16</v>
      </c>
      <c r="T468" s="97">
        <v>277</v>
      </c>
      <c r="U468" s="97">
        <v>69</v>
      </c>
      <c r="V468" s="97">
        <v>23</v>
      </c>
      <c r="W468" s="97">
        <v>523</v>
      </c>
      <c r="X468" s="97">
        <v>76</v>
      </c>
      <c r="Y468" s="97">
        <v>16</v>
      </c>
      <c r="Z468" s="97">
        <v>260</v>
      </c>
      <c r="AA468" s="97">
        <v>55</v>
      </c>
      <c r="AB468" s="97">
        <v>16</v>
      </c>
      <c r="AC468" s="97">
        <v>392</v>
      </c>
      <c r="AD468" s="97">
        <v>56</v>
      </c>
      <c r="AE468" s="97">
        <v>49</v>
      </c>
      <c r="AF468" s="97">
        <v>817</v>
      </c>
      <c r="AG468" s="97">
        <v>458</v>
      </c>
      <c r="AH468" s="97">
        <v>26</v>
      </c>
      <c r="AI468" s="97">
        <v>464</v>
      </c>
    </row>
    <row r="469" spans="1:35" ht="15" customHeight="1">
      <c r="A469" s="97" t="s">
        <v>1014</v>
      </c>
      <c r="B469" s="97" t="s">
        <v>1014</v>
      </c>
      <c r="C469" s="97" t="s">
        <v>1015</v>
      </c>
      <c r="D469" s="97" t="s">
        <v>3198</v>
      </c>
      <c r="E469" s="97" t="s">
        <v>60</v>
      </c>
      <c r="F469" s="97">
        <v>116</v>
      </c>
      <c r="G469" s="97">
        <v>5</v>
      </c>
      <c r="H469" s="97">
        <v>47</v>
      </c>
      <c r="I469" s="97">
        <v>64</v>
      </c>
      <c r="J469" s="97">
        <v>38</v>
      </c>
      <c r="K469" s="97">
        <v>627</v>
      </c>
      <c r="L469" s="97">
        <v>97.5</v>
      </c>
      <c r="M469" s="97">
        <v>14</v>
      </c>
      <c r="N469" s="97">
        <v>310</v>
      </c>
      <c r="O469" s="97">
        <v>52</v>
      </c>
      <c r="P469" s="97">
        <v>44</v>
      </c>
      <c r="Q469" s="97">
        <v>757</v>
      </c>
      <c r="R469" s="97">
        <v>62</v>
      </c>
      <c r="S469" s="97">
        <v>16</v>
      </c>
      <c r="T469" s="97">
        <v>277</v>
      </c>
      <c r="U469" s="97">
        <v>66</v>
      </c>
      <c r="V469" s="97">
        <v>30</v>
      </c>
      <c r="W469" s="97">
        <v>611</v>
      </c>
      <c r="X469" s="97">
        <v>82</v>
      </c>
      <c r="Y469" s="97">
        <v>3</v>
      </c>
      <c r="Z469" s="97">
        <v>100</v>
      </c>
      <c r="AA469" s="97">
        <v>49</v>
      </c>
      <c r="AB469" s="97">
        <v>33</v>
      </c>
      <c r="AC469" s="97">
        <v>633</v>
      </c>
      <c r="AD469" s="97">
        <v>67</v>
      </c>
      <c r="AE469" s="97">
        <v>20</v>
      </c>
      <c r="AF469" s="97">
        <v>471</v>
      </c>
      <c r="AG469" s="97">
        <v>457.5</v>
      </c>
      <c r="AH469" s="97">
        <v>27</v>
      </c>
      <c r="AI469" s="97">
        <v>466</v>
      </c>
    </row>
    <row r="470" spans="1:35" ht="15" customHeight="1">
      <c r="A470" s="97" t="s">
        <v>625</v>
      </c>
      <c r="B470" s="97" t="s">
        <v>625</v>
      </c>
      <c r="C470" s="97" t="s">
        <v>626</v>
      </c>
      <c r="D470" s="97" t="s">
        <v>3198</v>
      </c>
      <c r="E470" s="97" t="s">
        <v>17</v>
      </c>
      <c r="F470" s="97">
        <v>104</v>
      </c>
      <c r="G470" s="97">
        <v>24</v>
      </c>
      <c r="H470" s="97">
        <v>357</v>
      </c>
      <c r="I470" s="97">
        <v>60</v>
      </c>
      <c r="J470" s="97">
        <v>43</v>
      </c>
      <c r="K470" s="97">
        <v>696</v>
      </c>
      <c r="L470" s="97">
        <v>101.5</v>
      </c>
      <c r="M470" s="97">
        <v>12</v>
      </c>
      <c r="N470" s="97">
        <v>225</v>
      </c>
      <c r="O470" s="97">
        <v>61</v>
      </c>
      <c r="P470" s="97">
        <v>37</v>
      </c>
      <c r="Q470" s="97">
        <v>587</v>
      </c>
      <c r="R470" s="97">
        <v>56</v>
      </c>
      <c r="S470" s="97">
        <v>25</v>
      </c>
      <c r="T470" s="97">
        <v>433</v>
      </c>
      <c r="U470" s="97">
        <v>75</v>
      </c>
      <c r="V470" s="97">
        <v>22</v>
      </c>
      <c r="W470" s="97">
        <v>342</v>
      </c>
      <c r="X470" s="97">
        <v>75</v>
      </c>
      <c r="Y470" s="97">
        <v>21</v>
      </c>
      <c r="Z470" s="97">
        <v>289</v>
      </c>
      <c r="AA470" s="97">
        <v>66</v>
      </c>
      <c r="AB470" s="97">
        <v>5</v>
      </c>
      <c r="AC470" s="97">
        <v>80</v>
      </c>
      <c r="AD470" s="97">
        <v>74</v>
      </c>
      <c r="AE470" s="97">
        <v>10</v>
      </c>
      <c r="AF470" s="97">
        <v>174</v>
      </c>
      <c r="AG470" s="97">
        <v>457.5</v>
      </c>
      <c r="AH470" s="97">
        <v>28</v>
      </c>
      <c r="AI470" s="97">
        <v>466</v>
      </c>
    </row>
    <row r="471" spans="1:35" ht="15" customHeight="1">
      <c r="A471" s="97" t="s">
        <v>357</v>
      </c>
      <c r="B471" s="97" t="s">
        <v>357</v>
      </c>
      <c r="C471" s="97" t="s">
        <v>143</v>
      </c>
      <c r="D471" s="97" t="s">
        <v>3198</v>
      </c>
      <c r="E471" s="97" t="s">
        <v>28</v>
      </c>
      <c r="F471" s="97">
        <v>100</v>
      </c>
      <c r="G471" s="97">
        <v>32</v>
      </c>
      <c r="H471" s="97">
        <v>528</v>
      </c>
      <c r="I471" s="97">
        <v>65</v>
      </c>
      <c r="J471" s="97">
        <v>34</v>
      </c>
      <c r="K471" s="97">
        <v>604</v>
      </c>
      <c r="L471" s="97">
        <v>82.5</v>
      </c>
      <c r="M471" s="97">
        <v>38</v>
      </c>
      <c r="N471" s="97">
        <v>657</v>
      </c>
      <c r="O471" s="97">
        <v>72</v>
      </c>
      <c r="P471" s="97">
        <v>20</v>
      </c>
      <c r="Q471" s="97">
        <v>358</v>
      </c>
      <c r="R471" s="97">
        <v>64</v>
      </c>
      <c r="S471" s="97">
        <v>8</v>
      </c>
      <c r="T471" s="97">
        <v>244</v>
      </c>
      <c r="U471" s="97">
        <v>74</v>
      </c>
      <c r="V471" s="97">
        <v>22</v>
      </c>
      <c r="W471" s="97">
        <v>366</v>
      </c>
      <c r="X471" s="97">
        <v>62</v>
      </c>
      <c r="Y471" s="97">
        <v>45</v>
      </c>
      <c r="Z471" s="97">
        <v>729</v>
      </c>
      <c r="AA471" s="97">
        <v>56</v>
      </c>
      <c r="AB471" s="97">
        <v>28</v>
      </c>
      <c r="AC471" s="97">
        <v>352</v>
      </c>
      <c r="AD471" s="97">
        <v>65</v>
      </c>
      <c r="AE471" s="97">
        <v>36</v>
      </c>
      <c r="AF471" s="97">
        <v>548</v>
      </c>
      <c r="AG471" s="97">
        <v>457.5</v>
      </c>
      <c r="AH471" s="97">
        <v>27</v>
      </c>
      <c r="AI471" s="97">
        <v>466</v>
      </c>
    </row>
    <row r="472" spans="1:35" ht="15" customHeight="1">
      <c r="A472" s="97" t="s">
        <v>1216</v>
      </c>
      <c r="B472" s="97" t="s">
        <v>1216</v>
      </c>
      <c r="C472" s="97" t="s">
        <v>1217</v>
      </c>
      <c r="D472" s="97" t="s">
        <v>3198</v>
      </c>
      <c r="E472" s="97" t="s">
        <v>54</v>
      </c>
      <c r="F472" s="97">
        <v>111</v>
      </c>
      <c r="G472" s="97">
        <v>13</v>
      </c>
      <c r="H472" s="97">
        <v>136</v>
      </c>
      <c r="I472" s="97">
        <v>61</v>
      </c>
      <c r="J472" s="97">
        <v>39</v>
      </c>
      <c r="K472" s="97">
        <v>678</v>
      </c>
      <c r="L472" s="97">
        <v>103.5</v>
      </c>
      <c r="M472" s="97">
        <v>6</v>
      </c>
      <c r="N472" s="97">
        <v>200</v>
      </c>
      <c r="O472" s="97">
        <v>52</v>
      </c>
      <c r="P472" s="97">
        <v>40</v>
      </c>
      <c r="Q472" s="97">
        <v>757</v>
      </c>
      <c r="R472" s="97">
        <v>61</v>
      </c>
      <c r="S472" s="97">
        <v>23</v>
      </c>
      <c r="T472" s="97">
        <v>300</v>
      </c>
      <c r="U472" s="97">
        <v>69</v>
      </c>
      <c r="V472" s="97">
        <v>34</v>
      </c>
      <c r="W472" s="97">
        <v>523</v>
      </c>
      <c r="X472" s="97">
        <v>79</v>
      </c>
      <c r="Y472" s="97">
        <v>8</v>
      </c>
      <c r="Z472" s="97">
        <v>175</v>
      </c>
      <c r="AA472" s="97">
        <v>48</v>
      </c>
      <c r="AB472" s="97">
        <v>35</v>
      </c>
      <c r="AC472" s="97">
        <v>671</v>
      </c>
      <c r="AD472" s="97">
        <v>64</v>
      </c>
      <c r="AE472" s="97">
        <v>33</v>
      </c>
      <c r="AF472" s="97">
        <v>586</v>
      </c>
      <c r="AG472" s="97">
        <v>457.5</v>
      </c>
      <c r="AH472" s="97">
        <v>27</v>
      </c>
      <c r="AI472" s="97">
        <v>466</v>
      </c>
    </row>
    <row r="473" spans="1:35" ht="15" customHeight="1">
      <c r="A473" s="97" t="s">
        <v>1240</v>
      </c>
      <c r="B473" s="97" t="s">
        <v>1240</v>
      </c>
      <c r="C473" s="97" t="s">
        <v>1241</v>
      </c>
      <c r="D473" s="97" t="s">
        <v>3198</v>
      </c>
      <c r="E473" s="97" t="s">
        <v>54</v>
      </c>
      <c r="F473" s="97">
        <v>96</v>
      </c>
      <c r="G473" s="97">
        <v>38</v>
      </c>
      <c r="H473" s="97">
        <v>676</v>
      </c>
      <c r="I473" s="97">
        <v>62</v>
      </c>
      <c r="J473" s="97">
        <v>37</v>
      </c>
      <c r="K473" s="97">
        <v>665</v>
      </c>
      <c r="L473" s="97">
        <v>84.5</v>
      </c>
      <c r="M473" s="97">
        <v>26</v>
      </c>
      <c r="N473" s="97">
        <v>606</v>
      </c>
      <c r="O473" s="97">
        <v>70</v>
      </c>
      <c r="P473" s="97">
        <v>23</v>
      </c>
      <c r="Q473" s="97">
        <v>400</v>
      </c>
      <c r="R473" s="97">
        <v>62</v>
      </c>
      <c r="S473" s="97">
        <v>20</v>
      </c>
      <c r="T473" s="97">
        <v>277</v>
      </c>
      <c r="U473" s="97">
        <v>83</v>
      </c>
      <c r="V473" s="97">
        <v>8</v>
      </c>
      <c r="W473" s="97">
        <v>145</v>
      </c>
      <c r="X473" s="97">
        <v>69</v>
      </c>
      <c r="Y473" s="97">
        <v>22</v>
      </c>
      <c r="Z473" s="97">
        <v>504</v>
      </c>
      <c r="AA473" s="97">
        <v>55</v>
      </c>
      <c r="AB473" s="97">
        <v>16</v>
      </c>
      <c r="AC473" s="97">
        <v>392</v>
      </c>
      <c r="AD473" s="97">
        <v>81</v>
      </c>
      <c r="AE473" s="97">
        <v>2</v>
      </c>
      <c r="AF473" s="97">
        <v>42</v>
      </c>
      <c r="AG473" s="97">
        <v>457.5</v>
      </c>
      <c r="AH473" s="97">
        <v>27</v>
      </c>
      <c r="AI473" s="97">
        <v>466</v>
      </c>
    </row>
    <row r="474" spans="1:35" ht="15" customHeight="1">
      <c r="A474" s="97" t="s">
        <v>1138</v>
      </c>
      <c r="B474" s="97" t="s">
        <v>1138</v>
      </c>
      <c r="C474" s="97" t="s">
        <v>1139</v>
      </c>
      <c r="D474" s="97" t="s">
        <v>3198</v>
      </c>
      <c r="E474" s="97" t="s">
        <v>68</v>
      </c>
      <c r="F474" s="97">
        <v>114</v>
      </c>
      <c r="G474" s="97">
        <v>5</v>
      </c>
      <c r="H474" s="97">
        <v>80</v>
      </c>
      <c r="I474" s="97">
        <v>60</v>
      </c>
      <c r="J474" s="97">
        <v>46</v>
      </c>
      <c r="K474" s="97">
        <v>696</v>
      </c>
      <c r="L474" s="97">
        <v>98.5</v>
      </c>
      <c r="M474" s="97">
        <v>10</v>
      </c>
      <c r="N474" s="97">
        <v>285</v>
      </c>
      <c r="O474" s="97">
        <v>54</v>
      </c>
      <c r="P474" s="97">
        <v>41</v>
      </c>
      <c r="Q474" s="97">
        <v>718</v>
      </c>
      <c r="R474" s="97">
        <v>58</v>
      </c>
      <c r="S474" s="97">
        <v>22</v>
      </c>
      <c r="T474" s="97">
        <v>377</v>
      </c>
      <c r="U474" s="97">
        <v>73</v>
      </c>
      <c r="V474" s="97">
        <v>21</v>
      </c>
      <c r="W474" s="97">
        <v>393</v>
      </c>
      <c r="X474" s="97">
        <v>70</v>
      </c>
      <c r="Y474" s="97">
        <v>24</v>
      </c>
      <c r="Z474" s="97">
        <v>473</v>
      </c>
      <c r="AA474" s="97">
        <v>45</v>
      </c>
      <c r="AB474" s="97">
        <v>45</v>
      </c>
      <c r="AC474" s="97">
        <v>781</v>
      </c>
      <c r="AD474" s="97">
        <v>60</v>
      </c>
      <c r="AE474" s="97">
        <v>43</v>
      </c>
      <c r="AF474" s="97">
        <v>727</v>
      </c>
      <c r="AG474" s="97">
        <v>457.5</v>
      </c>
      <c r="AH474" s="97">
        <v>25</v>
      </c>
      <c r="AI474" s="97">
        <v>466</v>
      </c>
    </row>
    <row r="475" spans="1:35" ht="15" customHeight="1">
      <c r="A475" s="97" t="s">
        <v>2722</v>
      </c>
      <c r="B475" s="97" t="s">
        <v>2722</v>
      </c>
      <c r="C475" s="97" t="s">
        <v>2720</v>
      </c>
      <c r="D475" s="97" t="s">
        <v>3198</v>
      </c>
      <c r="E475" s="97" t="s">
        <v>49</v>
      </c>
      <c r="F475" s="97">
        <v>77</v>
      </c>
      <c r="G475" s="97">
        <v>55</v>
      </c>
      <c r="H475" s="97">
        <v>922</v>
      </c>
      <c r="I475" s="97">
        <v>107</v>
      </c>
      <c r="J475" s="97">
        <v>3</v>
      </c>
      <c r="K475" s="97">
        <v>46</v>
      </c>
      <c r="L475" s="97">
        <v>60</v>
      </c>
      <c r="M475" s="97">
        <v>56</v>
      </c>
      <c r="N475" s="97">
        <v>911</v>
      </c>
      <c r="O475" s="97">
        <v>79</v>
      </c>
      <c r="P475" s="97">
        <v>15</v>
      </c>
      <c r="Q475" s="97">
        <v>228</v>
      </c>
      <c r="R475" s="97">
        <v>66</v>
      </c>
      <c r="S475" s="97">
        <v>9</v>
      </c>
      <c r="T475" s="97">
        <v>204</v>
      </c>
      <c r="U475" s="97">
        <v>68</v>
      </c>
      <c r="V475" s="97">
        <v>23</v>
      </c>
      <c r="W475" s="97">
        <v>555</v>
      </c>
      <c r="X475" s="97">
        <v>52</v>
      </c>
      <c r="Y475" s="97">
        <v>51</v>
      </c>
      <c r="Z475" s="97">
        <v>897</v>
      </c>
      <c r="AA475" s="97">
        <v>48</v>
      </c>
      <c r="AB475" s="97">
        <v>31</v>
      </c>
      <c r="AC475" s="97">
        <v>671</v>
      </c>
      <c r="AD475" s="97">
        <v>65</v>
      </c>
      <c r="AE475" s="97">
        <v>21</v>
      </c>
      <c r="AF475" s="97">
        <v>548</v>
      </c>
      <c r="AG475" s="97">
        <v>457</v>
      </c>
      <c r="AH475" s="97">
        <v>29</v>
      </c>
      <c r="AI475" s="97">
        <v>472</v>
      </c>
    </row>
    <row r="476" spans="1:35" ht="15" customHeight="1">
      <c r="A476" s="97" t="s">
        <v>2191</v>
      </c>
      <c r="B476" s="97" t="s">
        <v>2191</v>
      </c>
      <c r="C476" s="97" t="s">
        <v>2192</v>
      </c>
      <c r="D476" s="97" t="s">
        <v>3198</v>
      </c>
      <c r="E476" s="97" t="s">
        <v>73</v>
      </c>
      <c r="F476" s="97">
        <v>106</v>
      </c>
      <c r="G476" s="97">
        <v>13</v>
      </c>
      <c r="H476" s="97">
        <v>287</v>
      </c>
      <c r="I476" s="97">
        <v>61</v>
      </c>
      <c r="J476" s="97">
        <v>34</v>
      </c>
      <c r="K476" s="97">
        <v>678</v>
      </c>
      <c r="L476" s="97">
        <v>84</v>
      </c>
      <c r="M476" s="97">
        <v>38</v>
      </c>
      <c r="N476" s="97">
        <v>622</v>
      </c>
      <c r="O476" s="97">
        <v>63</v>
      </c>
      <c r="P476" s="97">
        <v>27</v>
      </c>
      <c r="Q476" s="97">
        <v>540</v>
      </c>
      <c r="R476" s="97">
        <v>65</v>
      </c>
      <c r="S476" s="97">
        <v>13</v>
      </c>
      <c r="T476" s="97">
        <v>223</v>
      </c>
      <c r="U476" s="97">
        <v>78</v>
      </c>
      <c r="V476" s="97">
        <v>12</v>
      </c>
      <c r="W476" s="97">
        <v>250</v>
      </c>
      <c r="X476" s="97">
        <v>58</v>
      </c>
      <c r="Y476" s="97">
        <v>49</v>
      </c>
      <c r="Z476" s="97">
        <v>820</v>
      </c>
      <c r="AA476" s="97">
        <v>63</v>
      </c>
      <c r="AB476" s="97">
        <v>3</v>
      </c>
      <c r="AC476" s="97">
        <v>123</v>
      </c>
      <c r="AD476" s="97">
        <v>57</v>
      </c>
      <c r="AE476" s="97">
        <v>50</v>
      </c>
      <c r="AF476" s="97">
        <v>798</v>
      </c>
      <c r="AG476" s="97">
        <v>457</v>
      </c>
      <c r="AH476" s="97">
        <v>26</v>
      </c>
      <c r="AI476" s="97">
        <v>472</v>
      </c>
    </row>
    <row r="477" spans="1:35" ht="15" customHeight="1">
      <c r="A477" s="97" t="s">
        <v>2423</v>
      </c>
      <c r="B477" s="97" t="s">
        <v>2423</v>
      </c>
      <c r="C477" s="97" t="s">
        <v>2424</v>
      </c>
      <c r="D477" s="97" t="s">
        <v>3198</v>
      </c>
      <c r="E477" s="97" t="s">
        <v>131</v>
      </c>
      <c r="F477" s="97">
        <v>99</v>
      </c>
      <c r="G477" s="97">
        <v>22</v>
      </c>
      <c r="H477" s="97">
        <v>571</v>
      </c>
      <c r="I477" s="97">
        <v>83</v>
      </c>
      <c r="J477" s="97">
        <v>9</v>
      </c>
      <c r="K477" s="97">
        <v>267</v>
      </c>
      <c r="L477" s="97">
        <v>90.5</v>
      </c>
      <c r="M477" s="97">
        <v>22</v>
      </c>
      <c r="N477" s="97">
        <v>470</v>
      </c>
      <c r="O477" s="97">
        <v>68</v>
      </c>
      <c r="P477" s="97">
        <v>27</v>
      </c>
      <c r="Q477" s="97">
        <v>453</v>
      </c>
      <c r="R477" s="97">
        <v>50</v>
      </c>
      <c r="S477" s="97">
        <v>36</v>
      </c>
      <c r="T477" s="97">
        <v>599</v>
      </c>
      <c r="U477" s="97">
        <v>66</v>
      </c>
      <c r="V477" s="97">
        <v>32</v>
      </c>
      <c r="W477" s="97">
        <v>611</v>
      </c>
      <c r="X477" s="97">
        <v>51</v>
      </c>
      <c r="Y477" s="97">
        <v>55</v>
      </c>
      <c r="Z477" s="97">
        <v>906</v>
      </c>
      <c r="AA477" s="97">
        <v>60</v>
      </c>
      <c r="AB477" s="97">
        <v>20</v>
      </c>
      <c r="AC477" s="97">
        <v>203</v>
      </c>
      <c r="AD477" s="97">
        <v>66</v>
      </c>
      <c r="AE477" s="97">
        <v>35</v>
      </c>
      <c r="AF477" s="97">
        <v>511</v>
      </c>
      <c r="AG477" s="97">
        <v>456.5</v>
      </c>
      <c r="AH477" s="97">
        <v>25</v>
      </c>
      <c r="AI477" s="97">
        <v>474</v>
      </c>
    </row>
    <row r="478" spans="1:35" ht="15" customHeight="1">
      <c r="A478" s="97" t="s">
        <v>892</v>
      </c>
      <c r="B478" s="97" t="s">
        <v>892</v>
      </c>
      <c r="C478" s="97" t="s">
        <v>1662</v>
      </c>
      <c r="D478" s="97" t="s">
        <v>3198</v>
      </c>
      <c r="E478" s="97" t="s">
        <v>60</v>
      </c>
      <c r="F478" s="97">
        <v>101</v>
      </c>
      <c r="G478" s="97">
        <v>35</v>
      </c>
      <c r="H478" s="97">
        <v>481</v>
      </c>
      <c r="I478" s="97">
        <v>61</v>
      </c>
      <c r="J478" s="97">
        <v>40</v>
      </c>
      <c r="K478" s="97">
        <v>678</v>
      </c>
      <c r="L478" s="97">
        <v>69.5</v>
      </c>
      <c r="M478" s="97">
        <v>44</v>
      </c>
      <c r="N478" s="97">
        <v>847</v>
      </c>
      <c r="O478" s="97">
        <v>78</v>
      </c>
      <c r="P478" s="97">
        <v>15</v>
      </c>
      <c r="Q478" s="97">
        <v>250</v>
      </c>
      <c r="R478" s="97">
        <v>62</v>
      </c>
      <c r="S478" s="97">
        <v>16</v>
      </c>
      <c r="T478" s="97">
        <v>277</v>
      </c>
      <c r="U478" s="97">
        <v>85</v>
      </c>
      <c r="V478" s="97">
        <v>3</v>
      </c>
      <c r="W478" s="97">
        <v>96</v>
      </c>
      <c r="X478" s="97">
        <v>86</v>
      </c>
      <c r="Y478" s="97">
        <v>1</v>
      </c>
      <c r="Z478" s="97">
        <v>34</v>
      </c>
      <c r="AA478" s="97">
        <v>48</v>
      </c>
      <c r="AB478" s="97">
        <v>36</v>
      </c>
      <c r="AC478" s="97">
        <v>671</v>
      </c>
      <c r="AD478" s="97">
        <v>62</v>
      </c>
      <c r="AE478" s="97">
        <v>39</v>
      </c>
      <c r="AF478" s="97">
        <v>672</v>
      </c>
      <c r="AG478" s="97">
        <v>456.5</v>
      </c>
      <c r="AH478" s="97">
        <v>28</v>
      </c>
      <c r="AI478" s="97">
        <v>474</v>
      </c>
    </row>
    <row r="479" spans="1:35" ht="15" customHeight="1">
      <c r="A479" s="97" t="s">
        <v>742</v>
      </c>
      <c r="B479" s="97" t="s">
        <v>742</v>
      </c>
      <c r="C479" s="97" t="s">
        <v>743</v>
      </c>
      <c r="D479" s="97" t="s">
        <v>3198</v>
      </c>
      <c r="E479" s="97" t="s">
        <v>117</v>
      </c>
      <c r="F479" s="97">
        <v>115</v>
      </c>
      <c r="G479" s="97">
        <v>5</v>
      </c>
      <c r="H479" s="97">
        <v>65</v>
      </c>
      <c r="I479" s="97">
        <v>60</v>
      </c>
      <c r="J479" s="97">
        <v>45</v>
      </c>
      <c r="K479" s="97">
        <v>696</v>
      </c>
      <c r="L479" s="97">
        <v>98</v>
      </c>
      <c r="M479" s="97">
        <v>15</v>
      </c>
      <c r="N479" s="97">
        <v>294</v>
      </c>
      <c r="O479" s="97">
        <v>60</v>
      </c>
      <c r="P479" s="97">
        <v>34</v>
      </c>
      <c r="Q479" s="97">
        <v>607</v>
      </c>
      <c r="R479" s="97">
        <v>51</v>
      </c>
      <c r="S479" s="97">
        <v>33</v>
      </c>
      <c r="T479" s="97">
        <v>571</v>
      </c>
      <c r="U479" s="97">
        <v>72</v>
      </c>
      <c r="V479" s="97">
        <v>21</v>
      </c>
      <c r="W479" s="97">
        <v>433</v>
      </c>
      <c r="X479" s="97">
        <v>81</v>
      </c>
      <c r="Y479" s="97">
        <v>11</v>
      </c>
      <c r="Z479" s="97">
        <v>124</v>
      </c>
      <c r="AA479" s="97">
        <v>55</v>
      </c>
      <c r="AB479" s="97">
        <v>22</v>
      </c>
      <c r="AC479" s="97">
        <v>392</v>
      </c>
      <c r="AD479" s="97">
        <v>68</v>
      </c>
      <c r="AE479" s="97">
        <v>24</v>
      </c>
      <c r="AF479" s="97">
        <v>412</v>
      </c>
      <c r="AG479" s="97">
        <v>456</v>
      </c>
      <c r="AH479" s="97">
        <v>25</v>
      </c>
      <c r="AI479" s="97">
        <v>476</v>
      </c>
    </row>
    <row r="480" spans="1:35" ht="15" customHeight="1">
      <c r="A480" s="97" t="s">
        <v>703</v>
      </c>
      <c r="B480" s="97" t="s">
        <v>703</v>
      </c>
      <c r="C480" s="97" t="s">
        <v>704</v>
      </c>
      <c r="D480" s="97" t="s">
        <v>3198</v>
      </c>
      <c r="E480" s="97" t="s">
        <v>117</v>
      </c>
      <c r="F480" s="97">
        <v>100</v>
      </c>
      <c r="G480" s="97">
        <v>29</v>
      </c>
      <c r="H480" s="97">
        <v>528</v>
      </c>
      <c r="I480" s="97">
        <v>70</v>
      </c>
      <c r="J480" s="97">
        <v>30</v>
      </c>
      <c r="K480" s="97">
        <v>505</v>
      </c>
      <c r="L480" s="97">
        <v>104</v>
      </c>
      <c r="M480" s="97">
        <v>11</v>
      </c>
      <c r="N480" s="97">
        <v>188</v>
      </c>
      <c r="O480" s="97">
        <v>69</v>
      </c>
      <c r="P480" s="97">
        <v>22</v>
      </c>
      <c r="Q480" s="97">
        <v>428</v>
      </c>
      <c r="R480" s="97">
        <v>45</v>
      </c>
      <c r="S480" s="97">
        <v>41</v>
      </c>
      <c r="T480" s="97">
        <v>720</v>
      </c>
      <c r="U480" s="97">
        <v>68</v>
      </c>
      <c r="V480" s="97">
        <v>27</v>
      </c>
      <c r="W480" s="97">
        <v>555</v>
      </c>
      <c r="X480" s="97">
        <v>72</v>
      </c>
      <c r="Y480" s="97">
        <v>29</v>
      </c>
      <c r="Z480" s="97">
        <v>396</v>
      </c>
      <c r="AA480" s="97">
        <v>49</v>
      </c>
      <c r="AB480" s="97">
        <v>37</v>
      </c>
      <c r="AC480" s="97">
        <v>633</v>
      </c>
      <c r="AD480" s="97">
        <v>59</v>
      </c>
      <c r="AE480" s="97">
        <v>43</v>
      </c>
      <c r="AF480" s="97">
        <v>746</v>
      </c>
      <c r="AG480" s="97">
        <v>456</v>
      </c>
      <c r="AH480" s="97">
        <v>25</v>
      </c>
      <c r="AI480" s="97">
        <v>476</v>
      </c>
    </row>
    <row r="481" spans="1:35" ht="15" customHeight="1">
      <c r="A481" s="97" t="s">
        <v>1146</v>
      </c>
      <c r="B481" s="97" t="s">
        <v>1146</v>
      </c>
      <c r="C481" s="97" t="s">
        <v>1147</v>
      </c>
      <c r="D481" s="97" t="s">
        <v>3198</v>
      </c>
      <c r="E481" s="97" t="s">
        <v>68</v>
      </c>
      <c r="F481" s="97">
        <v>100</v>
      </c>
      <c r="G481" s="97">
        <v>33</v>
      </c>
      <c r="H481" s="97">
        <v>528</v>
      </c>
      <c r="I481" s="97">
        <v>67</v>
      </c>
      <c r="J481" s="97">
        <v>39</v>
      </c>
      <c r="K481" s="97">
        <v>565</v>
      </c>
      <c r="L481" s="97">
        <v>89</v>
      </c>
      <c r="M481" s="97">
        <v>20</v>
      </c>
      <c r="N481" s="97">
        <v>509</v>
      </c>
      <c r="O481" s="97">
        <v>78</v>
      </c>
      <c r="P481" s="97">
        <v>12</v>
      </c>
      <c r="Q481" s="97">
        <v>250</v>
      </c>
      <c r="R481" s="97">
        <v>49</v>
      </c>
      <c r="S481" s="97">
        <v>40</v>
      </c>
      <c r="T481" s="97">
        <v>624</v>
      </c>
      <c r="U481" s="97">
        <v>73</v>
      </c>
      <c r="V481" s="97">
        <v>21</v>
      </c>
      <c r="W481" s="97">
        <v>393</v>
      </c>
      <c r="X481" s="97">
        <v>40</v>
      </c>
      <c r="Y481" s="97">
        <v>56</v>
      </c>
      <c r="Z481" s="97">
        <v>934</v>
      </c>
      <c r="AA481" s="97">
        <v>55</v>
      </c>
      <c r="AB481" s="97">
        <v>15</v>
      </c>
      <c r="AC481" s="97">
        <v>392</v>
      </c>
      <c r="AD481" s="97">
        <v>50</v>
      </c>
      <c r="AE481" s="97">
        <v>54</v>
      </c>
      <c r="AF481" s="97">
        <v>896</v>
      </c>
      <c r="AG481" s="97">
        <v>456</v>
      </c>
      <c r="AH481" s="97">
        <v>26</v>
      </c>
      <c r="AI481" s="97">
        <v>476</v>
      </c>
    </row>
    <row r="482" spans="1:35" ht="15" customHeight="1">
      <c r="A482" s="97" t="s">
        <v>1350</v>
      </c>
      <c r="B482" s="97" t="s">
        <v>1350</v>
      </c>
      <c r="C482" s="97" t="s">
        <v>1351</v>
      </c>
      <c r="D482" s="97" t="s">
        <v>3198</v>
      </c>
      <c r="E482" s="97" t="s">
        <v>54</v>
      </c>
      <c r="F482" s="97">
        <v>91</v>
      </c>
      <c r="G482" s="97">
        <v>52</v>
      </c>
      <c r="H482" s="97">
        <v>799</v>
      </c>
      <c r="I482" s="97">
        <v>78</v>
      </c>
      <c r="J482" s="97">
        <v>16</v>
      </c>
      <c r="K482" s="97">
        <v>353</v>
      </c>
      <c r="L482" s="97">
        <v>70</v>
      </c>
      <c r="M482" s="97">
        <v>49</v>
      </c>
      <c r="N482" s="97">
        <v>841</v>
      </c>
      <c r="O482" s="97">
        <v>73</v>
      </c>
      <c r="P482" s="97">
        <v>17</v>
      </c>
      <c r="Q482" s="97">
        <v>339</v>
      </c>
      <c r="R482" s="97">
        <v>67</v>
      </c>
      <c r="S482" s="97">
        <v>6</v>
      </c>
      <c r="T482" s="97">
        <v>177</v>
      </c>
      <c r="U482" s="97">
        <v>77</v>
      </c>
      <c r="V482" s="97">
        <v>16</v>
      </c>
      <c r="W482" s="97">
        <v>275</v>
      </c>
      <c r="X482" s="97">
        <v>82</v>
      </c>
      <c r="Y482" s="97">
        <v>2</v>
      </c>
      <c r="Z482" s="97">
        <v>100</v>
      </c>
      <c r="AA482" s="97">
        <v>61</v>
      </c>
      <c r="AB482" s="97">
        <v>4</v>
      </c>
      <c r="AC482" s="97">
        <v>172</v>
      </c>
      <c r="AD482" s="97">
        <v>66</v>
      </c>
      <c r="AE482" s="97">
        <v>29</v>
      </c>
      <c r="AF482" s="97">
        <v>511</v>
      </c>
      <c r="AG482" s="97">
        <v>456</v>
      </c>
      <c r="AH482" s="97">
        <v>29</v>
      </c>
      <c r="AI482" s="97">
        <v>476</v>
      </c>
    </row>
    <row r="483" spans="1:35" ht="15" customHeight="1">
      <c r="A483" s="97" t="s">
        <v>2731</v>
      </c>
      <c r="B483" s="97" t="s">
        <v>2731</v>
      </c>
      <c r="C483" s="97" t="s">
        <v>2732</v>
      </c>
      <c r="D483" s="97" t="s">
        <v>3198</v>
      </c>
      <c r="E483" s="97" t="s">
        <v>49</v>
      </c>
      <c r="F483" s="97">
        <v>103</v>
      </c>
      <c r="G483" s="97">
        <v>19</v>
      </c>
      <c r="H483" s="97">
        <v>400</v>
      </c>
      <c r="I483" s="97">
        <v>52</v>
      </c>
      <c r="J483" s="97">
        <v>45</v>
      </c>
      <c r="K483" s="97">
        <v>807</v>
      </c>
      <c r="L483" s="97">
        <v>125</v>
      </c>
      <c r="M483" s="97">
        <v>1</v>
      </c>
      <c r="N483" s="97">
        <v>10</v>
      </c>
      <c r="O483" s="97">
        <v>59</v>
      </c>
      <c r="P483" s="97">
        <v>39</v>
      </c>
      <c r="Q483" s="97">
        <v>626</v>
      </c>
      <c r="R483" s="97">
        <v>49</v>
      </c>
      <c r="S483" s="97">
        <v>33</v>
      </c>
      <c r="T483" s="97">
        <v>624</v>
      </c>
      <c r="U483" s="97">
        <v>68</v>
      </c>
      <c r="V483" s="97">
        <v>23</v>
      </c>
      <c r="W483" s="97">
        <v>555</v>
      </c>
      <c r="X483" s="97">
        <v>65</v>
      </c>
      <c r="Y483" s="97">
        <v>24</v>
      </c>
      <c r="Z483" s="97">
        <v>651</v>
      </c>
      <c r="AA483" s="97">
        <v>52</v>
      </c>
      <c r="AB483" s="97">
        <v>20</v>
      </c>
      <c r="AC483" s="97">
        <v>509</v>
      </c>
      <c r="AD483" s="97">
        <v>70</v>
      </c>
      <c r="AE483" s="97">
        <v>10</v>
      </c>
      <c r="AF483" s="97">
        <v>327</v>
      </c>
      <c r="AG483" s="97">
        <v>456</v>
      </c>
      <c r="AH483" s="97">
        <v>30</v>
      </c>
      <c r="AI483" s="97">
        <v>476</v>
      </c>
    </row>
    <row r="484" spans="1:35" ht="15" customHeight="1">
      <c r="A484" s="97" t="s">
        <v>2638</v>
      </c>
      <c r="B484" s="97" t="s">
        <v>2638</v>
      </c>
      <c r="C484" s="97" t="s">
        <v>2642</v>
      </c>
      <c r="D484" s="97" t="s">
        <v>3198</v>
      </c>
      <c r="E484" s="97" t="s">
        <v>49</v>
      </c>
      <c r="F484" s="97">
        <v>109</v>
      </c>
      <c r="G484" s="97">
        <v>9</v>
      </c>
      <c r="H484" s="97">
        <v>185</v>
      </c>
      <c r="I484" s="97">
        <v>70</v>
      </c>
      <c r="J484" s="97">
        <v>32</v>
      </c>
      <c r="K484" s="97">
        <v>505</v>
      </c>
      <c r="L484" s="97">
        <v>89.5</v>
      </c>
      <c r="M484" s="97">
        <v>34</v>
      </c>
      <c r="N484" s="97">
        <v>493</v>
      </c>
      <c r="O484" s="97">
        <v>72</v>
      </c>
      <c r="P484" s="97">
        <v>23</v>
      </c>
      <c r="Q484" s="97">
        <v>358</v>
      </c>
      <c r="R484" s="97">
        <v>48</v>
      </c>
      <c r="S484" s="97">
        <v>36</v>
      </c>
      <c r="T484" s="97">
        <v>649</v>
      </c>
      <c r="U484" s="97">
        <v>67</v>
      </c>
      <c r="V484" s="97">
        <v>27</v>
      </c>
      <c r="W484" s="97">
        <v>587</v>
      </c>
      <c r="X484" s="97">
        <v>68</v>
      </c>
      <c r="Y484" s="97">
        <v>19</v>
      </c>
      <c r="Z484" s="97">
        <v>541</v>
      </c>
      <c r="AA484" s="97">
        <v>48</v>
      </c>
      <c r="AB484" s="97">
        <v>31</v>
      </c>
      <c r="AC484" s="97">
        <v>671</v>
      </c>
      <c r="AD484" s="97">
        <v>69</v>
      </c>
      <c r="AE484" s="97">
        <v>12</v>
      </c>
      <c r="AF484" s="97">
        <v>367</v>
      </c>
      <c r="AG484" s="97">
        <v>455.5</v>
      </c>
      <c r="AH484" s="97">
        <v>31</v>
      </c>
      <c r="AI484" s="97">
        <v>481</v>
      </c>
    </row>
    <row r="485" spans="1:35" ht="15" customHeight="1">
      <c r="A485" s="97" t="s">
        <v>2855</v>
      </c>
      <c r="B485" s="97" t="s">
        <v>2855</v>
      </c>
      <c r="C485" s="97" t="s">
        <v>2856</v>
      </c>
      <c r="D485" s="97" t="s">
        <v>3198</v>
      </c>
      <c r="E485" s="97" t="s">
        <v>38</v>
      </c>
      <c r="F485" s="97">
        <v>105</v>
      </c>
      <c r="G485" s="97">
        <v>16</v>
      </c>
      <c r="H485" s="97">
        <v>325</v>
      </c>
      <c r="I485" s="97">
        <v>63</v>
      </c>
      <c r="J485" s="97">
        <v>31</v>
      </c>
      <c r="K485" s="97">
        <v>642</v>
      </c>
      <c r="L485" s="97">
        <v>100</v>
      </c>
      <c r="M485" s="97">
        <v>14</v>
      </c>
      <c r="N485" s="97">
        <v>258</v>
      </c>
      <c r="O485" s="97">
        <v>62</v>
      </c>
      <c r="P485" s="97">
        <v>30</v>
      </c>
      <c r="Q485" s="97">
        <v>564</v>
      </c>
      <c r="R485" s="97">
        <v>62</v>
      </c>
      <c r="S485" s="97">
        <v>9</v>
      </c>
      <c r="T485" s="97">
        <v>277</v>
      </c>
      <c r="U485" s="97">
        <v>63</v>
      </c>
      <c r="V485" s="97">
        <v>41</v>
      </c>
      <c r="W485" s="97">
        <v>692</v>
      </c>
      <c r="X485" s="97">
        <v>73</v>
      </c>
      <c r="Y485" s="97">
        <v>13</v>
      </c>
      <c r="Z485" s="97">
        <v>359</v>
      </c>
      <c r="AA485" s="97">
        <v>57</v>
      </c>
      <c r="AB485" s="97">
        <v>15</v>
      </c>
      <c r="AC485" s="97">
        <v>306</v>
      </c>
      <c r="AD485" s="97">
        <v>74</v>
      </c>
      <c r="AE485" s="97">
        <v>10</v>
      </c>
      <c r="AF485" s="97">
        <v>174</v>
      </c>
      <c r="AG485" s="97">
        <v>455</v>
      </c>
      <c r="AH485" s="97">
        <v>19</v>
      </c>
      <c r="AI485" s="97">
        <v>482</v>
      </c>
    </row>
    <row r="486" spans="1:35" ht="15" customHeight="1">
      <c r="A486" s="97" t="s">
        <v>1795</v>
      </c>
      <c r="B486" s="97" t="s">
        <v>1795</v>
      </c>
      <c r="C486" s="97" t="s">
        <v>1796</v>
      </c>
      <c r="D486" s="97" t="s">
        <v>3198</v>
      </c>
      <c r="E486" s="97" t="s">
        <v>34</v>
      </c>
      <c r="F486" s="97">
        <v>111</v>
      </c>
      <c r="G486" s="97">
        <v>8</v>
      </c>
      <c r="H486" s="97">
        <v>136</v>
      </c>
      <c r="I486" s="97">
        <v>75</v>
      </c>
      <c r="J486" s="97">
        <v>24</v>
      </c>
      <c r="K486" s="97">
        <v>409</v>
      </c>
      <c r="L486" s="97">
        <v>91</v>
      </c>
      <c r="M486" s="97">
        <v>25</v>
      </c>
      <c r="N486" s="97">
        <v>458</v>
      </c>
      <c r="O486" s="97">
        <v>56</v>
      </c>
      <c r="P486" s="97">
        <v>41</v>
      </c>
      <c r="Q486" s="97">
        <v>682</v>
      </c>
      <c r="R486" s="97">
        <v>48</v>
      </c>
      <c r="S486" s="97">
        <v>38</v>
      </c>
      <c r="T486" s="97">
        <v>649</v>
      </c>
      <c r="U486" s="97">
        <v>74</v>
      </c>
      <c r="V486" s="97">
        <v>13</v>
      </c>
      <c r="W486" s="97">
        <v>366</v>
      </c>
      <c r="X486" s="97">
        <v>68</v>
      </c>
      <c r="Y486" s="97">
        <v>37</v>
      </c>
      <c r="Z486" s="97">
        <v>541</v>
      </c>
      <c r="AA486" s="97">
        <v>48</v>
      </c>
      <c r="AB486" s="97">
        <v>36</v>
      </c>
      <c r="AC486" s="97">
        <v>671</v>
      </c>
      <c r="AD486" s="97">
        <v>65</v>
      </c>
      <c r="AE486" s="97">
        <v>29</v>
      </c>
      <c r="AF486" s="97">
        <v>548</v>
      </c>
      <c r="AG486" s="97">
        <v>455</v>
      </c>
      <c r="AH486" s="97">
        <v>25</v>
      </c>
      <c r="AI486" s="97">
        <v>482</v>
      </c>
    </row>
    <row r="487" spans="1:35" ht="15" customHeight="1">
      <c r="A487" s="97" t="s">
        <v>1381</v>
      </c>
      <c r="B487" s="97" t="s">
        <v>1381</v>
      </c>
      <c r="C487" s="97" t="s">
        <v>1382</v>
      </c>
      <c r="D487" s="97" t="s">
        <v>3198</v>
      </c>
      <c r="E487" s="97" t="s">
        <v>56</v>
      </c>
      <c r="F487" s="97">
        <v>89</v>
      </c>
      <c r="G487" s="97">
        <v>48</v>
      </c>
      <c r="H487" s="97">
        <v>835</v>
      </c>
      <c r="I487" s="97">
        <v>67</v>
      </c>
      <c r="J487" s="97">
        <v>25</v>
      </c>
      <c r="K487" s="97">
        <v>565</v>
      </c>
      <c r="L487" s="97">
        <v>93.5</v>
      </c>
      <c r="M487" s="97">
        <v>18</v>
      </c>
      <c r="N487" s="97">
        <v>393</v>
      </c>
      <c r="O487" s="97">
        <v>70</v>
      </c>
      <c r="P487" s="97">
        <v>20</v>
      </c>
      <c r="Q487" s="97">
        <v>400</v>
      </c>
      <c r="R487" s="97">
        <v>64</v>
      </c>
      <c r="S487" s="97">
        <v>8</v>
      </c>
      <c r="T487" s="97">
        <v>244</v>
      </c>
      <c r="U487" s="97">
        <v>71</v>
      </c>
      <c r="V487" s="97">
        <v>36</v>
      </c>
      <c r="W487" s="97">
        <v>462</v>
      </c>
      <c r="X487" s="97">
        <v>69</v>
      </c>
      <c r="Y487" s="97">
        <v>34</v>
      </c>
      <c r="Z487" s="97">
        <v>504</v>
      </c>
      <c r="AA487" s="97">
        <v>47</v>
      </c>
      <c r="AB487" s="97">
        <v>36</v>
      </c>
      <c r="AC487" s="97">
        <v>719</v>
      </c>
      <c r="AD487" s="97">
        <v>72</v>
      </c>
      <c r="AE487" s="97">
        <v>15</v>
      </c>
      <c r="AF487" s="97">
        <v>256</v>
      </c>
      <c r="AG487" s="97">
        <v>454.5</v>
      </c>
      <c r="AH487" s="97">
        <v>25</v>
      </c>
      <c r="AI487" s="97">
        <v>484</v>
      </c>
    </row>
    <row r="488" spans="1:35" ht="15" customHeight="1">
      <c r="A488" s="97" t="s">
        <v>727</v>
      </c>
      <c r="B488" s="97" t="s">
        <v>727</v>
      </c>
      <c r="C488" s="97" t="s">
        <v>728</v>
      </c>
      <c r="D488" s="97" t="s">
        <v>3198</v>
      </c>
      <c r="E488" s="97" t="s">
        <v>117</v>
      </c>
      <c r="F488" s="97">
        <v>106</v>
      </c>
      <c r="G488" s="97">
        <v>11</v>
      </c>
      <c r="H488" s="97">
        <v>287</v>
      </c>
      <c r="I488" s="97">
        <v>75</v>
      </c>
      <c r="J488" s="97">
        <v>24</v>
      </c>
      <c r="K488" s="97">
        <v>409</v>
      </c>
      <c r="L488" s="97">
        <v>87.5</v>
      </c>
      <c r="M488" s="97">
        <v>33</v>
      </c>
      <c r="N488" s="97">
        <v>541</v>
      </c>
      <c r="O488" s="97">
        <v>70</v>
      </c>
      <c r="P488" s="97">
        <v>20</v>
      </c>
      <c r="Q488" s="97">
        <v>400</v>
      </c>
      <c r="R488" s="97">
        <v>49</v>
      </c>
      <c r="S488" s="97">
        <v>38</v>
      </c>
      <c r="T488" s="97">
        <v>624</v>
      </c>
      <c r="U488" s="97">
        <v>67</v>
      </c>
      <c r="V488" s="97">
        <v>31</v>
      </c>
      <c r="W488" s="97">
        <v>587</v>
      </c>
      <c r="X488" s="97">
        <v>74</v>
      </c>
      <c r="Y488" s="97">
        <v>25</v>
      </c>
      <c r="Z488" s="97">
        <v>326</v>
      </c>
      <c r="AA488" s="97">
        <v>48</v>
      </c>
      <c r="AB488" s="97">
        <v>39</v>
      </c>
      <c r="AC488" s="97">
        <v>671</v>
      </c>
      <c r="AD488" s="97">
        <v>55</v>
      </c>
      <c r="AE488" s="97">
        <v>49</v>
      </c>
      <c r="AF488" s="97">
        <v>835</v>
      </c>
      <c r="AG488" s="97">
        <v>454.5</v>
      </c>
      <c r="AH488" s="97">
        <v>27</v>
      </c>
      <c r="AI488" s="97">
        <v>484</v>
      </c>
    </row>
    <row r="489" spans="1:35" ht="15" customHeight="1">
      <c r="A489" s="97" t="s">
        <v>2788</v>
      </c>
      <c r="B489" s="97" t="s">
        <v>2788</v>
      </c>
      <c r="C489" s="97" t="s">
        <v>2789</v>
      </c>
      <c r="D489" s="97" t="s">
        <v>3198</v>
      </c>
      <c r="E489" s="97" t="s">
        <v>38</v>
      </c>
      <c r="F489" s="97">
        <v>96</v>
      </c>
      <c r="G489" s="97">
        <v>37</v>
      </c>
      <c r="H489" s="97">
        <v>676</v>
      </c>
      <c r="I489" s="97">
        <v>60</v>
      </c>
      <c r="J489" s="97">
        <v>40</v>
      </c>
      <c r="K489" s="97">
        <v>696</v>
      </c>
      <c r="L489" s="97">
        <v>95.5</v>
      </c>
      <c r="M489" s="97">
        <v>20</v>
      </c>
      <c r="N489" s="97">
        <v>357</v>
      </c>
      <c r="O489" s="97">
        <v>62</v>
      </c>
      <c r="P489" s="97">
        <v>30</v>
      </c>
      <c r="Q489" s="97">
        <v>564</v>
      </c>
      <c r="R489" s="97">
        <v>58</v>
      </c>
      <c r="S489" s="97">
        <v>13</v>
      </c>
      <c r="T489" s="97">
        <v>377</v>
      </c>
      <c r="U489" s="97">
        <v>83</v>
      </c>
      <c r="V489" s="97">
        <v>5</v>
      </c>
      <c r="W489" s="97">
        <v>145</v>
      </c>
      <c r="X489" s="97">
        <v>69</v>
      </c>
      <c r="Y489" s="97">
        <v>24</v>
      </c>
      <c r="Z489" s="97">
        <v>504</v>
      </c>
      <c r="AA489" s="97">
        <v>69</v>
      </c>
      <c r="AB489" s="97">
        <v>2</v>
      </c>
      <c r="AC489" s="97">
        <v>43</v>
      </c>
      <c r="AD489" s="97">
        <v>81</v>
      </c>
      <c r="AE489" s="97">
        <v>3</v>
      </c>
      <c r="AF489" s="97">
        <v>42</v>
      </c>
      <c r="AG489" s="97">
        <v>454.5</v>
      </c>
      <c r="AH489" s="97">
        <v>20</v>
      </c>
      <c r="AI489" s="97">
        <v>484</v>
      </c>
    </row>
    <row r="490" spans="1:35" ht="15" customHeight="1">
      <c r="A490" s="97" t="s">
        <v>2397</v>
      </c>
      <c r="B490" s="97" t="s">
        <v>2397</v>
      </c>
      <c r="C490" s="97" t="s">
        <v>2404</v>
      </c>
      <c r="D490" s="97" t="s">
        <v>3198</v>
      </c>
      <c r="E490" s="97" t="s">
        <v>7</v>
      </c>
      <c r="F490" s="97">
        <v>98</v>
      </c>
      <c r="G490" s="97">
        <v>33</v>
      </c>
      <c r="H490" s="97">
        <v>611</v>
      </c>
      <c r="I490" s="97">
        <v>82</v>
      </c>
      <c r="J490" s="97">
        <v>10</v>
      </c>
      <c r="K490" s="97">
        <v>290</v>
      </c>
      <c r="L490" s="97">
        <v>70</v>
      </c>
      <c r="M490" s="97">
        <v>51</v>
      </c>
      <c r="N490" s="97">
        <v>841</v>
      </c>
      <c r="O490" s="97">
        <v>73</v>
      </c>
      <c r="P490" s="97">
        <v>15</v>
      </c>
      <c r="Q490" s="97">
        <v>339</v>
      </c>
      <c r="R490" s="97">
        <v>61</v>
      </c>
      <c r="S490" s="97">
        <v>12</v>
      </c>
      <c r="T490" s="97">
        <v>300</v>
      </c>
      <c r="U490" s="97">
        <v>70</v>
      </c>
      <c r="V490" s="97">
        <v>25</v>
      </c>
      <c r="W490" s="97">
        <v>485</v>
      </c>
      <c r="X490" s="97">
        <v>84</v>
      </c>
      <c r="Y490" s="97">
        <v>8</v>
      </c>
      <c r="Z490" s="97">
        <v>59</v>
      </c>
      <c r="AA490" s="97">
        <v>57</v>
      </c>
      <c r="AB490" s="97">
        <v>20</v>
      </c>
      <c r="AC490" s="97">
        <v>306</v>
      </c>
      <c r="AD490" s="97">
        <v>70</v>
      </c>
      <c r="AE490" s="97">
        <v>13</v>
      </c>
      <c r="AF490" s="97">
        <v>327</v>
      </c>
      <c r="AG490" s="97">
        <v>454</v>
      </c>
      <c r="AH490" s="97">
        <v>18</v>
      </c>
      <c r="AI490" s="97">
        <v>487</v>
      </c>
    </row>
    <row r="491" spans="1:35" ht="15" customHeight="1">
      <c r="A491" s="97" t="s">
        <v>1910</v>
      </c>
      <c r="B491" s="97" t="s">
        <v>1910</v>
      </c>
      <c r="C491" s="97" t="s">
        <v>1911</v>
      </c>
      <c r="D491" s="97" t="s">
        <v>3198</v>
      </c>
      <c r="E491" s="97" t="s">
        <v>34</v>
      </c>
      <c r="F491" s="97">
        <v>111</v>
      </c>
      <c r="G491" s="97">
        <v>8</v>
      </c>
      <c r="H491" s="97">
        <v>136</v>
      </c>
      <c r="I491" s="97">
        <v>65</v>
      </c>
      <c r="J491" s="97">
        <v>35</v>
      </c>
      <c r="K491" s="97">
        <v>604</v>
      </c>
      <c r="L491" s="97">
        <v>113</v>
      </c>
      <c r="M491" s="97">
        <v>5</v>
      </c>
      <c r="N491" s="97">
        <v>74</v>
      </c>
      <c r="O491" s="97">
        <v>58</v>
      </c>
      <c r="P491" s="97">
        <v>38</v>
      </c>
      <c r="Q491" s="97">
        <v>649</v>
      </c>
      <c r="R491" s="97">
        <v>34</v>
      </c>
      <c r="S491" s="97">
        <v>51</v>
      </c>
      <c r="T491" s="97">
        <v>882</v>
      </c>
      <c r="U491" s="97">
        <v>73</v>
      </c>
      <c r="V491" s="97">
        <v>16</v>
      </c>
      <c r="W491" s="97">
        <v>393</v>
      </c>
      <c r="X491" s="97">
        <v>84</v>
      </c>
      <c r="Y491" s="97">
        <v>6</v>
      </c>
      <c r="Z491" s="97">
        <v>59</v>
      </c>
      <c r="AA491" s="97">
        <v>57</v>
      </c>
      <c r="AB491" s="97">
        <v>16</v>
      </c>
      <c r="AC491" s="97">
        <v>306</v>
      </c>
      <c r="AD491" s="97">
        <v>69</v>
      </c>
      <c r="AE491" s="97">
        <v>16</v>
      </c>
      <c r="AF491" s="97">
        <v>367</v>
      </c>
      <c r="AG491" s="97">
        <v>454</v>
      </c>
      <c r="AH491" s="97">
        <v>26</v>
      </c>
      <c r="AI491" s="97">
        <v>487</v>
      </c>
    </row>
    <row r="492" spans="1:35" ht="15" customHeight="1">
      <c r="A492" s="97" t="s">
        <v>410</v>
      </c>
      <c r="B492" s="97" t="s">
        <v>410</v>
      </c>
      <c r="C492" s="97" t="s">
        <v>1711</v>
      </c>
      <c r="D492" s="97" t="s">
        <v>3198</v>
      </c>
      <c r="E492" s="97" t="s">
        <v>19</v>
      </c>
      <c r="F492" s="97">
        <v>101</v>
      </c>
      <c r="G492" s="97">
        <v>31</v>
      </c>
      <c r="H492" s="97">
        <v>481</v>
      </c>
      <c r="I492" s="97">
        <v>55</v>
      </c>
      <c r="J492" s="97">
        <v>45</v>
      </c>
      <c r="K492" s="97">
        <v>766</v>
      </c>
      <c r="L492" s="97">
        <v>115</v>
      </c>
      <c r="M492" s="97">
        <v>4</v>
      </c>
      <c r="N492" s="97">
        <v>58</v>
      </c>
      <c r="O492" s="97">
        <v>69</v>
      </c>
      <c r="P492" s="97">
        <v>18</v>
      </c>
      <c r="Q492" s="97">
        <v>428</v>
      </c>
      <c r="R492" s="97">
        <v>50</v>
      </c>
      <c r="S492" s="97">
        <v>31</v>
      </c>
      <c r="T492" s="97">
        <v>599</v>
      </c>
      <c r="U492" s="97">
        <v>64</v>
      </c>
      <c r="V492" s="97">
        <v>39</v>
      </c>
      <c r="W492" s="97">
        <v>667</v>
      </c>
      <c r="X492" s="97">
        <v>68</v>
      </c>
      <c r="Y492" s="97">
        <v>28</v>
      </c>
      <c r="Z492" s="97">
        <v>541</v>
      </c>
      <c r="AA492" s="97">
        <v>61</v>
      </c>
      <c r="AB492" s="97">
        <v>11</v>
      </c>
      <c r="AC492" s="97">
        <v>172</v>
      </c>
      <c r="AD492" s="97">
        <v>75</v>
      </c>
      <c r="AE492" s="97">
        <v>7</v>
      </c>
      <c r="AF492" s="97">
        <v>146</v>
      </c>
      <c r="AG492" s="97">
        <v>454</v>
      </c>
      <c r="AH492" s="97">
        <v>23</v>
      </c>
      <c r="AI492" s="97">
        <v>487</v>
      </c>
    </row>
    <row r="493" spans="1:35" ht="15" customHeight="1">
      <c r="A493" s="97" t="s">
        <v>616</v>
      </c>
      <c r="B493" s="97" t="s">
        <v>616</v>
      </c>
      <c r="C493" s="97" t="s">
        <v>1638</v>
      </c>
      <c r="D493" s="97" t="s">
        <v>3198</v>
      </c>
      <c r="E493" s="97" t="s">
        <v>17</v>
      </c>
      <c r="F493" s="97">
        <v>102</v>
      </c>
      <c r="G493" s="97">
        <v>25</v>
      </c>
      <c r="H493" s="97">
        <v>442</v>
      </c>
      <c r="I493" s="97">
        <v>55</v>
      </c>
      <c r="J493" s="97">
        <v>47</v>
      </c>
      <c r="K493" s="97">
        <v>766</v>
      </c>
      <c r="L493" s="97">
        <v>102.5</v>
      </c>
      <c r="M493" s="97">
        <v>11</v>
      </c>
      <c r="N493" s="97">
        <v>210</v>
      </c>
      <c r="O493" s="97">
        <v>54</v>
      </c>
      <c r="P493" s="97">
        <v>46</v>
      </c>
      <c r="Q493" s="97">
        <v>718</v>
      </c>
      <c r="R493" s="97">
        <v>72</v>
      </c>
      <c r="S493" s="97">
        <v>8</v>
      </c>
      <c r="T493" s="97">
        <v>115</v>
      </c>
      <c r="U493" s="97">
        <v>68</v>
      </c>
      <c r="V493" s="97">
        <v>36</v>
      </c>
      <c r="W493" s="97">
        <v>555</v>
      </c>
      <c r="X493" s="97">
        <v>72</v>
      </c>
      <c r="Y493" s="97">
        <v>27</v>
      </c>
      <c r="Z493" s="97">
        <v>396</v>
      </c>
      <c r="AA493" s="97">
        <v>60</v>
      </c>
      <c r="AB493" s="97">
        <v>11</v>
      </c>
      <c r="AC493" s="97">
        <v>203</v>
      </c>
      <c r="AD493" s="97">
        <v>72</v>
      </c>
      <c r="AE493" s="97">
        <v>16</v>
      </c>
      <c r="AF493" s="97">
        <v>256</v>
      </c>
      <c r="AG493" s="97">
        <v>453.5</v>
      </c>
      <c r="AH493" s="97">
        <v>29</v>
      </c>
      <c r="AI493" s="97">
        <v>490</v>
      </c>
    </row>
    <row r="494" spans="1:35" ht="15" customHeight="1">
      <c r="A494" s="97" t="s">
        <v>856</v>
      </c>
      <c r="B494" s="97" t="s">
        <v>856</v>
      </c>
      <c r="C494" s="97" t="s">
        <v>857</v>
      </c>
      <c r="D494" s="97" t="s">
        <v>3198</v>
      </c>
      <c r="E494" s="97" t="s">
        <v>117</v>
      </c>
      <c r="F494" s="97">
        <v>90</v>
      </c>
      <c r="G494" s="97">
        <v>46</v>
      </c>
      <c r="H494" s="97">
        <v>815</v>
      </c>
      <c r="I494" s="97">
        <v>70</v>
      </c>
      <c r="J494" s="97">
        <v>30</v>
      </c>
      <c r="K494" s="97">
        <v>505</v>
      </c>
      <c r="L494" s="97">
        <v>91.5</v>
      </c>
      <c r="M494" s="97">
        <v>25</v>
      </c>
      <c r="N494" s="97">
        <v>443</v>
      </c>
      <c r="O494" s="97">
        <v>84</v>
      </c>
      <c r="P494" s="97">
        <v>7</v>
      </c>
      <c r="Q494" s="97">
        <v>147</v>
      </c>
      <c r="R494" s="97">
        <v>44</v>
      </c>
      <c r="S494" s="97">
        <v>44</v>
      </c>
      <c r="T494" s="97">
        <v>736</v>
      </c>
      <c r="U494" s="97">
        <v>74</v>
      </c>
      <c r="V494" s="97">
        <v>14</v>
      </c>
      <c r="W494" s="97">
        <v>366</v>
      </c>
      <c r="X494" s="97">
        <v>72</v>
      </c>
      <c r="Y494" s="97">
        <v>29</v>
      </c>
      <c r="Z494" s="97">
        <v>396</v>
      </c>
      <c r="AA494" s="97">
        <v>61</v>
      </c>
      <c r="AB494" s="97">
        <v>8</v>
      </c>
      <c r="AC494" s="97">
        <v>172</v>
      </c>
      <c r="AD494" s="97">
        <v>64</v>
      </c>
      <c r="AE494" s="97">
        <v>33</v>
      </c>
      <c r="AF494" s="97">
        <v>586</v>
      </c>
      <c r="AG494" s="97">
        <v>453.5</v>
      </c>
      <c r="AH494" s="97">
        <v>28</v>
      </c>
      <c r="AI494" s="97">
        <v>490</v>
      </c>
    </row>
    <row r="495" spans="1:35" ht="15" customHeight="1">
      <c r="A495" s="97" t="s">
        <v>1852</v>
      </c>
      <c r="B495" s="97" t="s">
        <v>1852</v>
      </c>
      <c r="C495" s="97" t="s">
        <v>1853</v>
      </c>
      <c r="D495" s="97" t="s">
        <v>3198</v>
      </c>
      <c r="E495" s="97" t="s">
        <v>34</v>
      </c>
      <c r="F495" s="97">
        <v>102</v>
      </c>
      <c r="G495" s="97">
        <v>27</v>
      </c>
      <c r="H495" s="97">
        <v>442</v>
      </c>
      <c r="I495" s="97">
        <v>75</v>
      </c>
      <c r="J495" s="97">
        <v>24</v>
      </c>
      <c r="K495" s="97">
        <v>409</v>
      </c>
      <c r="L495" s="97">
        <v>93.5</v>
      </c>
      <c r="M495" s="97">
        <v>20</v>
      </c>
      <c r="N495" s="97">
        <v>393</v>
      </c>
      <c r="O495" s="97">
        <v>44</v>
      </c>
      <c r="P495" s="97">
        <v>51</v>
      </c>
      <c r="Q495" s="97">
        <v>849</v>
      </c>
      <c r="R495" s="97">
        <v>62</v>
      </c>
      <c r="S495" s="97">
        <v>12</v>
      </c>
      <c r="T495" s="97">
        <v>277</v>
      </c>
      <c r="U495" s="97">
        <v>77</v>
      </c>
      <c r="V495" s="97">
        <v>7</v>
      </c>
      <c r="W495" s="97">
        <v>275</v>
      </c>
      <c r="X495" s="97">
        <v>76</v>
      </c>
      <c r="Y495" s="97">
        <v>22</v>
      </c>
      <c r="Z495" s="97">
        <v>260</v>
      </c>
      <c r="AA495" s="97">
        <v>52</v>
      </c>
      <c r="AB495" s="97">
        <v>25</v>
      </c>
      <c r="AC495" s="97">
        <v>509</v>
      </c>
      <c r="AD495" s="97">
        <v>70</v>
      </c>
      <c r="AE495" s="97">
        <v>13</v>
      </c>
      <c r="AF495" s="97">
        <v>327</v>
      </c>
      <c r="AG495" s="97">
        <v>453.5</v>
      </c>
      <c r="AH495" s="97">
        <v>27</v>
      </c>
      <c r="AI495" s="97">
        <v>490</v>
      </c>
    </row>
    <row r="496" spans="1:35" ht="15" customHeight="1">
      <c r="A496" s="97" t="s">
        <v>1505</v>
      </c>
      <c r="B496" s="97" t="s">
        <v>1505</v>
      </c>
      <c r="C496" s="97" t="s">
        <v>1506</v>
      </c>
      <c r="D496" s="97" t="s">
        <v>3198</v>
      </c>
      <c r="E496" s="97" t="s">
        <v>56</v>
      </c>
      <c r="F496" s="97">
        <v>100</v>
      </c>
      <c r="G496" s="97">
        <v>24</v>
      </c>
      <c r="H496" s="97">
        <v>528</v>
      </c>
      <c r="I496" s="97">
        <v>59</v>
      </c>
      <c r="J496" s="97">
        <v>32</v>
      </c>
      <c r="K496" s="97">
        <v>721</v>
      </c>
      <c r="L496" s="97">
        <v>120.5</v>
      </c>
      <c r="M496" s="97">
        <v>2</v>
      </c>
      <c r="N496" s="97">
        <v>25</v>
      </c>
      <c r="O496" s="97">
        <v>64</v>
      </c>
      <c r="P496" s="97">
        <v>28</v>
      </c>
      <c r="Q496" s="97">
        <v>517</v>
      </c>
      <c r="R496" s="97">
        <v>43</v>
      </c>
      <c r="S496" s="97">
        <v>36</v>
      </c>
      <c r="T496" s="97">
        <v>757</v>
      </c>
      <c r="U496" s="97">
        <v>67</v>
      </c>
      <c r="V496" s="97">
        <v>42</v>
      </c>
      <c r="W496" s="97">
        <v>587</v>
      </c>
      <c r="X496" s="97">
        <v>76</v>
      </c>
      <c r="Y496" s="97">
        <v>17</v>
      </c>
      <c r="Z496" s="97">
        <v>260</v>
      </c>
      <c r="AA496" s="97">
        <v>46</v>
      </c>
      <c r="AB496" s="97">
        <v>43</v>
      </c>
      <c r="AC496" s="97">
        <v>755</v>
      </c>
      <c r="AD496" s="97">
        <v>65</v>
      </c>
      <c r="AE496" s="97">
        <v>29</v>
      </c>
      <c r="AF496" s="97">
        <v>548</v>
      </c>
      <c r="AG496" s="97">
        <v>453.5</v>
      </c>
      <c r="AH496" s="97">
        <v>26</v>
      </c>
      <c r="AI496" s="97">
        <v>490</v>
      </c>
    </row>
    <row r="497" spans="1:35" ht="15" customHeight="1">
      <c r="A497" s="97" t="s">
        <v>2358</v>
      </c>
      <c r="B497" s="97" t="s">
        <v>2358</v>
      </c>
      <c r="C497" s="97" t="s">
        <v>2368</v>
      </c>
      <c r="D497" s="97" t="s">
        <v>3198</v>
      </c>
      <c r="E497" s="97" t="s">
        <v>7</v>
      </c>
      <c r="F497" s="97">
        <v>106</v>
      </c>
      <c r="G497" s="97">
        <v>16</v>
      </c>
      <c r="H497" s="97">
        <v>287</v>
      </c>
      <c r="I497" s="97">
        <v>81</v>
      </c>
      <c r="J497" s="97">
        <v>11</v>
      </c>
      <c r="K497" s="97">
        <v>309</v>
      </c>
      <c r="L497" s="97">
        <v>90.5</v>
      </c>
      <c r="M497" s="97">
        <v>23</v>
      </c>
      <c r="N497" s="97">
        <v>470</v>
      </c>
      <c r="O497" s="97">
        <v>61</v>
      </c>
      <c r="P497" s="97">
        <v>30</v>
      </c>
      <c r="Q497" s="97">
        <v>587</v>
      </c>
      <c r="R497" s="97">
        <v>50</v>
      </c>
      <c r="S497" s="97">
        <v>28</v>
      </c>
      <c r="T497" s="97">
        <v>599</v>
      </c>
      <c r="U497" s="97">
        <v>65</v>
      </c>
      <c r="V497" s="97">
        <v>39</v>
      </c>
      <c r="W497" s="97">
        <v>643</v>
      </c>
      <c r="X497" s="97">
        <v>81</v>
      </c>
      <c r="Y497" s="97">
        <v>17</v>
      </c>
      <c r="Z497" s="97">
        <v>124</v>
      </c>
      <c r="AA497" s="97">
        <v>54</v>
      </c>
      <c r="AB497" s="97">
        <v>33</v>
      </c>
      <c r="AC497" s="97">
        <v>428</v>
      </c>
      <c r="AD497" s="97">
        <v>64</v>
      </c>
      <c r="AE497" s="97">
        <v>32</v>
      </c>
      <c r="AF497" s="97">
        <v>586</v>
      </c>
      <c r="AG497" s="97">
        <v>453.5</v>
      </c>
      <c r="AH497" s="97">
        <v>19</v>
      </c>
      <c r="AI497" s="97">
        <v>490</v>
      </c>
    </row>
    <row r="498" spans="1:35" ht="15" customHeight="1">
      <c r="A498" s="97" t="s">
        <v>2552</v>
      </c>
      <c r="B498" s="97" t="s">
        <v>2552</v>
      </c>
      <c r="C498" s="97" t="s">
        <v>2553</v>
      </c>
      <c r="D498" s="97" t="s">
        <v>3198</v>
      </c>
      <c r="E498" s="97" t="s">
        <v>131</v>
      </c>
      <c r="F498" s="97">
        <v>112</v>
      </c>
      <c r="G498" s="97">
        <v>2</v>
      </c>
      <c r="H498" s="97">
        <v>114</v>
      </c>
      <c r="I498" s="97">
        <v>67</v>
      </c>
      <c r="J498" s="97">
        <v>38</v>
      </c>
      <c r="K498" s="97">
        <v>565</v>
      </c>
      <c r="L498" s="97">
        <v>90.5</v>
      </c>
      <c r="M498" s="97">
        <v>22</v>
      </c>
      <c r="N498" s="97">
        <v>470</v>
      </c>
      <c r="O498" s="97">
        <v>63</v>
      </c>
      <c r="P498" s="97">
        <v>33</v>
      </c>
      <c r="Q498" s="97">
        <v>540</v>
      </c>
      <c r="R498" s="97">
        <v>56</v>
      </c>
      <c r="S498" s="97">
        <v>21</v>
      </c>
      <c r="T498" s="97">
        <v>433</v>
      </c>
      <c r="U498" s="97">
        <v>65</v>
      </c>
      <c r="V498" s="97">
        <v>33</v>
      </c>
      <c r="W498" s="97">
        <v>643</v>
      </c>
      <c r="X498" s="97">
        <v>71</v>
      </c>
      <c r="Y498" s="97">
        <v>20</v>
      </c>
      <c r="Z498" s="97">
        <v>439</v>
      </c>
      <c r="AA498" s="97">
        <v>70</v>
      </c>
      <c r="AB498" s="97">
        <v>2</v>
      </c>
      <c r="AC498" s="97">
        <v>37</v>
      </c>
      <c r="AD498" s="97">
        <v>69</v>
      </c>
      <c r="AE498" s="97">
        <v>26</v>
      </c>
      <c r="AF498" s="97">
        <v>367</v>
      </c>
      <c r="AG498" s="97">
        <v>453.5</v>
      </c>
      <c r="AH498" s="97">
        <v>26</v>
      </c>
      <c r="AI498" s="97">
        <v>490</v>
      </c>
    </row>
    <row r="499" spans="1:35" ht="15" customHeight="1">
      <c r="A499" s="97" t="s">
        <v>2879</v>
      </c>
      <c r="B499" s="97" t="s">
        <v>2879</v>
      </c>
      <c r="C499" s="97" t="s">
        <v>2880</v>
      </c>
      <c r="D499" s="97" t="s">
        <v>3198</v>
      </c>
      <c r="E499" s="97" t="s">
        <v>38</v>
      </c>
      <c r="F499" s="97">
        <v>93</v>
      </c>
      <c r="G499" s="97">
        <v>41</v>
      </c>
      <c r="H499" s="97">
        <v>755</v>
      </c>
      <c r="I499" s="97">
        <v>71</v>
      </c>
      <c r="J499" s="97">
        <v>18</v>
      </c>
      <c r="K499" s="97">
        <v>475</v>
      </c>
      <c r="L499" s="97">
        <v>132.5</v>
      </c>
      <c r="M499" s="97">
        <v>1</v>
      </c>
      <c r="N499" s="97">
        <v>3</v>
      </c>
      <c r="O499" s="97">
        <v>55</v>
      </c>
      <c r="P499" s="97">
        <v>43</v>
      </c>
      <c r="Q499" s="97">
        <v>694</v>
      </c>
      <c r="R499" s="97">
        <v>40</v>
      </c>
      <c r="S499" s="97">
        <v>47</v>
      </c>
      <c r="T499" s="97">
        <v>811</v>
      </c>
      <c r="U499" s="97">
        <v>62</v>
      </c>
      <c r="V499" s="97">
        <v>44</v>
      </c>
      <c r="W499" s="97">
        <v>716</v>
      </c>
      <c r="X499" s="97">
        <v>76</v>
      </c>
      <c r="Y499" s="97">
        <v>4</v>
      </c>
      <c r="Z499" s="97">
        <v>260</v>
      </c>
      <c r="AA499" s="97">
        <v>42</v>
      </c>
      <c r="AB499" s="97">
        <v>49</v>
      </c>
      <c r="AC499" s="97">
        <v>845</v>
      </c>
      <c r="AD499" s="97">
        <v>75</v>
      </c>
      <c r="AE499" s="97">
        <v>6</v>
      </c>
      <c r="AF499" s="97">
        <v>146</v>
      </c>
      <c r="AG499" s="97">
        <v>453.5</v>
      </c>
      <c r="AH499" s="97">
        <v>21</v>
      </c>
      <c r="AI499" s="97">
        <v>490</v>
      </c>
    </row>
    <row r="500" spans="1:35" ht="15" customHeight="1">
      <c r="A500" s="97" t="s">
        <v>2882</v>
      </c>
      <c r="B500" s="97" t="s">
        <v>2882</v>
      </c>
      <c r="C500" s="97" t="s">
        <v>2883</v>
      </c>
      <c r="D500" s="97" t="s">
        <v>3198</v>
      </c>
      <c r="E500" s="97" t="s">
        <v>38</v>
      </c>
      <c r="F500" s="97">
        <v>99</v>
      </c>
      <c r="G500" s="97">
        <v>30</v>
      </c>
      <c r="H500" s="97">
        <v>571</v>
      </c>
      <c r="I500" s="97">
        <v>81</v>
      </c>
      <c r="J500" s="97">
        <v>10</v>
      </c>
      <c r="K500" s="97">
        <v>309</v>
      </c>
      <c r="L500" s="97">
        <v>84</v>
      </c>
      <c r="M500" s="97">
        <v>37</v>
      </c>
      <c r="N500" s="97">
        <v>622</v>
      </c>
      <c r="O500" s="97">
        <v>64</v>
      </c>
      <c r="P500" s="97">
        <v>26</v>
      </c>
      <c r="Q500" s="97">
        <v>517</v>
      </c>
      <c r="R500" s="97">
        <v>49</v>
      </c>
      <c r="S500" s="97">
        <v>28</v>
      </c>
      <c r="T500" s="97">
        <v>624</v>
      </c>
      <c r="U500" s="97">
        <v>76</v>
      </c>
      <c r="V500" s="97">
        <v>14</v>
      </c>
      <c r="W500" s="97">
        <v>308</v>
      </c>
      <c r="X500" s="97">
        <v>75</v>
      </c>
      <c r="Y500" s="97">
        <v>5</v>
      </c>
      <c r="Z500" s="97">
        <v>289</v>
      </c>
      <c r="AA500" s="97">
        <v>44</v>
      </c>
      <c r="AB500" s="97">
        <v>45</v>
      </c>
      <c r="AC500" s="97">
        <v>804</v>
      </c>
      <c r="AD500" s="97">
        <v>72</v>
      </c>
      <c r="AE500" s="97">
        <v>15</v>
      </c>
      <c r="AF500" s="97">
        <v>256</v>
      </c>
      <c r="AG500" s="97">
        <v>453</v>
      </c>
      <c r="AH500" s="97">
        <v>22</v>
      </c>
      <c r="AI500" s="97">
        <v>497</v>
      </c>
    </row>
    <row r="501" spans="1:35" ht="15" customHeight="1">
      <c r="A501" s="97" t="s">
        <v>2373</v>
      </c>
      <c r="B501" s="97" t="s">
        <v>2373</v>
      </c>
      <c r="C501" s="97" t="s">
        <v>2383</v>
      </c>
      <c r="D501" s="97" t="s">
        <v>3198</v>
      </c>
      <c r="E501" s="97" t="s">
        <v>7</v>
      </c>
      <c r="F501" s="97">
        <v>102</v>
      </c>
      <c r="G501" s="97">
        <v>24</v>
      </c>
      <c r="H501" s="97">
        <v>442</v>
      </c>
      <c r="I501" s="97">
        <v>57</v>
      </c>
      <c r="J501" s="97">
        <v>40</v>
      </c>
      <c r="K501" s="97">
        <v>744</v>
      </c>
      <c r="L501" s="97">
        <v>98</v>
      </c>
      <c r="M501" s="97">
        <v>10</v>
      </c>
      <c r="N501" s="97">
        <v>294</v>
      </c>
      <c r="O501" s="97">
        <v>68</v>
      </c>
      <c r="P501" s="97">
        <v>20</v>
      </c>
      <c r="Q501" s="97">
        <v>453</v>
      </c>
      <c r="R501" s="97">
        <v>54</v>
      </c>
      <c r="S501" s="97">
        <v>20</v>
      </c>
      <c r="T501" s="97">
        <v>494</v>
      </c>
      <c r="U501" s="97">
        <v>74</v>
      </c>
      <c r="V501" s="97">
        <v>17</v>
      </c>
      <c r="W501" s="97">
        <v>366</v>
      </c>
      <c r="X501" s="97">
        <v>81</v>
      </c>
      <c r="Y501" s="97">
        <v>17</v>
      </c>
      <c r="Z501" s="97">
        <v>124</v>
      </c>
      <c r="AA501" s="97">
        <v>55</v>
      </c>
      <c r="AB501" s="97">
        <v>28</v>
      </c>
      <c r="AC501" s="97">
        <v>392</v>
      </c>
      <c r="AD501" s="97">
        <v>71</v>
      </c>
      <c r="AE501" s="97">
        <v>11</v>
      </c>
      <c r="AF501" s="97">
        <v>290</v>
      </c>
      <c r="AG501" s="97">
        <v>453</v>
      </c>
      <c r="AH501" s="97">
        <v>20</v>
      </c>
      <c r="AI501" s="97">
        <v>497</v>
      </c>
    </row>
    <row r="502" spans="1:35" ht="15" customHeight="1">
      <c r="A502" s="97" t="s">
        <v>2019</v>
      </c>
      <c r="B502" s="97" t="s">
        <v>2019</v>
      </c>
      <c r="C502" s="97" t="s">
        <v>2020</v>
      </c>
      <c r="D502" s="97" t="s">
        <v>3198</v>
      </c>
      <c r="E502" s="97" t="s">
        <v>109</v>
      </c>
      <c r="F502" s="97">
        <v>108</v>
      </c>
      <c r="G502" s="97">
        <v>14</v>
      </c>
      <c r="H502" s="97">
        <v>212</v>
      </c>
      <c r="I502" s="97">
        <v>66</v>
      </c>
      <c r="J502" s="97">
        <v>35</v>
      </c>
      <c r="K502" s="97">
        <v>584</v>
      </c>
      <c r="L502" s="97">
        <v>82.5</v>
      </c>
      <c r="M502" s="97">
        <v>43</v>
      </c>
      <c r="N502" s="97">
        <v>657</v>
      </c>
      <c r="O502" s="97">
        <v>74</v>
      </c>
      <c r="P502" s="97">
        <v>18</v>
      </c>
      <c r="Q502" s="97">
        <v>317</v>
      </c>
      <c r="R502" s="97">
        <v>47</v>
      </c>
      <c r="S502" s="97">
        <v>40</v>
      </c>
      <c r="T502" s="97">
        <v>673</v>
      </c>
      <c r="U502" s="97">
        <v>75</v>
      </c>
      <c r="V502" s="97">
        <v>18</v>
      </c>
      <c r="W502" s="97">
        <v>342</v>
      </c>
      <c r="X502" s="97">
        <v>55</v>
      </c>
      <c r="Y502" s="97">
        <v>49</v>
      </c>
      <c r="Z502" s="97">
        <v>868</v>
      </c>
      <c r="AA502" s="97">
        <v>59</v>
      </c>
      <c r="AB502" s="97">
        <v>7</v>
      </c>
      <c r="AC502" s="97">
        <v>233</v>
      </c>
      <c r="AD502" s="97">
        <v>65</v>
      </c>
      <c r="AE502" s="97">
        <v>29</v>
      </c>
      <c r="AF502" s="97">
        <v>548</v>
      </c>
      <c r="AG502" s="97">
        <v>452.5</v>
      </c>
      <c r="AH502" s="97">
        <v>29</v>
      </c>
      <c r="AI502" s="97">
        <v>499</v>
      </c>
    </row>
    <row r="503" spans="1:35" ht="15" customHeight="1">
      <c r="A503" s="97" t="s">
        <v>1029</v>
      </c>
      <c r="B503" s="97" t="s">
        <v>1029</v>
      </c>
      <c r="C503" s="97" t="s">
        <v>1030</v>
      </c>
      <c r="D503" s="97" t="s">
        <v>3198</v>
      </c>
      <c r="E503" s="97" t="s">
        <v>68</v>
      </c>
      <c r="F503" s="97">
        <v>102</v>
      </c>
      <c r="G503" s="97">
        <v>28</v>
      </c>
      <c r="H503" s="97">
        <v>442</v>
      </c>
      <c r="I503" s="97">
        <v>95</v>
      </c>
      <c r="J503" s="97">
        <v>10</v>
      </c>
      <c r="K503" s="97">
        <v>128</v>
      </c>
      <c r="L503" s="97">
        <v>62.5</v>
      </c>
      <c r="M503" s="97">
        <v>55</v>
      </c>
      <c r="N503" s="97">
        <v>898</v>
      </c>
      <c r="O503" s="97">
        <v>68</v>
      </c>
      <c r="P503" s="97">
        <v>19</v>
      </c>
      <c r="Q503" s="97">
        <v>453</v>
      </c>
      <c r="R503" s="97">
        <v>53</v>
      </c>
      <c r="S503" s="97">
        <v>32</v>
      </c>
      <c r="T503" s="97">
        <v>526</v>
      </c>
      <c r="U503" s="97">
        <v>72</v>
      </c>
      <c r="V503" s="97">
        <v>26</v>
      </c>
      <c r="W503" s="97">
        <v>433</v>
      </c>
      <c r="X503" s="97">
        <v>69</v>
      </c>
      <c r="Y503" s="97">
        <v>26</v>
      </c>
      <c r="Z503" s="97">
        <v>504</v>
      </c>
      <c r="AA503" s="97">
        <v>55</v>
      </c>
      <c r="AB503" s="97">
        <v>15</v>
      </c>
      <c r="AC503" s="97">
        <v>392</v>
      </c>
      <c r="AD503" s="97">
        <v>80</v>
      </c>
      <c r="AE503" s="97">
        <v>3</v>
      </c>
      <c r="AF503" s="97">
        <v>54</v>
      </c>
      <c r="AG503" s="97">
        <v>452.5</v>
      </c>
      <c r="AH503" s="97">
        <v>27</v>
      </c>
      <c r="AI503" s="97">
        <v>499</v>
      </c>
    </row>
    <row r="504" spans="1:35" ht="15" customHeight="1">
      <c r="A504" s="97" t="s">
        <v>955</v>
      </c>
      <c r="B504" s="97" t="s">
        <v>955</v>
      </c>
      <c r="C504" s="97" t="s">
        <v>956</v>
      </c>
      <c r="D504" s="97" t="s">
        <v>3198</v>
      </c>
      <c r="E504" s="97" t="s">
        <v>60</v>
      </c>
      <c r="F504" s="97">
        <v>121</v>
      </c>
      <c r="G504" s="97">
        <v>2</v>
      </c>
      <c r="H504" s="97">
        <v>13</v>
      </c>
      <c r="I504" s="97">
        <v>80</v>
      </c>
      <c r="J504" s="97">
        <v>17</v>
      </c>
      <c r="K504" s="97">
        <v>325</v>
      </c>
      <c r="L504" s="97">
        <v>91.5</v>
      </c>
      <c r="M504" s="97">
        <v>27</v>
      </c>
      <c r="N504" s="97">
        <v>443</v>
      </c>
      <c r="O504" s="97">
        <v>63</v>
      </c>
      <c r="P504" s="97">
        <v>28</v>
      </c>
      <c r="Q504" s="97">
        <v>540</v>
      </c>
      <c r="R504" s="97">
        <v>35</v>
      </c>
      <c r="S504" s="97">
        <v>53</v>
      </c>
      <c r="T504" s="97">
        <v>870</v>
      </c>
      <c r="U504" s="97">
        <v>62</v>
      </c>
      <c r="V504" s="97">
        <v>38</v>
      </c>
      <c r="W504" s="97">
        <v>716</v>
      </c>
      <c r="X504" s="97">
        <v>79</v>
      </c>
      <c r="Y504" s="97">
        <v>6</v>
      </c>
      <c r="Z504" s="97">
        <v>175</v>
      </c>
      <c r="AA504" s="97">
        <v>49</v>
      </c>
      <c r="AB504" s="97">
        <v>33</v>
      </c>
      <c r="AC504" s="97">
        <v>633</v>
      </c>
      <c r="AD504" s="97">
        <v>74</v>
      </c>
      <c r="AE504" s="97">
        <v>7</v>
      </c>
      <c r="AF504" s="97">
        <v>174</v>
      </c>
      <c r="AG504" s="97">
        <v>452.5</v>
      </c>
      <c r="AH504" s="97">
        <v>29</v>
      </c>
      <c r="AI504" s="97">
        <v>499</v>
      </c>
    </row>
    <row r="505" spans="1:35" ht="15" customHeight="1">
      <c r="A505" s="97" t="s">
        <v>1011</v>
      </c>
      <c r="B505" s="97" t="s">
        <v>1011</v>
      </c>
      <c r="C505" s="97" t="s">
        <v>1012</v>
      </c>
      <c r="D505" s="97" t="s">
        <v>3198</v>
      </c>
      <c r="E505" s="97" t="s">
        <v>60</v>
      </c>
      <c r="F505" s="97">
        <v>106</v>
      </c>
      <c r="G505" s="97">
        <v>20</v>
      </c>
      <c r="H505" s="97">
        <v>287</v>
      </c>
      <c r="I505" s="97">
        <v>87</v>
      </c>
      <c r="J505" s="97">
        <v>13</v>
      </c>
      <c r="K505" s="97">
        <v>220</v>
      </c>
      <c r="L505" s="97">
        <v>93</v>
      </c>
      <c r="M505" s="97">
        <v>22</v>
      </c>
      <c r="N505" s="97">
        <v>405</v>
      </c>
      <c r="O505" s="97">
        <v>53</v>
      </c>
      <c r="P505" s="97">
        <v>41</v>
      </c>
      <c r="Q505" s="97">
        <v>739</v>
      </c>
      <c r="R505" s="97">
        <v>44</v>
      </c>
      <c r="S505" s="97">
        <v>43</v>
      </c>
      <c r="T505" s="97">
        <v>736</v>
      </c>
      <c r="U505" s="97">
        <v>69</v>
      </c>
      <c r="V505" s="97">
        <v>23</v>
      </c>
      <c r="W505" s="97">
        <v>523</v>
      </c>
      <c r="X505" s="97">
        <v>68</v>
      </c>
      <c r="Y505" s="97">
        <v>31</v>
      </c>
      <c r="Z505" s="97">
        <v>541</v>
      </c>
      <c r="AA505" s="97">
        <v>57</v>
      </c>
      <c r="AB505" s="97">
        <v>10</v>
      </c>
      <c r="AC505" s="97">
        <v>306</v>
      </c>
      <c r="AD505" s="97">
        <v>69</v>
      </c>
      <c r="AE505" s="97">
        <v>17</v>
      </c>
      <c r="AF505" s="97">
        <v>367</v>
      </c>
      <c r="AG505" s="97">
        <v>452</v>
      </c>
      <c r="AH505" s="97">
        <v>30</v>
      </c>
      <c r="AI505" s="97">
        <v>502</v>
      </c>
    </row>
    <row r="506" spans="1:35" ht="15" customHeight="1">
      <c r="A506" s="97" t="s">
        <v>584</v>
      </c>
      <c r="B506" s="97" t="s">
        <v>584</v>
      </c>
      <c r="C506" s="97" t="s">
        <v>585</v>
      </c>
      <c r="D506" s="97" t="s">
        <v>3198</v>
      </c>
      <c r="E506" s="97" t="s">
        <v>17</v>
      </c>
      <c r="F506" s="97">
        <v>101</v>
      </c>
      <c r="G506" s="97">
        <v>28</v>
      </c>
      <c r="H506" s="97">
        <v>481</v>
      </c>
      <c r="I506" s="97">
        <v>80</v>
      </c>
      <c r="J506" s="97">
        <v>23</v>
      </c>
      <c r="K506" s="97">
        <v>325</v>
      </c>
      <c r="L506" s="97">
        <v>82</v>
      </c>
      <c r="M506" s="97">
        <v>43</v>
      </c>
      <c r="N506" s="97">
        <v>667</v>
      </c>
      <c r="O506" s="97">
        <v>51</v>
      </c>
      <c r="P506" s="97">
        <v>50</v>
      </c>
      <c r="Q506" s="97">
        <v>771</v>
      </c>
      <c r="R506" s="97">
        <v>54</v>
      </c>
      <c r="S506" s="97">
        <v>30</v>
      </c>
      <c r="T506" s="97">
        <v>494</v>
      </c>
      <c r="U506" s="97">
        <v>84</v>
      </c>
      <c r="V506" s="97">
        <v>4</v>
      </c>
      <c r="W506" s="97">
        <v>123</v>
      </c>
      <c r="X506" s="97">
        <v>67</v>
      </c>
      <c r="Y506" s="97">
        <v>38</v>
      </c>
      <c r="Z506" s="97">
        <v>570</v>
      </c>
      <c r="AA506" s="97">
        <v>52</v>
      </c>
      <c r="AB506" s="97">
        <v>34</v>
      </c>
      <c r="AC506" s="97">
        <v>509</v>
      </c>
      <c r="AD506" s="97">
        <v>64</v>
      </c>
      <c r="AE506" s="97">
        <v>43</v>
      </c>
      <c r="AF506" s="97">
        <v>586</v>
      </c>
      <c r="AG506" s="97">
        <v>452</v>
      </c>
      <c r="AH506" s="97">
        <v>30</v>
      </c>
      <c r="AI506" s="97">
        <v>502</v>
      </c>
    </row>
    <row r="507" spans="1:35" ht="15" customHeight="1">
      <c r="A507" s="97" t="s">
        <v>383</v>
      </c>
      <c r="B507" s="97" t="s">
        <v>383</v>
      </c>
      <c r="C507" s="97" t="s">
        <v>133</v>
      </c>
      <c r="D507" s="97" t="s">
        <v>3198</v>
      </c>
      <c r="E507" s="97" t="s">
        <v>19</v>
      </c>
      <c r="F507" s="97">
        <v>101</v>
      </c>
      <c r="G507" s="97">
        <v>31</v>
      </c>
      <c r="H507" s="97">
        <v>481</v>
      </c>
      <c r="I507" s="97">
        <v>65</v>
      </c>
      <c r="J507" s="97">
        <v>33</v>
      </c>
      <c r="K507" s="97">
        <v>604</v>
      </c>
      <c r="L507" s="97">
        <v>78</v>
      </c>
      <c r="M507" s="97">
        <v>40</v>
      </c>
      <c r="N507" s="97">
        <v>722</v>
      </c>
      <c r="O507" s="97">
        <v>58</v>
      </c>
      <c r="P507" s="97">
        <v>36</v>
      </c>
      <c r="Q507" s="97">
        <v>649</v>
      </c>
      <c r="R507" s="97">
        <v>60</v>
      </c>
      <c r="S507" s="97">
        <v>14</v>
      </c>
      <c r="T507" s="97">
        <v>322</v>
      </c>
      <c r="U507" s="97">
        <v>90</v>
      </c>
      <c r="V507" s="97">
        <v>1</v>
      </c>
      <c r="W507" s="97">
        <v>19</v>
      </c>
      <c r="X507" s="97">
        <v>52</v>
      </c>
      <c r="Y507" s="97">
        <v>55</v>
      </c>
      <c r="Z507" s="97">
        <v>897</v>
      </c>
      <c r="AA507" s="97">
        <v>54</v>
      </c>
      <c r="AB507" s="97">
        <v>28</v>
      </c>
      <c r="AC507" s="97">
        <v>428</v>
      </c>
      <c r="AD507" s="97">
        <v>32</v>
      </c>
      <c r="AE507" s="97">
        <v>55</v>
      </c>
      <c r="AF507" s="97">
        <v>935</v>
      </c>
      <c r="AG507" s="97">
        <v>452</v>
      </c>
      <c r="AH507" s="97">
        <v>24</v>
      </c>
      <c r="AI507" s="97">
        <v>502</v>
      </c>
    </row>
    <row r="508" spans="1:35" ht="15" customHeight="1">
      <c r="A508" s="97" t="s">
        <v>285</v>
      </c>
      <c r="B508" s="97" t="s">
        <v>285</v>
      </c>
      <c r="C508" s="97" t="s">
        <v>286</v>
      </c>
      <c r="D508" s="97" t="s">
        <v>3198</v>
      </c>
      <c r="E508" s="97" t="s">
        <v>28</v>
      </c>
      <c r="F508" s="97">
        <v>99</v>
      </c>
      <c r="G508" s="97">
        <v>37</v>
      </c>
      <c r="H508" s="97">
        <v>571</v>
      </c>
      <c r="I508" s="97">
        <v>68</v>
      </c>
      <c r="J508" s="97">
        <v>31</v>
      </c>
      <c r="K508" s="97">
        <v>540</v>
      </c>
      <c r="L508" s="97">
        <v>89.5</v>
      </c>
      <c r="M508" s="97">
        <v>30</v>
      </c>
      <c r="N508" s="97">
        <v>493</v>
      </c>
      <c r="O508" s="97">
        <v>74</v>
      </c>
      <c r="P508" s="97">
        <v>16</v>
      </c>
      <c r="Q508" s="97">
        <v>317</v>
      </c>
      <c r="R508" s="97">
        <v>53</v>
      </c>
      <c r="S508" s="97">
        <v>27</v>
      </c>
      <c r="T508" s="97">
        <v>526</v>
      </c>
      <c r="U508" s="97">
        <v>68</v>
      </c>
      <c r="V508" s="97">
        <v>29</v>
      </c>
      <c r="W508" s="97">
        <v>555</v>
      </c>
      <c r="X508" s="97">
        <v>70</v>
      </c>
      <c r="Y508" s="97">
        <v>25</v>
      </c>
      <c r="Z508" s="97">
        <v>473</v>
      </c>
      <c r="AA508" s="97">
        <v>52</v>
      </c>
      <c r="AB508" s="97">
        <v>35</v>
      </c>
      <c r="AC508" s="97">
        <v>509</v>
      </c>
      <c r="AD508" s="97">
        <v>62</v>
      </c>
      <c r="AE508" s="97">
        <v>45</v>
      </c>
      <c r="AF508" s="97">
        <v>672</v>
      </c>
      <c r="AG508" s="97">
        <v>451.5</v>
      </c>
      <c r="AH508" s="97">
        <v>28</v>
      </c>
      <c r="AI508" s="97">
        <v>505</v>
      </c>
    </row>
    <row r="509" spans="1:35" ht="15" customHeight="1">
      <c r="A509" s="97" t="s">
        <v>721</v>
      </c>
      <c r="B509" s="97" t="s">
        <v>721</v>
      </c>
      <c r="C509" s="97" t="s">
        <v>722</v>
      </c>
      <c r="D509" s="97" t="s">
        <v>3198</v>
      </c>
      <c r="E509" s="97" t="s">
        <v>117</v>
      </c>
      <c r="F509" s="97">
        <v>104</v>
      </c>
      <c r="G509" s="97">
        <v>16</v>
      </c>
      <c r="H509" s="97">
        <v>357</v>
      </c>
      <c r="I509" s="97">
        <v>81</v>
      </c>
      <c r="J509" s="97">
        <v>16</v>
      </c>
      <c r="K509" s="97">
        <v>309</v>
      </c>
      <c r="L509" s="97">
        <v>93.5</v>
      </c>
      <c r="M509" s="97">
        <v>20</v>
      </c>
      <c r="N509" s="97">
        <v>393</v>
      </c>
      <c r="O509" s="97">
        <v>55</v>
      </c>
      <c r="P509" s="97">
        <v>41</v>
      </c>
      <c r="Q509" s="97">
        <v>694</v>
      </c>
      <c r="R509" s="97">
        <v>53</v>
      </c>
      <c r="S509" s="97">
        <v>29</v>
      </c>
      <c r="T509" s="97">
        <v>526</v>
      </c>
      <c r="U509" s="97">
        <v>65</v>
      </c>
      <c r="V509" s="97">
        <v>35</v>
      </c>
      <c r="W509" s="97">
        <v>643</v>
      </c>
      <c r="X509" s="97">
        <v>63</v>
      </c>
      <c r="Y509" s="97">
        <v>44</v>
      </c>
      <c r="Z509" s="97">
        <v>712</v>
      </c>
      <c r="AA509" s="97">
        <v>58</v>
      </c>
      <c r="AB509" s="97">
        <v>14</v>
      </c>
      <c r="AC509" s="97">
        <v>278</v>
      </c>
      <c r="AD509" s="97">
        <v>70</v>
      </c>
      <c r="AE509" s="97">
        <v>22</v>
      </c>
      <c r="AF509" s="97">
        <v>327</v>
      </c>
      <c r="AG509" s="97">
        <v>451.5</v>
      </c>
      <c r="AH509" s="97">
        <v>29</v>
      </c>
      <c r="AI509" s="97">
        <v>505</v>
      </c>
    </row>
    <row r="510" spans="1:35" ht="15" customHeight="1">
      <c r="A510" s="97" t="s">
        <v>2200</v>
      </c>
      <c r="B510" s="97" t="s">
        <v>2200</v>
      </c>
      <c r="C510" s="97" t="s">
        <v>2201</v>
      </c>
      <c r="D510" s="97" t="s">
        <v>3198</v>
      </c>
      <c r="E510" s="97" t="s">
        <v>73</v>
      </c>
      <c r="F510" s="97">
        <v>113</v>
      </c>
      <c r="G510" s="97">
        <v>4</v>
      </c>
      <c r="H510" s="97">
        <v>95</v>
      </c>
      <c r="I510" s="97">
        <v>60</v>
      </c>
      <c r="J510" s="97">
        <v>37</v>
      </c>
      <c r="K510" s="97">
        <v>696</v>
      </c>
      <c r="L510" s="97">
        <v>112.5</v>
      </c>
      <c r="M510" s="97">
        <v>3</v>
      </c>
      <c r="N510" s="97">
        <v>77</v>
      </c>
      <c r="O510" s="97">
        <v>62</v>
      </c>
      <c r="P510" s="97">
        <v>30</v>
      </c>
      <c r="Q510" s="97">
        <v>564</v>
      </c>
      <c r="R510" s="97">
        <v>48</v>
      </c>
      <c r="S510" s="97">
        <v>38</v>
      </c>
      <c r="T510" s="97">
        <v>649</v>
      </c>
      <c r="U510" s="97">
        <v>56</v>
      </c>
      <c r="V510" s="97">
        <v>47</v>
      </c>
      <c r="W510" s="97">
        <v>816</v>
      </c>
      <c r="X510" s="97">
        <v>64</v>
      </c>
      <c r="Y510" s="97">
        <v>36</v>
      </c>
      <c r="Z510" s="97">
        <v>680</v>
      </c>
      <c r="AA510" s="97">
        <v>43</v>
      </c>
      <c r="AB510" s="97">
        <v>51</v>
      </c>
      <c r="AC510" s="97">
        <v>824</v>
      </c>
      <c r="AD510" s="97">
        <v>69</v>
      </c>
      <c r="AE510" s="97">
        <v>23</v>
      </c>
      <c r="AF510" s="97">
        <v>367</v>
      </c>
      <c r="AG510" s="97">
        <v>451.5</v>
      </c>
      <c r="AH510" s="97">
        <v>27</v>
      </c>
      <c r="AI510" s="97">
        <v>505</v>
      </c>
    </row>
    <row r="511" spans="1:35" ht="15" customHeight="1">
      <c r="A511" s="97" t="s">
        <v>302</v>
      </c>
      <c r="B511" s="97" t="s">
        <v>302</v>
      </c>
      <c r="C511" s="97" t="s">
        <v>303</v>
      </c>
      <c r="D511" s="97" t="s">
        <v>3198</v>
      </c>
      <c r="E511" s="97" t="s">
        <v>28</v>
      </c>
      <c r="F511" s="97">
        <v>101</v>
      </c>
      <c r="G511" s="97">
        <v>27</v>
      </c>
      <c r="H511" s="97">
        <v>481</v>
      </c>
      <c r="I511" s="97">
        <v>86</v>
      </c>
      <c r="J511" s="97">
        <v>10</v>
      </c>
      <c r="K511" s="97">
        <v>233</v>
      </c>
      <c r="L511" s="97">
        <v>96</v>
      </c>
      <c r="M511" s="97">
        <v>21</v>
      </c>
      <c r="N511" s="97">
        <v>346</v>
      </c>
      <c r="O511" s="97">
        <v>64</v>
      </c>
      <c r="P511" s="97">
        <v>31</v>
      </c>
      <c r="Q511" s="97">
        <v>517</v>
      </c>
      <c r="R511" s="97">
        <v>42</v>
      </c>
      <c r="S511" s="97">
        <v>42</v>
      </c>
      <c r="T511" s="97">
        <v>774</v>
      </c>
      <c r="U511" s="97">
        <v>62</v>
      </c>
      <c r="V511" s="97">
        <v>40</v>
      </c>
      <c r="W511" s="97">
        <v>716</v>
      </c>
      <c r="X511" s="97">
        <v>78</v>
      </c>
      <c r="Y511" s="97">
        <v>9</v>
      </c>
      <c r="Z511" s="97">
        <v>209</v>
      </c>
      <c r="AA511" s="97">
        <v>52</v>
      </c>
      <c r="AB511" s="97">
        <v>35</v>
      </c>
      <c r="AC511" s="97">
        <v>509</v>
      </c>
      <c r="AD511" s="97">
        <v>72</v>
      </c>
      <c r="AE511" s="97">
        <v>13</v>
      </c>
      <c r="AF511" s="97">
        <v>256</v>
      </c>
      <c r="AG511" s="97">
        <v>451</v>
      </c>
      <c r="AH511" s="97">
        <v>29</v>
      </c>
      <c r="AI511" s="97">
        <v>508</v>
      </c>
    </row>
    <row r="512" spans="1:35" ht="15" customHeight="1">
      <c r="A512" s="97" t="s">
        <v>1225</v>
      </c>
      <c r="B512" s="97" t="s">
        <v>1225</v>
      </c>
      <c r="C512" s="97" t="s">
        <v>1226</v>
      </c>
      <c r="D512" s="97" t="s">
        <v>3198</v>
      </c>
      <c r="E512" s="97" t="s">
        <v>54</v>
      </c>
      <c r="F512" s="97">
        <v>97</v>
      </c>
      <c r="G512" s="97">
        <v>36</v>
      </c>
      <c r="H512" s="97">
        <v>645</v>
      </c>
      <c r="I512" s="97">
        <v>81</v>
      </c>
      <c r="J512" s="97">
        <v>14</v>
      </c>
      <c r="K512" s="97">
        <v>309</v>
      </c>
      <c r="L512" s="97">
        <v>96</v>
      </c>
      <c r="M512" s="97">
        <v>13</v>
      </c>
      <c r="N512" s="97">
        <v>346</v>
      </c>
      <c r="O512" s="97">
        <v>51</v>
      </c>
      <c r="P512" s="97">
        <v>41</v>
      </c>
      <c r="Q512" s="97">
        <v>771</v>
      </c>
      <c r="R512" s="97">
        <v>56</v>
      </c>
      <c r="S512" s="97">
        <v>28</v>
      </c>
      <c r="T512" s="97">
        <v>433</v>
      </c>
      <c r="U512" s="97">
        <v>70</v>
      </c>
      <c r="V512" s="97">
        <v>33</v>
      </c>
      <c r="W512" s="97">
        <v>485</v>
      </c>
      <c r="X512" s="97">
        <v>89</v>
      </c>
      <c r="Y512" s="97">
        <v>1</v>
      </c>
      <c r="Z512" s="97">
        <v>8</v>
      </c>
      <c r="AA512" s="97">
        <v>56</v>
      </c>
      <c r="AB512" s="97">
        <v>13</v>
      </c>
      <c r="AC512" s="97">
        <v>352</v>
      </c>
      <c r="AD512" s="97">
        <v>66</v>
      </c>
      <c r="AE512" s="97">
        <v>29</v>
      </c>
      <c r="AF512" s="97">
        <v>511</v>
      </c>
      <c r="AG512" s="97">
        <v>451</v>
      </c>
      <c r="AH512" s="97">
        <v>30</v>
      </c>
      <c r="AI512" s="97">
        <v>508</v>
      </c>
    </row>
    <row r="513" spans="1:35" ht="15" customHeight="1">
      <c r="A513" s="97" t="s">
        <v>1408</v>
      </c>
      <c r="B513" s="97" t="s">
        <v>1408</v>
      </c>
      <c r="C513" s="97" t="s">
        <v>1409</v>
      </c>
      <c r="D513" s="97" t="s">
        <v>3198</v>
      </c>
      <c r="E513" s="97" t="s">
        <v>56</v>
      </c>
      <c r="F513" s="97">
        <v>92</v>
      </c>
      <c r="G513" s="97">
        <v>42</v>
      </c>
      <c r="H513" s="97">
        <v>779</v>
      </c>
      <c r="I513" s="97">
        <v>66</v>
      </c>
      <c r="J513" s="97">
        <v>26</v>
      </c>
      <c r="K513" s="97">
        <v>584</v>
      </c>
      <c r="L513" s="97">
        <v>87.5</v>
      </c>
      <c r="M513" s="97">
        <v>29</v>
      </c>
      <c r="N513" s="97">
        <v>541</v>
      </c>
      <c r="O513" s="97">
        <v>69</v>
      </c>
      <c r="P513" s="97">
        <v>23</v>
      </c>
      <c r="Q513" s="97">
        <v>428</v>
      </c>
      <c r="R513" s="97">
        <v>54</v>
      </c>
      <c r="S513" s="97">
        <v>26</v>
      </c>
      <c r="T513" s="97">
        <v>494</v>
      </c>
      <c r="U513" s="97">
        <v>82</v>
      </c>
      <c r="V513" s="97">
        <v>13</v>
      </c>
      <c r="W513" s="97">
        <v>166</v>
      </c>
      <c r="X513" s="97">
        <v>57</v>
      </c>
      <c r="Y513" s="97">
        <v>53</v>
      </c>
      <c r="Z513" s="97">
        <v>838</v>
      </c>
      <c r="AA513" s="97">
        <v>48</v>
      </c>
      <c r="AB513" s="97">
        <v>33</v>
      </c>
      <c r="AC513" s="97">
        <v>671</v>
      </c>
      <c r="AD513" s="97">
        <v>64</v>
      </c>
      <c r="AE513" s="97">
        <v>33</v>
      </c>
      <c r="AF513" s="97">
        <v>586</v>
      </c>
      <c r="AG513" s="97">
        <v>450.5</v>
      </c>
      <c r="AH513" s="97">
        <v>27</v>
      </c>
      <c r="AI513" s="97">
        <v>510</v>
      </c>
    </row>
    <row r="514" spans="1:35" ht="15" customHeight="1">
      <c r="A514" s="97" t="s">
        <v>265</v>
      </c>
      <c r="B514" s="97" t="s">
        <v>265</v>
      </c>
      <c r="C514" s="97" t="s">
        <v>266</v>
      </c>
      <c r="D514" s="97" t="s">
        <v>3198</v>
      </c>
      <c r="E514" s="97" t="s">
        <v>28</v>
      </c>
      <c r="F514" s="97">
        <v>102</v>
      </c>
      <c r="G514" s="97">
        <v>25</v>
      </c>
      <c r="H514" s="97">
        <v>442</v>
      </c>
      <c r="I514" s="97">
        <v>71</v>
      </c>
      <c r="J514" s="97">
        <v>27</v>
      </c>
      <c r="K514" s="97">
        <v>475</v>
      </c>
      <c r="L514" s="97">
        <v>86.5</v>
      </c>
      <c r="M514" s="97">
        <v>33</v>
      </c>
      <c r="N514" s="97">
        <v>565</v>
      </c>
      <c r="O514" s="97">
        <v>69</v>
      </c>
      <c r="P514" s="97">
        <v>27</v>
      </c>
      <c r="Q514" s="97">
        <v>428</v>
      </c>
      <c r="R514" s="97">
        <v>58</v>
      </c>
      <c r="S514" s="97">
        <v>16</v>
      </c>
      <c r="T514" s="97">
        <v>377</v>
      </c>
      <c r="U514" s="97">
        <v>64</v>
      </c>
      <c r="V514" s="97">
        <v>36</v>
      </c>
      <c r="W514" s="97">
        <v>667</v>
      </c>
      <c r="X514" s="97">
        <v>65</v>
      </c>
      <c r="Y514" s="97">
        <v>38</v>
      </c>
      <c r="Z514" s="97">
        <v>651</v>
      </c>
      <c r="AA514" s="97">
        <v>47</v>
      </c>
      <c r="AB514" s="97">
        <v>49</v>
      </c>
      <c r="AC514" s="97">
        <v>719</v>
      </c>
      <c r="AD514" s="97">
        <v>56</v>
      </c>
      <c r="AE514" s="97">
        <v>53</v>
      </c>
      <c r="AF514" s="97">
        <v>817</v>
      </c>
      <c r="AG514" s="97">
        <v>450.5</v>
      </c>
      <c r="AH514" s="97">
        <v>30</v>
      </c>
      <c r="AI514" s="97">
        <v>510</v>
      </c>
    </row>
    <row r="515" spans="1:35" ht="15" customHeight="1">
      <c r="A515" s="97" t="s">
        <v>2414</v>
      </c>
      <c r="B515" s="97" t="s">
        <v>2414</v>
      </c>
      <c r="C515" s="97" t="s">
        <v>2421</v>
      </c>
      <c r="D515" s="97" t="s">
        <v>3198</v>
      </c>
      <c r="E515" s="97" t="s">
        <v>7</v>
      </c>
      <c r="F515" s="97">
        <v>95</v>
      </c>
      <c r="G515" s="97">
        <v>41</v>
      </c>
      <c r="H515" s="97">
        <v>710</v>
      </c>
      <c r="I515" s="97">
        <v>75</v>
      </c>
      <c r="J515" s="97">
        <v>14</v>
      </c>
      <c r="K515" s="97">
        <v>409</v>
      </c>
      <c r="L515" s="97">
        <v>80.5</v>
      </c>
      <c r="M515" s="97">
        <v>39</v>
      </c>
      <c r="N515" s="97">
        <v>687</v>
      </c>
      <c r="O515" s="97">
        <v>76</v>
      </c>
      <c r="P515" s="97">
        <v>12</v>
      </c>
      <c r="Q515" s="97">
        <v>287</v>
      </c>
      <c r="R515" s="97">
        <v>54</v>
      </c>
      <c r="S515" s="97">
        <v>20</v>
      </c>
      <c r="T515" s="97">
        <v>494</v>
      </c>
      <c r="U515" s="97">
        <v>70</v>
      </c>
      <c r="V515" s="97">
        <v>25</v>
      </c>
      <c r="W515" s="97">
        <v>485</v>
      </c>
      <c r="X515" s="97">
        <v>80</v>
      </c>
      <c r="Y515" s="97">
        <v>22</v>
      </c>
      <c r="Z515" s="97">
        <v>151</v>
      </c>
      <c r="AA515" s="97">
        <v>58</v>
      </c>
      <c r="AB515" s="97">
        <v>15</v>
      </c>
      <c r="AC515" s="97">
        <v>278</v>
      </c>
      <c r="AD515" s="97">
        <v>54</v>
      </c>
      <c r="AE515" s="97">
        <v>47</v>
      </c>
      <c r="AF515" s="97">
        <v>855</v>
      </c>
      <c r="AG515" s="97">
        <v>450.5</v>
      </c>
      <c r="AH515" s="97">
        <v>21</v>
      </c>
      <c r="AI515" s="97">
        <v>510</v>
      </c>
    </row>
    <row r="516" spans="1:35" ht="15" customHeight="1">
      <c r="A516" s="97" t="s">
        <v>2370</v>
      </c>
      <c r="B516" s="97" t="s">
        <v>2370</v>
      </c>
      <c r="C516" s="97" t="s">
        <v>2380</v>
      </c>
      <c r="D516" s="97" t="s">
        <v>3198</v>
      </c>
      <c r="E516" s="97" t="s">
        <v>7</v>
      </c>
      <c r="F516" s="97">
        <v>108</v>
      </c>
      <c r="G516" s="97">
        <v>11</v>
      </c>
      <c r="H516" s="97">
        <v>212</v>
      </c>
      <c r="I516" s="97">
        <v>65</v>
      </c>
      <c r="J516" s="97">
        <v>23</v>
      </c>
      <c r="K516" s="97">
        <v>604</v>
      </c>
      <c r="L516" s="97">
        <v>74</v>
      </c>
      <c r="M516" s="97">
        <v>46</v>
      </c>
      <c r="N516" s="97">
        <v>791</v>
      </c>
      <c r="O516" s="97">
        <v>78</v>
      </c>
      <c r="P516" s="97">
        <v>9</v>
      </c>
      <c r="Q516" s="97">
        <v>250</v>
      </c>
      <c r="R516" s="97">
        <v>50</v>
      </c>
      <c r="S516" s="97">
        <v>28</v>
      </c>
      <c r="T516" s="97">
        <v>599</v>
      </c>
      <c r="U516" s="97">
        <v>75</v>
      </c>
      <c r="V516" s="97">
        <v>16</v>
      </c>
      <c r="W516" s="97">
        <v>342</v>
      </c>
      <c r="X516" s="97">
        <v>71</v>
      </c>
      <c r="Y516" s="97">
        <v>41</v>
      </c>
      <c r="Z516" s="97">
        <v>439</v>
      </c>
      <c r="AA516" s="97">
        <v>55</v>
      </c>
      <c r="AB516" s="97">
        <v>28</v>
      </c>
      <c r="AC516" s="97">
        <v>392</v>
      </c>
      <c r="AD516" s="97">
        <v>73</v>
      </c>
      <c r="AE516" s="97">
        <v>7</v>
      </c>
      <c r="AF516" s="97">
        <v>216</v>
      </c>
      <c r="AG516" s="97">
        <v>450</v>
      </c>
      <c r="AH516" s="97">
        <v>22</v>
      </c>
      <c r="AI516" s="97">
        <v>513</v>
      </c>
    </row>
    <row r="517" spans="1:35" ht="15" customHeight="1">
      <c r="A517" s="97" t="s">
        <v>527</v>
      </c>
      <c r="B517" s="97" t="s">
        <v>527</v>
      </c>
      <c r="C517" s="97" t="s">
        <v>3252</v>
      </c>
      <c r="D517" s="97" t="s">
        <v>3198</v>
      </c>
      <c r="E517" s="97" t="s">
        <v>19</v>
      </c>
      <c r="F517" s="97">
        <v>110</v>
      </c>
      <c r="G517" s="97">
        <v>12</v>
      </c>
      <c r="H517" s="97">
        <v>159</v>
      </c>
      <c r="I517" s="97">
        <v>65</v>
      </c>
      <c r="J517" s="97">
        <v>33</v>
      </c>
      <c r="K517" s="97">
        <v>604</v>
      </c>
      <c r="L517" s="97">
        <v>100</v>
      </c>
      <c r="M517" s="97">
        <v>11</v>
      </c>
      <c r="N517" s="97">
        <v>258</v>
      </c>
      <c r="O517" s="97">
        <v>53</v>
      </c>
      <c r="P517" s="97">
        <v>44</v>
      </c>
      <c r="Q517" s="97">
        <v>739</v>
      </c>
      <c r="R517" s="97">
        <v>50</v>
      </c>
      <c r="S517" s="97">
        <v>31</v>
      </c>
      <c r="T517" s="97">
        <v>599</v>
      </c>
      <c r="U517" s="97">
        <v>72</v>
      </c>
      <c r="V517" s="97">
        <v>22</v>
      </c>
      <c r="W517" s="97">
        <v>433</v>
      </c>
      <c r="X517" s="97">
        <v>81</v>
      </c>
      <c r="Y517" s="97">
        <v>5</v>
      </c>
      <c r="Z517" s="97">
        <v>124</v>
      </c>
      <c r="AA517" s="97">
        <v>57</v>
      </c>
      <c r="AB517" s="97">
        <v>18</v>
      </c>
      <c r="AC517" s="97">
        <v>306</v>
      </c>
      <c r="AD517" s="97">
        <v>75</v>
      </c>
      <c r="AE517" s="97">
        <v>7</v>
      </c>
      <c r="AF517" s="97">
        <v>146</v>
      </c>
      <c r="AG517" s="97">
        <v>450</v>
      </c>
      <c r="AH517" s="97">
        <v>25</v>
      </c>
      <c r="AI517" s="97">
        <v>513</v>
      </c>
    </row>
    <row r="518" spans="1:35" ht="15" customHeight="1">
      <c r="A518" s="97" t="s">
        <v>515</v>
      </c>
      <c r="B518" s="97" t="s">
        <v>515</v>
      </c>
      <c r="C518" s="97" t="s">
        <v>525</v>
      </c>
      <c r="D518" s="97" t="s">
        <v>3198</v>
      </c>
      <c r="E518" s="97" t="s">
        <v>19</v>
      </c>
      <c r="F518" s="97">
        <v>99</v>
      </c>
      <c r="G518" s="97">
        <v>36</v>
      </c>
      <c r="H518" s="97">
        <v>571</v>
      </c>
      <c r="I518" s="97">
        <v>87</v>
      </c>
      <c r="J518" s="97">
        <v>5</v>
      </c>
      <c r="K518" s="97">
        <v>220</v>
      </c>
      <c r="L518" s="97">
        <v>72.5</v>
      </c>
      <c r="M518" s="97">
        <v>49</v>
      </c>
      <c r="N518" s="97">
        <v>813</v>
      </c>
      <c r="O518" s="97">
        <v>69</v>
      </c>
      <c r="P518" s="97">
        <v>18</v>
      </c>
      <c r="Q518" s="97">
        <v>428</v>
      </c>
      <c r="R518" s="97">
        <v>62</v>
      </c>
      <c r="S518" s="97">
        <v>12</v>
      </c>
      <c r="T518" s="97">
        <v>277</v>
      </c>
      <c r="U518" s="97">
        <v>60</v>
      </c>
      <c r="V518" s="97">
        <v>43</v>
      </c>
      <c r="W518" s="97">
        <v>748</v>
      </c>
      <c r="X518" s="97">
        <v>75</v>
      </c>
      <c r="Y518" s="97">
        <v>14</v>
      </c>
      <c r="Z518" s="97">
        <v>289</v>
      </c>
      <c r="AA518" s="97">
        <v>51</v>
      </c>
      <c r="AB518" s="97">
        <v>32</v>
      </c>
      <c r="AC518" s="97">
        <v>555</v>
      </c>
      <c r="AD518" s="97">
        <v>64</v>
      </c>
      <c r="AE518" s="97">
        <v>34</v>
      </c>
      <c r="AF518" s="97">
        <v>586</v>
      </c>
      <c r="AG518" s="97">
        <v>449.5</v>
      </c>
      <c r="AH518" s="97">
        <v>26</v>
      </c>
      <c r="AI518" s="97">
        <v>515</v>
      </c>
    </row>
    <row r="519" spans="1:35" ht="15" customHeight="1">
      <c r="A519" s="97" t="s">
        <v>452</v>
      </c>
      <c r="B519" s="97" t="s">
        <v>452</v>
      </c>
      <c r="C519" s="97" t="s">
        <v>456</v>
      </c>
      <c r="D519" s="97" t="s">
        <v>3198</v>
      </c>
      <c r="E519" s="97" t="s">
        <v>19</v>
      </c>
      <c r="F519" s="97">
        <v>112</v>
      </c>
      <c r="G519" s="97">
        <v>8</v>
      </c>
      <c r="H519" s="97">
        <v>114</v>
      </c>
      <c r="I519" s="97">
        <v>56</v>
      </c>
      <c r="J519" s="97">
        <v>43</v>
      </c>
      <c r="K519" s="97">
        <v>755</v>
      </c>
      <c r="L519" s="97">
        <v>84.5</v>
      </c>
      <c r="M519" s="97">
        <v>28</v>
      </c>
      <c r="N519" s="97">
        <v>606</v>
      </c>
      <c r="O519" s="97">
        <v>63</v>
      </c>
      <c r="P519" s="97">
        <v>27</v>
      </c>
      <c r="Q519" s="97">
        <v>540</v>
      </c>
      <c r="R519" s="97">
        <v>58</v>
      </c>
      <c r="S519" s="97">
        <v>17</v>
      </c>
      <c r="T519" s="97">
        <v>377</v>
      </c>
      <c r="U519" s="97">
        <v>76</v>
      </c>
      <c r="V519" s="97">
        <v>11</v>
      </c>
      <c r="W519" s="97">
        <v>308</v>
      </c>
      <c r="X519" s="97">
        <v>88</v>
      </c>
      <c r="Y519" s="97">
        <v>1</v>
      </c>
      <c r="Z519" s="97">
        <v>15</v>
      </c>
      <c r="AA519" s="97">
        <v>56</v>
      </c>
      <c r="AB519" s="97">
        <v>22</v>
      </c>
      <c r="AC519" s="97">
        <v>352</v>
      </c>
      <c r="AD519" s="97">
        <v>68</v>
      </c>
      <c r="AE519" s="97">
        <v>21</v>
      </c>
      <c r="AF519" s="97">
        <v>412</v>
      </c>
      <c r="AG519" s="97">
        <v>449.5</v>
      </c>
      <c r="AH519" s="97">
        <v>26</v>
      </c>
      <c r="AI519" s="97">
        <v>515</v>
      </c>
    </row>
    <row r="520" spans="1:35" ht="15" customHeight="1">
      <c r="A520" s="97" t="s">
        <v>2536</v>
      </c>
      <c r="B520" s="97" t="s">
        <v>2536</v>
      </c>
      <c r="C520" s="97" t="s">
        <v>2537</v>
      </c>
      <c r="D520" s="97" t="s">
        <v>3198</v>
      </c>
      <c r="E520" s="97" t="s">
        <v>131</v>
      </c>
      <c r="F520" s="97">
        <v>83</v>
      </c>
      <c r="G520" s="97">
        <v>48</v>
      </c>
      <c r="H520" s="97">
        <v>897</v>
      </c>
      <c r="I520" s="97">
        <v>67</v>
      </c>
      <c r="J520" s="97">
        <v>38</v>
      </c>
      <c r="K520" s="97">
        <v>565</v>
      </c>
      <c r="L520" s="97">
        <v>84.5</v>
      </c>
      <c r="M520" s="97">
        <v>32</v>
      </c>
      <c r="N520" s="97">
        <v>606</v>
      </c>
      <c r="O520" s="97">
        <v>89</v>
      </c>
      <c r="P520" s="97">
        <v>5</v>
      </c>
      <c r="Q520" s="97">
        <v>97</v>
      </c>
      <c r="R520" s="97">
        <v>67</v>
      </c>
      <c r="S520" s="97">
        <v>4</v>
      </c>
      <c r="T520" s="97">
        <v>177</v>
      </c>
      <c r="U520" s="97">
        <v>59</v>
      </c>
      <c r="V520" s="97">
        <v>41</v>
      </c>
      <c r="W520" s="97">
        <v>762</v>
      </c>
      <c r="X520" s="97">
        <v>62</v>
      </c>
      <c r="Y520" s="97">
        <v>40</v>
      </c>
      <c r="Z520" s="97">
        <v>729</v>
      </c>
      <c r="AA520" s="97">
        <v>60</v>
      </c>
      <c r="AB520" s="97">
        <v>20</v>
      </c>
      <c r="AC520" s="97">
        <v>203</v>
      </c>
      <c r="AD520" s="97">
        <v>55</v>
      </c>
      <c r="AE520" s="97">
        <v>54</v>
      </c>
      <c r="AF520" s="97">
        <v>835</v>
      </c>
      <c r="AG520" s="97">
        <v>449.5</v>
      </c>
      <c r="AH520" s="97">
        <v>27</v>
      </c>
      <c r="AI520" s="97">
        <v>515</v>
      </c>
    </row>
    <row r="521" spans="1:35" ht="15" customHeight="1">
      <c r="A521" s="97" t="s">
        <v>2220</v>
      </c>
      <c r="B521" s="97" t="s">
        <v>2220</v>
      </c>
      <c r="C521" s="97" t="s">
        <v>2221</v>
      </c>
      <c r="D521" s="97" t="s">
        <v>3198</v>
      </c>
      <c r="E521" s="97" t="s">
        <v>73</v>
      </c>
      <c r="F521" s="97">
        <v>110</v>
      </c>
      <c r="G521" s="97">
        <v>6</v>
      </c>
      <c r="H521" s="97">
        <v>159</v>
      </c>
      <c r="I521" s="97">
        <v>73</v>
      </c>
      <c r="J521" s="97">
        <v>16</v>
      </c>
      <c r="K521" s="97">
        <v>438</v>
      </c>
      <c r="L521" s="97">
        <v>86.5</v>
      </c>
      <c r="M521" s="97">
        <v>35</v>
      </c>
      <c r="N521" s="97">
        <v>565</v>
      </c>
      <c r="O521" s="97">
        <v>53</v>
      </c>
      <c r="P521" s="97">
        <v>39</v>
      </c>
      <c r="Q521" s="97">
        <v>739</v>
      </c>
      <c r="R521" s="97">
        <v>59</v>
      </c>
      <c r="S521" s="97">
        <v>16</v>
      </c>
      <c r="T521" s="97">
        <v>348</v>
      </c>
      <c r="U521" s="97">
        <v>68</v>
      </c>
      <c r="V521" s="97">
        <v>27</v>
      </c>
      <c r="W521" s="97">
        <v>555</v>
      </c>
      <c r="X521" s="97">
        <v>65</v>
      </c>
      <c r="Y521" s="97">
        <v>33</v>
      </c>
      <c r="Z521" s="97">
        <v>651</v>
      </c>
      <c r="AA521" s="97">
        <v>50</v>
      </c>
      <c r="AB521" s="97">
        <v>38</v>
      </c>
      <c r="AC521" s="97">
        <v>591</v>
      </c>
      <c r="AD521" s="97">
        <v>69</v>
      </c>
      <c r="AE521" s="97">
        <v>23</v>
      </c>
      <c r="AF521" s="97">
        <v>367</v>
      </c>
      <c r="AG521" s="97">
        <v>449.5</v>
      </c>
      <c r="AH521" s="97">
        <v>28</v>
      </c>
      <c r="AI521" s="97">
        <v>515</v>
      </c>
    </row>
    <row r="522" spans="1:35" ht="15" customHeight="1">
      <c r="A522" s="97" t="s">
        <v>2243</v>
      </c>
      <c r="B522" s="97" t="s">
        <v>2243</v>
      </c>
      <c r="C522" s="97" t="s">
        <v>2244</v>
      </c>
      <c r="D522" s="97" t="s">
        <v>3198</v>
      </c>
      <c r="E522" s="97" t="s">
        <v>73</v>
      </c>
      <c r="F522" s="97">
        <v>108</v>
      </c>
      <c r="G522" s="97">
        <v>9</v>
      </c>
      <c r="H522" s="97">
        <v>212</v>
      </c>
      <c r="I522" s="97">
        <v>60</v>
      </c>
      <c r="J522" s="97">
        <v>37</v>
      </c>
      <c r="K522" s="97">
        <v>696</v>
      </c>
      <c r="L522" s="97">
        <v>86.5</v>
      </c>
      <c r="M522" s="97">
        <v>35</v>
      </c>
      <c r="N522" s="97">
        <v>565</v>
      </c>
      <c r="O522" s="97">
        <v>71</v>
      </c>
      <c r="P522" s="97">
        <v>17</v>
      </c>
      <c r="Q522" s="97">
        <v>378</v>
      </c>
      <c r="R522" s="97">
        <v>51</v>
      </c>
      <c r="S522" s="97">
        <v>31</v>
      </c>
      <c r="T522" s="97">
        <v>571</v>
      </c>
      <c r="U522" s="97">
        <v>73</v>
      </c>
      <c r="V522" s="97">
        <v>17</v>
      </c>
      <c r="W522" s="97">
        <v>393</v>
      </c>
      <c r="X522" s="97">
        <v>67</v>
      </c>
      <c r="Y522" s="97">
        <v>28</v>
      </c>
      <c r="Z522" s="97">
        <v>570</v>
      </c>
      <c r="AA522" s="97">
        <v>54</v>
      </c>
      <c r="AB522" s="97">
        <v>26</v>
      </c>
      <c r="AC522" s="97">
        <v>428</v>
      </c>
      <c r="AD522" s="97">
        <v>72</v>
      </c>
      <c r="AE522" s="97">
        <v>13</v>
      </c>
      <c r="AF522" s="97">
        <v>256</v>
      </c>
      <c r="AG522" s="97">
        <v>449.5</v>
      </c>
      <c r="AH522" s="97">
        <v>28</v>
      </c>
      <c r="AI522" s="97">
        <v>515</v>
      </c>
    </row>
    <row r="523" spans="1:35" ht="15" customHeight="1">
      <c r="A523" s="97" t="s">
        <v>2791</v>
      </c>
      <c r="B523" s="97" t="s">
        <v>2791</v>
      </c>
      <c r="C523" s="97" t="s">
        <v>2792</v>
      </c>
      <c r="D523" s="97" t="s">
        <v>3198</v>
      </c>
      <c r="E523" s="97" t="s">
        <v>38</v>
      </c>
      <c r="F523" s="97">
        <v>101</v>
      </c>
      <c r="G523" s="97">
        <v>27</v>
      </c>
      <c r="H523" s="97">
        <v>481</v>
      </c>
      <c r="I523" s="97">
        <v>60</v>
      </c>
      <c r="J523" s="97">
        <v>40</v>
      </c>
      <c r="K523" s="97">
        <v>696</v>
      </c>
      <c r="L523" s="97">
        <v>91.5</v>
      </c>
      <c r="M523" s="97">
        <v>27</v>
      </c>
      <c r="N523" s="97">
        <v>443</v>
      </c>
      <c r="O523" s="97">
        <v>74</v>
      </c>
      <c r="P523" s="97">
        <v>11</v>
      </c>
      <c r="Q523" s="97">
        <v>317</v>
      </c>
      <c r="R523" s="97">
        <v>51</v>
      </c>
      <c r="S523" s="97">
        <v>26</v>
      </c>
      <c r="T523" s="97">
        <v>571</v>
      </c>
      <c r="U523" s="97">
        <v>72</v>
      </c>
      <c r="V523" s="97">
        <v>21</v>
      </c>
      <c r="W523" s="97">
        <v>433</v>
      </c>
      <c r="X523" s="97">
        <v>75</v>
      </c>
      <c r="Y523" s="97">
        <v>5</v>
      </c>
      <c r="Z523" s="97">
        <v>289</v>
      </c>
      <c r="AA523" s="97">
        <v>56</v>
      </c>
      <c r="AB523" s="97">
        <v>18</v>
      </c>
      <c r="AC523" s="97">
        <v>352</v>
      </c>
      <c r="AD523" s="97">
        <v>72</v>
      </c>
      <c r="AE523" s="97">
        <v>15</v>
      </c>
      <c r="AF523" s="97">
        <v>256</v>
      </c>
      <c r="AG523" s="97">
        <v>449.5</v>
      </c>
      <c r="AH523" s="97">
        <v>23</v>
      </c>
      <c r="AI523" s="97">
        <v>515</v>
      </c>
    </row>
    <row r="524" spans="1:35" ht="15" customHeight="1">
      <c r="A524" s="97" t="s">
        <v>2303</v>
      </c>
      <c r="B524" s="97" t="s">
        <v>2303</v>
      </c>
      <c r="C524" s="97" t="s">
        <v>2304</v>
      </c>
      <c r="D524" s="97" t="s">
        <v>3198</v>
      </c>
      <c r="E524" s="97" t="s">
        <v>7</v>
      </c>
      <c r="F524" s="97">
        <v>89</v>
      </c>
      <c r="G524" s="97">
        <v>46</v>
      </c>
      <c r="H524" s="97">
        <v>835</v>
      </c>
      <c r="I524" s="97">
        <v>59</v>
      </c>
      <c r="J524" s="97">
        <v>39</v>
      </c>
      <c r="K524" s="97">
        <v>721</v>
      </c>
      <c r="L524" s="97">
        <v>66</v>
      </c>
      <c r="M524" s="97">
        <v>53</v>
      </c>
      <c r="N524" s="97">
        <v>876</v>
      </c>
      <c r="O524" s="97">
        <v>86</v>
      </c>
      <c r="P524" s="97">
        <v>5</v>
      </c>
      <c r="Q524" s="97">
        <v>126</v>
      </c>
      <c r="R524" s="97">
        <v>67</v>
      </c>
      <c r="S524" s="97">
        <v>5</v>
      </c>
      <c r="T524" s="97">
        <v>177</v>
      </c>
      <c r="U524" s="97">
        <v>82</v>
      </c>
      <c r="V524" s="97">
        <v>7</v>
      </c>
      <c r="W524" s="97">
        <v>166</v>
      </c>
      <c r="X524" s="97">
        <v>87</v>
      </c>
      <c r="Y524" s="97">
        <v>4</v>
      </c>
      <c r="Z524" s="97">
        <v>25</v>
      </c>
      <c r="AA524" s="97">
        <v>50</v>
      </c>
      <c r="AB524" s="97">
        <v>41</v>
      </c>
      <c r="AC524" s="97">
        <v>591</v>
      </c>
      <c r="AD524" s="97">
        <v>67</v>
      </c>
      <c r="AE524" s="97">
        <v>26</v>
      </c>
      <c r="AF524" s="97">
        <v>471</v>
      </c>
      <c r="AG524" s="97">
        <v>449</v>
      </c>
      <c r="AH524" s="97">
        <v>23</v>
      </c>
      <c r="AI524" s="97">
        <v>521</v>
      </c>
    </row>
    <row r="525" spans="1:35" ht="15" customHeight="1">
      <c r="A525" s="97" t="s">
        <v>804</v>
      </c>
      <c r="B525" s="97" t="s">
        <v>804</v>
      </c>
      <c r="C525" s="97" t="s">
        <v>805</v>
      </c>
      <c r="D525" s="97" t="s">
        <v>3198</v>
      </c>
      <c r="E525" s="97" t="s">
        <v>117</v>
      </c>
      <c r="F525" s="97">
        <v>98</v>
      </c>
      <c r="G525" s="97">
        <v>34</v>
      </c>
      <c r="H525" s="97">
        <v>611</v>
      </c>
      <c r="I525" s="97">
        <v>53</v>
      </c>
      <c r="J525" s="97">
        <v>48</v>
      </c>
      <c r="K525" s="97">
        <v>792</v>
      </c>
      <c r="L525" s="97">
        <v>98</v>
      </c>
      <c r="M525" s="97">
        <v>15</v>
      </c>
      <c r="N525" s="97">
        <v>294</v>
      </c>
      <c r="O525" s="97">
        <v>64</v>
      </c>
      <c r="P525" s="97">
        <v>29</v>
      </c>
      <c r="Q525" s="97">
        <v>517</v>
      </c>
      <c r="R525" s="97">
        <v>56</v>
      </c>
      <c r="S525" s="97">
        <v>21</v>
      </c>
      <c r="T525" s="97">
        <v>433</v>
      </c>
      <c r="U525" s="97">
        <v>80</v>
      </c>
      <c r="V525" s="97">
        <v>7</v>
      </c>
      <c r="W525" s="97">
        <v>205</v>
      </c>
      <c r="X525" s="97">
        <v>78</v>
      </c>
      <c r="Y525" s="97">
        <v>15</v>
      </c>
      <c r="Z525" s="97">
        <v>209</v>
      </c>
      <c r="AA525" s="97">
        <v>61</v>
      </c>
      <c r="AB525" s="97">
        <v>8</v>
      </c>
      <c r="AC525" s="97">
        <v>172</v>
      </c>
      <c r="AD525" s="97">
        <v>74</v>
      </c>
      <c r="AE525" s="97">
        <v>14</v>
      </c>
      <c r="AF525" s="97">
        <v>174</v>
      </c>
      <c r="AG525" s="97">
        <v>449</v>
      </c>
      <c r="AH525" s="97">
        <v>30</v>
      </c>
      <c r="AI525" s="97">
        <v>521</v>
      </c>
    </row>
    <row r="526" spans="1:35" ht="15" customHeight="1">
      <c r="A526" s="97" t="s">
        <v>1032</v>
      </c>
      <c r="B526" s="97" t="s">
        <v>1032</v>
      </c>
      <c r="C526" s="97" t="s">
        <v>1033</v>
      </c>
      <c r="D526" s="97" t="s">
        <v>3198</v>
      </c>
      <c r="E526" s="97" t="s">
        <v>68</v>
      </c>
      <c r="F526" s="97">
        <v>99</v>
      </c>
      <c r="G526" s="97">
        <v>36</v>
      </c>
      <c r="H526" s="97">
        <v>571</v>
      </c>
      <c r="I526" s="97">
        <v>73</v>
      </c>
      <c r="J526" s="97">
        <v>31</v>
      </c>
      <c r="K526" s="97">
        <v>438</v>
      </c>
      <c r="L526" s="97">
        <v>97</v>
      </c>
      <c r="M526" s="97">
        <v>14</v>
      </c>
      <c r="N526" s="97">
        <v>327</v>
      </c>
      <c r="O526" s="97">
        <v>53</v>
      </c>
      <c r="P526" s="97">
        <v>43</v>
      </c>
      <c r="Q526" s="97">
        <v>739</v>
      </c>
      <c r="R526" s="97">
        <v>67</v>
      </c>
      <c r="S526" s="97">
        <v>7</v>
      </c>
      <c r="T526" s="97">
        <v>177</v>
      </c>
      <c r="U526" s="97">
        <v>60</v>
      </c>
      <c r="V526" s="97">
        <v>45</v>
      </c>
      <c r="W526" s="97">
        <v>748</v>
      </c>
      <c r="X526" s="97">
        <v>66</v>
      </c>
      <c r="Y526" s="97">
        <v>34</v>
      </c>
      <c r="Z526" s="97">
        <v>604</v>
      </c>
      <c r="AA526" s="97">
        <v>40</v>
      </c>
      <c r="AB526" s="97">
        <v>53</v>
      </c>
      <c r="AC526" s="97">
        <v>881</v>
      </c>
      <c r="AD526" s="97">
        <v>71</v>
      </c>
      <c r="AE526" s="97">
        <v>15</v>
      </c>
      <c r="AF526" s="97">
        <v>290</v>
      </c>
      <c r="AG526" s="97">
        <v>449</v>
      </c>
      <c r="AH526" s="97">
        <v>28</v>
      </c>
      <c r="AI526" s="97">
        <v>521</v>
      </c>
    </row>
    <row r="527" spans="1:35" ht="15" customHeight="1">
      <c r="A527" s="97" t="s">
        <v>2385</v>
      </c>
      <c r="B527" s="97" t="s">
        <v>2385</v>
      </c>
      <c r="C527" s="97" t="s">
        <v>2395</v>
      </c>
      <c r="D527" s="97" t="s">
        <v>3198</v>
      </c>
      <c r="E527" s="97" t="s">
        <v>7</v>
      </c>
      <c r="F527" s="97">
        <v>105</v>
      </c>
      <c r="G527" s="97">
        <v>17</v>
      </c>
      <c r="H527" s="97">
        <v>325</v>
      </c>
      <c r="I527" s="97">
        <v>63</v>
      </c>
      <c r="J527" s="97">
        <v>28</v>
      </c>
      <c r="K527" s="97">
        <v>642</v>
      </c>
      <c r="L527" s="97">
        <v>76.5</v>
      </c>
      <c r="M527" s="97">
        <v>43</v>
      </c>
      <c r="N527" s="97">
        <v>750</v>
      </c>
      <c r="O527" s="97">
        <v>79</v>
      </c>
      <c r="P527" s="97">
        <v>8</v>
      </c>
      <c r="Q527" s="97">
        <v>228</v>
      </c>
      <c r="R527" s="97">
        <v>55</v>
      </c>
      <c r="S527" s="97">
        <v>19</v>
      </c>
      <c r="T527" s="97">
        <v>470</v>
      </c>
      <c r="U527" s="97">
        <v>70</v>
      </c>
      <c r="V527" s="97">
        <v>25</v>
      </c>
      <c r="W527" s="97">
        <v>485</v>
      </c>
      <c r="X527" s="97">
        <v>82</v>
      </c>
      <c r="Y527" s="97">
        <v>13</v>
      </c>
      <c r="Z527" s="97">
        <v>100</v>
      </c>
      <c r="AA527" s="97">
        <v>56</v>
      </c>
      <c r="AB527" s="97">
        <v>23</v>
      </c>
      <c r="AC527" s="97">
        <v>352</v>
      </c>
      <c r="AD527" s="97">
        <v>78</v>
      </c>
      <c r="AE527" s="97">
        <v>3</v>
      </c>
      <c r="AF527" s="97">
        <v>86</v>
      </c>
      <c r="AG527" s="97">
        <v>448.5</v>
      </c>
      <c r="AH527" s="97">
        <v>24</v>
      </c>
      <c r="AI527" s="97">
        <v>524</v>
      </c>
    </row>
    <row r="528" spans="1:35" ht="15" customHeight="1">
      <c r="A528" s="97" t="s">
        <v>2186</v>
      </c>
      <c r="B528" s="97" t="s">
        <v>2186</v>
      </c>
      <c r="C528" s="97" t="s">
        <v>138</v>
      </c>
      <c r="D528" s="97" t="s">
        <v>3198</v>
      </c>
      <c r="E528" s="97" t="s">
        <v>73</v>
      </c>
      <c r="F528" s="97">
        <v>103</v>
      </c>
      <c r="G528" s="97">
        <v>21</v>
      </c>
      <c r="H528" s="97">
        <v>400</v>
      </c>
      <c r="I528" s="97">
        <v>61</v>
      </c>
      <c r="J528" s="97">
        <v>34</v>
      </c>
      <c r="K528" s="97">
        <v>678</v>
      </c>
      <c r="L528" s="97">
        <v>108.5</v>
      </c>
      <c r="M528" s="97">
        <v>6</v>
      </c>
      <c r="N528" s="97">
        <v>123</v>
      </c>
      <c r="O528" s="97">
        <v>51</v>
      </c>
      <c r="P528" s="97">
        <v>43</v>
      </c>
      <c r="Q528" s="97">
        <v>771</v>
      </c>
      <c r="R528" s="97">
        <v>57</v>
      </c>
      <c r="S528" s="97">
        <v>22</v>
      </c>
      <c r="T528" s="97">
        <v>409</v>
      </c>
      <c r="U528" s="97">
        <v>68</v>
      </c>
      <c r="V528" s="97">
        <v>27</v>
      </c>
      <c r="W528" s="97">
        <v>555</v>
      </c>
      <c r="X528" s="97">
        <v>66</v>
      </c>
      <c r="Y528" s="97">
        <v>30</v>
      </c>
      <c r="Z528" s="97">
        <v>604</v>
      </c>
      <c r="AA528" s="97">
        <v>55</v>
      </c>
      <c r="AB528" s="97">
        <v>23</v>
      </c>
      <c r="AC528" s="97">
        <v>392</v>
      </c>
      <c r="AD528" s="97">
        <v>69</v>
      </c>
      <c r="AE528" s="97">
        <v>23</v>
      </c>
      <c r="AF528" s="97">
        <v>367</v>
      </c>
      <c r="AG528" s="97">
        <v>448.5</v>
      </c>
      <c r="AH528" s="97">
        <v>30</v>
      </c>
      <c r="AI528" s="97">
        <v>524</v>
      </c>
    </row>
    <row r="529" spans="1:35" ht="15" customHeight="1">
      <c r="A529" s="97" t="s">
        <v>2846</v>
      </c>
      <c r="B529" s="97" t="s">
        <v>2846</v>
      </c>
      <c r="C529" s="97" t="s">
        <v>2847</v>
      </c>
      <c r="D529" s="97" t="s">
        <v>3198</v>
      </c>
      <c r="E529" s="97" t="s">
        <v>38</v>
      </c>
      <c r="F529" s="97">
        <v>97</v>
      </c>
      <c r="G529" s="97">
        <v>33</v>
      </c>
      <c r="H529" s="97">
        <v>645</v>
      </c>
      <c r="I529" s="97">
        <v>83</v>
      </c>
      <c r="J529" s="97">
        <v>8</v>
      </c>
      <c r="K529" s="97">
        <v>267</v>
      </c>
      <c r="L529" s="97">
        <v>82.5</v>
      </c>
      <c r="M529" s="97">
        <v>42</v>
      </c>
      <c r="N529" s="97">
        <v>657</v>
      </c>
      <c r="O529" s="97">
        <v>71</v>
      </c>
      <c r="P529" s="97">
        <v>16</v>
      </c>
      <c r="Q529" s="97">
        <v>378</v>
      </c>
      <c r="R529" s="97">
        <v>49</v>
      </c>
      <c r="S529" s="97">
        <v>28</v>
      </c>
      <c r="T529" s="97">
        <v>624</v>
      </c>
      <c r="U529" s="97">
        <v>66</v>
      </c>
      <c r="V529" s="97">
        <v>31</v>
      </c>
      <c r="W529" s="97">
        <v>611</v>
      </c>
      <c r="X529" s="97">
        <v>45</v>
      </c>
      <c r="Y529" s="97">
        <v>56</v>
      </c>
      <c r="Z529" s="97">
        <v>929</v>
      </c>
      <c r="AA529" s="97">
        <v>51</v>
      </c>
      <c r="AB529" s="97">
        <v>29</v>
      </c>
      <c r="AC529" s="97">
        <v>555</v>
      </c>
      <c r="AD529" s="97">
        <v>61</v>
      </c>
      <c r="AE529" s="97">
        <v>38</v>
      </c>
      <c r="AF529" s="97">
        <v>703</v>
      </c>
      <c r="AG529" s="97">
        <v>448.5</v>
      </c>
      <c r="AH529" s="97">
        <v>24</v>
      </c>
      <c r="AI529" s="97">
        <v>524</v>
      </c>
    </row>
    <row r="530" spans="1:35" ht="15" customHeight="1">
      <c r="A530" s="97" t="s">
        <v>482</v>
      </c>
      <c r="B530" s="97" t="s">
        <v>482</v>
      </c>
      <c r="C530" s="97" t="s">
        <v>1768</v>
      </c>
      <c r="D530" s="97" t="s">
        <v>3198</v>
      </c>
      <c r="E530" s="97" t="s">
        <v>19</v>
      </c>
      <c r="F530" s="97">
        <v>113</v>
      </c>
      <c r="G530" s="97">
        <v>6</v>
      </c>
      <c r="H530" s="97">
        <v>95</v>
      </c>
      <c r="I530" s="97">
        <v>84</v>
      </c>
      <c r="J530" s="97">
        <v>8</v>
      </c>
      <c r="K530" s="97">
        <v>251</v>
      </c>
      <c r="L530" s="97">
        <v>82</v>
      </c>
      <c r="M530" s="97">
        <v>33</v>
      </c>
      <c r="N530" s="97">
        <v>667</v>
      </c>
      <c r="O530" s="97">
        <v>65</v>
      </c>
      <c r="P530" s="97">
        <v>22</v>
      </c>
      <c r="Q530" s="97">
        <v>501</v>
      </c>
      <c r="R530" s="97">
        <v>40</v>
      </c>
      <c r="S530" s="97">
        <v>48</v>
      </c>
      <c r="T530" s="97">
        <v>811</v>
      </c>
      <c r="U530" s="97">
        <v>64</v>
      </c>
      <c r="V530" s="97">
        <v>39</v>
      </c>
      <c r="W530" s="97">
        <v>667</v>
      </c>
      <c r="X530" s="97">
        <v>57</v>
      </c>
      <c r="Y530" s="97">
        <v>48</v>
      </c>
      <c r="Z530" s="97">
        <v>838</v>
      </c>
      <c r="AA530" s="97">
        <v>46</v>
      </c>
      <c r="AB530" s="97">
        <v>46</v>
      </c>
      <c r="AC530" s="97">
        <v>755</v>
      </c>
      <c r="AD530" s="97">
        <v>54</v>
      </c>
      <c r="AE530" s="97">
        <v>49</v>
      </c>
      <c r="AF530" s="97">
        <v>855</v>
      </c>
      <c r="AG530" s="97">
        <v>448</v>
      </c>
      <c r="AH530" s="97">
        <v>28</v>
      </c>
      <c r="AI530" s="97">
        <v>527</v>
      </c>
    </row>
    <row r="531" spans="1:35" ht="15" customHeight="1">
      <c r="A531" s="97" t="s">
        <v>390</v>
      </c>
      <c r="B531" s="97" t="s">
        <v>390</v>
      </c>
      <c r="C531" s="97" t="s">
        <v>391</v>
      </c>
      <c r="D531" s="97" t="s">
        <v>3198</v>
      </c>
      <c r="E531" s="97" t="s">
        <v>19</v>
      </c>
      <c r="F531" s="97">
        <v>104</v>
      </c>
      <c r="G531" s="97">
        <v>21</v>
      </c>
      <c r="H531" s="97">
        <v>357</v>
      </c>
      <c r="I531" s="97">
        <v>87</v>
      </c>
      <c r="J531" s="97">
        <v>5</v>
      </c>
      <c r="K531" s="97">
        <v>220</v>
      </c>
      <c r="L531" s="97">
        <v>81</v>
      </c>
      <c r="M531" s="97">
        <v>35</v>
      </c>
      <c r="N531" s="97">
        <v>679</v>
      </c>
      <c r="O531" s="97">
        <v>55</v>
      </c>
      <c r="P531" s="97">
        <v>41</v>
      </c>
      <c r="Q531" s="97">
        <v>694</v>
      </c>
      <c r="R531" s="97">
        <v>47</v>
      </c>
      <c r="S531" s="97">
        <v>36</v>
      </c>
      <c r="T531" s="97">
        <v>673</v>
      </c>
      <c r="U531" s="97">
        <v>74</v>
      </c>
      <c r="V531" s="97">
        <v>17</v>
      </c>
      <c r="W531" s="97">
        <v>366</v>
      </c>
      <c r="X531" s="97">
        <v>78</v>
      </c>
      <c r="Y531" s="97">
        <v>10</v>
      </c>
      <c r="Z531" s="97">
        <v>209</v>
      </c>
      <c r="AA531" s="97">
        <v>51</v>
      </c>
      <c r="AB531" s="97">
        <v>32</v>
      </c>
      <c r="AC531" s="97">
        <v>555</v>
      </c>
      <c r="AD531" s="97">
        <v>66</v>
      </c>
      <c r="AE531" s="97">
        <v>26</v>
      </c>
      <c r="AF531" s="97">
        <v>511</v>
      </c>
      <c r="AG531" s="97">
        <v>448</v>
      </c>
      <c r="AH531" s="97">
        <v>28</v>
      </c>
      <c r="AI531" s="97">
        <v>527</v>
      </c>
    </row>
    <row r="532" spans="1:35" ht="15" customHeight="1">
      <c r="A532" s="97" t="s">
        <v>2030</v>
      </c>
      <c r="B532" s="97" t="s">
        <v>2030</v>
      </c>
      <c r="C532" s="97" t="s">
        <v>2031</v>
      </c>
      <c r="D532" s="97" t="s">
        <v>3198</v>
      </c>
      <c r="E532" s="97" t="s">
        <v>109</v>
      </c>
      <c r="F532" s="97">
        <v>106</v>
      </c>
      <c r="G532" s="97">
        <v>20</v>
      </c>
      <c r="H532" s="97">
        <v>287</v>
      </c>
      <c r="I532" s="97">
        <v>48</v>
      </c>
      <c r="J532" s="97">
        <v>50</v>
      </c>
      <c r="K532" s="97">
        <v>848</v>
      </c>
      <c r="L532" s="97">
        <v>112.5</v>
      </c>
      <c r="M532" s="97">
        <v>5</v>
      </c>
      <c r="N532" s="97">
        <v>77</v>
      </c>
      <c r="O532" s="97">
        <v>56</v>
      </c>
      <c r="P532" s="97">
        <v>39</v>
      </c>
      <c r="Q532" s="97">
        <v>682</v>
      </c>
      <c r="R532" s="97">
        <v>56</v>
      </c>
      <c r="S532" s="97">
        <v>24</v>
      </c>
      <c r="T532" s="97">
        <v>433</v>
      </c>
      <c r="U532" s="97">
        <v>69</v>
      </c>
      <c r="V532" s="97">
        <v>32</v>
      </c>
      <c r="W532" s="97">
        <v>523</v>
      </c>
      <c r="X532" s="97">
        <v>55</v>
      </c>
      <c r="Y532" s="97">
        <v>49</v>
      </c>
      <c r="Z532" s="97">
        <v>868</v>
      </c>
      <c r="AA532" s="97">
        <v>42</v>
      </c>
      <c r="AB532" s="97">
        <v>51</v>
      </c>
      <c r="AC532" s="97">
        <v>845</v>
      </c>
      <c r="AD532" s="97">
        <v>52</v>
      </c>
      <c r="AE532" s="97">
        <v>53</v>
      </c>
      <c r="AF532" s="97">
        <v>879</v>
      </c>
      <c r="AG532" s="97">
        <v>447.5</v>
      </c>
      <c r="AH532" s="97">
        <v>30</v>
      </c>
      <c r="AI532" s="97">
        <v>529</v>
      </c>
    </row>
    <row r="533" spans="1:35" ht="15" customHeight="1">
      <c r="A533" s="97" t="s">
        <v>2106</v>
      </c>
      <c r="B533" s="97" t="s">
        <v>2106</v>
      </c>
      <c r="C533" s="97" t="s">
        <v>2107</v>
      </c>
      <c r="D533" s="97" t="s">
        <v>3198</v>
      </c>
      <c r="E533" s="97" t="s">
        <v>73</v>
      </c>
      <c r="F533" s="97">
        <v>93</v>
      </c>
      <c r="G533" s="97">
        <v>49</v>
      </c>
      <c r="H533" s="97">
        <v>755</v>
      </c>
      <c r="I533" s="97">
        <v>67</v>
      </c>
      <c r="J533" s="97">
        <v>25</v>
      </c>
      <c r="K533" s="97">
        <v>565</v>
      </c>
      <c r="L533" s="97">
        <v>111</v>
      </c>
      <c r="M533" s="97">
        <v>5</v>
      </c>
      <c r="N533" s="97">
        <v>95</v>
      </c>
      <c r="O533" s="97">
        <v>53</v>
      </c>
      <c r="P533" s="97">
        <v>39</v>
      </c>
      <c r="Q533" s="97">
        <v>739</v>
      </c>
      <c r="R533" s="97">
        <v>57</v>
      </c>
      <c r="S533" s="97">
        <v>22</v>
      </c>
      <c r="T533" s="97">
        <v>409</v>
      </c>
      <c r="U533" s="97">
        <v>66</v>
      </c>
      <c r="V533" s="97">
        <v>35</v>
      </c>
      <c r="W533" s="97">
        <v>611</v>
      </c>
      <c r="X533" s="97">
        <v>65</v>
      </c>
      <c r="Y533" s="97">
        <v>33</v>
      </c>
      <c r="Z533" s="97">
        <v>651</v>
      </c>
      <c r="AA533" s="97">
        <v>54</v>
      </c>
      <c r="AB533" s="97">
        <v>26</v>
      </c>
      <c r="AC533" s="97">
        <v>428</v>
      </c>
      <c r="AD533" s="97">
        <v>73</v>
      </c>
      <c r="AE533" s="97">
        <v>10</v>
      </c>
      <c r="AF533" s="97">
        <v>216</v>
      </c>
      <c r="AG533" s="97">
        <v>447</v>
      </c>
      <c r="AH533" s="97">
        <v>31</v>
      </c>
      <c r="AI533" s="97">
        <v>530</v>
      </c>
    </row>
    <row r="534" spans="1:35" ht="15" customHeight="1">
      <c r="A534" s="97" t="s">
        <v>554</v>
      </c>
      <c r="B534" s="97" t="s">
        <v>554</v>
      </c>
      <c r="C534" s="97" t="s">
        <v>555</v>
      </c>
      <c r="D534" s="97" t="s">
        <v>3198</v>
      </c>
      <c r="E534" s="97" t="s">
        <v>17</v>
      </c>
      <c r="F534" s="97">
        <v>97</v>
      </c>
      <c r="G534" s="97">
        <v>41</v>
      </c>
      <c r="H534" s="97">
        <v>645</v>
      </c>
      <c r="I534" s="97">
        <v>77</v>
      </c>
      <c r="J534" s="97">
        <v>25</v>
      </c>
      <c r="K534" s="97">
        <v>369</v>
      </c>
      <c r="L534" s="97">
        <v>85</v>
      </c>
      <c r="M534" s="97">
        <v>38</v>
      </c>
      <c r="N534" s="97">
        <v>592</v>
      </c>
      <c r="O534" s="97">
        <v>71</v>
      </c>
      <c r="P534" s="97">
        <v>20</v>
      </c>
      <c r="Q534" s="97">
        <v>378</v>
      </c>
      <c r="R534" s="97">
        <v>51</v>
      </c>
      <c r="S534" s="97">
        <v>34</v>
      </c>
      <c r="T534" s="97">
        <v>571</v>
      </c>
      <c r="U534" s="97">
        <v>66</v>
      </c>
      <c r="V534" s="97">
        <v>40</v>
      </c>
      <c r="W534" s="97">
        <v>611</v>
      </c>
      <c r="X534" s="97">
        <v>60</v>
      </c>
      <c r="Y534" s="97">
        <v>49</v>
      </c>
      <c r="Z534" s="97">
        <v>777</v>
      </c>
      <c r="AA534" s="97">
        <v>46</v>
      </c>
      <c r="AB534" s="97">
        <v>50</v>
      </c>
      <c r="AC534" s="97">
        <v>755</v>
      </c>
      <c r="AD534" s="97">
        <v>60</v>
      </c>
      <c r="AE534" s="97">
        <v>47</v>
      </c>
      <c r="AF534" s="97">
        <v>727</v>
      </c>
      <c r="AG534" s="97">
        <v>447</v>
      </c>
      <c r="AH534" s="97">
        <v>31</v>
      </c>
      <c r="AI534" s="97">
        <v>530</v>
      </c>
    </row>
    <row r="535" spans="1:35" ht="15" customHeight="1">
      <c r="A535" s="97" t="s">
        <v>1219</v>
      </c>
      <c r="B535" s="97" t="s">
        <v>1219</v>
      </c>
      <c r="C535" s="97" t="s">
        <v>3251</v>
      </c>
      <c r="D535" s="97" t="s">
        <v>3198</v>
      </c>
      <c r="E535" s="97" t="s">
        <v>54</v>
      </c>
      <c r="F535" s="97">
        <v>96</v>
      </c>
      <c r="G535" s="97">
        <v>38</v>
      </c>
      <c r="H535" s="97">
        <v>676</v>
      </c>
      <c r="I535" s="97">
        <v>70</v>
      </c>
      <c r="J535" s="97">
        <v>28</v>
      </c>
      <c r="K535" s="97">
        <v>505</v>
      </c>
      <c r="L535" s="97">
        <v>92</v>
      </c>
      <c r="M535" s="97">
        <v>16</v>
      </c>
      <c r="N535" s="97">
        <v>426</v>
      </c>
      <c r="O535" s="97">
        <v>77</v>
      </c>
      <c r="P535" s="97">
        <v>13</v>
      </c>
      <c r="Q535" s="97">
        <v>274</v>
      </c>
      <c r="R535" s="97">
        <v>41</v>
      </c>
      <c r="S535" s="97">
        <v>49</v>
      </c>
      <c r="T535" s="97">
        <v>795</v>
      </c>
      <c r="U535" s="97">
        <v>71</v>
      </c>
      <c r="V535" s="97">
        <v>28</v>
      </c>
      <c r="W535" s="97">
        <v>462</v>
      </c>
      <c r="X535" s="97">
        <v>61</v>
      </c>
      <c r="Y535" s="97">
        <v>40</v>
      </c>
      <c r="Z535" s="97">
        <v>754</v>
      </c>
      <c r="AA535" s="97">
        <v>54</v>
      </c>
      <c r="AB535" s="97">
        <v>18</v>
      </c>
      <c r="AC535" s="97">
        <v>428</v>
      </c>
      <c r="AD535" s="97">
        <v>72</v>
      </c>
      <c r="AE535" s="97">
        <v>16</v>
      </c>
      <c r="AF535" s="97">
        <v>256</v>
      </c>
      <c r="AG535" s="97">
        <v>447</v>
      </c>
      <c r="AH535" s="97">
        <v>31</v>
      </c>
      <c r="AI535" s="97">
        <v>530</v>
      </c>
    </row>
    <row r="536" spans="1:35" ht="15" customHeight="1">
      <c r="A536" s="97" t="s">
        <v>1490</v>
      </c>
      <c r="B536" s="97" t="s">
        <v>1490</v>
      </c>
      <c r="C536" s="97" t="s">
        <v>1491</v>
      </c>
      <c r="D536" s="97" t="s">
        <v>3198</v>
      </c>
      <c r="E536" s="97" t="s">
        <v>56</v>
      </c>
      <c r="F536" s="97">
        <v>96</v>
      </c>
      <c r="G536" s="97">
        <v>32</v>
      </c>
      <c r="H536" s="97">
        <v>676</v>
      </c>
      <c r="I536" s="97">
        <v>66</v>
      </c>
      <c r="J536" s="97">
        <v>26</v>
      </c>
      <c r="K536" s="97">
        <v>584</v>
      </c>
      <c r="L536" s="97">
        <v>85.5</v>
      </c>
      <c r="M536" s="97">
        <v>32</v>
      </c>
      <c r="N536" s="97">
        <v>585</v>
      </c>
      <c r="O536" s="97">
        <v>70</v>
      </c>
      <c r="P536" s="97">
        <v>20</v>
      </c>
      <c r="Q536" s="97">
        <v>400</v>
      </c>
      <c r="R536" s="97">
        <v>46</v>
      </c>
      <c r="S536" s="97">
        <v>33</v>
      </c>
      <c r="T536" s="97">
        <v>702</v>
      </c>
      <c r="U536" s="97">
        <v>83</v>
      </c>
      <c r="V536" s="97">
        <v>10</v>
      </c>
      <c r="W536" s="97">
        <v>145</v>
      </c>
      <c r="X536" s="97">
        <v>65</v>
      </c>
      <c r="Y536" s="97">
        <v>43</v>
      </c>
      <c r="Z536" s="97">
        <v>651</v>
      </c>
      <c r="AA536" s="97">
        <v>44</v>
      </c>
      <c r="AB536" s="97">
        <v>44</v>
      </c>
      <c r="AC536" s="97">
        <v>804</v>
      </c>
      <c r="AD536" s="97">
        <v>49</v>
      </c>
      <c r="AE536" s="97">
        <v>52</v>
      </c>
      <c r="AF536" s="97">
        <v>904</v>
      </c>
      <c r="AG536" s="97">
        <v>446.5</v>
      </c>
      <c r="AH536" s="97">
        <v>28</v>
      </c>
      <c r="AI536" s="97">
        <v>533</v>
      </c>
    </row>
    <row r="537" spans="1:35" ht="15" customHeight="1">
      <c r="A537" s="97" t="s">
        <v>587</v>
      </c>
      <c r="B537" s="97" t="s">
        <v>587</v>
      </c>
      <c r="C537" s="97" t="s">
        <v>588</v>
      </c>
      <c r="D537" s="97" t="s">
        <v>3198</v>
      </c>
      <c r="E537" s="97" t="s">
        <v>17</v>
      </c>
      <c r="F537" s="97">
        <v>98</v>
      </c>
      <c r="G537" s="97">
        <v>36</v>
      </c>
      <c r="H537" s="97">
        <v>611</v>
      </c>
      <c r="I537" s="97">
        <v>83</v>
      </c>
      <c r="J537" s="97">
        <v>18</v>
      </c>
      <c r="K537" s="97">
        <v>267</v>
      </c>
      <c r="L537" s="97">
        <v>93.5</v>
      </c>
      <c r="M537" s="97">
        <v>21</v>
      </c>
      <c r="N537" s="97">
        <v>393</v>
      </c>
      <c r="O537" s="97">
        <v>69</v>
      </c>
      <c r="P537" s="97">
        <v>24</v>
      </c>
      <c r="Q537" s="97">
        <v>428</v>
      </c>
      <c r="R537" s="97">
        <v>46</v>
      </c>
      <c r="S537" s="97">
        <v>45</v>
      </c>
      <c r="T537" s="97">
        <v>702</v>
      </c>
      <c r="U537" s="97">
        <v>57</v>
      </c>
      <c r="V537" s="97">
        <v>49</v>
      </c>
      <c r="W537" s="97">
        <v>801</v>
      </c>
      <c r="X537" s="97">
        <v>73</v>
      </c>
      <c r="Y537" s="97">
        <v>25</v>
      </c>
      <c r="Z537" s="97">
        <v>359</v>
      </c>
      <c r="AA537" s="97">
        <v>47</v>
      </c>
      <c r="AB537" s="97">
        <v>44</v>
      </c>
      <c r="AC537" s="97">
        <v>719</v>
      </c>
      <c r="AD537" s="97">
        <v>70</v>
      </c>
      <c r="AE537" s="97">
        <v>22</v>
      </c>
      <c r="AF537" s="97">
        <v>327</v>
      </c>
      <c r="AG537" s="97">
        <v>446.5</v>
      </c>
      <c r="AH537" s="97">
        <v>32</v>
      </c>
      <c r="AI537" s="97">
        <v>533</v>
      </c>
    </row>
    <row r="538" spans="1:35" ht="15" customHeight="1">
      <c r="A538" s="97" t="s">
        <v>422</v>
      </c>
      <c r="B538" s="97" t="s">
        <v>422</v>
      </c>
      <c r="C538" s="97" t="s">
        <v>423</v>
      </c>
      <c r="D538" s="97" t="s">
        <v>3198</v>
      </c>
      <c r="E538" s="97" t="s">
        <v>19</v>
      </c>
      <c r="F538" s="97">
        <v>104</v>
      </c>
      <c r="G538" s="97">
        <v>21</v>
      </c>
      <c r="H538" s="97">
        <v>357</v>
      </c>
      <c r="I538" s="97">
        <v>71</v>
      </c>
      <c r="J538" s="97">
        <v>26</v>
      </c>
      <c r="K538" s="97">
        <v>475</v>
      </c>
      <c r="L538" s="97">
        <v>67.5</v>
      </c>
      <c r="M538" s="97">
        <v>53</v>
      </c>
      <c r="N538" s="97">
        <v>868</v>
      </c>
      <c r="O538" s="97">
        <v>79</v>
      </c>
      <c r="P538" s="97">
        <v>13</v>
      </c>
      <c r="Q538" s="97">
        <v>228</v>
      </c>
      <c r="R538" s="97">
        <v>52</v>
      </c>
      <c r="S538" s="97">
        <v>27</v>
      </c>
      <c r="T538" s="97">
        <v>551</v>
      </c>
      <c r="U538" s="97">
        <v>73</v>
      </c>
      <c r="V538" s="97">
        <v>21</v>
      </c>
      <c r="W538" s="97">
        <v>393</v>
      </c>
      <c r="X538" s="97">
        <v>64</v>
      </c>
      <c r="Y538" s="97">
        <v>36</v>
      </c>
      <c r="Z538" s="97">
        <v>680</v>
      </c>
      <c r="AA538" s="97">
        <v>56</v>
      </c>
      <c r="AB538" s="97">
        <v>22</v>
      </c>
      <c r="AC538" s="97">
        <v>352</v>
      </c>
      <c r="AD538" s="97">
        <v>65</v>
      </c>
      <c r="AE538" s="97">
        <v>28</v>
      </c>
      <c r="AF538" s="97">
        <v>548</v>
      </c>
      <c r="AG538" s="97">
        <v>446.5</v>
      </c>
      <c r="AH538" s="97">
        <v>30</v>
      </c>
      <c r="AI538" s="97">
        <v>533</v>
      </c>
    </row>
    <row r="539" spans="1:35" ht="15" customHeight="1">
      <c r="A539" s="97" t="s">
        <v>2680</v>
      </c>
      <c r="B539" s="97" t="s">
        <v>2680</v>
      </c>
      <c r="C539" s="97" t="s">
        <v>2681</v>
      </c>
      <c r="D539" s="97" t="s">
        <v>3198</v>
      </c>
      <c r="E539" s="97" t="s">
        <v>49</v>
      </c>
      <c r="F539" s="97">
        <v>95</v>
      </c>
      <c r="G539" s="97">
        <v>37</v>
      </c>
      <c r="H539" s="97">
        <v>710</v>
      </c>
      <c r="I539" s="97">
        <v>69</v>
      </c>
      <c r="J539" s="97">
        <v>33</v>
      </c>
      <c r="K539" s="97">
        <v>524</v>
      </c>
      <c r="L539" s="97">
        <v>91.5</v>
      </c>
      <c r="M539" s="97">
        <v>30</v>
      </c>
      <c r="N539" s="97">
        <v>443</v>
      </c>
      <c r="O539" s="97">
        <v>66</v>
      </c>
      <c r="P539" s="97">
        <v>33</v>
      </c>
      <c r="Q539" s="97">
        <v>484</v>
      </c>
      <c r="R539" s="97">
        <v>49</v>
      </c>
      <c r="S539" s="97">
        <v>33</v>
      </c>
      <c r="T539" s="97">
        <v>624</v>
      </c>
      <c r="U539" s="97">
        <v>76</v>
      </c>
      <c r="V539" s="97">
        <v>15</v>
      </c>
      <c r="W539" s="97">
        <v>308</v>
      </c>
      <c r="X539" s="97">
        <v>72</v>
      </c>
      <c r="Y539" s="97">
        <v>8</v>
      </c>
      <c r="Z539" s="97">
        <v>396</v>
      </c>
      <c r="AA539" s="97">
        <v>57</v>
      </c>
      <c r="AB539" s="97">
        <v>13</v>
      </c>
      <c r="AC539" s="97">
        <v>306</v>
      </c>
      <c r="AD539" s="97">
        <v>63</v>
      </c>
      <c r="AE539" s="97">
        <v>27</v>
      </c>
      <c r="AF539" s="97">
        <v>633</v>
      </c>
      <c r="AG539" s="97">
        <v>446.5</v>
      </c>
      <c r="AH539" s="97">
        <v>32</v>
      </c>
      <c r="AI539" s="97">
        <v>533</v>
      </c>
    </row>
    <row r="540" spans="1:35" ht="15" customHeight="1">
      <c r="A540" s="97" t="s">
        <v>1907</v>
      </c>
      <c r="B540" s="97" t="s">
        <v>1907</v>
      </c>
      <c r="C540" s="97" t="s">
        <v>1908</v>
      </c>
      <c r="D540" s="97" t="s">
        <v>3198</v>
      </c>
      <c r="E540" s="97" t="s">
        <v>34</v>
      </c>
      <c r="F540" s="97">
        <v>94</v>
      </c>
      <c r="G540" s="97">
        <v>48</v>
      </c>
      <c r="H540" s="97">
        <v>733</v>
      </c>
      <c r="I540" s="97">
        <v>78</v>
      </c>
      <c r="J540" s="97">
        <v>17</v>
      </c>
      <c r="K540" s="97">
        <v>353</v>
      </c>
      <c r="L540" s="97">
        <v>95</v>
      </c>
      <c r="M540" s="97">
        <v>17</v>
      </c>
      <c r="N540" s="97">
        <v>364</v>
      </c>
      <c r="O540" s="97">
        <v>56</v>
      </c>
      <c r="P540" s="97">
        <v>41</v>
      </c>
      <c r="Q540" s="97">
        <v>682</v>
      </c>
      <c r="R540" s="97">
        <v>51</v>
      </c>
      <c r="S540" s="97">
        <v>32</v>
      </c>
      <c r="T540" s="97">
        <v>571</v>
      </c>
      <c r="U540" s="97">
        <v>72</v>
      </c>
      <c r="V540" s="97">
        <v>19</v>
      </c>
      <c r="W540" s="97">
        <v>433</v>
      </c>
      <c r="X540" s="97">
        <v>68</v>
      </c>
      <c r="Y540" s="97">
        <v>37</v>
      </c>
      <c r="Z540" s="97">
        <v>541</v>
      </c>
      <c r="AA540" s="97">
        <v>48</v>
      </c>
      <c r="AB540" s="97">
        <v>36</v>
      </c>
      <c r="AC540" s="97">
        <v>671</v>
      </c>
      <c r="AD540" s="97">
        <v>61</v>
      </c>
      <c r="AE540" s="97">
        <v>44</v>
      </c>
      <c r="AF540" s="97">
        <v>703</v>
      </c>
      <c r="AG540" s="97">
        <v>446</v>
      </c>
      <c r="AH540" s="97">
        <v>28</v>
      </c>
      <c r="AI540" s="97">
        <v>537</v>
      </c>
    </row>
    <row r="541" spans="1:35" ht="15" customHeight="1">
      <c r="A541" s="97" t="s">
        <v>669</v>
      </c>
      <c r="B541" s="97" t="s">
        <v>669</v>
      </c>
      <c r="C541" s="97" t="s">
        <v>670</v>
      </c>
      <c r="D541" s="97" t="s">
        <v>3198</v>
      </c>
      <c r="E541" s="97" t="s">
        <v>17</v>
      </c>
      <c r="F541" s="97">
        <v>111</v>
      </c>
      <c r="G541" s="97">
        <v>12</v>
      </c>
      <c r="H541" s="97">
        <v>136</v>
      </c>
      <c r="I541" s="97">
        <v>78</v>
      </c>
      <c r="J541" s="97">
        <v>24</v>
      </c>
      <c r="K541" s="97">
        <v>353</v>
      </c>
      <c r="L541" s="97">
        <v>93</v>
      </c>
      <c r="M541" s="97">
        <v>23</v>
      </c>
      <c r="N541" s="97">
        <v>405</v>
      </c>
      <c r="O541" s="97">
        <v>54</v>
      </c>
      <c r="P541" s="97">
        <v>46</v>
      </c>
      <c r="Q541" s="97">
        <v>718</v>
      </c>
      <c r="R541" s="97">
        <v>66</v>
      </c>
      <c r="S541" s="97">
        <v>11</v>
      </c>
      <c r="T541" s="97">
        <v>204</v>
      </c>
      <c r="U541" s="97">
        <v>44</v>
      </c>
      <c r="V541" s="97">
        <v>55</v>
      </c>
      <c r="W541" s="97">
        <v>914</v>
      </c>
      <c r="X541" s="97">
        <v>81</v>
      </c>
      <c r="Y541" s="97">
        <v>11</v>
      </c>
      <c r="Z541" s="97">
        <v>124</v>
      </c>
      <c r="AA541" s="97">
        <v>43</v>
      </c>
      <c r="AB541" s="97">
        <v>54</v>
      </c>
      <c r="AC541" s="97">
        <v>824</v>
      </c>
      <c r="AD541" s="97">
        <v>55</v>
      </c>
      <c r="AE541" s="97">
        <v>50</v>
      </c>
      <c r="AF541" s="97">
        <v>835</v>
      </c>
      <c r="AG541" s="97">
        <v>446</v>
      </c>
      <c r="AH541" s="97">
        <v>33</v>
      </c>
      <c r="AI541" s="97">
        <v>537</v>
      </c>
    </row>
    <row r="542" spans="1:35" ht="15" customHeight="1">
      <c r="A542" s="97" t="s">
        <v>1283</v>
      </c>
      <c r="B542" s="97" t="s">
        <v>1283</v>
      </c>
      <c r="C542" s="97" t="s">
        <v>1284</v>
      </c>
      <c r="D542" s="97" t="s">
        <v>3198</v>
      </c>
      <c r="E542" s="97" t="s">
        <v>54</v>
      </c>
      <c r="F542" s="97">
        <v>99</v>
      </c>
      <c r="G542" s="97">
        <v>34</v>
      </c>
      <c r="H542" s="97">
        <v>571</v>
      </c>
      <c r="I542" s="97">
        <v>81</v>
      </c>
      <c r="J542" s="97">
        <v>14</v>
      </c>
      <c r="K542" s="97">
        <v>309</v>
      </c>
      <c r="L542" s="97">
        <v>76</v>
      </c>
      <c r="M542" s="97">
        <v>41</v>
      </c>
      <c r="N542" s="97">
        <v>759</v>
      </c>
      <c r="O542" s="97">
        <v>50</v>
      </c>
      <c r="P542" s="97">
        <v>43</v>
      </c>
      <c r="Q542" s="97">
        <v>788</v>
      </c>
      <c r="R542" s="97">
        <v>66</v>
      </c>
      <c r="S542" s="97">
        <v>11</v>
      </c>
      <c r="T542" s="97">
        <v>204</v>
      </c>
      <c r="U542" s="97">
        <v>74</v>
      </c>
      <c r="V542" s="97">
        <v>23</v>
      </c>
      <c r="W542" s="97">
        <v>366</v>
      </c>
      <c r="X542" s="97">
        <v>80</v>
      </c>
      <c r="Y542" s="97">
        <v>7</v>
      </c>
      <c r="Z542" s="97">
        <v>151</v>
      </c>
      <c r="AA542" s="97">
        <v>49</v>
      </c>
      <c r="AB542" s="97">
        <v>27</v>
      </c>
      <c r="AC542" s="97">
        <v>633</v>
      </c>
      <c r="AD542" s="97">
        <v>52</v>
      </c>
      <c r="AE542" s="97">
        <v>53</v>
      </c>
      <c r="AF542" s="97">
        <v>879</v>
      </c>
      <c r="AG542" s="97">
        <v>446</v>
      </c>
      <c r="AH542" s="97">
        <v>32</v>
      </c>
      <c r="AI542" s="97">
        <v>537</v>
      </c>
    </row>
    <row r="543" spans="1:35" ht="15" customHeight="1">
      <c r="A543" s="97" t="s">
        <v>1361</v>
      </c>
      <c r="B543" s="97" t="s">
        <v>1361</v>
      </c>
      <c r="C543" s="97" t="s">
        <v>1362</v>
      </c>
      <c r="D543" s="97" t="s">
        <v>3198</v>
      </c>
      <c r="E543" s="97" t="s">
        <v>56</v>
      </c>
      <c r="F543" s="97">
        <v>100</v>
      </c>
      <c r="G543" s="97">
        <v>24</v>
      </c>
      <c r="H543" s="97">
        <v>528</v>
      </c>
      <c r="I543" s="97">
        <v>71</v>
      </c>
      <c r="J543" s="97">
        <v>19</v>
      </c>
      <c r="K543" s="97">
        <v>475</v>
      </c>
      <c r="L543" s="97">
        <v>107.5</v>
      </c>
      <c r="M543" s="97">
        <v>5</v>
      </c>
      <c r="N543" s="97">
        <v>141</v>
      </c>
      <c r="O543" s="97">
        <v>37</v>
      </c>
      <c r="P543" s="97">
        <v>51</v>
      </c>
      <c r="Q543" s="97">
        <v>901</v>
      </c>
      <c r="R543" s="97">
        <v>56</v>
      </c>
      <c r="S543" s="97">
        <v>22</v>
      </c>
      <c r="T543" s="97">
        <v>433</v>
      </c>
      <c r="U543" s="97">
        <v>74</v>
      </c>
      <c r="V543" s="97">
        <v>31</v>
      </c>
      <c r="W543" s="97">
        <v>366</v>
      </c>
      <c r="X543" s="97">
        <v>77</v>
      </c>
      <c r="Y543" s="97">
        <v>16</v>
      </c>
      <c r="Z543" s="97">
        <v>240</v>
      </c>
      <c r="AA543" s="97">
        <v>42</v>
      </c>
      <c r="AB543" s="97">
        <v>48</v>
      </c>
      <c r="AC543" s="97">
        <v>845</v>
      </c>
      <c r="AD543" s="97">
        <v>69</v>
      </c>
      <c r="AE543" s="97">
        <v>21</v>
      </c>
      <c r="AF543" s="97">
        <v>367</v>
      </c>
      <c r="AG543" s="97">
        <v>445.5</v>
      </c>
      <c r="AH543" s="97">
        <v>29</v>
      </c>
      <c r="AI543" s="97">
        <v>540</v>
      </c>
    </row>
    <row r="544" spans="1:35" ht="15" customHeight="1">
      <c r="A544" s="97" t="s">
        <v>1508</v>
      </c>
      <c r="B544" s="97" t="s">
        <v>1508</v>
      </c>
      <c r="C544" s="97" t="s">
        <v>1509</v>
      </c>
      <c r="D544" s="97" t="s">
        <v>3198</v>
      </c>
      <c r="E544" s="97" t="s">
        <v>56</v>
      </c>
      <c r="F544" s="97">
        <v>100</v>
      </c>
      <c r="G544" s="97">
        <v>24</v>
      </c>
      <c r="H544" s="97">
        <v>528</v>
      </c>
      <c r="I544" s="97">
        <v>68</v>
      </c>
      <c r="J544" s="97">
        <v>22</v>
      </c>
      <c r="K544" s="97">
        <v>540</v>
      </c>
      <c r="L544" s="97">
        <v>91.5</v>
      </c>
      <c r="M544" s="97">
        <v>22</v>
      </c>
      <c r="N544" s="97">
        <v>443</v>
      </c>
      <c r="O544" s="97">
        <v>58</v>
      </c>
      <c r="P544" s="97">
        <v>39</v>
      </c>
      <c r="Q544" s="97">
        <v>649</v>
      </c>
      <c r="R544" s="97">
        <v>51</v>
      </c>
      <c r="S544" s="97">
        <v>27</v>
      </c>
      <c r="T544" s="97">
        <v>571</v>
      </c>
      <c r="U544" s="97">
        <v>77</v>
      </c>
      <c r="V544" s="97">
        <v>27</v>
      </c>
      <c r="W544" s="97">
        <v>275</v>
      </c>
      <c r="X544" s="97">
        <v>71</v>
      </c>
      <c r="Y544" s="97">
        <v>28</v>
      </c>
      <c r="Z544" s="97">
        <v>439</v>
      </c>
      <c r="AA544" s="97">
        <v>60</v>
      </c>
      <c r="AB544" s="97">
        <v>3</v>
      </c>
      <c r="AC544" s="97">
        <v>203</v>
      </c>
      <c r="AD544" s="97">
        <v>64</v>
      </c>
      <c r="AE544" s="97">
        <v>33</v>
      </c>
      <c r="AF544" s="97">
        <v>586</v>
      </c>
      <c r="AG544" s="97">
        <v>445.5</v>
      </c>
      <c r="AH544" s="97">
        <v>29</v>
      </c>
      <c r="AI544" s="97">
        <v>540</v>
      </c>
    </row>
    <row r="545" spans="1:35" ht="15" customHeight="1">
      <c r="A545" s="97" t="s">
        <v>658</v>
      </c>
      <c r="B545" s="97" t="s">
        <v>658</v>
      </c>
      <c r="C545" s="97" t="s">
        <v>659</v>
      </c>
      <c r="D545" s="97" t="s">
        <v>3198</v>
      </c>
      <c r="E545" s="97" t="s">
        <v>17</v>
      </c>
      <c r="F545" s="97">
        <v>98</v>
      </c>
      <c r="G545" s="97">
        <v>36</v>
      </c>
      <c r="H545" s="97">
        <v>611</v>
      </c>
      <c r="I545" s="97">
        <v>86</v>
      </c>
      <c r="J545" s="97">
        <v>15</v>
      </c>
      <c r="K545" s="97">
        <v>233</v>
      </c>
      <c r="L545" s="97">
        <v>70.5</v>
      </c>
      <c r="M545" s="97">
        <v>51</v>
      </c>
      <c r="N545" s="97">
        <v>834</v>
      </c>
      <c r="O545" s="97">
        <v>76</v>
      </c>
      <c r="P545" s="97">
        <v>14</v>
      </c>
      <c r="Q545" s="97">
        <v>287</v>
      </c>
      <c r="R545" s="97">
        <v>55</v>
      </c>
      <c r="S545" s="97">
        <v>27</v>
      </c>
      <c r="T545" s="97">
        <v>470</v>
      </c>
      <c r="U545" s="97">
        <v>60</v>
      </c>
      <c r="V545" s="97">
        <v>48</v>
      </c>
      <c r="W545" s="97">
        <v>748</v>
      </c>
      <c r="X545" s="97">
        <v>69</v>
      </c>
      <c r="Y545" s="97">
        <v>36</v>
      </c>
      <c r="Z545" s="97">
        <v>504</v>
      </c>
      <c r="AA545" s="97">
        <v>56</v>
      </c>
      <c r="AB545" s="97">
        <v>25</v>
      </c>
      <c r="AC545" s="97">
        <v>352</v>
      </c>
      <c r="AD545" s="97">
        <v>67</v>
      </c>
      <c r="AE545" s="97">
        <v>34</v>
      </c>
      <c r="AF545" s="97">
        <v>471</v>
      </c>
      <c r="AG545" s="97">
        <v>445.5</v>
      </c>
      <c r="AH545" s="97">
        <v>34</v>
      </c>
      <c r="AI545" s="97">
        <v>540</v>
      </c>
    </row>
    <row r="546" spans="1:35" ht="15" customHeight="1">
      <c r="A546" s="97" t="s">
        <v>1931</v>
      </c>
      <c r="B546" s="97" t="s">
        <v>1931</v>
      </c>
      <c r="C546" s="97" t="s">
        <v>1932</v>
      </c>
      <c r="D546" s="97" t="s">
        <v>3198</v>
      </c>
      <c r="E546" s="97" t="s">
        <v>34</v>
      </c>
      <c r="F546" s="97">
        <v>107</v>
      </c>
      <c r="G546" s="97">
        <v>18</v>
      </c>
      <c r="H546" s="97">
        <v>242</v>
      </c>
      <c r="I546" s="97">
        <v>74</v>
      </c>
      <c r="J546" s="97">
        <v>27</v>
      </c>
      <c r="K546" s="97">
        <v>424</v>
      </c>
      <c r="L546" s="97">
        <v>85.5</v>
      </c>
      <c r="M546" s="97">
        <v>37</v>
      </c>
      <c r="N546" s="97">
        <v>585</v>
      </c>
      <c r="O546" s="97">
        <v>57</v>
      </c>
      <c r="P546" s="97">
        <v>40</v>
      </c>
      <c r="Q546" s="97">
        <v>665</v>
      </c>
      <c r="R546" s="97">
        <v>55</v>
      </c>
      <c r="S546" s="97">
        <v>26</v>
      </c>
      <c r="T546" s="97">
        <v>470</v>
      </c>
      <c r="U546" s="97">
        <v>67</v>
      </c>
      <c r="V546" s="97">
        <v>30</v>
      </c>
      <c r="W546" s="97">
        <v>587</v>
      </c>
      <c r="X546" s="97">
        <v>78</v>
      </c>
      <c r="Y546" s="97">
        <v>18</v>
      </c>
      <c r="Z546" s="97">
        <v>209</v>
      </c>
      <c r="AA546" s="97">
        <v>47</v>
      </c>
      <c r="AB546" s="97">
        <v>41</v>
      </c>
      <c r="AC546" s="97">
        <v>719</v>
      </c>
      <c r="AD546" s="97">
        <v>70</v>
      </c>
      <c r="AE546" s="97">
        <v>13</v>
      </c>
      <c r="AF546" s="97">
        <v>327</v>
      </c>
      <c r="AG546" s="97">
        <v>445.5</v>
      </c>
      <c r="AH546" s="97">
        <v>29</v>
      </c>
      <c r="AI546" s="97">
        <v>540</v>
      </c>
    </row>
    <row r="547" spans="1:35" ht="15" customHeight="1">
      <c r="A547" s="97" t="s">
        <v>2474</v>
      </c>
      <c r="B547" s="97" t="s">
        <v>2474</v>
      </c>
      <c r="C547" s="97" t="s">
        <v>2475</v>
      </c>
      <c r="D547" s="97" t="s">
        <v>3198</v>
      </c>
      <c r="E547" s="97" t="s">
        <v>131</v>
      </c>
      <c r="F547" s="97">
        <v>107</v>
      </c>
      <c r="G547" s="97">
        <v>5</v>
      </c>
      <c r="H547" s="97">
        <v>242</v>
      </c>
      <c r="I547" s="97">
        <v>76</v>
      </c>
      <c r="J547" s="97">
        <v>20</v>
      </c>
      <c r="K547" s="97">
        <v>391</v>
      </c>
      <c r="L547" s="97">
        <v>77.5</v>
      </c>
      <c r="M547" s="97">
        <v>40</v>
      </c>
      <c r="N547" s="97">
        <v>734</v>
      </c>
      <c r="O547" s="97">
        <v>67</v>
      </c>
      <c r="P547" s="97">
        <v>28</v>
      </c>
      <c r="Q547" s="97">
        <v>468</v>
      </c>
      <c r="R547" s="97">
        <v>54</v>
      </c>
      <c r="S547" s="97">
        <v>25</v>
      </c>
      <c r="T547" s="97">
        <v>494</v>
      </c>
      <c r="U547" s="97">
        <v>64</v>
      </c>
      <c r="V547" s="97">
        <v>36</v>
      </c>
      <c r="W547" s="97">
        <v>667</v>
      </c>
      <c r="X547" s="97">
        <v>68</v>
      </c>
      <c r="Y547" s="97">
        <v>26</v>
      </c>
      <c r="Z547" s="97">
        <v>541</v>
      </c>
      <c r="AA547" s="97">
        <v>39</v>
      </c>
      <c r="AB547" s="97">
        <v>53</v>
      </c>
      <c r="AC547" s="97">
        <v>895</v>
      </c>
      <c r="AD547" s="97">
        <v>59</v>
      </c>
      <c r="AE547" s="97">
        <v>51</v>
      </c>
      <c r="AF547" s="97">
        <v>746</v>
      </c>
      <c r="AG547" s="97">
        <v>445.5</v>
      </c>
      <c r="AH547" s="97">
        <v>28</v>
      </c>
      <c r="AI547" s="97">
        <v>540</v>
      </c>
    </row>
    <row r="548" spans="1:35" ht="15" customHeight="1">
      <c r="A548" s="97" t="s">
        <v>2815</v>
      </c>
      <c r="B548" s="97" t="s">
        <v>2815</v>
      </c>
      <c r="C548" s="97" t="s">
        <v>135</v>
      </c>
      <c r="D548" s="97" t="s">
        <v>3198</v>
      </c>
      <c r="E548" s="97" t="s">
        <v>38</v>
      </c>
      <c r="F548" s="97">
        <v>112</v>
      </c>
      <c r="G548" s="97">
        <v>5</v>
      </c>
      <c r="H548" s="97">
        <v>114</v>
      </c>
      <c r="I548" s="97">
        <v>51</v>
      </c>
      <c r="J548" s="97">
        <v>46</v>
      </c>
      <c r="K548" s="97">
        <v>817</v>
      </c>
      <c r="L548" s="97">
        <v>104.5</v>
      </c>
      <c r="M548" s="97">
        <v>7</v>
      </c>
      <c r="N548" s="97">
        <v>177</v>
      </c>
      <c r="O548" s="97">
        <v>61</v>
      </c>
      <c r="P548" s="97">
        <v>33</v>
      </c>
      <c r="Q548" s="97">
        <v>587</v>
      </c>
      <c r="R548" s="97">
        <v>53</v>
      </c>
      <c r="S548" s="97">
        <v>22</v>
      </c>
      <c r="T548" s="97">
        <v>526</v>
      </c>
      <c r="U548" s="97">
        <v>64</v>
      </c>
      <c r="V548" s="97">
        <v>36</v>
      </c>
      <c r="W548" s="97">
        <v>667</v>
      </c>
      <c r="X548" s="97">
        <v>75</v>
      </c>
      <c r="Y548" s="97">
        <v>5</v>
      </c>
      <c r="Z548" s="97">
        <v>289</v>
      </c>
      <c r="AA548" s="97">
        <v>59</v>
      </c>
      <c r="AB548" s="97">
        <v>11</v>
      </c>
      <c r="AC548" s="97">
        <v>233</v>
      </c>
      <c r="AD548" s="97">
        <v>68</v>
      </c>
      <c r="AE548" s="97">
        <v>21</v>
      </c>
      <c r="AF548" s="97">
        <v>412</v>
      </c>
      <c r="AG548" s="97">
        <v>445.5</v>
      </c>
      <c r="AH548" s="97">
        <v>25</v>
      </c>
      <c r="AI548" s="97">
        <v>540</v>
      </c>
    </row>
    <row r="549" spans="1:35" ht="15" customHeight="1">
      <c r="A549" s="97" t="s">
        <v>706</v>
      </c>
      <c r="B549" s="97" t="s">
        <v>706</v>
      </c>
      <c r="C549" s="97" t="s">
        <v>707</v>
      </c>
      <c r="D549" s="97" t="s">
        <v>3198</v>
      </c>
      <c r="E549" s="97" t="s">
        <v>117</v>
      </c>
      <c r="F549" s="97">
        <v>99</v>
      </c>
      <c r="G549" s="97">
        <v>31</v>
      </c>
      <c r="H549" s="97">
        <v>571</v>
      </c>
      <c r="I549" s="97">
        <v>78</v>
      </c>
      <c r="J549" s="97">
        <v>20</v>
      </c>
      <c r="K549" s="97">
        <v>353</v>
      </c>
      <c r="L549" s="97">
        <v>90</v>
      </c>
      <c r="M549" s="97">
        <v>27</v>
      </c>
      <c r="N549" s="97">
        <v>481</v>
      </c>
      <c r="O549" s="97">
        <v>57</v>
      </c>
      <c r="P549" s="97">
        <v>40</v>
      </c>
      <c r="Q549" s="97">
        <v>665</v>
      </c>
      <c r="R549" s="97">
        <v>48</v>
      </c>
      <c r="S549" s="97">
        <v>40</v>
      </c>
      <c r="T549" s="97">
        <v>649</v>
      </c>
      <c r="U549" s="97">
        <v>73</v>
      </c>
      <c r="V549" s="97">
        <v>17</v>
      </c>
      <c r="W549" s="97">
        <v>393</v>
      </c>
      <c r="X549" s="97">
        <v>80</v>
      </c>
      <c r="Y549" s="97">
        <v>12</v>
      </c>
      <c r="Z549" s="97">
        <v>151</v>
      </c>
      <c r="AA549" s="97">
        <v>60</v>
      </c>
      <c r="AB549" s="97">
        <v>11</v>
      </c>
      <c r="AC549" s="97">
        <v>203</v>
      </c>
      <c r="AD549" s="97">
        <v>67</v>
      </c>
      <c r="AE549" s="97">
        <v>28</v>
      </c>
      <c r="AF549" s="97">
        <v>471</v>
      </c>
      <c r="AG549" s="97">
        <v>445</v>
      </c>
      <c r="AH549" s="97">
        <v>31</v>
      </c>
      <c r="AI549" s="97">
        <v>546</v>
      </c>
    </row>
    <row r="550" spans="1:35" ht="15" customHeight="1">
      <c r="A550" s="97" t="s">
        <v>1405</v>
      </c>
      <c r="B550" s="97" t="s">
        <v>1405</v>
      </c>
      <c r="C550" s="97" t="s">
        <v>1406</v>
      </c>
      <c r="D550" s="97" t="s">
        <v>3198</v>
      </c>
      <c r="E550" s="97" t="s">
        <v>56</v>
      </c>
      <c r="F550" s="97">
        <v>82</v>
      </c>
      <c r="G550" s="97">
        <v>50</v>
      </c>
      <c r="H550" s="97">
        <v>903</v>
      </c>
      <c r="I550" s="97">
        <v>84</v>
      </c>
      <c r="J550" s="97">
        <v>14</v>
      </c>
      <c r="K550" s="97">
        <v>251</v>
      </c>
      <c r="L550" s="97">
        <v>81</v>
      </c>
      <c r="M550" s="97">
        <v>40</v>
      </c>
      <c r="N550" s="97">
        <v>679</v>
      </c>
      <c r="O550" s="97">
        <v>54</v>
      </c>
      <c r="P550" s="97">
        <v>43</v>
      </c>
      <c r="Q550" s="97">
        <v>718</v>
      </c>
      <c r="R550" s="97">
        <v>63</v>
      </c>
      <c r="S550" s="97">
        <v>9</v>
      </c>
      <c r="T550" s="97">
        <v>262</v>
      </c>
      <c r="U550" s="97">
        <v>81</v>
      </c>
      <c r="V550" s="97">
        <v>16</v>
      </c>
      <c r="W550" s="97">
        <v>183</v>
      </c>
      <c r="X550" s="97">
        <v>64</v>
      </c>
      <c r="Y550" s="97">
        <v>46</v>
      </c>
      <c r="Z550" s="97">
        <v>680</v>
      </c>
      <c r="AA550" s="97">
        <v>53</v>
      </c>
      <c r="AB550" s="97">
        <v>17</v>
      </c>
      <c r="AC550" s="97">
        <v>470</v>
      </c>
      <c r="AD550" s="97">
        <v>57</v>
      </c>
      <c r="AE550" s="97">
        <v>50</v>
      </c>
      <c r="AF550" s="97">
        <v>798</v>
      </c>
      <c r="AG550" s="97">
        <v>445</v>
      </c>
      <c r="AH550" s="97">
        <v>31</v>
      </c>
      <c r="AI550" s="97">
        <v>546</v>
      </c>
    </row>
    <row r="551" spans="1:35" ht="15" customHeight="1">
      <c r="A551" s="97" t="s">
        <v>2614</v>
      </c>
      <c r="B551" s="97" t="s">
        <v>2614</v>
      </c>
      <c r="C551" s="97" t="s">
        <v>2615</v>
      </c>
      <c r="D551" s="97" t="s">
        <v>3198</v>
      </c>
      <c r="E551" s="97" t="s">
        <v>49</v>
      </c>
      <c r="F551" s="97">
        <v>105</v>
      </c>
      <c r="G551" s="97">
        <v>15</v>
      </c>
      <c r="H551" s="97">
        <v>325</v>
      </c>
      <c r="I551" s="97">
        <v>81</v>
      </c>
      <c r="J551" s="97">
        <v>23</v>
      </c>
      <c r="K551" s="97">
        <v>309</v>
      </c>
      <c r="L551" s="97">
        <v>95.5</v>
      </c>
      <c r="M551" s="97">
        <v>23</v>
      </c>
      <c r="N551" s="97">
        <v>357</v>
      </c>
      <c r="O551" s="97">
        <v>48</v>
      </c>
      <c r="P551" s="97">
        <v>50</v>
      </c>
      <c r="Q551" s="97">
        <v>820</v>
      </c>
      <c r="R551" s="97">
        <v>49</v>
      </c>
      <c r="S551" s="97">
        <v>33</v>
      </c>
      <c r="T551" s="97">
        <v>624</v>
      </c>
      <c r="U551" s="97">
        <v>66</v>
      </c>
      <c r="V551" s="97">
        <v>28</v>
      </c>
      <c r="W551" s="97">
        <v>611</v>
      </c>
      <c r="X551" s="97">
        <v>60</v>
      </c>
      <c r="Y551" s="97">
        <v>39</v>
      </c>
      <c r="Z551" s="97">
        <v>777</v>
      </c>
      <c r="AA551" s="97">
        <v>36</v>
      </c>
      <c r="AB551" s="97">
        <v>53</v>
      </c>
      <c r="AC551" s="97">
        <v>918</v>
      </c>
      <c r="AD551" s="97">
        <v>56</v>
      </c>
      <c r="AE551" s="97">
        <v>40</v>
      </c>
      <c r="AF551" s="97">
        <v>817</v>
      </c>
      <c r="AG551" s="97">
        <v>444.5</v>
      </c>
      <c r="AH551" s="97">
        <v>33</v>
      </c>
      <c r="AI551" s="97">
        <v>548</v>
      </c>
    </row>
    <row r="552" spans="1:35" ht="15" customHeight="1">
      <c r="A552" s="97" t="s">
        <v>2577</v>
      </c>
      <c r="B552" s="97" t="s">
        <v>2577</v>
      </c>
      <c r="C552" s="97" t="s">
        <v>2578</v>
      </c>
      <c r="D552" s="97" t="s">
        <v>3198</v>
      </c>
      <c r="E552" s="97" t="s">
        <v>131</v>
      </c>
      <c r="F552" s="97">
        <v>83</v>
      </c>
      <c r="G552" s="97">
        <v>48</v>
      </c>
      <c r="H552" s="97">
        <v>897</v>
      </c>
      <c r="I552" s="97">
        <v>67</v>
      </c>
      <c r="J552" s="97">
        <v>38</v>
      </c>
      <c r="K552" s="97">
        <v>565</v>
      </c>
      <c r="L552" s="97">
        <v>70.5</v>
      </c>
      <c r="M552" s="97">
        <v>51</v>
      </c>
      <c r="N552" s="97">
        <v>834</v>
      </c>
      <c r="O552" s="97">
        <v>99</v>
      </c>
      <c r="P552" s="97">
        <v>2</v>
      </c>
      <c r="Q552" s="97">
        <v>25</v>
      </c>
      <c r="R552" s="97">
        <v>54</v>
      </c>
      <c r="S552" s="97">
        <v>25</v>
      </c>
      <c r="T552" s="97">
        <v>494</v>
      </c>
      <c r="U552" s="97">
        <v>71</v>
      </c>
      <c r="V552" s="97">
        <v>26</v>
      </c>
      <c r="W552" s="97">
        <v>462</v>
      </c>
      <c r="X552" s="97">
        <v>72</v>
      </c>
      <c r="Y552" s="97">
        <v>17</v>
      </c>
      <c r="Z552" s="97">
        <v>396</v>
      </c>
      <c r="AA552" s="97">
        <v>75</v>
      </c>
      <c r="AB552" s="97">
        <v>1</v>
      </c>
      <c r="AC552" s="97">
        <v>10</v>
      </c>
      <c r="AD552" s="97">
        <v>80</v>
      </c>
      <c r="AE552" s="97">
        <v>3</v>
      </c>
      <c r="AF552" s="97">
        <v>54</v>
      </c>
      <c r="AG552" s="97">
        <v>444.5</v>
      </c>
      <c r="AH552" s="97">
        <v>29</v>
      </c>
      <c r="AI552" s="97">
        <v>548</v>
      </c>
    </row>
    <row r="553" spans="1:35" ht="15" customHeight="1">
      <c r="A553" s="97" t="s">
        <v>2282</v>
      </c>
      <c r="B553" s="97" t="s">
        <v>2282</v>
      </c>
      <c r="C553" s="97" t="s">
        <v>2283</v>
      </c>
      <c r="D553" s="97" t="s">
        <v>3198</v>
      </c>
      <c r="E553" s="97" t="s">
        <v>7</v>
      </c>
      <c r="F553" s="97">
        <v>115</v>
      </c>
      <c r="G553" s="97">
        <v>3</v>
      </c>
      <c r="H553" s="97">
        <v>65</v>
      </c>
      <c r="I553" s="97">
        <v>66</v>
      </c>
      <c r="J553" s="97">
        <v>21</v>
      </c>
      <c r="K553" s="97">
        <v>584</v>
      </c>
      <c r="L553" s="97">
        <v>85</v>
      </c>
      <c r="M553" s="97">
        <v>34</v>
      </c>
      <c r="N553" s="97">
        <v>592</v>
      </c>
      <c r="O553" s="97">
        <v>51</v>
      </c>
      <c r="P553" s="97">
        <v>47</v>
      </c>
      <c r="Q553" s="97">
        <v>771</v>
      </c>
      <c r="R553" s="97">
        <v>47</v>
      </c>
      <c r="S553" s="97">
        <v>35</v>
      </c>
      <c r="T553" s="97">
        <v>673</v>
      </c>
      <c r="U553" s="97">
        <v>80</v>
      </c>
      <c r="V553" s="97">
        <v>9</v>
      </c>
      <c r="W553" s="97">
        <v>205</v>
      </c>
      <c r="X553" s="97">
        <v>84</v>
      </c>
      <c r="Y553" s="97">
        <v>8</v>
      </c>
      <c r="Z553" s="97">
        <v>59</v>
      </c>
      <c r="AA553" s="97">
        <v>57</v>
      </c>
      <c r="AB553" s="97">
        <v>20</v>
      </c>
      <c r="AC553" s="97">
        <v>306</v>
      </c>
      <c r="AD553" s="97">
        <v>64</v>
      </c>
      <c r="AE553" s="97">
        <v>32</v>
      </c>
      <c r="AF553" s="97">
        <v>586</v>
      </c>
      <c r="AG553" s="97">
        <v>444</v>
      </c>
      <c r="AH553" s="97">
        <v>25</v>
      </c>
      <c r="AI553" s="97">
        <v>550</v>
      </c>
    </row>
    <row r="554" spans="1:35" ht="15" customHeight="1">
      <c r="A554" s="97" t="s">
        <v>1921</v>
      </c>
      <c r="B554" s="97" t="s">
        <v>1921</v>
      </c>
      <c r="C554" s="97" t="s">
        <v>1922</v>
      </c>
      <c r="D554" s="97" t="s">
        <v>3198</v>
      </c>
      <c r="E554" s="97" t="s">
        <v>34</v>
      </c>
      <c r="F554" s="97">
        <v>99</v>
      </c>
      <c r="G554" s="97">
        <v>37</v>
      </c>
      <c r="H554" s="97">
        <v>571</v>
      </c>
      <c r="I554" s="97">
        <v>77</v>
      </c>
      <c r="J554" s="97">
        <v>20</v>
      </c>
      <c r="K554" s="97">
        <v>369</v>
      </c>
      <c r="L554" s="97">
        <v>81</v>
      </c>
      <c r="M554" s="97">
        <v>43</v>
      </c>
      <c r="N554" s="97">
        <v>679</v>
      </c>
      <c r="O554" s="97">
        <v>69</v>
      </c>
      <c r="P554" s="97">
        <v>21</v>
      </c>
      <c r="Q554" s="97">
        <v>428</v>
      </c>
      <c r="R554" s="97">
        <v>56</v>
      </c>
      <c r="S554" s="97">
        <v>24</v>
      </c>
      <c r="T554" s="97">
        <v>433</v>
      </c>
      <c r="U554" s="97">
        <v>62</v>
      </c>
      <c r="V554" s="97">
        <v>38</v>
      </c>
      <c r="W554" s="97">
        <v>716</v>
      </c>
      <c r="X554" s="97">
        <v>68</v>
      </c>
      <c r="Y554" s="97">
        <v>37</v>
      </c>
      <c r="Z554" s="97">
        <v>541</v>
      </c>
      <c r="AA554" s="97">
        <v>52</v>
      </c>
      <c r="AB554" s="97">
        <v>25</v>
      </c>
      <c r="AC554" s="97">
        <v>509</v>
      </c>
      <c r="AD554" s="97">
        <v>65</v>
      </c>
      <c r="AE554" s="97">
        <v>29</v>
      </c>
      <c r="AF554" s="97">
        <v>548</v>
      </c>
      <c r="AG554" s="97">
        <v>444</v>
      </c>
      <c r="AH554" s="97">
        <v>30</v>
      </c>
      <c r="AI554" s="97">
        <v>550</v>
      </c>
    </row>
    <row r="555" spans="1:35" ht="15" customHeight="1">
      <c r="A555" s="97" t="s">
        <v>2205</v>
      </c>
      <c r="B555" s="97" t="s">
        <v>2205</v>
      </c>
      <c r="C555" s="97" t="s">
        <v>2206</v>
      </c>
      <c r="D555" s="97" t="s">
        <v>3198</v>
      </c>
      <c r="E555" s="97" t="s">
        <v>73</v>
      </c>
      <c r="F555" s="97">
        <v>101</v>
      </c>
      <c r="G555" s="97">
        <v>27</v>
      </c>
      <c r="H555" s="97">
        <v>481</v>
      </c>
      <c r="I555" s="97">
        <v>70</v>
      </c>
      <c r="J555" s="97">
        <v>20</v>
      </c>
      <c r="K555" s="97">
        <v>505</v>
      </c>
      <c r="L555" s="97">
        <v>74</v>
      </c>
      <c r="M555" s="97">
        <v>50</v>
      </c>
      <c r="N555" s="97">
        <v>791</v>
      </c>
      <c r="O555" s="97">
        <v>70</v>
      </c>
      <c r="P555" s="97">
        <v>20</v>
      </c>
      <c r="Q555" s="97">
        <v>400</v>
      </c>
      <c r="R555" s="97">
        <v>52</v>
      </c>
      <c r="S555" s="97">
        <v>28</v>
      </c>
      <c r="T555" s="97">
        <v>551</v>
      </c>
      <c r="U555" s="97">
        <v>77</v>
      </c>
      <c r="V555" s="97">
        <v>14</v>
      </c>
      <c r="W555" s="97">
        <v>275</v>
      </c>
      <c r="X555" s="97">
        <v>70</v>
      </c>
      <c r="Y555" s="97">
        <v>25</v>
      </c>
      <c r="Z555" s="97">
        <v>473</v>
      </c>
      <c r="AA555" s="97">
        <v>54</v>
      </c>
      <c r="AB555" s="97">
        <v>26</v>
      </c>
      <c r="AC555" s="97">
        <v>428</v>
      </c>
      <c r="AD555" s="97">
        <v>62</v>
      </c>
      <c r="AE555" s="97">
        <v>47</v>
      </c>
      <c r="AF555" s="97">
        <v>672</v>
      </c>
      <c r="AG555" s="97">
        <v>444</v>
      </c>
      <c r="AH555" s="97">
        <v>32</v>
      </c>
      <c r="AI555" s="97">
        <v>550</v>
      </c>
    </row>
    <row r="556" spans="1:35" ht="15" customHeight="1">
      <c r="A556" s="97" t="s">
        <v>2382</v>
      </c>
      <c r="B556" s="97" t="s">
        <v>2382</v>
      </c>
      <c r="C556" s="97" t="s">
        <v>2392</v>
      </c>
      <c r="D556" s="97" t="s">
        <v>3198</v>
      </c>
      <c r="E556" s="97" t="s">
        <v>7</v>
      </c>
      <c r="F556" s="97">
        <v>103</v>
      </c>
      <c r="G556" s="97">
        <v>20</v>
      </c>
      <c r="H556" s="97">
        <v>400</v>
      </c>
      <c r="I556" s="97">
        <v>72</v>
      </c>
      <c r="J556" s="97">
        <v>16</v>
      </c>
      <c r="K556" s="97">
        <v>458</v>
      </c>
      <c r="L556" s="97">
        <v>87.5</v>
      </c>
      <c r="M556" s="97">
        <v>27</v>
      </c>
      <c r="N556" s="97">
        <v>541</v>
      </c>
      <c r="O556" s="97">
        <v>70</v>
      </c>
      <c r="P556" s="97">
        <v>16</v>
      </c>
      <c r="Q556" s="97">
        <v>400</v>
      </c>
      <c r="R556" s="97">
        <v>43</v>
      </c>
      <c r="S556" s="97">
        <v>38</v>
      </c>
      <c r="T556" s="97">
        <v>757</v>
      </c>
      <c r="U556" s="97">
        <v>68</v>
      </c>
      <c r="V556" s="97">
        <v>31</v>
      </c>
      <c r="W556" s="97">
        <v>555</v>
      </c>
      <c r="X556" s="97">
        <v>72</v>
      </c>
      <c r="Y556" s="97">
        <v>38</v>
      </c>
      <c r="Z556" s="97">
        <v>396</v>
      </c>
      <c r="AA556" s="97">
        <v>51</v>
      </c>
      <c r="AB556" s="97">
        <v>38</v>
      </c>
      <c r="AC556" s="97">
        <v>555</v>
      </c>
      <c r="AD556" s="97">
        <v>53</v>
      </c>
      <c r="AE556" s="97">
        <v>49</v>
      </c>
      <c r="AF556" s="97">
        <v>869</v>
      </c>
      <c r="AG556" s="97">
        <v>443.5</v>
      </c>
      <c r="AH556" s="97">
        <v>26</v>
      </c>
      <c r="AI556" s="97">
        <v>553</v>
      </c>
    </row>
    <row r="557" spans="1:35" ht="15" customHeight="1">
      <c r="A557" s="97" t="s">
        <v>2408</v>
      </c>
      <c r="B557" s="97" t="s">
        <v>2408</v>
      </c>
      <c r="C557" s="97" t="s">
        <v>2415</v>
      </c>
      <c r="D557" s="97" t="s">
        <v>3198</v>
      </c>
      <c r="E557" s="97" t="s">
        <v>7</v>
      </c>
      <c r="F557" s="97">
        <v>102</v>
      </c>
      <c r="G557" s="97">
        <v>24</v>
      </c>
      <c r="H557" s="97">
        <v>442</v>
      </c>
      <c r="I557" s="97">
        <v>70</v>
      </c>
      <c r="J557" s="97">
        <v>18</v>
      </c>
      <c r="K557" s="97">
        <v>505</v>
      </c>
      <c r="L557" s="97">
        <v>96.5</v>
      </c>
      <c r="M557" s="97">
        <v>14</v>
      </c>
      <c r="N557" s="97">
        <v>337</v>
      </c>
      <c r="O557" s="97">
        <v>56</v>
      </c>
      <c r="P557" s="97">
        <v>41</v>
      </c>
      <c r="Q557" s="97">
        <v>682</v>
      </c>
      <c r="R557" s="97">
        <v>41</v>
      </c>
      <c r="S557" s="97">
        <v>41</v>
      </c>
      <c r="T557" s="97">
        <v>795</v>
      </c>
      <c r="U557" s="97">
        <v>78</v>
      </c>
      <c r="V557" s="97">
        <v>13</v>
      </c>
      <c r="W557" s="97">
        <v>250</v>
      </c>
      <c r="X557" s="97">
        <v>91</v>
      </c>
      <c r="Y557" s="97">
        <v>1</v>
      </c>
      <c r="Z557" s="97">
        <v>1</v>
      </c>
      <c r="AA557" s="97">
        <v>58</v>
      </c>
      <c r="AB557" s="97">
        <v>15</v>
      </c>
      <c r="AC557" s="97">
        <v>278</v>
      </c>
      <c r="AD557" s="97">
        <v>65</v>
      </c>
      <c r="AE557" s="97">
        <v>30</v>
      </c>
      <c r="AF557" s="97">
        <v>548</v>
      </c>
      <c r="AG557" s="97">
        <v>443.5</v>
      </c>
      <c r="AH557" s="97">
        <v>26</v>
      </c>
      <c r="AI557" s="97">
        <v>553</v>
      </c>
    </row>
    <row r="558" spans="1:35" ht="15" customHeight="1">
      <c r="A558" s="97" t="s">
        <v>813</v>
      </c>
      <c r="B558" s="97" t="s">
        <v>813</v>
      </c>
      <c r="C558" s="97" t="s">
        <v>814</v>
      </c>
      <c r="D558" s="97" t="s">
        <v>3198</v>
      </c>
      <c r="E558" s="97" t="s">
        <v>117</v>
      </c>
      <c r="F558" s="97">
        <v>89</v>
      </c>
      <c r="G558" s="97">
        <v>47</v>
      </c>
      <c r="H558" s="97">
        <v>835</v>
      </c>
      <c r="I558" s="97">
        <v>84</v>
      </c>
      <c r="J558" s="97">
        <v>12</v>
      </c>
      <c r="K558" s="97">
        <v>251</v>
      </c>
      <c r="L558" s="97">
        <v>107.5</v>
      </c>
      <c r="M558" s="97">
        <v>7</v>
      </c>
      <c r="N558" s="97">
        <v>141</v>
      </c>
      <c r="O558" s="97">
        <v>53</v>
      </c>
      <c r="P558" s="97">
        <v>43</v>
      </c>
      <c r="Q558" s="97">
        <v>739</v>
      </c>
      <c r="R558" s="97">
        <v>45</v>
      </c>
      <c r="S558" s="97">
        <v>41</v>
      </c>
      <c r="T558" s="97">
        <v>720</v>
      </c>
      <c r="U558" s="97">
        <v>65</v>
      </c>
      <c r="V558" s="97">
        <v>35</v>
      </c>
      <c r="W558" s="97">
        <v>643</v>
      </c>
      <c r="X558" s="97">
        <v>73</v>
      </c>
      <c r="Y558" s="97">
        <v>28</v>
      </c>
      <c r="Z558" s="97">
        <v>359</v>
      </c>
      <c r="AA558" s="97">
        <v>40</v>
      </c>
      <c r="AB558" s="97">
        <v>52</v>
      </c>
      <c r="AC558" s="97">
        <v>881</v>
      </c>
      <c r="AD558" s="97">
        <v>47</v>
      </c>
      <c r="AE558" s="97">
        <v>54</v>
      </c>
      <c r="AF558" s="97">
        <v>916</v>
      </c>
      <c r="AG558" s="97">
        <v>443.5</v>
      </c>
      <c r="AH558" s="97">
        <v>32</v>
      </c>
      <c r="AI558" s="97">
        <v>553</v>
      </c>
    </row>
    <row r="559" spans="1:35" ht="15" customHeight="1">
      <c r="A559" s="97" t="s">
        <v>305</v>
      </c>
      <c r="B559" s="97" t="s">
        <v>305</v>
      </c>
      <c r="C559" s="97" t="s">
        <v>306</v>
      </c>
      <c r="D559" s="97" t="s">
        <v>3198</v>
      </c>
      <c r="E559" s="97" t="s">
        <v>28</v>
      </c>
      <c r="F559" s="97">
        <v>104</v>
      </c>
      <c r="G559" s="97">
        <v>19</v>
      </c>
      <c r="H559" s="97">
        <v>357</v>
      </c>
      <c r="I559" s="97">
        <v>82</v>
      </c>
      <c r="J559" s="97">
        <v>14</v>
      </c>
      <c r="K559" s="97">
        <v>290</v>
      </c>
      <c r="L559" s="97">
        <v>74</v>
      </c>
      <c r="M559" s="97">
        <v>46</v>
      </c>
      <c r="N559" s="97">
        <v>791</v>
      </c>
      <c r="O559" s="97">
        <v>67</v>
      </c>
      <c r="P559" s="97">
        <v>30</v>
      </c>
      <c r="Q559" s="97">
        <v>468</v>
      </c>
      <c r="R559" s="97">
        <v>48</v>
      </c>
      <c r="S559" s="97">
        <v>34</v>
      </c>
      <c r="T559" s="97">
        <v>649</v>
      </c>
      <c r="U559" s="97">
        <v>68</v>
      </c>
      <c r="V559" s="97">
        <v>29</v>
      </c>
      <c r="W559" s="97">
        <v>555</v>
      </c>
      <c r="X559" s="97">
        <v>86</v>
      </c>
      <c r="Y559" s="97">
        <v>2</v>
      </c>
      <c r="Z559" s="97">
        <v>34</v>
      </c>
      <c r="AA559" s="97">
        <v>42</v>
      </c>
      <c r="AB559" s="97">
        <v>52</v>
      </c>
      <c r="AC559" s="97">
        <v>845</v>
      </c>
      <c r="AD559" s="97">
        <v>73</v>
      </c>
      <c r="AE559" s="97">
        <v>10</v>
      </c>
      <c r="AF559" s="97">
        <v>216</v>
      </c>
      <c r="AG559" s="97">
        <v>443</v>
      </c>
      <c r="AH559" s="97">
        <v>31</v>
      </c>
      <c r="AI559" s="97">
        <v>556</v>
      </c>
    </row>
    <row r="560" spans="1:35" ht="15" customHeight="1">
      <c r="A560" s="97" t="s">
        <v>1457</v>
      </c>
      <c r="B560" s="97" t="s">
        <v>1457</v>
      </c>
      <c r="C560" s="97" t="s">
        <v>1458</v>
      </c>
      <c r="D560" s="97" t="s">
        <v>3198</v>
      </c>
      <c r="E560" s="97" t="s">
        <v>56</v>
      </c>
      <c r="F560" s="97">
        <v>98</v>
      </c>
      <c r="G560" s="97">
        <v>31</v>
      </c>
      <c r="H560" s="97">
        <v>611</v>
      </c>
      <c r="I560" s="97">
        <v>58</v>
      </c>
      <c r="J560" s="97">
        <v>34</v>
      </c>
      <c r="K560" s="97">
        <v>734</v>
      </c>
      <c r="L560" s="97">
        <v>75</v>
      </c>
      <c r="M560" s="97">
        <v>46</v>
      </c>
      <c r="N560" s="97">
        <v>776</v>
      </c>
      <c r="O560" s="97">
        <v>64</v>
      </c>
      <c r="P560" s="97">
        <v>28</v>
      </c>
      <c r="Q560" s="97">
        <v>517</v>
      </c>
      <c r="R560" s="97">
        <v>79</v>
      </c>
      <c r="S560" s="97">
        <v>1</v>
      </c>
      <c r="T560" s="97">
        <v>49</v>
      </c>
      <c r="U560" s="97">
        <v>69</v>
      </c>
      <c r="V560" s="97">
        <v>37</v>
      </c>
      <c r="W560" s="97">
        <v>523</v>
      </c>
      <c r="X560" s="97">
        <v>58</v>
      </c>
      <c r="Y560" s="97">
        <v>52</v>
      </c>
      <c r="Z560" s="97">
        <v>820</v>
      </c>
      <c r="AA560" s="97">
        <v>56</v>
      </c>
      <c r="AB560" s="97">
        <v>10</v>
      </c>
      <c r="AC560" s="97">
        <v>352</v>
      </c>
      <c r="AD560" s="97">
        <v>61</v>
      </c>
      <c r="AE560" s="97">
        <v>41</v>
      </c>
      <c r="AF560" s="97">
        <v>703</v>
      </c>
      <c r="AG560" s="97">
        <v>443</v>
      </c>
      <c r="AH560" s="97">
        <v>32</v>
      </c>
      <c r="AI560" s="97">
        <v>556</v>
      </c>
    </row>
    <row r="561" spans="1:35" ht="15" customHeight="1">
      <c r="A561" s="97" t="s">
        <v>2323</v>
      </c>
      <c r="B561" s="97" t="s">
        <v>2323</v>
      </c>
      <c r="C561" s="97" t="s">
        <v>2327</v>
      </c>
      <c r="D561" s="97" t="s">
        <v>3198</v>
      </c>
      <c r="E561" s="97" t="s">
        <v>7</v>
      </c>
      <c r="F561" s="97">
        <v>116</v>
      </c>
      <c r="G561" s="97">
        <v>2</v>
      </c>
      <c r="H561" s="97">
        <v>47</v>
      </c>
      <c r="I561" s="97">
        <v>61</v>
      </c>
      <c r="J561" s="97">
        <v>32</v>
      </c>
      <c r="K561" s="97">
        <v>678</v>
      </c>
      <c r="L561" s="97">
        <v>89</v>
      </c>
      <c r="M561" s="97">
        <v>24</v>
      </c>
      <c r="N561" s="97">
        <v>509</v>
      </c>
      <c r="O561" s="97">
        <v>59</v>
      </c>
      <c r="P561" s="97">
        <v>34</v>
      </c>
      <c r="Q561" s="97">
        <v>626</v>
      </c>
      <c r="R561" s="97">
        <v>48</v>
      </c>
      <c r="S561" s="97">
        <v>33</v>
      </c>
      <c r="T561" s="97">
        <v>649</v>
      </c>
      <c r="U561" s="97">
        <v>70</v>
      </c>
      <c r="V561" s="97">
        <v>25</v>
      </c>
      <c r="W561" s="97">
        <v>485</v>
      </c>
      <c r="X561" s="97">
        <v>68</v>
      </c>
      <c r="Y561" s="97">
        <v>44</v>
      </c>
      <c r="Z561" s="97">
        <v>541</v>
      </c>
      <c r="AA561" s="97">
        <v>44</v>
      </c>
      <c r="AB561" s="97">
        <v>51</v>
      </c>
      <c r="AC561" s="97">
        <v>804</v>
      </c>
      <c r="AD561" s="97">
        <v>56</v>
      </c>
      <c r="AE561" s="97">
        <v>45</v>
      </c>
      <c r="AF561" s="97">
        <v>817</v>
      </c>
      <c r="AG561" s="97">
        <v>443</v>
      </c>
      <c r="AH561" s="97">
        <v>28</v>
      </c>
      <c r="AI561" s="97">
        <v>556</v>
      </c>
    </row>
    <row r="562" spans="1:35" ht="15" customHeight="1">
      <c r="A562" s="97" t="s">
        <v>2156</v>
      </c>
      <c r="B562" s="97" t="s">
        <v>2156</v>
      </c>
      <c r="C562" s="97" t="s">
        <v>1717</v>
      </c>
      <c r="D562" s="97" t="s">
        <v>3198</v>
      </c>
      <c r="E562" s="97" t="s">
        <v>73</v>
      </c>
      <c r="F562" s="97">
        <v>101</v>
      </c>
      <c r="G562" s="97">
        <v>27</v>
      </c>
      <c r="H562" s="97">
        <v>481</v>
      </c>
      <c r="I562" s="97">
        <v>56</v>
      </c>
      <c r="J562" s="97">
        <v>42</v>
      </c>
      <c r="K562" s="97">
        <v>755</v>
      </c>
      <c r="L562" s="97">
        <v>98.5</v>
      </c>
      <c r="M562" s="97">
        <v>19</v>
      </c>
      <c r="N562" s="97">
        <v>285</v>
      </c>
      <c r="O562" s="97">
        <v>69</v>
      </c>
      <c r="P562" s="97">
        <v>22</v>
      </c>
      <c r="Q562" s="97">
        <v>428</v>
      </c>
      <c r="R562" s="97">
        <v>58</v>
      </c>
      <c r="S562" s="97">
        <v>19</v>
      </c>
      <c r="T562" s="97">
        <v>377</v>
      </c>
      <c r="U562" s="97">
        <v>60</v>
      </c>
      <c r="V562" s="97">
        <v>41</v>
      </c>
      <c r="W562" s="97">
        <v>748</v>
      </c>
      <c r="X562" s="97">
        <v>72</v>
      </c>
      <c r="Y562" s="97">
        <v>18</v>
      </c>
      <c r="Z562" s="97">
        <v>396</v>
      </c>
      <c r="AA562" s="97">
        <v>45</v>
      </c>
      <c r="AB562" s="97">
        <v>46</v>
      </c>
      <c r="AC562" s="97">
        <v>781</v>
      </c>
      <c r="AD562" s="97">
        <v>64</v>
      </c>
      <c r="AE562" s="97">
        <v>40</v>
      </c>
      <c r="AF562" s="97">
        <v>586</v>
      </c>
      <c r="AG562" s="97">
        <v>442.5</v>
      </c>
      <c r="AH562" s="97">
        <v>33</v>
      </c>
      <c r="AI562" s="97">
        <v>559</v>
      </c>
    </row>
    <row r="563" spans="1:35" ht="15" customHeight="1">
      <c r="A563" s="97" t="s">
        <v>1937</v>
      </c>
      <c r="B563" s="97" t="s">
        <v>1937</v>
      </c>
      <c r="C563" s="97" t="s">
        <v>62</v>
      </c>
      <c r="D563" s="97" t="s">
        <v>3198</v>
      </c>
      <c r="E563" s="97" t="s">
        <v>34</v>
      </c>
      <c r="F563" s="97">
        <v>112</v>
      </c>
      <c r="G563" s="97">
        <v>7</v>
      </c>
      <c r="H563" s="97">
        <v>114</v>
      </c>
      <c r="I563" s="97">
        <v>66</v>
      </c>
      <c r="J563" s="97">
        <v>34</v>
      </c>
      <c r="K563" s="97">
        <v>584</v>
      </c>
      <c r="L563" s="97">
        <v>69</v>
      </c>
      <c r="M563" s="97">
        <v>50</v>
      </c>
      <c r="N563" s="97">
        <v>851</v>
      </c>
      <c r="O563" s="97">
        <v>76</v>
      </c>
      <c r="P563" s="97">
        <v>8</v>
      </c>
      <c r="Q563" s="97">
        <v>287</v>
      </c>
      <c r="R563" s="97">
        <v>56</v>
      </c>
      <c r="S563" s="97">
        <v>24</v>
      </c>
      <c r="T563" s="97">
        <v>433</v>
      </c>
      <c r="U563" s="97">
        <v>63</v>
      </c>
      <c r="V563" s="97">
        <v>35</v>
      </c>
      <c r="W563" s="97">
        <v>692</v>
      </c>
      <c r="X563" s="97">
        <v>78</v>
      </c>
      <c r="Y563" s="97">
        <v>18</v>
      </c>
      <c r="Z563" s="97">
        <v>209</v>
      </c>
      <c r="AA563" s="97">
        <v>57</v>
      </c>
      <c r="AB563" s="97">
        <v>16</v>
      </c>
      <c r="AC563" s="97">
        <v>306</v>
      </c>
      <c r="AD563" s="97">
        <v>65</v>
      </c>
      <c r="AE563" s="97">
        <v>29</v>
      </c>
      <c r="AF563" s="97">
        <v>548</v>
      </c>
      <c r="AG563" s="97">
        <v>442</v>
      </c>
      <c r="AH563" s="97">
        <v>31</v>
      </c>
      <c r="AI563" s="97">
        <v>560</v>
      </c>
    </row>
    <row r="564" spans="1:35" ht="15" customHeight="1">
      <c r="A564" s="97" t="s">
        <v>1068</v>
      </c>
      <c r="B564" s="97" t="s">
        <v>1068</v>
      </c>
      <c r="C564" s="97" t="s">
        <v>1069</v>
      </c>
      <c r="D564" s="97" t="s">
        <v>3198</v>
      </c>
      <c r="E564" s="97" t="s">
        <v>68</v>
      </c>
      <c r="F564" s="97">
        <v>104</v>
      </c>
      <c r="G564" s="97">
        <v>21</v>
      </c>
      <c r="H564" s="97">
        <v>357</v>
      </c>
      <c r="I564" s="97">
        <v>73</v>
      </c>
      <c r="J564" s="97">
        <v>31</v>
      </c>
      <c r="K564" s="97">
        <v>438</v>
      </c>
      <c r="L564" s="97">
        <v>83</v>
      </c>
      <c r="M564" s="97">
        <v>30</v>
      </c>
      <c r="N564" s="97">
        <v>642</v>
      </c>
      <c r="O564" s="97">
        <v>51</v>
      </c>
      <c r="P564" s="97">
        <v>45</v>
      </c>
      <c r="Q564" s="97">
        <v>771</v>
      </c>
      <c r="R564" s="97">
        <v>58</v>
      </c>
      <c r="S564" s="97">
        <v>22</v>
      </c>
      <c r="T564" s="97">
        <v>377</v>
      </c>
      <c r="U564" s="97">
        <v>73</v>
      </c>
      <c r="V564" s="97">
        <v>21</v>
      </c>
      <c r="W564" s="97">
        <v>393</v>
      </c>
      <c r="X564" s="97">
        <v>71</v>
      </c>
      <c r="Y564" s="97">
        <v>23</v>
      </c>
      <c r="Z564" s="97">
        <v>439</v>
      </c>
      <c r="AA564" s="97">
        <v>61</v>
      </c>
      <c r="AB564" s="97">
        <v>4</v>
      </c>
      <c r="AC564" s="97">
        <v>172</v>
      </c>
      <c r="AD564" s="97">
        <v>62</v>
      </c>
      <c r="AE564" s="97">
        <v>37</v>
      </c>
      <c r="AF564" s="97">
        <v>672</v>
      </c>
      <c r="AG564" s="97">
        <v>442</v>
      </c>
      <c r="AH564" s="97">
        <v>29</v>
      </c>
      <c r="AI564" s="97">
        <v>560</v>
      </c>
    </row>
    <row r="565" spans="1:35" ht="15" customHeight="1">
      <c r="A565" s="97" t="s">
        <v>1514</v>
      </c>
      <c r="B565" s="97" t="s">
        <v>1514</v>
      </c>
      <c r="C565" s="97" t="s">
        <v>1515</v>
      </c>
      <c r="D565" s="97" t="s">
        <v>3198</v>
      </c>
      <c r="E565" s="97" t="s">
        <v>56</v>
      </c>
      <c r="F565" s="97">
        <v>100</v>
      </c>
      <c r="G565" s="97">
        <v>24</v>
      </c>
      <c r="H565" s="97">
        <v>528</v>
      </c>
      <c r="I565" s="97">
        <v>71</v>
      </c>
      <c r="J565" s="97">
        <v>19</v>
      </c>
      <c r="K565" s="97">
        <v>475</v>
      </c>
      <c r="L565" s="97">
        <v>101</v>
      </c>
      <c r="M565" s="97">
        <v>9</v>
      </c>
      <c r="N565" s="97">
        <v>234</v>
      </c>
      <c r="O565" s="97">
        <v>64</v>
      </c>
      <c r="P565" s="97">
        <v>28</v>
      </c>
      <c r="Q565" s="97">
        <v>517</v>
      </c>
      <c r="R565" s="97">
        <v>27</v>
      </c>
      <c r="S565" s="97">
        <v>48</v>
      </c>
      <c r="T565" s="97">
        <v>914</v>
      </c>
      <c r="U565" s="97">
        <v>79</v>
      </c>
      <c r="V565" s="97">
        <v>20</v>
      </c>
      <c r="W565" s="97">
        <v>229</v>
      </c>
      <c r="X565" s="97">
        <v>72</v>
      </c>
      <c r="Y565" s="97">
        <v>23</v>
      </c>
      <c r="Z565" s="97">
        <v>396</v>
      </c>
      <c r="AA565" s="97">
        <v>39</v>
      </c>
      <c r="AB565" s="97">
        <v>53</v>
      </c>
      <c r="AC565" s="97">
        <v>895</v>
      </c>
      <c r="AD565" s="97">
        <v>70</v>
      </c>
      <c r="AE565" s="97">
        <v>20</v>
      </c>
      <c r="AF565" s="97">
        <v>327</v>
      </c>
      <c r="AG565" s="97">
        <v>442</v>
      </c>
      <c r="AH565" s="97">
        <v>33</v>
      </c>
      <c r="AI565" s="97">
        <v>560</v>
      </c>
    </row>
    <row r="566" spans="1:35" ht="15" customHeight="1">
      <c r="A566" s="97" t="s">
        <v>905</v>
      </c>
      <c r="B566" s="97" t="s">
        <v>905</v>
      </c>
      <c r="C566" s="97" t="s">
        <v>909</v>
      </c>
      <c r="D566" s="97" t="s">
        <v>3198</v>
      </c>
      <c r="E566" s="97" t="s">
        <v>60</v>
      </c>
      <c r="F566" s="97">
        <v>85</v>
      </c>
      <c r="G566" s="97">
        <v>56</v>
      </c>
      <c r="H566" s="97">
        <v>885</v>
      </c>
      <c r="I566" s="97">
        <v>66</v>
      </c>
      <c r="J566" s="97">
        <v>33</v>
      </c>
      <c r="K566" s="97">
        <v>584</v>
      </c>
      <c r="L566" s="97">
        <v>110.5</v>
      </c>
      <c r="M566" s="97">
        <v>4</v>
      </c>
      <c r="N566" s="97">
        <v>102</v>
      </c>
      <c r="O566" s="97">
        <v>69</v>
      </c>
      <c r="P566" s="97">
        <v>23</v>
      </c>
      <c r="Q566" s="97">
        <v>428</v>
      </c>
      <c r="R566" s="97">
        <v>53</v>
      </c>
      <c r="S566" s="97">
        <v>35</v>
      </c>
      <c r="T566" s="97">
        <v>526</v>
      </c>
      <c r="U566" s="97">
        <v>58</v>
      </c>
      <c r="V566" s="97">
        <v>48</v>
      </c>
      <c r="W566" s="97">
        <v>786</v>
      </c>
      <c r="X566" s="97">
        <v>78</v>
      </c>
      <c r="Y566" s="97">
        <v>10</v>
      </c>
      <c r="Z566" s="97">
        <v>209</v>
      </c>
      <c r="AA566" s="97">
        <v>48</v>
      </c>
      <c r="AB566" s="97">
        <v>36</v>
      </c>
      <c r="AC566" s="97">
        <v>671</v>
      </c>
      <c r="AD566" s="97">
        <v>64</v>
      </c>
      <c r="AE566" s="97">
        <v>28</v>
      </c>
      <c r="AF566" s="97">
        <v>586</v>
      </c>
      <c r="AG566" s="97">
        <v>441.5</v>
      </c>
      <c r="AH566" s="97">
        <v>31</v>
      </c>
      <c r="AI566" s="97">
        <v>563</v>
      </c>
    </row>
    <row r="567" spans="1:35" ht="15" customHeight="1">
      <c r="A567" s="97" t="s">
        <v>569</v>
      </c>
      <c r="B567" s="97" t="s">
        <v>569</v>
      </c>
      <c r="C567" s="97" t="s">
        <v>570</v>
      </c>
      <c r="D567" s="97" t="s">
        <v>3198</v>
      </c>
      <c r="E567" s="97" t="s">
        <v>17</v>
      </c>
      <c r="F567" s="97">
        <v>98</v>
      </c>
      <c r="G567" s="97">
        <v>36</v>
      </c>
      <c r="H567" s="97">
        <v>611</v>
      </c>
      <c r="I567" s="97">
        <v>104</v>
      </c>
      <c r="J567" s="97">
        <v>5</v>
      </c>
      <c r="K567" s="97">
        <v>61</v>
      </c>
      <c r="L567" s="97">
        <v>54</v>
      </c>
      <c r="M567" s="97">
        <v>55</v>
      </c>
      <c r="N567" s="97">
        <v>926</v>
      </c>
      <c r="O567" s="97">
        <v>80</v>
      </c>
      <c r="P567" s="97">
        <v>6</v>
      </c>
      <c r="Q567" s="97">
        <v>207</v>
      </c>
      <c r="R567" s="97">
        <v>53</v>
      </c>
      <c r="S567" s="97">
        <v>32</v>
      </c>
      <c r="T567" s="97">
        <v>526</v>
      </c>
      <c r="U567" s="97">
        <v>52</v>
      </c>
      <c r="V567" s="97">
        <v>53</v>
      </c>
      <c r="W567" s="97">
        <v>866</v>
      </c>
      <c r="X567" s="97">
        <v>64</v>
      </c>
      <c r="Y567" s="97">
        <v>46</v>
      </c>
      <c r="Z567" s="97">
        <v>680</v>
      </c>
      <c r="AA567" s="97">
        <v>49</v>
      </c>
      <c r="AB567" s="97">
        <v>41</v>
      </c>
      <c r="AC567" s="97">
        <v>633</v>
      </c>
      <c r="AD567" s="97">
        <v>42</v>
      </c>
      <c r="AE567" s="97">
        <v>57</v>
      </c>
      <c r="AF567" s="97">
        <v>929</v>
      </c>
      <c r="AG567" s="97">
        <v>441</v>
      </c>
      <c r="AH567" s="97">
        <v>35</v>
      </c>
      <c r="AI567" s="97">
        <v>564</v>
      </c>
    </row>
    <row r="568" spans="1:35" ht="15" customHeight="1">
      <c r="A568" s="97" t="s">
        <v>1083</v>
      </c>
      <c r="B568" s="97" t="s">
        <v>1083</v>
      </c>
      <c r="C568" s="97" t="s">
        <v>1084</v>
      </c>
      <c r="D568" s="97" t="s">
        <v>3198</v>
      </c>
      <c r="E568" s="97" t="s">
        <v>68</v>
      </c>
      <c r="F568" s="97">
        <v>116</v>
      </c>
      <c r="G568" s="97">
        <v>2</v>
      </c>
      <c r="H568" s="97">
        <v>47</v>
      </c>
      <c r="I568" s="97">
        <v>77</v>
      </c>
      <c r="J568" s="97">
        <v>25</v>
      </c>
      <c r="K568" s="97">
        <v>369</v>
      </c>
      <c r="L568" s="97">
        <v>80</v>
      </c>
      <c r="M568" s="97">
        <v>34</v>
      </c>
      <c r="N568" s="97">
        <v>693</v>
      </c>
      <c r="O568" s="97">
        <v>44</v>
      </c>
      <c r="P568" s="97">
        <v>49</v>
      </c>
      <c r="Q568" s="97">
        <v>849</v>
      </c>
      <c r="R568" s="97">
        <v>65</v>
      </c>
      <c r="S568" s="97">
        <v>10</v>
      </c>
      <c r="T568" s="97">
        <v>223</v>
      </c>
      <c r="U568" s="97">
        <v>59</v>
      </c>
      <c r="V568" s="97">
        <v>46</v>
      </c>
      <c r="W568" s="97">
        <v>762</v>
      </c>
      <c r="X568" s="97">
        <v>79</v>
      </c>
      <c r="Y568" s="97">
        <v>7</v>
      </c>
      <c r="Z568" s="97">
        <v>175</v>
      </c>
      <c r="AA568" s="97">
        <v>46</v>
      </c>
      <c r="AB568" s="97">
        <v>43</v>
      </c>
      <c r="AC568" s="97">
        <v>755</v>
      </c>
      <c r="AD568" s="97">
        <v>77</v>
      </c>
      <c r="AE568" s="97">
        <v>5</v>
      </c>
      <c r="AF568" s="97">
        <v>102</v>
      </c>
      <c r="AG568" s="97">
        <v>441</v>
      </c>
      <c r="AH568" s="97">
        <v>30</v>
      </c>
      <c r="AI568" s="97">
        <v>564</v>
      </c>
    </row>
    <row r="569" spans="1:35" ht="15" customHeight="1">
      <c r="A569" s="97" t="s">
        <v>2311</v>
      </c>
      <c r="B569" s="97" t="s">
        <v>2311</v>
      </c>
      <c r="C569" s="97" t="s">
        <v>2312</v>
      </c>
      <c r="D569" s="97" t="s">
        <v>3198</v>
      </c>
      <c r="E569" s="97" t="s">
        <v>7</v>
      </c>
      <c r="F569" s="97">
        <v>96</v>
      </c>
      <c r="G569" s="97">
        <v>36</v>
      </c>
      <c r="H569" s="97">
        <v>676</v>
      </c>
      <c r="I569" s="97">
        <v>57</v>
      </c>
      <c r="J569" s="97">
        <v>40</v>
      </c>
      <c r="K569" s="97">
        <v>744</v>
      </c>
      <c r="L569" s="97">
        <v>72</v>
      </c>
      <c r="M569" s="97">
        <v>49</v>
      </c>
      <c r="N569" s="97">
        <v>821</v>
      </c>
      <c r="O569" s="97">
        <v>74</v>
      </c>
      <c r="P569" s="97">
        <v>13</v>
      </c>
      <c r="Q569" s="97">
        <v>317</v>
      </c>
      <c r="R569" s="97">
        <v>56</v>
      </c>
      <c r="S569" s="97">
        <v>17</v>
      </c>
      <c r="T569" s="97">
        <v>433</v>
      </c>
      <c r="U569" s="97">
        <v>86</v>
      </c>
      <c r="V569" s="97">
        <v>1</v>
      </c>
      <c r="W569" s="97">
        <v>77</v>
      </c>
      <c r="X569" s="97">
        <v>83</v>
      </c>
      <c r="Y569" s="97">
        <v>11</v>
      </c>
      <c r="Z569" s="97">
        <v>79</v>
      </c>
      <c r="AA569" s="97">
        <v>64</v>
      </c>
      <c r="AB569" s="97">
        <v>4</v>
      </c>
      <c r="AC569" s="97">
        <v>103</v>
      </c>
      <c r="AD569" s="97">
        <v>80</v>
      </c>
      <c r="AE569" s="97">
        <v>2</v>
      </c>
      <c r="AF569" s="97">
        <v>54</v>
      </c>
      <c r="AG569" s="97">
        <v>441</v>
      </c>
      <c r="AH569" s="97">
        <v>29</v>
      </c>
      <c r="AI569" s="97">
        <v>564</v>
      </c>
    </row>
    <row r="570" spans="1:35" ht="15" customHeight="1">
      <c r="A570" s="97" t="s">
        <v>2132</v>
      </c>
      <c r="B570" s="97" t="s">
        <v>2132</v>
      </c>
      <c r="C570" s="97" t="s">
        <v>2133</v>
      </c>
      <c r="D570" s="97" t="s">
        <v>3198</v>
      </c>
      <c r="E570" s="97" t="s">
        <v>73</v>
      </c>
      <c r="F570" s="97">
        <v>99</v>
      </c>
      <c r="G570" s="97">
        <v>36</v>
      </c>
      <c r="H570" s="97">
        <v>571</v>
      </c>
      <c r="I570" s="97">
        <v>83</v>
      </c>
      <c r="J570" s="97">
        <v>6</v>
      </c>
      <c r="K570" s="97">
        <v>267</v>
      </c>
      <c r="L570" s="97">
        <v>72.5</v>
      </c>
      <c r="M570" s="97">
        <v>51</v>
      </c>
      <c r="N570" s="97">
        <v>813</v>
      </c>
      <c r="O570" s="97">
        <v>67</v>
      </c>
      <c r="P570" s="97">
        <v>24</v>
      </c>
      <c r="Q570" s="97">
        <v>468</v>
      </c>
      <c r="R570" s="97">
        <v>52</v>
      </c>
      <c r="S570" s="97">
        <v>28</v>
      </c>
      <c r="T570" s="97">
        <v>551</v>
      </c>
      <c r="U570" s="97">
        <v>67</v>
      </c>
      <c r="V570" s="97">
        <v>31</v>
      </c>
      <c r="W570" s="97">
        <v>587</v>
      </c>
      <c r="X570" s="97">
        <v>59</v>
      </c>
      <c r="Y570" s="97">
        <v>46</v>
      </c>
      <c r="Z570" s="97">
        <v>799</v>
      </c>
      <c r="AA570" s="97">
        <v>58</v>
      </c>
      <c r="AB570" s="97">
        <v>14</v>
      </c>
      <c r="AC570" s="97">
        <v>278</v>
      </c>
      <c r="AD570" s="97">
        <v>67</v>
      </c>
      <c r="AE570" s="97">
        <v>33</v>
      </c>
      <c r="AF570" s="97">
        <v>471</v>
      </c>
      <c r="AG570" s="97">
        <v>440.5</v>
      </c>
      <c r="AH570" s="97">
        <v>34</v>
      </c>
      <c r="AI570" s="97">
        <v>567</v>
      </c>
    </row>
    <row r="571" spans="1:35" ht="15" customHeight="1">
      <c r="A571" s="97" t="s">
        <v>966</v>
      </c>
      <c r="B571" s="97" t="s">
        <v>966</v>
      </c>
      <c r="C571" s="97" t="s">
        <v>967</v>
      </c>
      <c r="D571" s="97" t="s">
        <v>3198</v>
      </c>
      <c r="E571" s="97" t="s">
        <v>60</v>
      </c>
      <c r="F571" s="97">
        <v>104</v>
      </c>
      <c r="G571" s="97">
        <v>26</v>
      </c>
      <c r="H571" s="97">
        <v>357</v>
      </c>
      <c r="I571" s="97">
        <v>80</v>
      </c>
      <c r="J571" s="97">
        <v>17</v>
      </c>
      <c r="K571" s="97">
        <v>325</v>
      </c>
      <c r="L571" s="97">
        <v>72.5</v>
      </c>
      <c r="M571" s="97">
        <v>41</v>
      </c>
      <c r="N571" s="97">
        <v>813</v>
      </c>
      <c r="O571" s="97">
        <v>57</v>
      </c>
      <c r="P571" s="97">
        <v>34</v>
      </c>
      <c r="Q571" s="97">
        <v>665</v>
      </c>
      <c r="R571" s="97">
        <v>60</v>
      </c>
      <c r="S571" s="97">
        <v>20</v>
      </c>
      <c r="T571" s="97">
        <v>322</v>
      </c>
      <c r="U571" s="97">
        <v>67</v>
      </c>
      <c r="V571" s="97">
        <v>29</v>
      </c>
      <c r="W571" s="97">
        <v>587</v>
      </c>
      <c r="X571" s="97">
        <v>86</v>
      </c>
      <c r="Y571" s="97">
        <v>1</v>
      </c>
      <c r="Z571" s="97">
        <v>34</v>
      </c>
      <c r="AA571" s="97">
        <v>52</v>
      </c>
      <c r="AB571" s="97">
        <v>25</v>
      </c>
      <c r="AC571" s="97">
        <v>509</v>
      </c>
      <c r="AD571" s="97">
        <v>59</v>
      </c>
      <c r="AE571" s="97">
        <v>44</v>
      </c>
      <c r="AF571" s="97">
        <v>746</v>
      </c>
      <c r="AG571" s="97">
        <v>440.5</v>
      </c>
      <c r="AH571" s="97">
        <v>32</v>
      </c>
      <c r="AI571" s="97">
        <v>567</v>
      </c>
    </row>
    <row r="572" spans="1:35" ht="15" customHeight="1">
      <c r="A572" s="97" t="s">
        <v>291</v>
      </c>
      <c r="B572" s="97" t="s">
        <v>291</v>
      </c>
      <c r="C572" s="97" t="s">
        <v>292</v>
      </c>
      <c r="D572" s="97" t="s">
        <v>3198</v>
      </c>
      <c r="E572" s="97" t="s">
        <v>28</v>
      </c>
      <c r="F572" s="97">
        <v>109</v>
      </c>
      <c r="G572" s="97">
        <v>9</v>
      </c>
      <c r="H572" s="97">
        <v>185</v>
      </c>
      <c r="I572" s="97">
        <v>56</v>
      </c>
      <c r="J572" s="97">
        <v>43</v>
      </c>
      <c r="K572" s="97">
        <v>755</v>
      </c>
      <c r="L572" s="97">
        <v>99</v>
      </c>
      <c r="M572" s="97">
        <v>13</v>
      </c>
      <c r="N572" s="97">
        <v>277</v>
      </c>
      <c r="O572" s="97">
        <v>55</v>
      </c>
      <c r="P572" s="97">
        <v>42</v>
      </c>
      <c r="Q572" s="97">
        <v>694</v>
      </c>
      <c r="R572" s="97">
        <v>56</v>
      </c>
      <c r="S572" s="97">
        <v>20</v>
      </c>
      <c r="T572" s="97">
        <v>433</v>
      </c>
      <c r="U572" s="97">
        <v>65</v>
      </c>
      <c r="V572" s="97">
        <v>35</v>
      </c>
      <c r="W572" s="97">
        <v>643</v>
      </c>
      <c r="X572" s="97">
        <v>79</v>
      </c>
      <c r="Y572" s="97">
        <v>6</v>
      </c>
      <c r="Z572" s="97">
        <v>175</v>
      </c>
      <c r="AA572" s="97">
        <v>57</v>
      </c>
      <c r="AB572" s="97">
        <v>24</v>
      </c>
      <c r="AC572" s="97">
        <v>306</v>
      </c>
      <c r="AD572" s="97">
        <v>59</v>
      </c>
      <c r="AE572" s="97">
        <v>48</v>
      </c>
      <c r="AF572" s="97">
        <v>746</v>
      </c>
      <c r="AG572" s="97">
        <v>440</v>
      </c>
      <c r="AH572" s="97">
        <v>32</v>
      </c>
      <c r="AI572" s="97">
        <v>569</v>
      </c>
    </row>
    <row r="573" spans="1:35" ht="15" customHeight="1">
      <c r="A573" s="97" t="s">
        <v>2276</v>
      </c>
      <c r="B573" s="97" t="s">
        <v>2276</v>
      </c>
      <c r="C573" s="97" t="s">
        <v>2280</v>
      </c>
      <c r="D573" s="97" t="s">
        <v>3198</v>
      </c>
      <c r="E573" s="97" t="s">
        <v>7</v>
      </c>
      <c r="F573" s="97">
        <v>108</v>
      </c>
      <c r="G573" s="97">
        <v>11</v>
      </c>
      <c r="H573" s="97">
        <v>212</v>
      </c>
      <c r="I573" s="97">
        <v>61</v>
      </c>
      <c r="J573" s="97">
        <v>32</v>
      </c>
      <c r="K573" s="97">
        <v>678</v>
      </c>
      <c r="L573" s="97">
        <v>88</v>
      </c>
      <c r="M573" s="97">
        <v>26</v>
      </c>
      <c r="N573" s="97">
        <v>534</v>
      </c>
      <c r="O573" s="97">
        <v>64</v>
      </c>
      <c r="P573" s="97">
        <v>26</v>
      </c>
      <c r="Q573" s="97">
        <v>517</v>
      </c>
      <c r="R573" s="97">
        <v>47</v>
      </c>
      <c r="S573" s="97">
        <v>35</v>
      </c>
      <c r="T573" s="97">
        <v>673</v>
      </c>
      <c r="U573" s="97">
        <v>72</v>
      </c>
      <c r="V573" s="97">
        <v>20</v>
      </c>
      <c r="W573" s="97">
        <v>433</v>
      </c>
      <c r="X573" s="97">
        <v>86</v>
      </c>
      <c r="Y573" s="97">
        <v>5</v>
      </c>
      <c r="Z573" s="97">
        <v>34</v>
      </c>
      <c r="AA573" s="97">
        <v>56</v>
      </c>
      <c r="AB573" s="97">
        <v>23</v>
      </c>
      <c r="AC573" s="97">
        <v>352</v>
      </c>
      <c r="AD573" s="97">
        <v>60</v>
      </c>
      <c r="AE573" s="97">
        <v>41</v>
      </c>
      <c r="AF573" s="97">
        <v>727</v>
      </c>
      <c r="AG573" s="97">
        <v>440</v>
      </c>
      <c r="AH573" s="97">
        <v>30</v>
      </c>
      <c r="AI573" s="97">
        <v>569</v>
      </c>
    </row>
    <row r="574" spans="1:35" ht="15" customHeight="1">
      <c r="A574" s="97" t="s">
        <v>2539</v>
      </c>
      <c r="B574" s="97" t="s">
        <v>2539</v>
      </c>
      <c r="C574" s="97" t="s">
        <v>3295</v>
      </c>
      <c r="D574" s="97" t="s">
        <v>3198</v>
      </c>
      <c r="E574" s="97" t="s">
        <v>131</v>
      </c>
      <c r="F574" s="97">
        <v>95</v>
      </c>
      <c r="G574" s="97">
        <v>30</v>
      </c>
      <c r="H574" s="97">
        <v>710</v>
      </c>
      <c r="I574" s="97">
        <v>65</v>
      </c>
      <c r="J574" s="97">
        <v>42</v>
      </c>
      <c r="K574" s="97">
        <v>604</v>
      </c>
      <c r="L574" s="97">
        <v>93.5</v>
      </c>
      <c r="M574" s="97">
        <v>19</v>
      </c>
      <c r="N574" s="97">
        <v>393</v>
      </c>
      <c r="O574" s="97">
        <v>56</v>
      </c>
      <c r="P574" s="97">
        <v>41</v>
      </c>
      <c r="Q574" s="97">
        <v>682</v>
      </c>
      <c r="R574" s="97">
        <v>56</v>
      </c>
      <c r="S574" s="97">
        <v>21</v>
      </c>
      <c r="T574" s="97">
        <v>433</v>
      </c>
      <c r="U574" s="97">
        <v>74</v>
      </c>
      <c r="V574" s="97">
        <v>15</v>
      </c>
      <c r="W574" s="97">
        <v>366</v>
      </c>
      <c r="X574" s="97">
        <v>69</v>
      </c>
      <c r="Y574" s="97">
        <v>25</v>
      </c>
      <c r="Z574" s="97">
        <v>504</v>
      </c>
      <c r="AA574" s="97">
        <v>59</v>
      </c>
      <c r="AB574" s="97">
        <v>24</v>
      </c>
      <c r="AC574" s="97">
        <v>233</v>
      </c>
      <c r="AD574" s="97">
        <v>68</v>
      </c>
      <c r="AE574" s="97">
        <v>30</v>
      </c>
      <c r="AF574" s="97">
        <v>412</v>
      </c>
      <c r="AG574" s="97">
        <v>439.5</v>
      </c>
      <c r="AH574" s="97">
        <v>30</v>
      </c>
      <c r="AI574" s="97">
        <v>571</v>
      </c>
    </row>
    <row r="575" spans="1:35" ht="15" customHeight="1">
      <c r="A575" s="97" t="s">
        <v>467</v>
      </c>
      <c r="B575" s="97" t="s">
        <v>467</v>
      </c>
      <c r="C575" s="97" t="s">
        <v>471</v>
      </c>
      <c r="D575" s="97" t="s">
        <v>3198</v>
      </c>
      <c r="E575" s="97" t="s">
        <v>19</v>
      </c>
      <c r="F575" s="97">
        <v>98</v>
      </c>
      <c r="G575" s="97">
        <v>37</v>
      </c>
      <c r="H575" s="97">
        <v>611</v>
      </c>
      <c r="I575" s="97">
        <v>55</v>
      </c>
      <c r="J575" s="97">
        <v>45</v>
      </c>
      <c r="K575" s="97">
        <v>766</v>
      </c>
      <c r="L575" s="97">
        <v>76.5</v>
      </c>
      <c r="M575" s="97">
        <v>44</v>
      </c>
      <c r="N575" s="97">
        <v>750</v>
      </c>
      <c r="O575" s="97">
        <v>59</v>
      </c>
      <c r="P575" s="97">
        <v>33</v>
      </c>
      <c r="Q575" s="97">
        <v>626</v>
      </c>
      <c r="R575" s="97">
        <v>69</v>
      </c>
      <c r="S575" s="97">
        <v>6</v>
      </c>
      <c r="T575" s="97">
        <v>152</v>
      </c>
      <c r="U575" s="97">
        <v>82</v>
      </c>
      <c r="V575" s="97">
        <v>5</v>
      </c>
      <c r="W575" s="97">
        <v>166</v>
      </c>
      <c r="X575" s="97">
        <v>71</v>
      </c>
      <c r="Y575" s="97">
        <v>21</v>
      </c>
      <c r="Z575" s="97">
        <v>439</v>
      </c>
      <c r="AA575" s="97">
        <v>51</v>
      </c>
      <c r="AB575" s="97">
        <v>32</v>
      </c>
      <c r="AC575" s="97">
        <v>555</v>
      </c>
      <c r="AD575" s="97">
        <v>55</v>
      </c>
      <c r="AE575" s="97">
        <v>48</v>
      </c>
      <c r="AF575" s="97">
        <v>835</v>
      </c>
      <c r="AG575" s="97">
        <v>439.5</v>
      </c>
      <c r="AH575" s="97">
        <v>31</v>
      </c>
      <c r="AI575" s="97">
        <v>571</v>
      </c>
    </row>
    <row r="576" spans="1:35" ht="15" customHeight="1">
      <c r="A576" s="97" t="s">
        <v>1834</v>
      </c>
      <c r="B576" s="97" t="s">
        <v>1834</v>
      </c>
      <c r="C576" s="97" t="s">
        <v>1835</v>
      </c>
      <c r="D576" s="97" t="s">
        <v>3198</v>
      </c>
      <c r="E576" s="97" t="s">
        <v>34</v>
      </c>
      <c r="F576" s="97">
        <v>97</v>
      </c>
      <c r="G576" s="97">
        <v>44</v>
      </c>
      <c r="H576" s="97">
        <v>645</v>
      </c>
      <c r="I576" s="97">
        <v>62</v>
      </c>
      <c r="J576" s="97">
        <v>42</v>
      </c>
      <c r="K576" s="97">
        <v>665</v>
      </c>
      <c r="L576" s="97">
        <v>101.5</v>
      </c>
      <c r="M576" s="97">
        <v>13</v>
      </c>
      <c r="N576" s="97">
        <v>225</v>
      </c>
      <c r="O576" s="97">
        <v>68</v>
      </c>
      <c r="P576" s="97">
        <v>22</v>
      </c>
      <c r="Q576" s="97">
        <v>453</v>
      </c>
      <c r="R576" s="97">
        <v>42</v>
      </c>
      <c r="S576" s="97">
        <v>45</v>
      </c>
      <c r="T576" s="97">
        <v>774</v>
      </c>
      <c r="U576" s="97">
        <v>69</v>
      </c>
      <c r="V576" s="97">
        <v>25</v>
      </c>
      <c r="W576" s="97">
        <v>523</v>
      </c>
      <c r="X576" s="97">
        <v>83</v>
      </c>
      <c r="Y576" s="97">
        <v>10</v>
      </c>
      <c r="Z576" s="97">
        <v>79</v>
      </c>
      <c r="AA576" s="97">
        <v>70</v>
      </c>
      <c r="AB576" s="97">
        <v>1</v>
      </c>
      <c r="AC576" s="97">
        <v>37</v>
      </c>
      <c r="AD576" s="97">
        <v>77</v>
      </c>
      <c r="AE576" s="97">
        <v>1</v>
      </c>
      <c r="AF576" s="97">
        <v>102</v>
      </c>
      <c r="AG576" s="97">
        <v>439.5</v>
      </c>
      <c r="AH576" s="97">
        <v>32</v>
      </c>
      <c r="AI576" s="97">
        <v>571</v>
      </c>
    </row>
    <row r="577" spans="1:35" ht="15" customHeight="1">
      <c r="A577" s="97" t="s">
        <v>862</v>
      </c>
      <c r="B577" s="97" t="s">
        <v>862</v>
      </c>
      <c r="C577" s="97" t="s">
        <v>863</v>
      </c>
      <c r="D577" s="97" t="s">
        <v>3198</v>
      </c>
      <c r="E577" s="97" t="s">
        <v>117</v>
      </c>
      <c r="F577" s="97">
        <v>97</v>
      </c>
      <c r="G577" s="97">
        <v>36</v>
      </c>
      <c r="H577" s="97">
        <v>645</v>
      </c>
      <c r="I577" s="97">
        <v>62</v>
      </c>
      <c r="J577" s="97">
        <v>40</v>
      </c>
      <c r="K577" s="97">
        <v>665</v>
      </c>
      <c r="L577" s="97">
        <v>83</v>
      </c>
      <c r="M577" s="97">
        <v>36</v>
      </c>
      <c r="N577" s="97">
        <v>642</v>
      </c>
      <c r="O577" s="97">
        <v>83</v>
      </c>
      <c r="P577" s="97">
        <v>8</v>
      </c>
      <c r="Q577" s="97">
        <v>163</v>
      </c>
      <c r="R577" s="97">
        <v>56</v>
      </c>
      <c r="S577" s="97">
        <v>21</v>
      </c>
      <c r="T577" s="97">
        <v>433</v>
      </c>
      <c r="U577" s="97">
        <v>58</v>
      </c>
      <c r="V577" s="97">
        <v>46</v>
      </c>
      <c r="W577" s="97">
        <v>786</v>
      </c>
      <c r="X577" s="97">
        <v>70</v>
      </c>
      <c r="Y577" s="97">
        <v>34</v>
      </c>
      <c r="Z577" s="97">
        <v>473</v>
      </c>
      <c r="AA577" s="97">
        <v>53</v>
      </c>
      <c r="AB577" s="97">
        <v>25</v>
      </c>
      <c r="AC577" s="97">
        <v>470</v>
      </c>
      <c r="AD577" s="97">
        <v>59</v>
      </c>
      <c r="AE577" s="97">
        <v>43</v>
      </c>
      <c r="AF577" s="97">
        <v>746</v>
      </c>
      <c r="AG577" s="97">
        <v>439</v>
      </c>
      <c r="AH577" s="97">
        <v>33</v>
      </c>
      <c r="AI577" s="97">
        <v>574</v>
      </c>
    </row>
    <row r="578" spans="1:35" ht="15" customHeight="1">
      <c r="A578" s="97" t="s">
        <v>385</v>
      </c>
      <c r="B578" s="97" t="s">
        <v>385</v>
      </c>
      <c r="C578" s="97" t="s">
        <v>386</v>
      </c>
      <c r="D578" s="97" t="s">
        <v>3198</v>
      </c>
      <c r="E578" s="97" t="s">
        <v>19</v>
      </c>
      <c r="F578" s="97">
        <v>103</v>
      </c>
      <c r="G578" s="97">
        <v>24</v>
      </c>
      <c r="H578" s="97">
        <v>400</v>
      </c>
      <c r="I578" s="97">
        <v>74</v>
      </c>
      <c r="J578" s="97">
        <v>19</v>
      </c>
      <c r="K578" s="97">
        <v>424</v>
      </c>
      <c r="L578" s="97">
        <v>86.5</v>
      </c>
      <c r="M578" s="97">
        <v>26</v>
      </c>
      <c r="N578" s="97">
        <v>565</v>
      </c>
      <c r="O578" s="97">
        <v>54</v>
      </c>
      <c r="P578" s="97">
        <v>42</v>
      </c>
      <c r="Q578" s="97">
        <v>718</v>
      </c>
      <c r="R578" s="97">
        <v>51</v>
      </c>
      <c r="S578" s="97">
        <v>29</v>
      </c>
      <c r="T578" s="97">
        <v>571</v>
      </c>
      <c r="U578" s="97">
        <v>70</v>
      </c>
      <c r="V578" s="97">
        <v>27</v>
      </c>
      <c r="W578" s="97">
        <v>485</v>
      </c>
      <c r="X578" s="97">
        <v>56</v>
      </c>
      <c r="Y578" s="97">
        <v>50</v>
      </c>
      <c r="Z578" s="97">
        <v>849</v>
      </c>
      <c r="AA578" s="97">
        <v>42</v>
      </c>
      <c r="AB578" s="97">
        <v>52</v>
      </c>
      <c r="AC578" s="97">
        <v>845</v>
      </c>
      <c r="AD578" s="97">
        <v>49</v>
      </c>
      <c r="AE578" s="97">
        <v>53</v>
      </c>
      <c r="AF578" s="97">
        <v>904</v>
      </c>
      <c r="AG578" s="97">
        <v>438.5</v>
      </c>
      <c r="AH578" s="97">
        <v>32</v>
      </c>
      <c r="AI578" s="97">
        <v>575</v>
      </c>
    </row>
    <row r="579" spans="1:35" ht="15" customHeight="1">
      <c r="A579" s="97" t="s">
        <v>1182</v>
      </c>
      <c r="B579" s="97" t="s">
        <v>1182</v>
      </c>
      <c r="C579" s="97" t="s">
        <v>1183</v>
      </c>
      <c r="D579" s="97" t="s">
        <v>3198</v>
      </c>
      <c r="E579" s="97" t="s">
        <v>68</v>
      </c>
      <c r="F579" s="97">
        <v>113</v>
      </c>
      <c r="G579" s="97">
        <v>7</v>
      </c>
      <c r="H579" s="97">
        <v>95</v>
      </c>
      <c r="I579" s="97">
        <v>77</v>
      </c>
      <c r="J579" s="97">
        <v>25</v>
      </c>
      <c r="K579" s="97">
        <v>369</v>
      </c>
      <c r="L579" s="97">
        <v>76.5</v>
      </c>
      <c r="M579" s="97">
        <v>40</v>
      </c>
      <c r="N579" s="97">
        <v>750</v>
      </c>
      <c r="O579" s="97">
        <v>63</v>
      </c>
      <c r="P579" s="97">
        <v>30</v>
      </c>
      <c r="Q579" s="97">
        <v>540</v>
      </c>
      <c r="R579" s="97">
        <v>50</v>
      </c>
      <c r="S579" s="97">
        <v>38</v>
      </c>
      <c r="T579" s="97">
        <v>599</v>
      </c>
      <c r="U579" s="97">
        <v>59</v>
      </c>
      <c r="V579" s="97">
        <v>46</v>
      </c>
      <c r="W579" s="97">
        <v>762</v>
      </c>
      <c r="X579" s="97">
        <v>73</v>
      </c>
      <c r="Y579" s="97">
        <v>18</v>
      </c>
      <c r="Z579" s="97">
        <v>359</v>
      </c>
      <c r="AA579" s="97">
        <v>52</v>
      </c>
      <c r="AB579" s="97">
        <v>22</v>
      </c>
      <c r="AC579" s="97">
        <v>509</v>
      </c>
      <c r="AD579" s="97">
        <v>72</v>
      </c>
      <c r="AE579" s="97">
        <v>13</v>
      </c>
      <c r="AF579" s="97">
        <v>256</v>
      </c>
      <c r="AG579" s="97">
        <v>438.5</v>
      </c>
      <c r="AH579" s="97">
        <v>31</v>
      </c>
      <c r="AI579" s="97">
        <v>575</v>
      </c>
    </row>
    <row r="580" spans="1:35" ht="15" customHeight="1">
      <c r="A580" s="97" t="s">
        <v>2098</v>
      </c>
      <c r="B580" s="97" t="s">
        <v>2098</v>
      </c>
      <c r="C580" s="97" t="s">
        <v>2099</v>
      </c>
      <c r="D580" s="97" t="s">
        <v>3198</v>
      </c>
      <c r="E580" s="97" t="s">
        <v>109</v>
      </c>
      <c r="F580" s="97">
        <v>121</v>
      </c>
      <c r="G580" s="97">
        <v>2</v>
      </c>
      <c r="H580" s="97">
        <v>13</v>
      </c>
      <c r="I580" s="97">
        <v>58</v>
      </c>
      <c r="J580" s="97">
        <v>44</v>
      </c>
      <c r="K580" s="97">
        <v>734</v>
      </c>
      <c r="L580" s="97">
        <v>69.5</v>
      </c>
      <c r="M580" s="97">
        <v>51</v>
      </c>
      <c r="N580" s="97">
        <v>847</v>
      </c>
      <c r="O580" s="97">
        <v>74</v>
      </c>
      <c r="P580" s="97">
        <v>18</v>
      </c>
      <c r="Q580" s="97">
        <v>317</v>
      </c>
      <c r="R580" s="97">
        <v>46</v>
      </c>
      <c r="S580" s="97">
        <v>42</v>
      </c>
      <c r="T580" s="97">
        <v>702</v>
      </c>
      <c r="U580" s="97">
        <v>70</v>
      </c>
      <c r="V580" s="97">
        <v>28</v>
      </c>
      <c r="W580" s="97">
        <v>485</v>
      </c>
      <c r="X580" s="97">
        <v>83</v>
      </c>
      <c r="Y580" s="97">
        <v>4</v>
      </c>
      <c r="Z580" s="97">
        <v>79</v>
      </c>
      <c r="AA580" s="97">
        <v>67</v>
      </c>
      <c r="AB580" s="97">
        <v>2</v>
      </c>
      <c r="AC580" s="97">
        <v>66</v>
      </c>
      <c r="AD580" s="97">
        <v>77</v>
      </c>
      <c r="AE580" s="97">
        <v>9</v>
      </c>
      <c r="AF580" s="97">
        <v>102</v>
      </c>
      <c r="AG580" s="97">
        <v>438.5</v>
      </c>
      <c r="AH580" s="97">
        <v>31</v>
      </c>
      <c r="AI580" s="97">
        <v>575</v>
      </c>
    </row>
    <row r="581" spans="1:35" ht="15" customHeight="1">
      <c r="A581" s="97" t="s">
        <v>2555</v>
      </c>
      <c r="B581" s="97" t="s">
        <v>2555</v>
      </c>
      <c r="C581" s="97" t="s">
        <v>2556</v>
      </c>
      <c r="D581" s="97" t="s">
        <v>3198</v>
      </c>
      <c r="E581" s="97" t="s">
        <v>131</v>
      </c>
      <c r="F581" s="97">
        <v>111</v>
      </c>
      <c r="G581" s="97">
        <v>3</v>
      </c>
      <c r="H581" s="97">
        <v>136</v>
      </c>
      <c r="I581" s="97">
        <v>57</v>
      </c>
      <c r="J581" s="97">
        <v>46</v>
      </c>
      <c r="K581" s="97">
        <v>744</v>
      </c>
      <c r="L581" s="97">
        <v>78</v>
      </c>
      <c r="M581" s="97">
        <v>39</v>
      </c>
      <c r="N581" s="97">
        <v>722</v>
      </c>
      <c r="O581" s="97">
        <v>74</v>
      </c>
      <c r="P581" s="97">
        <v>19</v>
      </c>
      <c r="Q581" s="97">
        <v>317</v>
      </c>
      <c r="R581" s="97">
        <v>46</v>
      </c>
      <c r="S581" s="97">
        <v>40</v>
      </c>
      <c r="T581" s="97">
        <v>702</v>
      </c>
      <c r="U581" s="97">
        <v>72</v>
      </c>
      <c r="V581" s="97">
        <v>21</v>
      </c>
      <c r="W581" s="97">
        <v>433</v>
      </c>
      <c r="X581" s="97">
        <v>74</v>
      </c>
      <c r="Y581" s="97">
        <v>10</v>
      </c>
      <c r="Z581" s="97">
        <v>326</v>
      </c>
      <c r="AA581" s="97">
        <v>53</v>
      </c>
      <c r="AB581" s="97">
        <v>33</v>
      </c>
      <c r="AC581" s="97">
        <v>470</v>
      </c>
      <c r="AD581" s="97">
        <v>70</v>
      </c>
      <c r="AE581" s="97">
        <v>22</v>
      </c>
      <c r="AF581" s="97">
        <v>327</v>
      </c>
      <c r="AG581" s="97">
        <v>438</v>
      </c>
      <c r="AH581" s="97">
        <v>31</v>
      </c>
      <c r="AI581" s="97">
        <v>578</v>
      </c>
    </row>
    <row r="582" spans="1:35" ht="15" customHeight="1">
      <c r="A582" s="97" t="s">
        <v>1484</v>
      </c>
      <c r="B582" s="97" t="s">
        <v>1484</v>
      </c>
      <c r="C582" s="97" t="s">
        <v>1485</v>
      </c>
      <c r="D582" s="97" t="s">
        <v>3198</v>
      </c>
      <c r="E582" s="97" t="s">
        <v>56</v>
      </c>
      <c r="F582" s="97">
        <v>107</v>
      </c>
      <c r="G582" s="97">
        <v>11</v>
      </c>
      <c r="H582" s="97">
        <v>242</v>
      </c>
      <c r="I582" s="97">
        <v>64</v>
      </c>
      <c r="J582" s="97">
        <v>29</v>
      </c>
      <c r="K582" s="97">
        <v>627</v>
      </c>
      <c r="L582" s="97">
        <v>90</v>
      </c>
      <c r="M582" s="97">
        <v>25</v>
      </c>
      <c r="N582" s="97">
        <v>481</v>
      </c>
      <c r="O582" s="97">
        <v>63</v>
      </c>
      <c r="P582" s="97">
        <v>33</v>
      </c>
      <c r="Q582" s="97">
        <v>540</v>
      </c>
      <c r="R582" s="97">
        <v>38</v>
      </c>
      <c r="S582" s="97">
        <v>40</v>
      </c>
      <c r="T582" s="97">
        <v>840</v>
      </c>
      <c r="U582" s="97">
        <v>76</v>
      </c>
      <c r="V582" s="97">
        <v>29</v>
      </c>
      <c r="W582" s="97">
        <v>308</v>
      </c>
      <c r="X582" s="97">
        <v>68</v>
      </c>
      <c r="Y582" s="97">
        <v>36</v>
      </c>
      <c r="Z582" s="97">
        <v>541</v>
      </c>
      <c r="AA582" s="97">
        <v>50</v>
      </c>
      <c r="AB582" s="97">
        <v>27</v>
      </c>
      <c r="AC582" s="97">
        <v>591</v>
      </c>
      <c r="AD582" s="97">
        <v>80</v>
      </c>
      <c r="AE582" s="97">
        <v>2</v>
      </c>
      <c r="AF582" s="97">
        <v>54</v>
      </c>
      <c r="AG582" s="97">
        <v>438</v>
      </c>
      <c r="AH582" s="97">
        <v>34</v>
      </c>
      <c r="AI582" s="97">
        <v>578</v>
      </c>
    </row>
    <row r="583" spans="1:35" ht="15" customHeight="1">
      <c r="A583" s="97" t="s">
        <v>1831</v>
      </c>
      <c r="B583" s="97" t="s">
        <v>1831</v>
      </c>
      <c r="C583" s="97" t="s">
        <v>1832</v>
      </c>
      <c r="D583" s="97" t="s">
        <v>3198</v>
      </c>
      <c r="E583" s="97" t="s">
        <v>34</v>
      </c>
      <c r="F583" s="97">
        <v>105</v>
      </c>
      <c r="G583" s="97">
        <v>22</v>
      </c>
      <c r="H583" s="97">
        <v>325</v>
      </c>
      <c r="I583" s="97">
        <v>52</v>
      </c>
      <c r="J583" s="97">
        <v>51</v>
      </c>
      <c r="K583" s="97">
        <v>807</v>
      </c>
      <c r="L583" s="97">
        <v>90</v>
      </c>
      <c r="M583" s="97">
        <v>27</v>
      </c>
      <c r="N583" s="97">
        <v>481</v>
      </c>
      <c r="O583" s="97">
        <v>65</v>
      </c>
      <c r="P583" s="97">
        <v>28</v>
      </c>
      <c r="Q583" s="97">
        <v>501</v>
      </c>
      <c r="R583" s="97">
        <v>54</v>
      </c>
      <c r="S583" s="97">
        <v>27</v>
      </c>
      <c r="T583" s="97">
        <v>494</v>
      </c>
      <c r="U583" s="97">
        <v>72</v>
      </c>
      <c r="V583" s="97">
        <v>19</v>
      </c>
      <c r="W583" s="97">
        <v>433</v>
      </c>
      <c r="X583" s="97">
        <v>58</v>
      </c>
      <c r="Y583" s="97">
        <v>51</v>
      </c>
      <c r="Z583" s="97">
        <v>820</v>
      </c>
      <c r="AA583" s="97">
        <v>48</v>
      </c>
      <c r="AB583" s="97">
        <v>36</v>
      </c>
      <c r="AC583" s="97">
        <v>671</v>
      </c>
      <c r="AD583" s="97">
        <v>77</v>
      </c>
      <c r="AE583" s="97">
        <v>1</v>
      </c>
      <c r="AF583" s="97">
        <v>102</v>
      </c>
      <c r="AG583" s="97">
        <v>438</v>
      </c>
      <c r="AH583" s="97">
        <v>33</v>
      </c>
      <c r="AI583" s="97">
        <v>578</v>
      </c>
    </row>
    <row r="584" spans="1:35" ht="15" customHeight="1">
      <c r="A584" s="97" t="s">
        <v>438</v>
      </c>
      <c r="B584" s="97" t="s">
        <v>438</v>
      </c>
      <c r="C584" s="97" t="s">
        <v>439</v>
      </c>
      <c r="D584" s="97" t="s">
        <v>3198</v>
      </c>
      <c r="E584" s="97" t="s">
        <v>19</v>
      </c>
      <c r="F584" s="97">
        <v>103</v>
      </c>
      <c r="G584" s="97">
        <v>24</v>
      </c>
      <c r="H584" s="97">
        <v>400</v>
      </c>
      <c r="I584" s="97">
        <v>67</v>
      </c>
      <c r="J584" s="97">
        <v>30</v>
      </c>
      <c r="K584" s="97">
        <v>565</v>
      </c>
      <c r="L584" s="97">
        <v>79</v>
      </c>
      <c r="M584" s="97">
        <v>38</v>
      </c>
      <c r="N584" s="97">
        <v>709</v>
      </c>
      <c r="O584" s="97">
        <v>65</v>
      </c>
      <c r="P584" s="97">
        <v>22</v>
      </c>
      <c r="Q584" s="97">
        <v>501</v>
      </c>
      <c r="R584" s="97">
        <v>54</v>
      </c>
      <c r="S584" s="97">
        <v>25</v>
      </c>
      <c r="T584" s="97">
        <v>494</v>
      </c>
      <c r="U584" s="97">
        <v>70</v>
      </c>
      <c r="V584" s="97">
        <v>27</v>
      </c>
      <c r="W584" s="97">
        <v>485</v>
      </c>
      <c r="X584" s="97">
        <v>66</v>
      </c>
      <c r="Y584" s="97">
        <v>32</v>
      </c>
      <c r="Z584" s="97">
        <v>604</v>
      </c>
      <c r="AA584" s="97">
        <v>58</v>
      </c>
      <c r="AB584" s="97">
        <v>15</v>
      </c>
      <c r="AC584" s="97">
        <v>278</v>
      </c>
      <c r="AD584" s="97">
        <v>72</v>
      </c>
      <c r="AE584" s="97">
        <v>14</v>
      </c>
      <c r="AF584" s="97">
        <v>256</v>
      </c>
      <c r="AG584" s="97">
        <v>438</v>
      </c>
      <c r="AH584" s="97">
        <v>33</v>
      </c>
      <c r="AI584" s="97">
        <v>578</v>
      </c>
    </row>
    <row r="585" spans="1:35" ht="15" customHeight="1">
      <c r="A585" s="97" t="s">
        <v>497</v>
      </c>
      <c r="B585" s="97" t="s">
        <v>497</v>
      </c>
      <c r="C585" s="97" t="s">
        <v>507</v>
      </c>
      <c r="D585" s="97" t="s">
        <v>3198</v>
      </c>
      <c r="E585" s="97" t="s">
        <v>19</v>
      </c>
      <c r="F585" s="97">
        <v>121</v>
      </c>
      <c r="G585" s="97">
        <v>2</v>
      </c>
      <c r="H585" s="97">
        <v>13</v>
      </c>
      <c r="I585" s="97">
        <v>66</v>
      </c>
      <c r="J585" s="97">
        <v>32</v>
      </c>
      <c r="K585" s="97">
        <v>584</v>
      </c>
      <c r="L585" s="97">
        <v>106</v>
      </c>
      <c r="M585" s="97">
        <v>9</v>
      </c>
      <c r="N585" s="97">
        <v>162</v>
      </c>
      <c r="O585" s="97">
        <v>44</v>
      </c>
      <c r="P585" s="97">
        <v>53</v>
      </c>
      <c r="Q585" s="97">
        <v>849</v>
      </c>
      <c r="R585" s="97">
        <v>35</v>
      </c>
      <c r="S585" s="97">
        <v>54</v>
      </c>
      <c r="T585" s="97">
        <v>870</v>
      </c>
      <c r="U585" s="97">
        <v>66</v>
      </c>
      <c r="V585" s="97">
        <v>37</v>
      </c>
      <c r="W585" s="97">
        <v>611</v>
      </c>
      <c r="X585" s="97">
        <v>84</v>
      </c>
      <c r="Y585" s="97">
        <v>2</v>
      </c>
      <c r="Z585" s="97">
        <v>59</v>
      </c>
      <c r="AA585" s="97">
        <v>46</v>
      </c>
      <c r="AB585" s="97">
        <v>46</v>
      </c>
      <c r="AC585" s="97">
        <v>755</v>
      </c>
      <c r="AD585" s="97">
        <v>72</v>
      </c>
      <c r="AE585" s="97">
        <v>14</v>
      </c>
      <c r="AF585" s="97">
        <v>256</v>
      </c>
      <c r="AG585" s="97">
        <v>438</v>
      </c>
      <c r="AH585" s="97">
        <v>33</v>
      </c>
      <c r="AI585" s="97">
        <v>578</v>
      </c>
    </row>
    <row r="586" spans="1:35" ht="15" customHeight="1">
      <c r="A586" s="97" t="s">
        <v>1231</v>
      </c>
      <c r="B586" s="97" t="s">
        <v>1231</v>
      </c>
      <c r="C586" s="97" t="s">
        <v>1232</v>
      </c>
      <c r="D586" s="97" t="s">
        <v>3198</v>
      </c>
      <c r="E586" s="97" t="s">
        <v>54</v>
      </c>
      <c r="F586" s="97">
        <v>92</v>
      </c>
      <c r="G586" s="97">
        <v>47</v>
      </c>
      <c r="H586" s="97">
        <v>779</v>
      </c>
      <c r="I586" s="97">
        <v>60</v>
      </c>
      <c r="J586" s="97">
        <v>40</v>
      </c>
      <c r="K586" s="97">
        <v>696</v>
      </c>
      <c r="L586" s="97">
        <v>86.5</v>
      </c>
      <c r="M586" s="97">
        <v>23</v>
      </c>
      <c r="N586" s="97">
        <v>565</v>
      </c>
      <c r="O586" s="97">
        <v>73</v>
      </c>
      <c r="P586" s="97">
        <v>17</v>
      </c>
      <c r="Q586" s="97">
        <v>339</v>
      </c>
      <c r="R586" s="97">
        <v>63</v>
      </c>
      <c r="S586" s="97">
        <v>19</v>
      </c>
      <c r="T586" s="97">
        <v>262</v>
      </c>
      <c r="U586" s="97">
        <v>63</v>
      </c>
      <c r="V586" s="97">
        <v>43</v>
      </c>
      <c r="W586" s="97">
        <v>692</v>
      </c>
      <c r="X586" s="97">
        <v>68</v>
      </c>
      <c r="Y586" s="97">
        <v>26</v>
      </c>
      <c r="Z586" s="97">
        <v>541</v>
      </c>
      <c r="AA586" s="97">
        <v>65</v>
      </c>
      <c r="AB586" s="97">
        <v>3</v>
      </c>
      <c r="AC586" s="97">
        <v>89</v>
      </c>
      <c r="AD586" s="97">
        <v>70</v>
      </c>
      <c r="AE586" s="97">
        <v>21</v>
      </c>
      <c r="AF586" s="97">
        <v>327</v>
      </c>
      <c r="AG586" s="97">
        <v>437.5</v>
      </c>
      <c r="AH586" s="97">
        <v>33</v>
      </c>
      <c r="AI586" s="97">
        <v>583</v>
      </c>
    </row>
    <row r="587" spans="1:35" ht="15" customHeight="1">
      <c r="A587" s="97" t="s">
        <v>1098</v>
      </c>
      <c r="B587" s="97" t="s">
        <v>1098</v>
      </c>
      <c r="C587" s="97" t="s">
        <v>1099</v>
      </c>
      <c r="D587" s="97" t="s">
        <v>3198</v>
      </c>
      <c r="E587" s="97" t="s">
        <v>68</v>
      </c>
      <c r="F587" s="97">
        <v>101</v>
      </c>
      <c r="G587" s="97">
        <v>31</v>
      </c>
      <c r="H587" s="97">
        <v>481</v>
      </c>
      <c r="I587" s="97">
        <v>72</v>
      </c>
      <c r="J587" s="97">
        <v>37</v>
      </c>
      <c r="K587" s="97">
        <v>458</v>
      </c>
      <c r="L587" s="97">
        <v>84.5</v>
      </c>
      <c r="M587" s="97">
        <v>28</v>
      </c>
      <c r="N587" s="97">
        <v>606</v>
      </c>
      <c r="O587" s="97">
        <v>68</v>
      </c>
      <c r="P587" s="97">
        <v>19</v>
      </c>
      <c r="Q587" s="97">
        <v>453</v>
      </c>
      <c r="R587" s="97">
        <v>56</v>
      </c>
      <c r="S587" s="97">
        <v>29</v>
      </c>
      <c r="T587" s="97">
        <v>433</v>
      </c>
      <c r="U587" s="97">
        <v>56</v>
      </c>
      <c r="V587" s="97">
        <v>49</v>
      </c>
      <c r="W587" s="97">
        <v>816</v>
      </c>
      <c r="X587" s="97">
        <v>88</v>
      </c>
      <c r="Y587" s="97">
        <v>2</v>
      </c>
      <c r="Z587" s="97">
        <v>15</v>
      </c>
      <c r="AA587" s="97">
        <v>34</v>
      </c>
      <c r="AB587" s="97">
        <v>56</v>
      </c>
      <c r="AC587" s="97">
        <v>928</v>
      </c>
      <c r="AD587" s="97">
        <v>61</v>
      </c>
      <c r="AE587" s="97">
        <v>40</v>
      </c>
      <c r="AF587" s="97">
        <v>703</v>
      </c>
      <c r="AG587" s="97">
        <v>437.5</v>
      </c>
      <c r="AH587" s="97">
        <v>32</v>
      </c>
      <c r="AI587" s="97">
        <v>583</v>
      </c>
    </row>
    <row r="588" spans="1:35" ht="15" customHeight="1">
      <c r="A588" s="97" t="s">
        <v>2329</v>
      </c>
      <c r="B588" s="97" t="s">
        <v>2329</v>
      </c>
      <c r="C588" s="97" t="s">
        <v>2335</v>
      </c>
      <c r="D588" s="97" t="s">
        <v>3198</v>
      </c>
      <c r="E588" s="97" t="s">
        <v>7</v>
      </c>
      <c r="F588" s="97">
        <v>100</v>
      </c>
      <c r="G588" s="97">
        <v>30</v>
      </c>
      <c r="H588" s="97">
        <v>528</v>
      </c>
      <c r="I588" s="97">
        <v>61</v>
      </c>
      <c r="J588" s="97">
        <v>32</v>
      </c>
      <c r="K588" s="97">
        <v>678</v>
      </c>
      <c r="L588" s="97">
        <v>79.5</v>
      </c>
      <c r="M588" s="97">
        <v>40</v>
      </c>
      <c r="N588" s="97">
        <v>698</v>
      </c>
      <c r="O588" s="97">
        <v>56</v>
      </c>
      <c r="P588" s="97">
        <v>41</v>
      </c>
      <c r="Q588" s="97">
        <v>682</v>
      </c>
      <c r="R588" s="97">
        <v>64</v>
      </c>
      <c r="S588" s="97">
        <v>10</v>
      </c>
      <c r="T588" s="97">
        <v>244</v>
      </c>
      <c r="U588" s="97">
        <v>77</v>
      </c>
      <c r="V588" s="97">
        <v>14</v>
      </c>
      <c r="W588" s="97">
        <v>275</v>
      </c>
      <c r="X588" s="97">
        <v>81</v>
      </c>
      <c r="Y588" s="97">
        <v>17</v>
      </c>
      <c r="Z588" s="97">
        <v>124</v>
      </c>
      <c r="AA588" s="97">
        <v>56</v>
      </c>
      <c r="AB588" s="97">
        <v>23</v>
      </c>
      <c r="AC588" s="97">
        <v>352</v>
      </c>
      <c r="AD588" s="97">
        <v>63</v>
      </c>
      <c r="AE588" s="97">
        <v>36</v>
      </c>
      <c r="AF588" s="97">
        <v>633</v>
      </c>
      <c r="AG588" s="97">
        <v>437.5</v>
      </c>
      <c r="AH588" s="97">
        <v>31</v>
      </c>
      <c r="AI588" s="97">
        <v>583</v>
      </c>
    </row>
    <row r="589" spans="1:35" ht="15" customHeight="1">
      <c r="A589" s="97" t="s">
        <v>2858</v>
      </c>
      <c r="B589" s="97" t="s">
        <v>2858</v>
      </c>
      <c r="C589" s="97" t="s">
        <v>2859</v>
      </c>
      <c r="D589" s="97" t="s">
        <v>3198</v>
      </c>
      <c r="E589" s="97" t="s">
        <v>38</v>
      </c>
      <c r="F589" s="97">
        <v>107</v>
      </c>
      <c r="G589" s="97">
        <v>13</v>
      </c>
      <c r="H589" s="97">
        <v>242</v>
      </c>
      <c r="I589" s="97">
        <v>68</v>
      </c>
      <c r="J589" s="97">
        <v>26</v>
      </c>
      <c r="K589" s="97">
        <v>540</v>
      </c>
      <c r="L589" s="97">
        <v>73.5</v>
      </c>
      <c r="M589" s="97">
        <v>49</v>
      </c>
      <c r="N589" s="97">
        <v>797</v>
      </c>
      <c r="O589" s="97">
        <v>63</v>
      </c>
      <c r="P589" s="97">
        <v>27</v>
      </c>
      <c r="Q589" s="97">
        <v>540</v>
      </c>
      <c r="R589" s="97">
        <v>57</v>
      </c>
      <c r="S589" s="97">
        <v>14</v>
      </c>
      <c r="T589" s="97">
        <v>409</v>
      </c>
      <c r="U589" s="97">
        <v>69</v>
      </c>
      <c r="V589" s="97">
        <v>27</v>
      </c>
      <c r="W589" s="97">
        <v>523</v>
      </c>
      <c r="X589" s="97">
        <v>69</v>
      </c>
      <c r="Y589" s="97">
        <v>24</v>
      </c>
      <c r="Z589" s="97">
        <v>504</v>
      </c>
      <c r="AA589" s="97">
        <v>50</v>
      </c>
      <c r="AB589" s="97">
        <v>32</v>
      </c>
      <c r="AC589" s="97">
        <v>591</v>
      </c>
      <c r="AD589" s="97">
        <v>66</v>
      </c>
      <c r="AE589" s="97">
        <v>27</v>
      </c>
      <c r="AF589" s="97">
        <v>511</v>
      </c>
      <c r="AG589" s="97">
        <v>437.5</v>
      </c>
      <c r="AH589" s="97">
        <v>26</v>
      </c>
      <c r="AI589" s="97">
        <v>583</v>
      </c>
    </row>
    <row r="590" spans="1:35" ht="15" customHeight="1">
      <c r="A590" s="97" t="s">
        <v>2543</v>
      </c>
      <c r="B590" s="97" t="s">
        <v>2543</v>
      </c>
      <c r="C590" s="97" t="s">
        <v>2544</v>
      </c>
      <c r="D590" s="97" t="s">
        <v>3198</v>
      </c>
      <c r="E590" s="97" t="s">
        <v>131</v>
      </c>
      <c r="F590" s="97">
        <v>70</v>
      </c>
      <c r="G590" s="97">
        <v>55</v>
      </c>
      <c r="H590" s="97">
        <v>930</v>
      </c>
      <c r="I590" s="97">
        <v>98</v>
      </c>
      <c r="J590" s="97">
        <v>3</v>
      </c>
      <c r="K590" s="97">
        <v>103</v>
      </c>
      <c r="L590" s="97">
        <v>100</v>
      </c>
      <c r="M590" s="97">
        <v>10</v>
      </c>
      <c r="N590" s="97">
        <v>258</v>
      </c>
      <c r="O590" s="97">
        <v>55</v>
      </c>
      <c r="P590" s="97">
        <v>42</v>
      </c>
      <c r="Q590" s="97">
        <v>694</v>
      </c>
      <c r="R590" s="97">
        <v>51</v>
      </c>
      <c r="S590" s="97">
        <v>34</v>
      </c>
      <c r="T590" s="97">
        <v>571</v>
      </c>
      <c r="U590" s="97">
        <v>63</v>
      </c>
      <c r="V590" s="97">
        <v>39</v>
      </c>
      <c r="W590" s="97">
        <v>692</v>
      </c>
      <c r="X590" s="97">
        <v>57</v>
      </c>
      <c r="Y590" s="97">
        <v>50</v>
      </c>
      <c r="Z590" s="97">
        <v>838</v>
      </c>
      <c r="AA590" s="97">
        <v>45</v>
      </c>
      <c r="AB590" s="97">
        <v>49</v>
      </c>
      <c r="AC590" s="97">
        <v>781</v>
      </c>
      <c r="AD590" s="97">
        <v>61</v>
      </c>
      <c r="AE590" s="97">
        <v>46</v>
      </c>
      <c r="AF590" s="97">
        <v>703</v>
      </c>
      <c r="AG590" s="97">
        <v>437</v>
      </c>
      <c r="AH590" s="97">
        <v>32</v>
      </c>
      <c r="AI590" s="97">
        <v>587</v>
      </c>
    </row>
    <row r="591" spans="1:35" ht="15" customHeight="1">
      <c r="A591" s="97" t="s">
        <v>2636</v>
      </c>
      <c r="B591" s="97" t="s">
        <v>2636</v>
      </c>
      <c r="C591" s="97" t="s">
        <v>2639</v>
      </c>
      <c r="D591" s="97" t="s">
        <v>3198</v>
      </c>
      <c r="E591" s="97" t="s">
        <v>49</v>
      </c>
      <c r="F591" s="97">
        <v>84</v>
      </c>
      <c r="G591" s="97">
        <v>53</v>
      </c>
      <c r="H591" s="97">
        <v>891</v>
      </c>
      <c r="I591" s="97">
        <v>78</v>
      </c>
      <c r="J591" s="97">
        <v>26</v>
      </c>
      <c r="K591" s="97">
        <v>353</v>
      </c>
      <c r="L591" s="97">
        <v>98</v>
      </c>
      <c r="M591" s="97">
        <v>21</v>
      </c>
      <c r="N591" s="97">
        <v>294</v>
      </c>
      <c r="O591" s="97">
        <v>67</v>
      </c>
      <c r="P591" s="97">
        <v>32</v>
      </c>
      <c r="Q591" s="97">
        <v>468</v>
      </c>
      <c r="R591" s="97">
        <v>45</v>
      </c>
      <c r="S591" s="97">
        <v>40</v>
      </c>
      <c r="T591" s="97">
        <v>720</v>
      </c>
      <c r="U591" s="97">
        <v>65</v>
      </c>
      <c r="V591" s="97">
        <v>33</v>
      </c>
      <c r="W591" s="97">
        <v>643</v>
      </c>
      <c r="X591" s="97">
        <v>50</v>
      </c>
      <c r="Y591" s="97">
        <v>52</v>
      </c>
      <c r="Z591" s="97">
        <v>911</v>
      </c>
      <c r="AA591" s="97">
        <v>42</v>
      </c>
      <c r="AB591" s="97">
        <v>42</v>
      </c>
      <c r="AC591" s="97">
        <v>845</v>
      </c>
      <c r="AD591" s="97">
        <v>40</v>
      </c>
      <c r="AE591" s="97">
        <v>55</v>
      </c>
      <c r="AF591" s="97">
        <v>932</v>
      </c>
      <c r="AG591" s="97">
        <v>437</v>
      </c>
      <c r="AH591" s="97">
        <v>34</v>
      </c>
      <c r="AI591" s="97">
        <v>587</v>
      </c>
    </row>
    <row r="592" spans="1:35" ht="15" customHeight="1">
      <c r="A592" s="97" t="s">
        <v>2033</v>
      </c>
      <c r="B592" s="97" t="s">
        <v>2033</v>
      </c>
      <c r="C592" s="97" t="s">
        <v>2034</v>
      </c>
      <c r="D592" s="97" t="s">
        <v>3198</v>
      </c>
      <c r="E592" s="97" t="s">
        <v>109</v>
      </c>
      <c r="F592" s="97">
        <v>98</v>
      </c>
      <c r="G592" s="97">
        <v>36</v>
      </c>
      <c r="H592" s="97">
        <v>611</v>
      </c>
      <c r="I592" s="97">
        <v>68</v>
      </c>
      <c r="J592" s="97">
        <v>30</v>
      </c>
      <c r="K592" s="97">
        <v>540</v>
      </c>
      <c r="L592" s="97">
        <v>91</v>
      </c>
      <c r="M592" s="97">
        <v>30</v>
      </c>
      <c r="N592" s="97">
        <v>458</v>
      </c>
      <c r="O592" s="97">
        <v>50</v>
      </c>
      <c r="P592" s="97">
        <v>47</v>
      </c>
      <c r="Q592" s="97">
        <v>788</v>
      </c>
      <c r="R592" s="97">
        <v>64</v>
      </c>
      <c r="S592" s="97">
        <v>10</v>
      </c>
      <c r="T592" s="97">
        <v>244</v>
      </c>
      <c r="U592" s="97">
        <v>66</v>
      </c>
      <c r="V592" s="97">
        <v>37</v>
      </c>
      <c r="W592" s="97">
        <v>611</v>
      </c>
      <c r="X592" s="97">
        <v>67</v>
      </c>
      <c r="Y592" s="97">
        <v>29</v>
      </c>
      <c r="Z592" s="97">
        <v>570</v>
      </c>
      <c r="AA592" s="97">
        <v>60</v>
      </c>
      <c r="AB592" s="97">
        <v>6</v>
      </c>
      <c r="AC592" s="97">
        <v>203</v>
      </c>
      <c r="AD592" s="97">
        <v>67</v>
      </c>
      <c r="AE592" s="97">
        <v>26</v>
      </c>
      <c r="AF592" s="97">
        <v>471</v>
      </c>
      <c r="AG592" s="97">
        <v>437</v>
      </c>
      <c r="AH592" s="97">
        <v>32</v>
      </c>
      <c r="AI592" s="97">
        <v>587</v>
      </c>
    </row>
    <row r="593" spans="1:35" ht="15" customHeight="1">
      <c r="A593" s="97" t="s">
        <v>1086</v>
      </c>
      <c r="B593" s="97" t="s">
        <v>1086</v>
      </c>
      <c r="C593" s="97" t="s">
        <v>1087</v>
      </c>
      <c r="D593" s="97" t="s">
        <v>3198</v>
      </c>
      <c r="E593" s="97" t="s">
        <v>68</v>
      </c>
      <c r="F593" s="97">
        <v>98</v>
      </c>
      <c r="G593" s="97">
        <v>37</v>
      </c>
      <c r="H593" s="97">
        <v>611</v>
      </c>
      <c r="I593" s="97">
        <v>63</v>
      </c>
      <c r="J593" s="97">
        <v>45</v>
      </c>
      <c r="K593" s="97">
        <v>642</v>
      </c>
      <c r="L593" s="97">
        <v>90</v>
      </c>
      <c r="M593" s="97">
        <v>18</v>
      </c>
      <c r="N593" s="97">
        <v>481</v>
      </c>
      <c r="O593" s="97">
        <v>58</v>
      </c>
      <c r="P593" s="97">
        <v>36</v>
      </c>
      <c r="Q593" s="97">
        <v>649</v>
      </c>
      <c r="R593" s="97">
        <v>47</v>
      </c>
      <c r="S593" s="97">
        <v>41</v>
      </c>
      <c r="T593" s="97">
        <v>673</v>
      </c>
      <c r="U593" s="97">
        <v>81</v>
      </c>
      <c r="V593" s="97">
        <v>9</v>
      </c>
      <c r="W593" s="97">
        <v>183</v>
      </c>
      <c r="X593" s="97">
        <v>69</v>
      </c>
      <c r="Y593" s="97">
        <v>26</v>
      </c>
      <c r="Z593" s="97">
        <v>504</v>
      </c>
      <c r="AA593" s="97">
        <v>52</v>
      </c>
      <c r="AB593" s="97">
        <v>22</v>
      </c>
      <c r="AC593" s="97">
        <v>509</v>
      </c>
      <c r="AD593" s="97">
        <v>75</v>
      </c>
      <c r="AE593" s="97">
        <v>8</v>
      </c>
      <c r="AF593" s="97">
        <v>146</v>
      </c>
      <c r="AG593" s="97">
        <v>437</v>
      </c>
      <c r="AH593" s="97">
        <v>33</v>
      </c>
      <c r="AI593" s="97">
        <v>587</v>
      </c>
    </row>
    <row r="594" spans="1:35" ht="15" customHeight="1">
      <c r="A594" s="97" t="s">
        <v>661</v>
      </c>
      <c r="B594" s="97" t="s">
        <v>661</v>
      </c>
      <c r="C594" s="97" t="s">
        <v>18</v>
      </c>
      <c r="D594" s="97" t="s">
        <v>3198</v>
      </c>
      <c r="E594" s="97" t="s">
        <v>17</v>
      </c>
      <c r="F594" s="97">
        <v>99</v>
      </c>
      <c r="G594" s="97">
        <v>33</v>
      </c>
      <c r="H594" s="97">
        <v>571</v>
      </c>
      <c r="I594" s="97">
        <v>51</v>
      </c>
      <c r="J594" s="97">
        <v>52</v>
      </c>
      <c r="K594" s="97">
        <v>817</v>
      </c>
      <c r="L594" s="97">
        <v>87</v>
      </c>
      <c r="M594" s="97">
        <v>35</v>
      </c>
      <c r="N594" s="97">
        <v>553</v>
      </c>
      <c r="O594" s="97">
        <v>65</v>
      </c>
      <c r="P594" s="97">
        <v>30</v>
      </c>
      <c r="Q594" s="97">
        <v>501</v>
      </c>
      <c r="R594" s="97">
        <v>59</v>
      </c>
      <c r="S594" s="97">
        <v>20</v>
      </c>
      <c r="T594" s="97">
        <v>348</v>
      </c>
      <c r="U594" s="97">
        <v>76</v>
      </c>
      <c r="V594" s="97">
        <v>15</v>
      </c>
      <c r="W594" s="97">
        <v>308</v>
      </c>
      <c r="X594" s="97">
        <v>84</v>
      </c>
      <c r="Y594" s="97">
        <v>5</v>
      </c>
      <c r="Z594" s="97">
        <v>59</v>
      </c>
      <c r="AA594" s="97">
        <v>53</v>
      </c>
      <c r="AB594" s="97">
        <v>30</v>
      </c>
      <c r="AC594" s="97">
        <v>470</v>
      </c>
      <c r="AD594" s="97">
        <v>68</v>
      </c>
      <c r="AE594" s="97">
        <v>27</v>
      </c>
      <c r="AF594" s="97">
        <v>412</v>
      </c>
      <c r="AG594" s="97">
        <v>437</v>
      </c>
      <c r="AH594" s="97">
        <v>36</v>
      </c>
      <c r="AI594" s="97">
        <v>587</v>
      </c>
    </row>
    <row r="595" spans="1:35" ht="15" customHeight="1">
      <c r="A595" s="97" t="s">
        <v>2229</v>
      </c>
      <c r="B595" s="97" t="s">
        <v>2229</v>
      </c>
      <c r="C595" s="97" t="s">
        <v>2230</v>
      </c>
      <c r="D595" s="97" t="s">
        <v>3198</v>
      </c>
      <c r="E595" s="97" t="s">
        <v>73</v>
      </c>
      <c r="F595" s="97">
        <v>97</v>
      </c>
      <c r="G595" s="97">
        <v>41</v>
      </c>
      <c r="H595" s="97">
        <v>645</v>
      </c>
      <c r="I595" s="97">
        <v>65</v>
      </c>
      <c r="J595" s="97">
        <v>30</v>
      </c>
      <c r="K595" s="97">
        <v>604</v>
      </c>
      <c r="L595" s="97">
        <v>113.5</v>
      </c>
      <c r="M595" s="97">
        <v>2</v>
      </c>
      <c r="N595" s="97">
        <v>71</v>
      </c>
      <c r="O595" s="97">
        <v>59</v>
      </c>
      <c r="P595" s="97">
        <v>32</v>
      </c>
      <c r="Q595" s="97">
        <v>626</v>
      </c>
      <c r="R595" s="97">
        <v>51</v>
      </c>
      <c r="S595" s="97">
        <v>31</v>
      </c>
      <c r="T595" s="97">
        <v>571</v>
      </c>
      <c r="U595" s="97">
        <v>51</v>
      </c>
      <c r="V595" s="97">
        <v>51</v>
      </c>
      <c r="W595" s="97">
        <v>874</v>
      </c>
      <c r="X595" s="97">
        <v>80</v>
      </c>
      <c r="Y595" s="97">
        <v>4</v>
      </c>
      <c r="Z595" s="97">
        <v>151</v>
      </c>
      <c r="AA595" s="97">
        <v>54</v>
      </c>
      <c r="AB595" s="97">
        <v>26</v>
      </c>
      <c r="AC595" s="97">
        <v>428</v>
      </c>
      <c r="AD595" s="97">
        <v>71</v>
      </c>
      <c r="AE595" s="97">
        <v>17</v>
      </c>
      <c r="AF595" s="97">
        <v>290</v>
      </c>
      <c r="AG595" s="97">
        <v>436.5</v>
      </c>
      <c r="AH595" s="97">
        <v>35</v>
      </c>
      <c r="AI595" s="97">
        <v>592</v>
      </c>
    </row>
    <row r="596" spans="1:35" ht="15" customHeight="1">
      <c r="A596" s="97" t="s">
        <v>2829</v>
      </c>
      <c r="B596" s="97" t="s">
        <v>2829</v>
      </c>
      <c r="C596" s="97" t="s">
        <v>89</v>
      </c>
      <c r="D596" s="97" t="s">
        <v>3198</v>
      </c>
      <c r="E596" s="97" t="s">
        <v>38</v>
      </c>
      <c r="F596" s="97">
        <v>79</v>
      </c>
      <c r="G596" s="97">
        <v>54</v>
      </c>
      <c r="H596" s="97">
        <v>915</v>
      </c>
      <c r="I596" s="97">
        <v>60</v>
      </c>
      <c r="J596" s="97">
        <v>40</v>
      </c>
      <c r="K596" s="97">
        <v>696</v>
      </c>
      <c r="L596" s="97">
        <v>104.5</v>
      </c>
      <c r="M596" s="97">
        <v>7</v>
      </c>
      <c r="N596" s="97">
        <v>177</v>
      </c>
      <c r="O596" s="97">
        <v>66</v>
      </c>
      <c r="P596" s="97">
        <v>23</v>
      </c>
      <c r="Q596" s="97">
        <v>484</v>
      </c>
      <c r="R596" s="97">
        <v>61</v>
      </c>
      <c r="S596" s="97">
        <v>12</v>
      </c>
      <c r="T596" s="97">
        <v>300</v>
      </c>
      <c r="U596" s="97">
        <v>66</v>
      </c>
      <c r="V596" s="97">
        <v>31</v>
      </c>
      <c r="W596" s="97">
        <v>611</v>
      </c>
      <c r="X596" s="97">
        <v>66</v>
      </c>
      <c r="Y596" s="97">
        <v>34</v>
      </c>
      <c r="Z596" s="97">
        <v>604</v>
      </c>
      <c r="AA596" s="97">
        <v>61</v>
      </c>
      <c r="AB596" s="97">
        <v>9</v>
      </c>
      <c r="AC596" s="97">
        <v>172</v>
      </c>
      <c r="AD596" s="97">
        <v>74</v>
      </c>
      <c r="AE596" s="97">
        <v>10</v>
      </c>
      <c r="AF596" s="97">
        <v>174</v>
      </c>
      <c r="AG596" s="97">
        <v>436.5</v>
      </c>
      <c r="AH596" s="97">
        <v>27</v>
      </c>
      <c r="AI596" s="97">
        <v>592</v>
      </c>
    </row>
    <row r="597" spans="1:35" ht="15" customHeight="1">
      <c r="A597" s="97" t="s">
        <v>2820</v>
      </c>
      <c r="B597" s="97" t="s">
        <v>2820</v>
      </c>
      <c r="C597" s="97" t="s">
        <v>2821</v>
      </c>
      <c r="D597" s="97" t="s">
        <v>3198</v>
      </c>
      <c r="E597" s="97" t="s">
        <v>38</v>
      </c>
      <c r="F597" s="97">
        <v>97</v>
      </c>
      <c r="G597" s="97">
        <v>33</v>
      </c>
      <c r="H597" s="97">
        <v>645</v>
      </c>
      <c r="I597" s="97">
        <v>65</v>
      </c>
      <c r="J597" s="97">
        <v>29</v>
      </c>
      <c r="K597" s="97">
        <v>604</v>
      </c>
      <c r="L597" s="97">
        <v>87.5</v>
      </c>
      <c r="M597" s="97">
        <v>34</v>
      </c>
      <c r="N597" s="97">
        <v>541</v>
      </c>
      <c r="O597" s="97">
        <v>65</v>
      </c>
      <c r="P597" s="97">
        <v>24</v>
      </c>
      <c r="Q597" s="97">
        <v>501</v>
      </c>
      <c r="R597" s="97">
        <v>46</v>
      </c>
      <c r="S597" s="97">
        <v>40</v>
      </c>
      <c r="T597" s="97">
        <v>702</v>
      </c>
      <c r="U597" s="97">
        <v>75</v>
      </c>
      <c r="V597" s="97">
        <v>16</v>
      </c>
      <c r="W597" s="97">
        <v>342</v>
      </c>
      <c r="X597" s="97">
        <v>71</v>
      </c>
      <c r="Y597" s="97">
        <v>17</v>
      </c>
      <c r="Z597" s="97">
        <v>439</v>
      </c>
      <c r="AA597" s="97">
        <v>44</v>
      </c>
      <c r="AB597" s="97">
        <v>45</v>
      </c>
      <c r="AC597" s="97">
        <v>804</v>
      </c>
      <c r="AD597" s="97">
        <v>62</v>
      </c>
      <c r="AE597" s="97">
        <v>35</v>
      </c>
      <c r="AF597" s="97">
        <v>672</v>
      </c>
      <c r="AG597" s="97">
        <v>435.5</v>
      </c>
      <c r="AH597" s="97">
        <v>28</v>
      </c>
      <c r="AI597" s="97">
        <v>594</v>
      </c>
    </row>
    <row r="598" spans="1:35" ht="15" customHeight="1">
      <c r="A598" s="97" t="s">
        <v>2837</v>
      </c>
      <c r="B598" s="97" t="s">
        <v>2837</v>
      </c>
      <c r="C598" s="97" t="s">
        <v>2838</v>
      </c>
      <c r="D598" s="97" t="s">
        <v>3198</v>
      </c>
      <c r="E598" s="97" t="s">
        <v>38</v>
      </c>
      <c r="F598" s="97">
        <v>103</v>
      </c>
      <c r="G598" s="97">
        <v>19</v>
      </c>
      <c r="H598" s="97">
        <v>400</v>
      </c>
      <c r="I598" s="97">
        <v>82</v>
      </c>
      <c r="J598" s="97">
        <v>9</v>
      </c>
      <c r="K598" s="97">
        <v>290</v>
      </c>
      <c r="L598" s="97">
        <v>73.5</v>
      </c>
      <c r="M598" s="97">
        <v>49</v>
      </c>
      <c r="N598" s="97">
        <v>797</v>
      </c>
      <c r="O598" s="97">
        <v>60</v>
      </c>
      <c r="P598" s="97">
        <v>34</v>
      </c>
      <c r="Q598" s="97">
        <v>607</v>
      </c>
      <c r="R598" s="97">
        <v>49</v>
      </c>
      <c r="S598" s="97">
        <v>28</v>
      </c>
      <c r="T598" s="97">
        <v>624</v>
      </c>
      <c r="U598" s="97">
        <v>68</v>
      </c>
      <c r="V598" s="97">
        <v>29</v>
      </c>
      <c r="W598" s="97">
        <v>555</v>
      </c>
      <c r="X598" s="97">
        <v>72</v>
      </c>
      <c r="Y598" s="97">
        <v>16</v>
      </c>
      <c r="Z598" s="97">
        <v>396</v>
      </c>
      <c r="AA598" s="97">
        <v>53</v>
      </c>
      <c r="AB598" s="97">
        <v>26</v>
      </c>
      <c r="AC598" s="97">
        <v>470</v>
      </c>
      <c r="AD598" s="97">
        <v>52</v>
      </c>
      <c r="AE598" s="97">
        <v>52</v>
      </c>
      <c r="AF598" s="97">
        <v>879</v>
      </c>
      <c r="AG598" s="97">
        <v>435.5</v>
      </c>
      <c r="AH598" s="97">
        <v>28</v>
      </c>
      <c r="AI598" s="97">
        <v>594</v>
      </c>
    </row>
    <row r="599" spans="1:35" ht="15" customHeight="1">
      <c r="A599" s="97" t="s">
        <v>2594</v>
      </c>
      <c r="B599" s="97" t="s">
        <v>2594</v>
      </c>
      <c r="C599" s="97" t="s">
        <v>2595</v>
      </c>
      <c r="D599" s="97" t="s">
        <v>3198</v>
      </c>
      <c r="E599" s="97" t="s">
        <v>49</v>
      </c>
      <c r="F599" s="97">
        <v>101</v>
      </c>
      <c r="G599" s="97">
        <v>24</v>
      </c>
      <c r="H599" s="97">
        <v>481</v>
      </c>
      <c r="I599" s="97">
        <v>64</v>
      </c>
      <c r="J599" s="97">
        <v>38</v>
      </c>
      <c r="K599" s="97">
        <v>627</v>
      </c>
      <c r="L599" s="97">
        <v>87.5</v>
      </c>
      <c r="M599" s="97">
        <v>37</v>
      </c>
      <c r="N599" s="97">
        <v>541</v>
      </c>
      <c r="O599" s="97">
        <v>55</v>
      </c>
      <c r="P599" s="97">
        <v>41</v>
      </c>
      <c r="Q599" s="97">
        <v>694</v>
      </c>
      <c r="R599" s="97">
        <v>55</v>
      </c>
      <c r="S599" s="97">
        <v>25</v>
      </c>
      <c r="T599" s="97">
        <v>470</v>
      </c>
      <c r="U599" s="97">
        <v>73</v>
      </c>
      <c r="V599" s="97">
        <v>18</v>
      </c>
      <c r="W599" s="97">
        <v>393</v>
      </c>
      <c r="X599" s="97">
        <v>70</v>
      </c>
      <c r="Y599" s="97">
        <v>13</v>
      </c>
      <c r="Z599" s="97">
        <v>473</v>
      </c>
      <c r="AA599" s="97">
        <v>58</v>
      </c>
      <c r="AB599" s="97">
        <v>12</v>
      </c>
      <c r="AC599" s="97">
        <v>278</v>
      </c>
      <c r="AD599" s="97">
        <v>73</v>
      </c>
      <c r="AE599" s="97">
        <v>5</v>
      </c>
      <c r="AF599" s="97">
        <v>216</v>
      </c>
      <c r="AG599" s="97">
        <v>435.5</v>
      </c>
      <c r="AH599" s="97">
        <v>35</v>
      </c>
      <c r="AI599" s="97">
        <v>594</v>
      </c>
    </row>
    <row r="600" spans="1:35" ht="15" customHeight="1">
      <c r="A600" s="97" t="s">
        <v>1213</v>
      </c>
      <c r="B600" s="97" t="s">
        <v>1213</v>
      </c>
      <c r="C600" s="97" t="s">
        <v>1214</v>
      </c>
      <c r="D600" s="97" t="s">
        <v>3198</v>
      </c>
      <c r="E600" s="97" t="s">
        <v>54</v>
      </c>
      <c r="F600" s="97">
        <v>117</v>
      </c>
      <c r="G600" s="97">
        <v>4</v>
      </c>
      <c r="H600" s="97">
        <v>40</v>
      </c>
      <c r="I600" s="97">
        <v>59</v>
      </c>
      <c r="J600" s="97">
        <v>42</v>
      </c>
      <c r="K600" s="97">
        <v>721</v>
      </c>
      <c r="L600" s="97">
        <v>89.5</v>
      </c>
      <c r="M600" s="97">
        <v>20</v>
      </c>
      <c r="N600" s="97">
        <v>493</v>
      </c>
      <c r="O600" s="97">
        <v>55</v>
      </c>
      <c r="P600" s="97">
        <v>35</v>
      </c>
      <c r="Q600" s="97">
        <v>694</v>
      </c>
      <c r="R600" s="97">
        <v>51</v>
      </c>
      <c r="S600" s="97">
        <v>37</v>
      </c>
      <c r="T600" s="97">
        <v>571</v>
      </c>
      <c r="U600" s="97">
        <v>64</v>
      </c>
      <c r="V600" s="97">
        <v>42</v>
      </c>
      <c r="W600" s="97">
        <v>667</v>
      </c>
      <c r="X600" s="97">
        <v>67</v>
      </c>
      <c r="Y600" s="97">
        <v>28</v>
      </c>
      <c r="Z600" s="97">
        <v>570</v>
      </c>
      <c r="AA600" s="97">
        <v>49</v>
      </c>
      <c r="AB600" s="97">
        <v>27</v>
      </c>
      <c r="AC600" s="97">
        <v>633</v>
      </c>
      <c r="AD600" s="97">
        <v>70</v>
      </c>
      <c r="AE600" s="97">
        <v>21</v>
      </c>
      <c r="AF600" s="97">
        <v>327</v>
      </c>
      <c r="AG600" s="97">
        <v>435.5</v>
      </c>
      <c r="AH600" s="97">
        <v>34</v>
      </c>
      <c r="AI600" s="97">
        <v>594</v>
      </c>
    </row>
    <row r="601" spans="1:35" ht="15" customHeight="1">
      <c r="A601" s="97" t="s">
        <v>2776</v>
      </c>
      <c r="B601" s="97" t="s">
        <v>2776</v>
      </c>
      <c r="C601" s="97" t="s">
        <v>2777</v>
      </c>
      <c r="D601" s="97" t="s">
        <v>3198</v>
      </c>
      <c r="E601" s="97" t="s">
        <v>38</v>
      </c>
      <c r="F601" s="97">
        <v>85</v>
      </c>
      <c r="G601" s="97">
        <v>48</v>
      </c>
      <c r="H601" s="97">
        <v>885</v>
      </c>
      <c r="I601" s="97">
        <v>63</v>
      </c>
      <c r="J601" s="97">
        <v>31</v>
      </c>
      <c r="K601" s="97">
        <v>642</v>
      </c>
      <c r="L601" s="97">
        <v>102</v>
      </c>
      <c r="M601" s="97">
        <v>9</v>
      </c>
      <c r="N601" s="97">
        <v>219</v>
      </c>
      <c r="O601" s="97">
        <v>73</v>
      </c>
      <c r="P601" s="97">
        <v>12</v>
      </c>
      <c r="Q601" s="97">
        <v>339</v>
      </c>
      <c r="R601" s="97">
        <v>39</v>
      </c>
      <c r="S601" s="97">
        <v>48</v>
      </c>
      <c r="T601" s="97">
        <v>825</v>
      </c>
      <c r="U601" s="97">
        <v>73</v>
      </c>
      <c r="V601" s="97">
        <v>18</v>
      </c>
      <c r="W601" s="97">
        <v>393</v>
      </c>
      <c r="X601" s="97">
        <v>60</v>
      </c>
      <c r="Y601" s="97">
        <v>45</v>
      </c>
      <c r="Z601" s="97">
        <v>777</v>
      </c>
      <c r="AA601" s="97">
        <v>58</v>
      </c>
      <c r="AB601" s="97">
        <v>14</v>
      </c>
      <c r="AC601" s="97">
        <v>278</v>
      </c>
      <c r="AD601" s="97">
        <v>57</v>
      </c>
      <c r="AE601" s="97">
        <v>43</v>
      </c>
      <c r="AF601" s="97">
        <v>798</v>
      </c>
      <c r="AG601" s="97">
        <v>435</v>
      </c>
      <c r="AH601" s="97">
        <v>30</v>
      </c>
      <c r="AI601" s="97">
        <v>598</v>
      </c>
    </row>
    <row r="602" spans="1:35" ht="15" customHeight="1">
      <c r="A602" s="97" t="s">
        <v>2394</v>
      </c>
      <c r="B602" s="97" t="s">
        <v>2394</v>
      </c>
      <c r="C602" s="97" t="s">
        <v>2401</v>
      </c>
      <c r="D602" s="97" t="s">
        <v>3198</v>
      </c>
      <c r="E602" s="97" t="s">
        <v>7</v>
      </c>
      <c r="F602" s="97">
        <v>111</v>
      </c>
      <c r="G602" s="97">
        <v>6</v>
      </c>
      <c r="H602" s="97">
        <v>136</v>
      </c>
      <c r="I602" s="97">
        <v>63</v>
      </c>
      <c r="J602" s="97">
        <v>28</v>
      </c>
      <c r="K602" s="97">
        <v>642</v>
      </c>
      <c r="L602" s="97">
        <v>79.5</v>
      </c>
      <c r="M602" s="97">
        <v>40</v>
      </c>
      <c r="N602" s="97">
        <v>698</v>
      </c>
      <c r="O602" s="97">
        <v>60</v>
      </c>
      <c r="P602" s="97">
        <v>32</v>
      </c>
      <c r="Q602" s="97">
        <v>607</v>
      </c>
      <c r="R602" s="97">
        <v>54</v>
      </c>
      <c r="S602" s="97">
        <v>20</v>
      </c>
      <c r="T602" s="97">
        <v>494</v>
      </c>
      <c r="U602" s="97">
        <v>67</v>
      </c>
      <c r="V602" s="97">
        <v>33</v>
      </c>
      <c r="W602" s="97">
        <v>587</v>
      </c>
      <c r="X602" s="97">
        <v>74</v>
      </c>
      <c r="Y602" s="97">
        <v>34</v>
      </c>
      <c r="Z602" s="97">
        <v>326</v>
      </c>
      <c r="AA602" s="97">
        <v>67</v>
      </c>
      <c r="AB602" s="97">
        <v>3</v>
      </c>
      <c r="AC602" s="97">
        <v>66</v>
      </c>
      <c r="AD602" s="97">
        <v>69</v>
      </c>
      <c r="AE602" s="97">
        <v>17</v>
      </c>
      <c r="AF602" s="97">
        <v>367</v>
      </c>
      <c r="AG602" s="97">
        <v>434.5</v>
      </c>
      <c r="AH602" s="97">
        <v>32</v>
      </c>
      <c r="AI602" s="97">
        <v>599</v>
      </c>
    </row>
    <row r="603" spans="1:35" ht="15" customHeight="1">
      <c r="A603" s="97" t="s">
        <v>1311</v>
      </c>
      <c r="B603" s="97" t="s">
        <v>1311</v>
      </c>
      <c r="C603" s="97" t="s">
        <v>1312</v>
      </c>
      <c r="D603" s="97" t="s">
        <v>3198</v>
      </c>
      <c r="E603" s="97" t="s">
        <v>54</v>
      </c>
      <c r="F603" s="97">
        <v>101</v>
      </c>
      <c r="G603" s="97">
        <v>32</v>
      </c>
      <c r="H603" s="97">
        <v>481</v>
      </c>
      <c r="I603" s="97">
        <v>73</v>
      </c>
      <c r="J603" s="97">
        <v>24</v>
      </c>
      <c r="K603" s="97">
        <v>438</v>
      </c>
      <c r="L603" s="97">
        <v>82.5</v>
      </c>
      <c r="M603" s="97">
        <v>32</v>
      </c>
      <c r="N603" s="97">
        <v>657</v>
      </c>
      <c r="O603" s="97">
        <v>65</v>
      </c>
      <c r="P603" s="97">
        <v>27</v>
      </c>
      <c r="Q603" s="97">
        <v>501</v>
      </c>
      <c r="R603" s="97">
        <v>51</v>
      </c>
      <c r="S603" s="97">
        <v>37</v>
      </c>
      <c r="T603" s="97">
        <v>571</v>
      </c>
      <c r="U603" s="97">
        <v>62</v>
      </c>
      <c r="V603" s="97">
        <v>44</v>
      </c>
      <c r="W603" s="97">
        <v>716</v>
      </c>
      <c r="X603" s="97">
        <v>66</v>
      </c>
      <c r="Y603" s="97">
        <v>32</v>
      </c>
      <c r="Z603" s="97">
        <v>604</v>
      </c>
      <c r="AA603" s="97">
        <v>49</v>
      </c>
      <c r="AB603" s="97">
        <v>27</v>
      </c>
      <c r="AC603" s="97">
        <v>633</v>
      </c>
      <c r="AD603" s="97">
        <v>73</v>
      </c>
      <c r="AE603" s="97">
        <v>14</v>
      </c>
      <c r="AF603" s="97">
        <v>216</v>
      </c>
      <c r="AG603" s="97">
        <v>434.5</v>
      </c>
      <c r="AH603" s="97">
        <v>35</v>
      </c>
      <c r="AI603" s="97">
        <v>599</v>
      </c>
    </row>
    <row r="604" spans="1:35" ht="15" customHeight="1">
      <c r="A604" s="97" t="s">
        <v>476</v>
      </c>
      <c r="B604" s="97" t="s">
        <v>476</v>
      </c>
      <c r="C604" s="97" t="s">
        <v>480</v>
      </c>
      <c r="D604" s="97" t="s">
        <v>3198</v>
      </c>
      <c r="E604" s="97" t="s">
        <v>19</v>
      </c>
      <c r="F604" s="97">
        <v>94</v>
      </c>
      <c r="G604" s="97">
        <v>44</v>
      </c>
      <c r="H604" s="97">
        <v>733</v>
      </c>
      <c r="I604" s="97">
        <v>80</v>
      </c>
      <c r="J604" s="97">
        <v>15</v>
      </c>
      <c r="K604" s="97">
        <v>325</v>
      </c>
      <c r="L604" s="97">
        <v>70.5</v>
      </c>
      <c r="M604" s="97">
        <v>50</v>
      </c>
      <c r="N604" s="97">
        <v>834</v>
      </c>
      <c r="O604" s="97">
        <v>63</v>
      </c>
      <c r="P604" s="97">
        <v>27</v>
      </c>
      <c r="Q604" s="97">
        <v>540</v>
      </c>
      <c r="R604" s="97">
        <v>57</v>
      </c>
      <c r="S604" s="97">
        <v>18</v>
      </c>
      <c r="T604" s="97">
        <v>409</v>
      </c>
      <c r="U604" s="97">
        <v>70</v>
      </c>
      <c r="V604" s="97">
        <v>27</v>
      </c>
      <c r="W604" s="97">
        <v>485</v>
      </c>
      <c r="X604" s="97">
        <v>53</v>
      </c>
      <c r="Y604" s="97">
        <v>54</v>
      </c>
      <c r="Z604" s="97">
        <v>888</v>
      </c>
      <c r="AA604" s="97">
        <v>40</v>
      </c>
      <c r="AB604" s="97">
        <v>54</v>
      </c>
      <c r="AC604" s="97">
        <v>881</v>
      </c>
      <c r="AD604" s="97">
        <v>60</v>
      </c>
      <c r="AE604" s="97">
        <v>42</v>
      </c>
      <c r="AF604" s="97">
        <v>727</v>
      </c>
      <c r="AG604" s="97">
        <v>434.5</v>
      </c>
      <c r="AH604" s="97">
        <v>35</v>
      </c>
      <c r="AI604" s="97">
        <v>599</v>
      </c>
    </row>
    <row r="605" spans="1:35" ht="15" customHeight="1">
      <c r="A605" s="97" t="s">
        <v>572</v>
      </c>
      <c r="B605" s="97" t="s">
        <v>572</v>
      </c>
      <c r="C605" s="97" t="s">
        <v>573</v>
      </c>
      <c r="D605" s="97" t="s">
        <v>3198</v>
      </c>
      <c r="E605" s="97" t="s">
        <v>17</v>
      </c>
      <c r="F605" s="97">
        <v>116</v>
      </c>
      <c r="G605" s="97">
        <v>4</v>
      </c>
      <c r="H605" s="97">
        <v>47</v>
      </c>
      <c r="I605" s="97">
        <v>60</v>
      </c>
      <c r="J605" s="97">
        <v>43</v>
      </c>
      <c r="K605" s="97">
        <v>696</v>
      </c>
      <c r="L605" s="97">
        <v>97.5</v>
      </c>
      <c r="M605" s="97">
        <v>16</v>
      </c>
      <c r="N605" s="97">
        <v>310</v>
      </c>
      <c r="O605" s="97">
        <v>52</v>
      </c>
      <c r="P605" s="97">
        <v>48</v>
      </c>
      <c r="Q605" s="97">
        <v>757</v>
      </c>
      <c r="R605" s="97">
        <v>46</v>
      </c>
      <c r="S605" s="97">
        <v>45</v>
      </c>
      <c r="T605" s="97">
        <v>702</v>
      </c>
      <c r="U605" s="97">
        <v>63</v>
      </c>
      <c r="V605" s="97">
        <v>44</v>
      </c>
      <c r="W605" s="97">
        <v>692</v>
      </c>
      <c r="X605" s="97">
        <v>75</v>
      </c>
      <c r="Y605" s="97">
        <v>21</v>
      </c>
      <c r="Z605" s="97">
        <v>289</v>
      </c>
      <c r="AA605" s="97">
        <v>54</v>
      </c>
      <c r="AB605" s="97">
        <v>27</v>
      </c>
      <c r="AC605" s="97">
        <v>428</v>
      </c>
      <c r="AD605" s="97">
        <v>66</v>
      </c>
      <c r="AE605" s="97">
        <v>39</v>
      </c>
      <c r="AF605" s="97">
        <v>511</v>
      </c>
      <c r="AG605" s="97">
        <v>434.5</v>
      </c>
      <c r="AH605" s="97">
        <v>37</v>
      </c>
      <c r="AI605" s="97">
        <v>599</v>
      </c>
    </row>
    <row r="606" spans="1:35" ht="15" customHeight="1">
      <c r="A606" s="97" t="s">
        <v>536</v>
      </c>
      <c r="B606" s="97" t="s">
        <v>536</v>
      </c>
      <c r="C606" s="97" t="s">
        <v>537</v>
      </c>
      <c r="D606" s="97" t="s">
        <v>3198</v>
      </c>
      <c r="E606" s="97" t="s">
        <v>17</v>
      </c>
      <c r="F606" s="97">
        <v>91</v>
      </c>
      <c r="G606" s="97">
        <v>49</v>
      </c>
      <c r="H606" s="97">
        <v>799</v>
      </c>
      <c r="I606" s="97">
        <v>87</v>
      </c>
      <c r="J606" s="97">
        <v>13</v>
      </c>
      <c r="K606" s="97">
        <v>220</v>
      </c>
      <c r="L606" s="97">
        <v>39</v>
      </c>
      <c r="M606" s="97">
        <v>57</v>
      </c>
      <c r="N606" s="97">
        <v>933</v>
      </c>
      <c r="O606" s="97">
        <v>66</v>
      </c>
      <c r="P606" s="97">
        <v>29</v>
      </c>
      <c r="Q606" s="97">
        <v>484</v>
      </c>
      <c r="R606" s="97">
        <v>73</v>
      </c>
      <c r="S606" s="97">
        <v>7</v>
      </c>
      <c r="T606" s="97">
        <v>106</v>
      </c>
      <c r="U606" s="97">
        <v>78</v>
      </c>
      <c r="V606" s="97">
        <v>10</v>
      </c>
      <c r="W606" s="97">
        <v>250</v>
      </c>
      <c r="X606" s="97">
        <v>58</v>
      </c>
      <c r="Y606" s="97">
        <v>51</v>
      </c>
      <c r="Z606" s="97">
        <v>820</v>
      </c>
      <c r="AA606" s="97">
        <v>53</v>
      </c>
      <c r="AB606" s="97">
        <v>30</v>
      </c>
      <c r="AC606" s="97">
        <v>470</v>
      </c>
      <c r="AD606" s="97">
        <v>71</v>
      </c>
      <c r="AE606" s="97">
        <v>19</v>
      </c>
      <c r="AF606" s="97">
        <v>290</v>
      </c>
      <c r="AG606" s="97">
        <v>434</v>
      </c>
      <c r="AH606" s="97">
        <v>38</v>
      </c>
      <c r="AI606" s="97">
        <v>603</v>
      </c>
    </row>
    <row r="607" spans="1:35" ht="15" customHeight="1">
      <c r="A607" s="97" t="s">
        <v>1274</v>
      </c>
      <c r="B607" s="97" t="s">
        <v>1274</v>
      </c>
      <c r="C607" s="97" t="s">
        <v>1275</v>
      </c>
      <c r="D607" s="97" t="s">
        <v>3198</v>
      </c>
      <c r="E607" s="97" t="s">
        <v>54</v>
      </c>
      <c r="F607" s="97">
        <v>108</v>
      </c>
      <c r="G607" s="97">
        <v>17</v>
      </c>
      <c r="H607" s="97">
        <v>212</v>
      </c>
      <c r="I607" s="97">
        <v>65</v>
      </c>
      <c r="J607" s="97">
        <v>34</v>
      </c>
      <c r="K607" s="97">
        <v>604</v>
      </c>
      <c r="L607" s="97">
        <v>84</v>
      </c>
      <c r="M607" s="97">
        <v>29</v>
      </c>
      <c r="N607" s="97">
        <v>622</v>
      </c>
      <c r="O607" s="97">
        <v>53</v>
      </c>
      <c r="P607" s="97">
        <v>39</v>
      </c>
      <c r="Q607" s="97">
        <v>739</v>
      </c>
      <c r="R607" s="97">
        <v>56</v>
      </c>
      <c r="S607" s="97">
        <v>28</v>
      </c>
      <c r="T607" s="97">
        <v>433</v>
      </c>
      <c r="U607" s="97">
        <v>68</v>
      </c>
      <c r="V607" s="97">
        <v>38</v>
      </c>
      <c r="W607" s="97">
        <v>555</v>
      </c>
      <c r="X607" s="97">
        <v>73</v>
      </c>
      <c r="Y607" s="97">
        <v>18</v>
      </c>
      <c r="Z607" s="97">
        <v>359</v>
      </c>
      <c r="AA607" s="97">
        <v>57</v>
      </c>
      <c r="AB607" s="97">
        <v>10</v>
      </c>
      <c r="AC607" s="97">
        <v>306</v>
      </c>
      <c r="AD607" s="97">
        <v>57</v>
      </c>
      <c r="AE607" s="97">
        <v>48</v>
      </c>
      <c r="AF607" s="97">
        <v>798</v>
      </c>
      <c r="AG607" s="97">
        <v>434</v>
      </c>
      <c r="AH607" s="97">
        <v>36</v>
      </c>
      <c r="AI607" s="97">
        <v>603</v>
      </c>
    </row>
    <row r="608" spans="1:35" ht="15" customHeight="1">
      <c r="A608" s="97" t="s">
        <v>2036</v>
      </c>
      <c r="B608" s="97" t="s">
        <v>2036</v>
      </c>
      <c r="C608" s="97" t="s">
        <v>2037</v>
      </c>
      <c r="D608" s="97" t="s">
        <v>3198</v>
      </c>
      <c r="E608" s="97" t="s">
        <v>109</v>
      </c>
      <c r="F608" s="97">
        <v>87</v>
      </c>
      <c r="G608" s="97">
        <v>55</v>
      </c>
      <c r="H608" s="97">
        <v>857</v>
      </c>
      <c r="I608" s="97">
        <v>65</v>
      </c>
      <c r="J608" s="97">
        <v>38</v>
      </c>
      <c r="K608" s="97">
        <v>604</v>
      </c>
      <c r="L608" s="97">
        <v>98</v>
      </c>
      <c r="M608" s="97">
        <v>16</v>
      </c>
      <c r="N608" s="97">
        <v>294</v>
      </c>
      <c r="O608" s="97">
        <v>63</v>
      </c>
      <c r="P608" s="97">
        <v>27</v>
      </c>
      <c r="Q608" s="97">
        <v>540</v>
      </c>
      <c r="R608" s="97">
        <v>55</v>
      </c>
      <c r="S608" s="97">
        <v>27</v>
      </c>
      <c r="T608" s="97">
        <v>470</v>
      </c>
      <c r="U608" s="97">
        <v>66</v>
      </c>
      <c r="V608" s="97">
        <v>37</v>
      </c>
      <c r="W608" s="97">
        <v>611</v>
      </c>
      <c r="X608" s="97">
        <v>55</v>
      </c>
      <c r="Y608" s="97">
        <v>49</v>
      </c>
      <c r="Z608" s="97">
        <v>868</v>
      </c>
      <c r="AA608" s="97">
        <v>26</v>
      </c>
      <c r="AB608" s="97">
        <v>57</v>
      </c>
      <c r="AC608" s="97">
        <v>934</v>
      </c>
      <c r="AD608" s="97">
        <v>50</v>
      </c>
      <c r="AE608" s="97">
        <v>55</v>
      </c>
      <c r="AF608" s="97">
        <v>896</v>
      </c>
      <c r="AG608" s="97">
        <v>434</v>
      </c>
      <c r="AH608" s="97">
        <v>33</v>
      </c>
      <c r="AI608" s="97">
        <v>603</v>
      </c>
    </row>
    <row r="609" spans="1:35" ht="15" customHeight="1">
      <c r="A609" s="97" t="s">
        <v>2144</v>
      </c>
      <c r="B609" s="97" t="s">
        <v>2144</v>
      </c>
      <c r="C609" s="97" t="s">
        <v>2145</v>
      </c>
      <c r="D609" s="97" t="s">
        <v>3198</v>
      </c>
      <c r="E609" s="97" t="s">
        <v>73</v>
      </c>
      <c r="F609" s="97">
        <v>102</v>
      </c>
      <c r="G609" s="97">
        <v>26</v>
      </c>
      <c r="H609" s="97">
        <v>442</v>
      </c>
      <c r="I609" s="97">
        <v>71</v>
      </c>
      <c r="J609" s="97">
        <v>18</v>
      </c>
      <c r="K609" s="97">
        <v>475</v>
      </c>
      <c r="L609" s="97">
        <v>88.5</v>
      </c>
      <c r="M609" s="97">
        <v>30</v>
      </c>
      <c r="N609" s="97">
        <v>519</v>
      </c>
      <c r="O609" s="97">
        <v>54</v>
      </c>
      <c r="P609" s="97">
        <v>36</v>
      </c>
      <c r="Q609" s="97">
        <v>718</v>
      </c>
      <c r="R609" s="97">
        <v>48</v>
      </c>
      <c r="S609" s="97">
        <v>38</v>
      </c>
      <c r="T609" s="97">
        <v>649</v>
      </c>
      <c r="U609" s="97">
        <v>70</v>
      </c>
      <c r="V609" s="97">
        <v>20</v>
      </c>
      <c r="W609" s="97">
        <v>485</v>
      </c>
      <c r="X609" s="97">
        <v>63</v>
      </c>
      <c r="Y609" s="97">
        <v>38</v>
      </c>
      <c r="Z609" s="97">
        <v>712</v>
      </c>
      <c r="AA609" s="97">
        <v>48</v>
      </c>
      <c r="AB609" s="97">
        <v>41</v>
      </c>
      <c r="AC609" s="97">
        <v>671</v>
      </c>
      <c r="AD609" s="97">
        <v>72</v>
      </c>
      <c r="AE609" s="97">
        <v>13</v>
      </c>
      <c r="AF609" s="97">
        <v>256</v>
      </c>
      <c r="AG609" s="97">
        <v>433.5</v>
      </c>
      <c r="AH609" s="97">
        <v>36</v>
      </c>
      <c r="AI609" s="97">
        <v>606</v>
      </c>
    </row>
    <row r="610" spans="1:35" ht="15" customHeight="1">
      <c r="A610" s="97" t="s">
        <v>2519</v>
      </c>
      <c r="B610" s="97" t="s">
        <v>2519</v>
      </c>
      <c r="C610" s="97" t="s">
        <v>2520</v>
      </c>
      <c r="D610" s="97" t="s">
        <v>3198</v>
      </c>
      <c r="E610" s="97" t="s">
        <v>131</v>
      </c>
      <c r="F610" s="97">
        <v>93</v>
      </c>
      <c r="G610" s="97">
        <v>35</v>
      </c>
      <c r="H610" s="97">
        <v>755</v>
      </c>
      <c r="I610" s="97">
        <v>73</v>
      </c>
      <c r="J610" s="97">
        <v>26</v>
      </c>
      <c r="K610" s="97">
        <v>438</v>
      </c>
      <c r="L610" s="97">
        <v>73.5</v>
      </c>
      <c r="M610" s="97">
        <v>46</v>
      </c>
      <c r="N610" s="97">
        <v>797</v>
      </c>
      <c r="O610" s="97">
        <v>60</v>
      </c>
      <c r="P610" s="97">
        <v>37</v>
      </c>
      <c r="Q610" s="97">
        <v>607</v>
      </c>
      <c r="R610" s="97">
        <v>65</v>
      </c>
      <c r="S610" s="97">
        <v>6</v>
      </c>
      <c r="T610" s="97">
        <v>223</v>
      </c>
      <c r="U610" s="97">
        <v>69</v>
      </c>
      <c r="V610" s="97">
        <v>30</v>
      </c>
      <c r="W610" s="97">
        <v>523</v>
      </c>
      <c r="X610" s="97">
        <v>78</v>
      </c>
      <c r="Y610" s="97">
        <v>4</v>
      </c>
      <c r="Z610" s="97">
        <v>209</v>
      </c>
      <c r="AA610" s="97">
        <v>61</v>
      </c>
      <c r="AB610" s="97">
        <v>16</v>
      </c>
      <c r="AC610" s="97">
        <v>172</v>
      </c>
      <c r="AD610" s="97">
        <v>73</v>
      </c>
      <c r="AE610" s="97">
        <v>12</v>
      </c>
      <c r="AF610" s="97">
        <v>216</v>
      </c>
      <c r="AG610" s="97">
        <v>433.5</v>
      </c>
      <c r="AH610" s="97">
        <v>33</v>
      </c>
      <c r="AI610" s="97">
        <v>606</v>
      </c>
    </row>
    <row r="611" spans="1:35" ht="15" customHeight="1">
      <c r="A611" s="97" t="s">
        <v>1297</v>
      </c>
      <c r="B611" s="97" t="s">
        <v>1297</v>
      </c>
      <c r="C611" s="97" t="s">
        <v>1298</v>
      </c>
      <c r="D611" s="97" t="s">
        <v>3198</v>
      </c>
      <c r="E611" s="97" t="s">
        <v>54</v>
      </c>
      <c r="F611" s="97">
        <v>108</v>
      </c>
      <c r="G611" s="97">
        <v>17</v>
      </c>
      <c r="H611" s="97">
        <v>212</v>
      </c>
      <c r="I611" s="97">
        <v>50</v>
      </c>
      <c r="J611" s="97">
        <v>48</v>
      </c>
      <c r="K611" s="97">
        <v>831</v>
      </c>
      <c r="L611" s="97">
        <v>86.5</v>
      </c>
      <c r="M611" s="97">
        <v>23</v>
      </c>
      <c r="N611" s="97">
        <v>565</v>
      </c>
      <c r="O611" s="97">
        <v>72</v>
      </c>
      <c r="P611" s="97">
        <v>21</v>
      </c>
      <c r="Q611" s="97">
        <v>358</v>
      </c>
      <c r="R611" s="97">
        <v>48</v>
      </c>
      <c r="S611" s="97">
        <v>41</v>
      </c>
      <c r="T611" s="97">
        <v>649</v>
      </c>
      <c r="U611" s="97">
        <v>69</v>
      </c>
      <c r="V611" s="97">
        <v>34</v>
      </c>
      <c r="W611" s="97">
        <v>523</v>
      </c>
      <c r="X611" s="97">
        <v>71</v>
      </c>
      <c r="Y611" s="97">
        <v>21</v>
      </c>
      <c r="Z611" s="97">
        <v>439</v>
      </c>
      <c r="AA611" s="97">
        <v>50</v>
      </c>
      <c r="AB611" s="97">
        <v>25</v>
      </c>
      <c r="AC611" s="97">
        <v>591</v>
      </c>
      <c r="AD611" s="97">
        <v>72</v>
      </c>
      <c r="AE611" s="97">
        <v>16</v>
      </c>
      <c r="AF611" s="97">
        <v>256</v>
      </c>
      <c r="AG611" s="97">
        <v>433.5</v>
      </c>
      <c r="AH611" s="97">
        <v>37</v>
      </c>
      <c r="AI611" s="97">
        <v>606</v>
      </c>
    </row>
    <row r="612" spans="1:35" ht="15" customHeight="1">
      <c r="A612" s="97" t="s">
        <v>963</v>
      </c>
      <c r="B612" s="97" t="s">
        <v>963</v>
      </c>
      <c r="C612" s="97" t="s">
        <v>964</v>
      </c>
      <c r="D612" s="97" t="s">
        <v>3198</v>
      </c>
      <c r="E612" s="97" t="s">
        <v>60</v>
      </c>
      <c r="F612" s="97">
        <v>104</v>
      </c>
      <c r="G612" s="97">
        <v>26</v>
      </c>
      <c r="H612" s="97">
        <v>357</v>
      </c>
      <c r="I612" s="97">
        <v>56</v>
      </c>
      <c r="J612" s="97">
        <v>43</v>
      </c>
      <c r="K612" s="97">
        <v>755</v>
      </c>
      <c r="L612" s="97">
        <v>86.5</v>
      </c>
      <c r="M612" s="97">
        <v>32</v>
      </c>
      <c r="N612" s="97">
        <v>565</v>
      </c>
      <c r="O612" s="97">
        <v>65</v>
      </c>
      <c r="P612" s="97">
        <v>26</v>
      </c>
      <c r="Q612" s="97">
        <v>501</v>
      </c>
      <c r="R612" s="97">
        <v>58</v>
      </c>
      <c r="S612" s="97">
        <v>24</v>
      </c>
      <c r="T612" s="97">
        <v>377</v>
      </c>
      <c r="U612" s="97">
        <v>64</v>
      </c>
      <c r="V612" s="97">
        <v>35</v>
      </c>
      <c r="W612" s="97">
        <v>667</v>
      </c>
      <c r="X612" s="97">
        <v>51</v>
      </c>
      <c r="Y612" s="97">
        <v>55</v>
      </c>
      <c r="Z612" s="97">
        <v>906</v>
      </c>
      <c r="AA612" s="97">
        <v>37</v>
      </c>
      <c r="AB612" s="97">
        <v>53</v>
      </c>
      <c r="AC612" s="97">
        <v>912</v>
      </c>
      <c r="AD612" s="97">
        <v>56</v>
      </c>
      <c r="AE612" s="97">
        <v>49</v>
      </c>
      <c r="AF612" s="97">
        <v>817</v>
      </c>
      <c r="AG612" s="97">
        <v>433.5</v>
      </c>
      <c r="AH612" s="97">
        <v>33</v>
      </c>
      <c r="AI612" s="97">
        <v>606</v>
      </c>
    </row>
    <row r="613" spans="1:35" ht="15" customHeight="1">
      <c r="A613" s="97" t="s">
        <v>1155</v>
      </c>
      <c r="B613" s="97" t="s">
        <v>1155</v>
      </c>
      <c r="C613" s="97" t="s">
        <v>1156</v>
      </c>
      <c r="D613" s="97" t="s">
        <v>3198</v>
      </c>
      <c r="E613" s="97" t="s">
        <v>68</v>
      </c>
      <c r="F613" s="97">
        <v>92</v>
      </c>
      <c r="G613" s="97">
        <v>48</v>
      </c>
      <c r="H613" s="97">
        <v>779</v>
      </c>
      <c r="I613" s="97">
        <v>64</v>
      </c>
      <c r="J613" s="97">
        <v>43</v>
      </c>
      <c r="K613" s="97">
        <v>627</v>
      </c>
      <c r="L613" s="97">
        <v>92</v>
      </c>
      <c r="M613" s="97">
        <v>15</v>
      </c>
      <c r="N613" s="97">
        <v>426</v>
      </c>
      <c r="O613" s="97">
        <v>78</v>
      </c>
      <c r="P613" s="97">
        <v>12</v>
      </c>
      <c r="Q613" s="97">
        <v>250</v>
      </c>
      <c r="R613" s="97">
        <v>41</v>
      </c>
      <c r="S613" s="97">
        <v>48</v>
      </c>
      <c r="T613" s="97">
        <v>795</v>
      </c>
      <c r="U613" s="97">
        <v>66</v>
      </c>
      <c r="V613" s="97">
        <v>35</v>
      </c>
      <c r="W613" s="97">
        <v>611</v>
      </c>
      <c r="X613" s="97">
        <v>63</v>
      </c>
      <c r="Y613" s="97">
        <v>42</v>
      </c>
      <c r="Z613" s="97">
        <v>712</v>
      </c>
      <c r="AA613" s="97">
        <v>38</v>
      </c>
      <c r="AB613" s="97">
        <v>54</v>
      </c>
      <c r="AC613" s="97">
        <v>905</v>
      </c>
      <c r="AD613" s="97">
        <v>70</v>
      </c>
      <c r="AE613" s="97">
        <v>18</v>
      </c>
      <c r="AF613" s="97">
        <v>327</v>
      </c>
      <c r="AG613" s="97">
        <v>433</v>
      </c>
      <c r="AH613" s="97">
        <v>34</v>
      </c>
      <c r="AI613" s="97">
        <v>610</v>
      </c>
    </row>
    <row r="614" spans="1:35" ht="15" customHeight="1">
      <c r="A614" s="97" t="s">
        <v>2779</v>
      </c>
      <c r="B614" s="97" t="s">
        <v>2779</v>
      </c>
      <c r="C614" s="97" t="s">
        <v>2780</v>
      </c>
      <c r="D614" s="97" t="s">
        <v>3198</v>
      </c>
      <c r="E614" s="97" t="s">
        <v>38</v>
      </c>
      <c r="F614" s="97">
        <v>93</v>
      </c>
      <c r="G614" s="97">
        <v>41</v>
      </c>
      <c r="H614" s="97">
        <v>755</v>
      </c>
      <c r="I614" s="97">
        <v>62</v>
      </c>
      <c r="J614" s="97">
        <v>36</v>
      </c>
      <c r="K614" s="97">
        <v>665</v>
      </c>
      <c r="L614" s="97">
        <v>101</v>
      </c>
      <c r="M614" s="97">
        <v>12</v>
      </c>
      <c r="N614" s="97">
        <v>234</v>
      </c>
      <c r="O614" s="97">
        <v>73</v>
      </c>
      <c r="P614" s="97">
        <v>12</v>
      </c>
      <c r="Q614" s="97">
        <v>339</v>
      </c>
      <c r="R614" s="97">
        <v>49</v>
      </c>
      <c r="S614" s="97">
        <v>28</v>
      </c>
      <c r="T614" s="97">
        <v>624</v>
      </c>
      <c r="U614" s="97">
        <v>55</v>
      </c>
      <c r="V614" s="97">
        <v>51</v>
      </c>
      <c r="W614" s="97">
        <v>831</v>
      </c>
      <c r="X614" s="97">
        <v>69</v>
      </c>
      <c r="Y614" s="97">
        <v>24</v>
      </c>
      <c r="Z614" s="97">
        <v>504</v>
      </c>
      <c r="AA614" s="97">
        <v>48</v>
      </c>
      <c r="AB614" s="97">
        <v>39</v>
      </c>
      <c r="AC614" s="97">
        <v>671</v>
      </c>
      <c r="AD614" s="97">
        <v>62</v>
      </c>
      <c r="AE614" s="97">
        <v>35</v>
      </c>
      <c r="AF614" s="97">
        <v>672</v>
      </c>
      <c r="AG614" s="97">
        <v>433</v>
      </c>
      <c r="AH614" s="97">
        <v>31</v>
      </c>
      <c r="AI614" s="97">
        <v>610</v>
      </c>
    </row>
    <row r="615" spans="1:35" ht="15" customHeight="1">
      <c r="A615" s="97" t="s">
        <v>2364</v>
      </c>
      <c r="B615" s="97" t="s">
        <v>2364</v>
      </c>
      <c r="C615" s="97" t="s">
        <v>2374</v>
      </c>
      <c r="D615" s="97" t="s">
        <v>3198</v>
      </c>
      <c r="E615" s="97" t="s">
        <v>7</v>
      </c>
      <c r="F615" s="97">
        <v>94</v>
      </c>
      <c r="G615" s="97">
        <v>43</v>
      </c>
      <c r="H615" s="97">
        <v>733</v>
      </c>
      <c r="I615" s="97">
        <v>79</v>
      </c>
      <c r="J615" s="97">
        <v>13</v>
      </c>
      <c r="K615" s="97">
        <v>342</v>
      </c>
      <c r="L615" s="97">
        <v>74.5</v>
      </c>
      <c r="M615" s="97">
        <v>45</v>
      </c>
      <c r="N615" s="97">
        <v>784</v>
      </c>
      <c r="O615" s="97">
        <v>57</v>
      </c>
      <c r="P615" s="97">
        <v>39</v>
      </c>
      <c r="Q615" s="97">
        <v>665</v>
      </c>
      <c r="R615" s="97">
        <v>65</v>
      </c>
      <c r="S615" s="97">
        <v>9</v>
      </c>
      <c r="T615" s="97">
        <v>223</v>
      </c>
      <c r="U615" s="97">
        <v>63</v>
      </c>
      <c r="V615" s="97">
        <v>43</v>
      </c>
      <c r="W615" s="97">
        <v>692</v>
      </c>
      <c r="X615" s="97">
        <v>52</v>
      </c>
      <c r="Y615" s="97">
        <v>53</v>
      </c>
      <c r="Z615" s="97">
        <v>897</v>
      </c>
      <c r="AA615" s="97">
        <v>53</v>
      </c>
      <c r="AB615" s="97">
        <v>35</v>
      </c>
      <c r="AC615" s="97">
        <v>470</v>
      </c>
      <c r="AD615" s="97">
        <v>58</v>
      </c>
      <c r="AE615" s="97">
        <v>43</v>
      </c>
      <c r="AF615" s="97">
        <v>770</v>
      </c>
      <c r="AG615" s="97">
        <v>432.5</v>
      </c>
      <c r="AH615" s="97">
        <v>33</v>
      </c>
      <c r="AI615" s="97">
        <v>612</v>
      </c>
    </row>
    <row r="616" spans="1:35" ht="15" customHeight="1">
      <c r="A616" s="97" t="s">
        <v>1472</v>
      </c>
      <c r="B616" s="97" t="s">
        <v>1472</v>
      </c>
      <c r="C616" s="97" t="s">
        <v>1473</v>
      </c>
      <c r="D616" s="97" t="s">
        <v>3198</v>
      </c>
      <c r="E616" s="97" t="s">
        <v>56</v>
      </c>
      <c r="F616" s="97">
        <v>108</v>
      </c>
      <c r="G616" s="97">
        <v>9</v>
      </c>
      <c r="H616" s="97">
        <v>212</v>
      </c>
      <c r="I616" s="97">
        <v>58</v>
      </c>
      <c r="J616" s="97">
        <v>34</v>
      </c>
      <c r="K616" s="97">
        <v>734</v>
      </c>
      <c r="L616" s="97">
        <v>78.5</v>
      </c>
      <c r="M616" s="97">
        <v>42</v>
      </c>
      <c r="N616" s="97">
        <v>711</v>
      </c>
      <c r="O616" s="97">
        <v>50</v>
      </c>
      <c r="P616" s="97">
        <v>47</v>
      </c>
      <c r="Q616" s="97">
        <v>788</v>
      </c>
      <c r="R616" s="97">
        <v>59</v>
      </c>
      <c r="S616" s="97">
        <v>16</v>
      </c>
      <c r="T616" s="97">
        <v>348</v>
      </c>
      <c r="U616" s="97">
        <v>79</v>
      </c>
      <c r="V616" s="97">
        <v>20</v>
      </c>
      <c r="W616" s="97">
        <v>229</v>
      </c>
      <c r="X616" s="97">
        <v>71</v>
      </c>
      <c r="Y616" s="97">
        <v>28</v>
      </c>
      <c r="Z616" s="97">
        <v>439</v>
      </c>
      <c r="AA616" s="97">
        <v>49</v>
      </c>
      <c r="AB616" s="97">
        <v>31</v>
      </c>
      <c r="AC616" s="97">
        <v>633</v>
      </c>
      <c r="AD616" s="97">
        <v>68</v>
      </c>
      <c r="AE616" s="97">
        <v>23</v>
      </c>
      <c r="AF616" s="97">
        <v>412</v>
      </c>
      <c r="AG616" s="97">
        <v>432.5</v>
      </c>
      <c r="AH616" s="97">
        <v>35</v>
      </c>
      <c r="AI616" s="97">
        <v>612</v>
      </c>
    </row>
    <row r="617" spans="1:35" ht="15" customHeight="1">
      <c r="A617" s="97" t="s">
        <v>223</v>
      </c>
      <c r="B617" s="97" t="s">
        <v>223</v>
      </c>
      <c r="C617" s="97" t="s">
        <v>224</v>
      </c>
      <c r="D617" s="97" t="s">
        <v>3198</v>
      </c>
      <c r="E617" s="97" t="s">
        <v>28</v>
      </c>
      <c r="F617" s="97">
        <v>100</v>
      </c>
      <c r="G617" s="97">
        <v>32</v>
      </c>
      <c r="H617" s="97">
        <v>528</v>
      </c>
      <c r="I617" s="97">
        <v>73</v>
      </c>
      <c r="J617" s="97">
        <v>26</v>
      </c>
      <c r="K617" s="97">
        <v>438</v>
      </c>
      <c r="L617" s="97">
        <v>97.5</v>
      </c>
      <c r="M617" s="97">
        <v>18</v>
      </c>
      <c r="N617" s="97">
        <v>310</v>
      </c>
      <c r="O617" s="97">
        <v>56</v>
      </c>
      <c r="P617" s="97">
        <v>41</v>
      </c>
      <c r="Q617" s="97">
        <v>682</v>
      </c>
      <c r="R617" s="97">
        <v>48</v>
      </c>
      <c r="S617" s="97">
        <v>34</v>
      </c>
      <c r="T617" s="97">
        <v>649</v>
      </c>
      <c r="U617" s="97">
        <v>58</v>
      </c>
      <c r="V617" s="97">
        <v>45</v>
      </c>
      <c r="W617" s="97">
        <v>786</v>
      </c>
      <c r="X617" s="97">
        <v>75</v>
      </c>
      <c r="Y617" s="97">
        <v>15</v>
      </c>
      <c r="Z617" s="97">
        <v>289</v>
      </c>
      <c r="AA617" s="97">
        <v>63</v>
      </c>
      <c r="AB617" s="97">
        <v>9</v>
      </c>
      <c r="AC617" s="97">
        <v>123</v>
      </c>
      <c r="AD617" s="97">
        <v>72</v>
      </c>
      <c r="AE617" s="97">
        <v>13</v>
      </c>
      <c r="AF617" s="97">
        <v>256</v>
      </c>
      <c r="AG617" s="97">
        <v>432.5</v>
      </c>
      <c r="AH617" s="97">
        <v>33</v>
      </c>
      <c r="AI617" s="97">
        <v>612</v>
      </c>
    </row>
    <row r="618" spans="1:35" ht="15" customHeight="1">
      <c r="A618" s="97" t="s">
        <v>745</v>
      </c>
      <c r="B618" s="97" t="s">
        <v>745</v>
      </c>
      <c r="C618" s="97" t="s">
        <v>746</v>
      </c>
      <c r="D618" s="97" t="s">
        <v>3198</v>
      </c>
      <c r="E618" s="97" t="s">
        <v>117</v>
      </c>
      <c r="F618" s="97">
        <v>107</v>
      </c>
      <c r="G618" s="97">
        <v>10</v>
      </c>
      <c r="H618" s="97">
        <v>242</v>
      </c>
      <c r="I618" s="97">
        <v>71</v>
      </c>
      <c r="J618" s="97">
        <v>28</v>
      </c>
      <c r="K618" s="97">
        <v>475</v>
      </c>
      <c r="L618" s="97">
        <v>85</v>
      </c>
      <c r="M618" s="97">
        <v>34</v>
      </c>
      <c r="N618" s="97">
        <v>592</v>
      </c>
      <c r="O618" s="97">
        <v>52</v>
      </c>
      <c r="P618" s="97">
        <v>46</v>
      </c>
      <c r="Q618" s="97">
        <v>757</v>
      </c>
      <c r="R618" s="97">
        <v>53</v>
      </c>
      <c r="S618" s="97">
        <v>29</v>
      </c>
      <c r="T618" s="97">
        <v>526</v>
      </c>
      <c r="U618" s="97">
        <v>63</v>
      </c>
      <c r="V618" s="97">
        <v>38</v>
      </c>
      <c r="W618" s="97">
        <v>692</v>
      </c>
      <c r="X618" s="97">
        <v>82</v>
      </c>
      <c r="Y618" s="97">
        <v>9</v>
      </c>
      <c r="Z618" s="97">
        <v>100</v>
      </c>
      <c r="AA618" s="97">
        <v>57</v>
      </c>
      <c r="AB618" s="97">
        <v>16</v>
      </c>
      <c r="AC618" s="97">
        <v>306</v>
      </c>
      <c r="AD618" s="97">
        <v>76</v>
      </c>
      <c r="AE618" s="97">
        <v>10</v>
      </c>
      <c r="AF618" s="97">
        <v>125</v>
      </c>
      <c r="AG618" s="97">
        <v>431</v>
      </c>
      <c r="AH618" s="97">
        <v>34</v>
      </c>
      <c r="AI618" s="97">
        <v>615</v>
      </c>
    </row>
    <row r="619" spans="1:35" ht="15" customHeight="1">
      <c r="A619" s="97" t="s">
        <v>1378</v>
      </c>
      <c r="B619" s="97" t="s">
        <v>1378</v>
      </c>
      <c r="C619" s="97" t="s">
        <v>1379</v>
      </c>
      <c r="D619" s="97" t="s">
        <v>3198</v>
      </c>
      <c r="E619" s="97" t="s">
        <v>56</v>
      </c>
      <c r="F619" s="97">
        <v>100</v>
      </c>
      <c r="G619" s="97">
        <v>24</v>
      </c>
      <c r="H619" s="97">
        <v>528</v>
      </c>
      <c r="I619" s="97">
        <v>74</v>
      </c>
      <c r="J619" s="97">
        <v>17</v>
      </c>
      <c r="K619" s="97">
        <v>424</v>
      </c>
      <c r="L619" s="97">
        <v>75</v>
      </c>
      <c r="M619" s="97">
        <v>46</v>
      </c>
      <c r="N619" s="97">
        <v>776</v>
      </c>
      <c r="O619" s="97">
        <v>59</v>
      </c>
      <c r="P619" s="97">
        <v>38</v>
      </c>
      <c r="Q619" s="97">
        <v>626</v>
      </c>
      <c r="R619" s="97">
        <v>58</v>
      </c>
      <c r="S619" s="97">
        <v>18</v>
      </c>
      <c r="T619" s="97">
        <v>377</v>
      </c>
      <c r="U619" s="97">
        <v>65</v>
      </c>
      <c r="V619" s="97">
        <v>46</v>
      </c>
      <c r="W619" s="97">
        <v>643</v>
      </c>
      <c r="X619" s="97">
        <v>79</v>
      </c>
      <c r="Y619" s="97">
        <v>13</v>
      </c>
      <c r="Z619" s="97">
        <v>175</v>
      </c>
      <c r="AA619" s="97">
        <v>48</v>
      </c>
      <c r="AB619" s="97">
        <v>33</v>
      </c>
      <c r="AC619" s="97">
        <v>671</v>
      </c>
      <c r="AD619" s="97">
        <v>71</v>
      </c>
      <c r="AE619" s="97">
        <v>17</v>
      </c>
      <c r="AF619" s="97">
        <v>290</v>
      </c>
      <c r="AG619" s="97">
        <v>431</v>
      </c>
      <c r="AH619" s="97">
        <v>36</v>
      </c>
      <c r="AI619" s="97">
        <v>615</v>
      </c>
    </row>
    <row r="620" spans="1:35" ht="15" customHeight="1">
      <c r="A620" s="97" t="s">
        <v>1265</v>
      </c>
      <c r="B620" s="97" t="s">
        <v>1265</v>
      </c>
      <c r="C620" s="97" t="s">
        <v>1266</v>
      </c>
      <c r="D620" s="97" t="s">
        <v>3198</v>
      </c>
      <c r="E620" s="97" t="s">
        <v>54</v>
      </c>
      <c r="F620" s="97">
        <v>86</v>
      </c>
      <c r="G620" s="97">
        <v>54</v>
      </c>
      <c r="H620" s="97">
        <v>867</v>
      </c>
      <c r="I620" s="97">
        <v>72</v>
      </c>
      <c r="J620" s="97">
        <v>26</v>
      </c>
      <c r="K620" s="97">
        <v>458</v>
      </c>
      <c r="L620" s="97">
        <v>80</v>
      </c>
      <c r="M620" s="97">
        <v>34</v>
      </c>
      <c r="N620" s="97">
        <v>693</v>
      </c>
      <c r="O620" s="97">
        <v>78</v>
      </c>
      <c r="P620" s="97">
        <v>11</v>
      </c>
      <c r="Q620" s="97">
        <v>250</v>
      </c>
      <c r="R620" s="97">
        <v>53</v>
      </c>
      <c r="S620" s="97">
        <v>36</v>
      </c>
      <c r="T620" s="97">
        <v>526</v>
      </c>
      <c r="U620" s="97">
        <v>62</v>
      </c>
      <c r="V620" s="97">
        <v>44</v>
      </c>
      <c r="W620" s="97">
        <v>716</v>
      </c>
      <c r="X620" s="97">
        <v>53</v>
      </c>
      <c r="Y620" s="97">
        <v>50</v>
      </c>
      <c r="Z620" s="97">
        <v>888</v>
      </c>
      <c r="AA620" s="97">
        <v>45</v>
      </c>
      <c r="AB620" s="97">
        <v>43</v>
      </c>
      <c r="AC620" s="97">
        <v>781</v>
      </c>
      <c r="AD620" s="97">
        <v>71</v>
      </c>
      <c r="AE620" s="97">
        <v>20</v>
      </c>
      <c r="AF620" s="97">
        <v>290</v>
      </c>
      <c r="AG620" s="97">
        <v>431</v>
      </c>
      <c r="AH620" s="97">
        <v>38</v>
      </c>
      <c r="AI620" s="97">
        <v>615</v>
      </c>
    </row>
    <row r="621" spans="1:35" ht="15" customHeight="1">
      <c r="A621" s="97" t="s">
        <v>1778</v>
      </c>
      <c r="B621" s="97" t="s">
        <v>1778</v>
      </c>
      <c r="C621" s="97" t="s">
        <v>1779</v>
      </c>
      <c r="D621" s="97" t="s">
        <v>3198</v>
      </c>
      <c r="E621" s="97" t="s">
        <v>34</v>
      </c>
      <c r="F621" s="97">
        <v>95</v>
      </c>
      <c r="G621" s="97">
        <v>47</v>
      </c>
      <c r="H621" s="97">
        <v>710</v>
      </c>
      <c r="I621" s="97">
        <v>79</v>
      </c>
      <c r="J621" s="97">
        <v>16</v>
      </c>
      <c r="K621" s="97">
        <v>342</v>
      </c>
      <c r="L621" s="97">
        <v>87</v>
      </c>
      <c r="M621" s="97">
        <v>34</v>
      </c>
      <c r="N621" s="97">
        <v>553</v>
      </c>
      <c r="O621" s="97">
        <v>70</v>
      </c>
      <c r="P621" s="97">
        <v>18</v>
      </c>
      <c r="Q621" s="97">
        <v>400</v>
      </c>
      <c r="R621" s="97">
        <v>40</v>
      </c>
      <c r="S621" s="97">
        <v>48</v>
      </c>
      <c r="T621" s="97">
        <v>811</v>
      </c>
      <c r="U621" s="97">
        <v>60</v>
      </c>
      <c r="V621" s="97">
        <v>40</v>
      </c>
      <c r="W621" s="97">
        <v>748</v>
      </c>
      <c r="X621" s="97">
        <v>74</v>
      </c>
      <c r="Y621" s="97">
        <v>27</v>
      </c>
      <c r="Z621" s="97">
        <v>326</v>
      </c>
      <c r="AA621" s="97">
        <v>52</v>
      </c>
      <c r="AB621" s="97">
        <v>25</v>
      </c>
      <c r="AC621" s="97">
        <v>509</v>
      </c>
      <c r="AD621" s="97">
        <v>58</v>
      </c>
      <c r="AE621" s="97">
        <v>46</v>
      </c>
      <c r="AF621" s="97">
        <v>770</v>
      </c>
      <c r="AG621" s="97">
        <v>431</v>
      </c>
      <c r="AH621" s="97">
        <v>34</v>
      </c>
      <c r="AI621" s="97">
        <v>615</v>
      </c>
    </row>
    <row r="622" spans="1:35" ht="15" customHeight="1">
      <c r="A622" s="97" t="s">
        <v>1071</v>
      </c>
      <c r="B622" s="97" t="s">
        <v>1071</v>
      </c>
      <c r="C622" s="97" t="s">
        <v>1072</v>
      </c>
      <c r="D622" s="97" t="s">
        <v>3198</v>
      </c>
      <c r="E622" s="97" t="s">
        <v>68</v>
      </c>
      <c r="F622" s="97">
        <v>102</v>
      </c>
      <c r="G622" s="97">
        <v>28</v>
      </c>
      <c r="H622" s="97">
        <v>442</v>
      </c>
      <c r="I622" s="97">
        <v>84</v>
      </c>
      <c r="J622" s="97">
        <v>18</v>
      </c>
      <c r="K622" s="97">
        <v>251</v>
      </c>
      <c r="L622" s="97">
        <v>75.5</v>
      </c>
      <c r="M622" s="97">
        <v>41</v>
      </c>
      <c r="N622" s="97">
        <v>763</v>
      </c>
      <c r="O622" s="97">
        <v>53</v>
      </c>
      <c r="P622" s="97">
        <v>43</v>
      </c>
      <c r="Q622" s="97">
        <v>739</v>
      </c>
      <c r="R622" s="97">
        <v>46</v>
      </c>
      <c r="S622" s="97">
        <v>45</v>
      </c>
      <c r="T622" s="97">
        <v>702</v>
      </c>
      <c r="U622" s="97">
        <v>70</v>
      </c>
      <c r="V622" s="97">
        <v>30</v>
      </c>
      <c r="W622" s="97">
        <v>485</v>
      </c>
      <c r="X622" s="97">
        <v>73</v>
      </c>
      <c r="Y622" s="97">
        <v>18</v>
      </c>
      <c r="Z622" s="97">
        <v>359</v>
      </c>
      <c r="AA622" s="97">
        <v>41</v>
      </c>
      <c r="AB622" s="97">
        <v>51</v>
      </c>
      <c r="AC622" s="97">
        <v>866</v>
      </c>
      <c r="AD622" s="97">
        <v>57</v>
      </c>
      <c r="AE622" s="97">
        <v>46</v>
      </c>
      <c r="AF622" s="97">
        <v>798</v>
      </c>
      <c r="AG622" s="97">
        <v>430.5</v>
      </c>
      <c r="AH622" s="97">
        <v>35</v>
      </c>
      <c r="AI622" s="97">
        <v>619</v>
      </c>
    </row>
    <row r="623" spans="1:35" ht="15" customHeight="1">
      <c r="A623" s="97" t="s">
        <v>792</v>
      </c>
      <c r="B623" s="97" t="s">
        <v>792</v>
      </c>
      <c r="C623" s="97" t="s">
        <v>793</v>
      </c>
      <c r="D623" s="97" t="s">
        <v>3198</v>
      </c>
      <c r="E623" s="97" t="s">
        <v>117</v>
      </c>
      <c r="F623" s="97">
        <v>116</v>
      </c>
      <c r="G623" s="97">
        <v>2</v>
      </c>
      <c r="H623" s="97">
        <v>47</v>
      </c>
      <c r="I623" s="97">
        <v>73</v>
      </c>
      <c r="J623" s="97">
        <v>26</v>
      </c>
      <c r="K623" s="97">
        <v>438</v>
      </c>
      <c r="L623" s="97">
        <v>88.5</v>
      </c>
      <c r="M623" s="97">
        <v>31</v>
      </c>
      <c r="N623" s="97">
        <v>519</v>
      </c>
      <c r="O623" s="97">
        <v>38</v>
      </c>
      <c r="P623" s="97">
        <v>53</v>
      </c>
      <c r="Q623" s="97">
        <v>895</v>
      </c>
      <c r="R623" s="97">
        <v>45</v>
      </c>
      <c r="S623" s="97">
        <v>41</v>
      </c>
      <c r="T623" s="97">
        <v>720</v>
      </c>
      <c r="U623" s="97">
        <v>70</v>
      </c>
      <c r="V623" s="97">
        <v>24</v>
      </c>
      <c r="W623" s="97">
        <v>485</v>
      </c>
      <c r="X623" s="97">
        <v>76</v>
      </c>
      <c r="Y623" s="97">
        <v>19</v>
      </c>
      <c r="Z623" s="97">
        <v>260</v>
      </c>
      <c r="AA623" s="97">
        <v>45</v>
      </c>
      <c r="AB623" s="97">
        <v>46</v>
      </c>
      <c r="AC623" s="97">
        <v>781</v>
      </c>
      <c r="AD623" s="97">
        <v>72</v>
      </c>
      <c r="AE623" s="97">
        <v>18</v>
      </c>
      <c r="AF623" s="97">
        <v>256</v>
      </c>
      <c r="AG623" s="97">
        <v>430.5</v>
      </c>
      <c r="AH623" s="97">
        <v>35</v>
      </c>
      <c r="AI623" s="97">
        <v>619</v>
      </c>
    </row>
    <row r="624" spans="1:35" ht="15" customHeight="1">
      <c r="A624" s="97" t="s">
        <v>563</v>
      </c>
      <c r="B624" s="97" t="s">
        <v>563</v>
      </c>
      <c r="C624" s="97" t="s">
        <v>564</v>
      </c>
      <c r="D624" s="97" t="s">
        <v>3198</v>
      </c>
      <c r="E624" s="97" t="s">
        <v>17</v>
      </c>
      <c r="F624" s="97">
        <v>106</v>
      </c>
      <c r="G624" s="97">
        <v>19</v>
      </c>
      <c r="H624" s="97">
        <v>287</v>
      </c>
      <c r="I624" s="97">
        <v>71</v>
      </c>
      <c r="J624" s="97">
        <v>31</v>
      </c>
      <c r="K624" s="97">
        <v>475</v>
      </c>
      <c r="L624" s="97">
        <v>83.5</v>
      </c>
      <c r="M624" s="97">
        <v>41</v>
      </c>
      <c r="N624" s="97">
        <v>632</v>
      </c>
      <c r="O624" s="97">
        <v>41</v>
      </c>
      <c r="P624" s="97">
        <v>55</v>
      </c>
      <c r="Q624" s="97">
        <v>871</v>
      </c>
      <c r="R624" s="97">
        <v>53</v>
      </c>
      <c r="S624" s="97">
        <v>32</v>
      </c>
      <c r="T624" s="97">
        <v>526</v>
      </c>
      <c r="U624" s="97">
        <v>76</v>
      </c>
      <c r="V624" s="97">
        <v>15</v>
      </c>
      <c r="W624" s="97">
        <v>308</v>
      </c>
      <c r="X624" s="97">
        <v>80</v>
      </c>
      <c r="Y624" s="97">
        <v>13</v>
      </c>
      <c r="Z624" s="97">
        <v>151</v>
      </c>
      <c r="AA624" s="97">
        <v>69</v>
      </c>
      <c r="AB624" s="97">
        <v>1</v>
      </c>
      <c r="AC624" s="97">
        <v>43</v>
      </c>
      <c r="AD624" s="97">
        <v>71</v>
      </c>
      <c r="AE624" s="97">
        <v>19</v>
      </c>
      <c r="AF624" s="97">
        <v>290</v>
      </c>
      <c r="AG624" s="97">
        <v>430.5</v>
      </c>
      <c r="AH624" s="97">
        <v>39</v>
      </c>
      <c r="AI624" s="97">
        <v>619</v>
      </c>
    </row>
    <row r="625" spans="1:35" ht="15" customHeight="1">
      <c r="A625" s="97" t="s">
        <v>2662</v>
      </c>
      <c r="B625" s="97" t="s">
        <v>2662</v>
      </c>
      <c r="C625" s="97" t="s">
        <v>2663</v>
      </c>
      <c r="D625" s="97" t="s">
        <v>3198</v>
      </c>
      <c r="E625" s="97" t="s">
        <v>49</v>
      </c>
      <c r="F625" s="97">
        <v>93</v>
      </c>
      <c r="G625" s="97">
        <v>40</v>
      </c>
      <c r="H625" s="97">
        <v>755</v>
      </c>
      <c r="I625" s="97">
        <v>68</v>
      </c>
      <c r="J625" s="97">
        <v>34</v>
      </c>
      <c r="K625" s="97">
        <v>540</v>
      </c>
      <c r="L625" s="97">
        <v>96.5</v>
      </c>
      <c r="M625" s="97">
        <v>22</v>
      </c>
      <c r="N625" s="97">
        <v>337</v>
      </c>
      <c r="O625" s="97">
        <v>71</v>
      </c>
      <c r="P625" s="97">
        <v>27</v>
      </c>
      <c r="Q625" s="97">
        <v>378</v>
      </c>
      <c r="R625" s="97">
        <v>40</v>
      </c>
      <c r="S625" s="97">
        <v>47</v>
      </c>
      <c r="T625" s="97">
        <v>811</v>
      </c>
      <c r="U625" s="97">
        <v>62</v>
      </c>
      <c r="V625" s="97">
        <v>39</v>
      </c>
      <c r="W625" s="97">
        <v>716</v>
      </c>
      <c r="X625" s="97">
        <v>57</v>
      </c>
      <c r="Y625" s="97">
        <v>44</v>
      </c>
      <c r="Z625" s="97">
        <v>838</v>
      </c>
      <c r="AA625" s="97">
        <v>42</v>
      </c>
      <c r="AB625" s="97">
        <v>42</v>
      </c>
      <c r="AC625" s="97">
        <v>845</v>
      </c>
      <c r="AD625" s="97">
        <v>58</v>
      </c>
      <c r="AE625" s="97">
        <v>39</v>
      </c>
      <c r="AF625" s="97">
        <v>770</v>
      </c>
      <c r="AG625" s="97">
        <v>430.5</v>
      </c>
      <c r="AH625" s="97">
        <v>36</v>
      </c>
      <c r="AI625" s="97">
        <v>619</v>
      </c>
    </row>
    <row r="626" spans="1:35" ht="15" customHeight="1">
      <c r="A626" s="97" t="s">
        <v>2891</v>
      </c>
      <c r="B626" s="97" t="s">
        <v>2891</v>
      </c>
      <c r="C626" s="97" t="s">
        <v>2892</v>
      </c>
      <c r="D626" s="97" t="s">
        <v>3198</v>
      </c>
      <c r="E626" s="97" t="s">
        <v>38</v>
      </c>
      <c r="F626" s="97">
        <v>97</v>
      </c>
      <c r="G626" s="97">
        <v>33</v>
      </c>
      <c r="H626" s="97">
        <v>645</v>
      </c>
      <c r="I626" s="97">
        <v>71</v>
      </c>
      <c r="J626" s="97">
        <v>18</v>
      </c>
      <c r="K626" s="97">
        <v>475</v>
      </c>
      <c r="L626" s="97">
        <v>111</v>
      </c>
      <c r="M626" s="97">
        <v>4</v>
      </c>
      <c r="N626" s="97">
        <v>95</v>
      </c>
      <c r="O626" s="97">
        <v>53</v>
      </c>
      <c r="P626" s="97">
        <v>45</v>
      </c>
      <c r="Q626" s="97">
        <v>739</v>
      </c>
      <c r="R626" s="97">
        <v>47</v>
      </c>
      <c r="S626" s="97">
        <v>34</v>
      </c>
      <c r="T626" s="97">
        <v>673</v>
      </c>
      <c r="U626" s="97">
        <v>51</v>
      </c>
      <c r="V626" s="97">
        <v>54</v>
      </c>
      <c r="W626" s="97">
        <v>874</v>
      </c>
      <c r="X626" s="97">
        <v>60</v>
      </c>
      <c r="Y626" s="97">
        <v>45</v>
      </c>
      <c r="Z626" s="97">
        <v>777</v>
      </c>
      <c r="AA626" s="97">
        <v>52</v>
      </c>
      <c r="AB626" s="97">
        <v>27</v>
      </c>
      <c r="AC626" s="97">
        <v>509</v>
      </c>
      <c r="AD626" s="97">
        <v>57</v>
      </c>
      <c r="AE626" s="97">
        <v>43</v>
      </c>
      <c r="AF626" s="97">
        <v>798</v>
      </c>
      <c r="AG626" s="97">
        <v>430</v>
      </c>
      <c r="AH626" s="97">
        <v>32</v>
      </c>
      <c r="AI626" s="97">
        <v>623</v>
      </c>
    </row>
    <row r="627" spans="1:35" ht="15" customHeight="1">
      <c r="A627" s="97" t="s">
        <v>279</v>
      </c>
      <c r="B627" s="97" t="s">
        <v>279</v>
      </c>
      <c r="C627" s="97" t="s">
        <v>280</v>
      </c>
      <c r="D627" s="97" t="s">
        <v>3198</v>
      </c>
      <c r="E627" s="97" t="s">
        <v>28</v>
      </c>
      <c r="F627" s="97">
        <v>103</v>
      </c>
      <c r="G627" s="97">
        <v>22</v>
      </c>
      <c r="H627" s="97">
        <v>400</v>
      </c>
      <c r="I627" s="97">
        <v>71</v>
      </c>
      <c r="J627" s="97">
        <v>27</v>
      </c>
      <c r="K627" s="97">
        <v>475</v>
      </c>
      <c r="L627" s="97">
        <v>70</v>
      </c>
      <c r="M627" s="97">
        <v>48</v>
      </c>
      <c r="N627" s="97">
        <v>841</v>
      </c>
      <c r="O627" s="97">
        <v>72</v>
      </c>
      <c r="P627" s="97">
        <v>20</v>
      </c>
      <c r="Q627" s="97">
        <v>358</v>
      </c>
      <c r="R627" s="97">
        <v>55</v>
      </c>
      <c r="S627" s="97">
        <v>25</v>
      </c>
      <c r="T627" s="97">
        <v>470</v>
      </c>
      <c r="U627" s="97">
        <v>59</v>
      </c>
      <c r="V627" s="97">
        <v>42</v>
      </c>
      <c r="W627" s="97">
        <v>762</v>
      </c>
      <c r="X627" s="97">
        <v>60</v>
      </c>
      <c r="Y627" s="97">
        <v>47</v>
      </c>
      <c r="Z627" s="97">
        <v>777</v>
      </c>
      <c r="AA627" s="97">
        <v>52</v>
      </c>
      <c r="AB627" s="97">
        <v>35</v>
      </c>
      <c r="AC627" s="97">
        <v>509</v>
      </c>
      <c r="AD627" s="97">
        <v>68</v>
      </c>
      <c r="AE627" s="97">
        <v>24</v>
      </c>
      <c r="AF627" s="97">
        <v>412</v>
      </c>
      <c r="AG627" s="97">
        <v>430</v>
      </c>
      <c r="AH627" s="97">
        <v>34</v>
      </c>
      <c r="AI627" s="97">
        <v>623</v>
      </c>
    </row>
    <row r="628" spans="1:35" ht="15" customHeight="1">
      <c r="A628" s="97" t="s">
        <v>1042</v>
      </c>
      <c r="B628" s="97" t="s">
        <v>1042</v>
      </c>
      <c r="C628" s="97" t="s">
        <v>1043</v>
      </c>
      <c r="D628" s="97" t="s">
        <v>3198</v>
      </c>
      <c r="E628" s="97" t="s">
        <v>68</v>
      </c>
      <c r="F628" s="97">
        <v>90</v>
      </c>
      <c r="G628" s="97">
        <v>51</v>
      </c>
      <c r="H628" s="97">
        <v>815</v>
      </c>
      <c r="I628" s="97">
        <v>80</v>
      </c>
      <c r="J628" s="97">
        <v>23</v>
      </c>
      <c r="K628" s="97">
        <v>325</v>
      </c>
      <c r="L628" s="97">
        <v>84.5</v>
      </c>
      <c r="M628" s="97">
        <v>28</v>
      </c>
      <c r="N628" s="97">
        <v>606</v>
      </c>
      <c r="O628" s="97">
        <v>79</v>
      </c>
      <c r="P628" s="97">
        <v>10</v>
      </c>
      <c r="Q628" s="97">
        <v>228</v>
      </c>
      <c r="R628" s="97">
        <v>40</v>
      </c>
      <c r="S628" s="97">
        <v>50</v>
      </c>
      <c r="T628" s="97">
        <v>811</v>
      </c>
      <c r="U628" s="97">
        <v>56</v>
      </c>
      <c r="V628" s="97">
        <v>49</v>
      </c>
      <c r="W628" s="97">
        <v>816</v>
      </c>
      <c r="X628" s="97">
        <v>50</v>
      </c>
      <c r="Y628" s="97">
        <v>53</v>
      </c>
      <c r="Z628" s="97">
        <v>911</v>
      </c>
      <c r="AA628" s="97">
        <v>57</v>
      </c>
      <c r="AB628" s="97">
        <v>10</v>
      </c>
      <c r="AC628" s="97">
        <v>306</v>
      </c>
      <c r="AD628" s="97">
        <v>69</v>
      </c>
      <c r="AE628" s="97">
        <v>21</v>
      </c>
      <c r="AF628" s="97">
        <v>367</v>
      </c>
      <c r="AG628" s="97">
        <v>429.5</v>
      </c>
      <c r="AH628" s="97">
        <v>36</v>
      </c>
      <c r="AI628" s="97">
        <v>625</v>
      </c>
    </row>
    <row r="629" spans="1:35" ht="15" customHeight="1">
      <c r="A629" s="97" t="s">
        <v>1005</v>
      </c>
      <c r="B629" s="97" t="s">
        <v>1005</v>
      </c>
      <c r="C629" s="97" t="s">
        <v>1006</v>
      </c>
      <c r="D629" s="97" t="s">
        <v>3198</v>
      </c>
      <c r="E629" s="97" t="s">
        <v>60</v>
      </c>
      <c r="F629" s="97">
        <v>107</v>
      </c>
      <c r="G629" s="97">
        <v>15</v>
      </c>
      <c r="H629" s="97">
        <v>242</v>
      </c>
      <c r="I629" s="97">
        <v>82</v>
      </c>
      <c r="J629" s="97">
        <v>16</v>
      </c>
      <c r="K629" s="97">
        <v>290</v>
      </c>
      <c r="L629" s="97">
        <v>88.5</v>
      </c>
      <c r="M629" s="97">
        <v>30</v>
      </c>
      <c r="N629" s="97">
        <v>519</v>
      </c>
      <c r="O629" s="97">
        <v>36</v>
      </c>
      <c r="P629" s="97">
        <v>55</v>
      </c>
      <c r="Q629" s="97">
        <v>905</v>
      </c>
      <c r="R629" s="97">
        <v>51</v>
      </c>
      <c r="S629" s="97">
        <v>38</v>
      </c>
      <c r="T629" s="97">
        <v>571</v>
      </c>
      <c r="U629" s="97">
        <v>65</v>
      </c>
      <c r="V629" s="97">
        <v>32</v>
      </c>
      <c r="W629" s="97">
        <v>643</v>
      </c>
      <c r="X629" s="97">
        <v>78</v>
      </c>
      <c r="Y629" s="97">
        <v>10</v>
      </c>
      <c r="Z629" s="97">
        <v>209</v>
      </c>
      <c r="AA629" s="97">
        <v>48</v>
      </c>
      <c r="AB629" s="97">
        <v>36</v>
      </c>
      <c r="AC629" s="97">
        <v>671</v>
      </c>
      <c r="AD629" s="97">
        <v>51</v>
      </c>
      <c r="AE629" s="97">
        <v>56</v>
      </c>
      <c r="AF629" s="97">
        <v>890</v>
      </c>
      <c r="AG629" s="97">
        <v>429.5</v>
      </c>
      <c r="AH629" s="97">
        <v>34</v>
      </c>
      <c r="AI629" s="97">
        <v>625</v>
      </c>
    </row>
    <row r="630" spans="1:35" ht="15" customHeight="1">
      <c r="A630" s="97" t="s">
        <v>1126</v>
      </c>
      <c r="B630" s="97" t="s">
        <v>1126</v>
      </c>
      <c r="C630" s="97" t="s">
        <v>1127</v>
      </c>
      <c r="D630" s="97" t="s">
        <v>3198</v>
      </c>
      <c r="E630" s="97" t="s">
        <v>68</v>
      </c>
      <c r="F630" s="97">
        <v>98</v>
      </c>
      <c r="G630" s="97">
        <v>37</v>
      </c>
      <c r="H630" s="97">
        <v>611</v>
      </c>
      <c r="I630" s="97">
        <v>84</v>
      </c>
      <c r="J630" s="97">
        <v>18</v>
      </c>
      <c r="K630" s="97">
        <v>251</v>
      </c>
      <c r="L630" s="97">
        <v>82.5</v>
      </c>
      <c r="M630" s="97">
        <v>32</v>
      </c>
      <c r="N630" s="97">
        <v>657</v>
      </c>
      <c r="O630" s="97">
        <v>55</v>
      </c>
      <c r="P630" s="97">
        <v>39</v>
      </c>
      <c r="Q630" s="97">
        <v>694</v>
      </c>
      <c r="R630" s="97">
        <v>47</v>
      </c>
      <c r="S630" s="97">
        <v>41</v>
      </c>
      <c r="T630" s="97">
        <v>673</v>
      </c>
      <c r="U630" s="97">
        <v>63</v>
      </c>
      <c r="V630" s="97">
        <v>39</v>
      </c>
      <c r="W630" s="97">
        <v>692</v>
      </c>
      <c r="X630" s="97">
        <v>58</v>
      </c>
      <c r="Y630" s="97">
        <v>48</v>
      </c>
      <c r="Z630" s="97">
        <v>820</v>
      </c>
      <c r="AA630" s="97">
        <v>49</v>
      </c>
      <c r="AB630" s="97">
        <v>32</v>
      </c>
      <c r="AC630" s="97">
        <v>633</v>
      </c>
      <c r="AD630" s="97">
        <v>58</v>
      </c>
      <c r="AE630" s="97">
        <v>44</v>
      </c>
      <c r="AF630" s="97">
        <v>770</v>
      </c>
      <c r="AG630" s="97">
        <v>429.5</v>
      </c>
      <c r="AH630" s="97">
        <v>36</v>
      </c>
      <c r="AI630" s="97">
        <v>625</v>
      </c>
    </row>
    <row r="631" spans="1:35" ht="15" customHeight="1">
      <c r="A631" s="97" t="s">
        <v>2867</v>
      </c>
      <c r="B631" s="97" t="s">
        <v>2867</v>
      </c>
      <c r="C631" s="97" t="s">
        <v>2868</v>
      </c>
      <c r="D631" s="97" t="s">
        <v>3198</v>
      </c>
      <c r="E631" s="97" t="s">
        <v>38</v>
      </c>
      <c r="F631" s="97">
        <v>80</v>
      </c>
      <c r="G631" s="97">
        <v>53</v>
      </c>
      <c r="H631" s="97">
        <v>909</v>
      </c>
      <c r="I631" s="97">
        <v>54</v>
      </c>
      <c r="J631" s="97">
        <v>44</v>
      </c>
      <c r="K631" s="97">
        <v>782</v>
      </c>
      <c r="L631" s="97">
        <v>75.5</v>
      </c>
      <c r="M631" s="97">
        <v>47</v>
      </c>
      <c r="N631" s="97">
        <v>763</v>
      </c>
      <c r="O631" s="97">
        <v>80</v>
      </c>
      <c r="P631" s="97">
        <v>8</v>
      </c>
      <c r="Q631" s="97">
        <v>207</v>
      </c>
      <c r="R631" s="97">
        <v>56</v>
      </c>
      <c r="S631" s="97">
        <v>16</v>
      </c>
      <c r="T631" s="97">
        <v>433</v>
      </c>
      <c r="U631" s="97">
        <v>84</v>
      </c>
      <c r="V631" s="97">
        <v>3</v>
      </c>
      <c r="W631" s="97">
        <v>123</v>
      </c>
      <c r="X631" s="97">
        <v>64</v>
      </c>
      <c r="Y631" s="97">
        <v>37</v>
      </c>
      <c r="Z631" s="97">
        <v>680</v>
      </c>
      <c r="AA631" s="97">
        <v>62</v>
      </c>
      <c r="AB631" s="97">
        <v>7</v>
      </c>
      <c r="AC631" s="97">
        <v>146</v>
      </c>
      <c r="AD631" s="97">
        <v>65</v>
      </c>
      <c r="AE631" s="97">
        <v>29</v>
      </c>
      <c r="AF631" s="97">
        <v>548</v>
      </c>
      <c r="AG631" s="97">
        <v>429.5</v>
      </c>
      <c r="AH631" s="97">
        <v>33</v>
      </c>
      <c r="AI631" s="97">
        <v>625</v>
      </c>
    </row>
    <row r="632" spans="1:35" ht="15" customHeight="1">
      <c r="A632" s="97" t="s">
        <v>2591</v>
      </c>
      <c r="B632" s="97" t="s">
        <v>2591</v>
      </c>
      <c r="C632" s="97" t="s">
        <v>2592</v>
      </c>
      <c r="D632" s="97" t="s">
        <v>3198</v>
      </c>
      <c r="E632" s="97" t="s">
        <v>49</v>
      </c>
      <c r="F632" s="97">
        <v>100</v>
      </c>
      <c r="G632" s="97">
        <v>28</v>
      </c>
      <c r="H632" s="97">
        <v>528</v>
      </c>
      <c r="I632" s="97">
        <v>51</v>
      </c>
      <c r="J632" s="97">
        <v>46</v>
      </c>
      <c r="K632" s="97">
        <v>817</v>
      </c>
      <c r="L632" s="97">
        <v>100.5</v>
      </c>
      <c r="M632" s="97">
        <v>16</v>
      </c>
      <c r="N632" s="97">
        <v>247</v>
      </c>
      <c r="O632" s="97">
        <v>64</v>
      </c>
      <c r="P632" s="97">
        <v>34</v>
      </c>
      <c r="Q632" s="97">
        <v>517</v>
      </c>
      <c r="R632" s="97">
        <v>48</v>
      </c>
      <c r="S632" s="97">
        <v>36</v>
      </c>
      <c r="T632" s="97">
        <v>649</v>
      </c>
      <c r="U632" s="97">
        <v>66</v>
      </c>
      <c r="V632" s="97">
        <v>28</v>
      </c>
      <c r="W632" s="97">
        <v>611</v>
      </c>
      <c r="X632" s="97">
        <v>65</v>
      </c>
      <c r="Y632" s="97">
        <v>24</v>
      </c>
      <c r="Z632" s="97">
        <v>651</v>
      </c>
      <c r="AA632" s="97">
        <v>39</v>
      </c>
      <c r="AB632" s="97">
        <v>50</v>
      </c>
      <c r="AC632" s="97">
        <v>895</v>
      </c>
      <c r="AD632" s="97">
        <v>65</v>
      </c>
      <c r="AE632" s="97">
        <v>21</v>
      </c>
      <c r="AF632" s="97">
        <v>548</v>
      </c>
      <c r="AG632" s="97">
        <v>429.5</v>
      </c>
      <c r="AH632" s="97">
        <v>37</v>
      </c>
      <c r="AI632" s="97">
        <v>625</v>
      </c>
    </row>
    <row r="633" spans="1:35" ht="15" customHeight="1">
      <c r="A633" s="97" t="s">
        <v>2501</v>
      </c>
      <c r="B633" s="97" t="s">
        <v>2501</v>
      </c>
      <c r="C633" s="97" t="s">
        <v>2502</v>
      </c>
      <c r="D633" s="97" t="s">
        <v>3198</v>
      </c>
      <c r="E633" s="97" t="s">
        <v>131</v>
      </c>
      <c r="F633" s="97">
        <v>85</v>
      </c>
      <c r="G633" s="97">
        <v>46</v>
      </c>
      <c r="H633" s="97">
        <v>885</v>
      </c>
      <c r="I633" s="97">
        <v>68</v>
      </c>
      <c r="J633" s="97">
        <v>36</v>
      </c>
      <c r="K633" s="97">
        <v>540</v>
      </c>
      <c r="L633" s="97">
        <v>87.5</v>
      </c>
      <c r="M633" s="97">
        <v>27</v>
      </c>
      <c r="N633" s="97">
        <v>541</v>
      </c>
      <c r="O633" s="97">
        <v>66</v>
      </c>
      <c r="P633" s="97">
        <v>31</v>
      </c>
      <c r="Q633" s="97">
        <v>484</v>
      </c>
      <c r="R633" s="97">
        <v>51</v>
      </c>
      <c r="S633" s="97">
        <v>34</v>
      </c>
      <c r="T633" s="97">
        <v>571</v>
      </c>
      <c r="U633" s="97">
        <v>72</v>
      </c>
      <c r="V633" s="97">
        <v>21</v>
      </c>
      <c r="W633" s="97">
        <v>433</v>
      </c>
      <c r="X633" s="97">
        <v>72</v>
      </c>
      <c r="Y633" s="97">
        <v>17</v>
      </c>
      <c r="Z633" s="97">
        <v>396</v>
      </c>
      <c r="AA633" s="97">
        <v>50</v>
      </c>
      <c r="AB633" s="97">
        <v>41</v>
      </c>
      <c r="AC633" s="97">
        <v>591</v>
      </c>
      <c r="AD633" s="97">
        <v>77</v>
      </c>
      <c r="AE633" s="97">
        <v>6</v>
      </c>
      <c r="AF633" s="97">
        <v>102</v>
      </c>
      <c r="AG633" s="97">
        <v>429.5</v>
      </c>
      <c r="AH633" s="97">
        <v>34</v>
      </c>
      <c r="AI633" s="97">
        <v>625</v>
      </c>
    </row>
    <row r="634" spans="1:35" ht="15" customHeight="1">
      <c r="A634" s="97" t="s">
        <v>2379</v>
      </c>
      <c r="B634" s="97" t="s">
        <v>2379</v>
      </c>
      <c r="C634" s="97" t="s">
        <v>2389</v>
      </c>
      <c r="D634" s="97" t="s">
        <v>3198</v>
      </c>
      <c r="E634" s="97" t="s">
        <v>7</v>
      </c>
      <c r="F634" s="97">
        <v>88</v>
      </c>
      <c r="G634" s="97">
        <v>48</v>
      </c>
      <c r="H634" s="97">
        <v>851</v>
      </c>
      <c r="I634" s="97">
        <v>54</v>
      </c>
      <c r="J634" s="97">
        <v>45</v>
      </c>
      <c r="K634" s="97">
        <v>782</v>
      </c>
      <c r="L634" s="97">
        <v>106.5</v>
      </c>
      <c r="M634" s="97">
        <v>4</v>
      </c>
      <c r="N634" s="97">
        <v>156</v>
      </c>
      <c r="O634" s="97">
        <v>61</v>
      </c>
      <c r="P634" s="97">
        <v>30</v>
      </c>
      <c r="Q634" s="97">
        <v>587</v>
      </c>
      <c r="R634" s="97">
        <v>49</v>
      </c>
      <c r="S634" s="97">
        <v>31</v>
      </c>
      <c r="T634" s="97">
        <v>624</v>
      </c>
      <c r="U634" s="97">
        <v>71</v>
      </c>
      <c r="V634" s="97">
        <v>24</v>
      </c>
      <c r="W634" s="97">
        <v>462</v>
      </c>
      <c r="X634" s="97">
        <v>66</v>
      </c>
      <c r="Y634" s="97">
        <v>46</v>
      </c>
      <c r="Z634" s="97">
        <v>604</v>
      </c>
      <c r="AA634" s="97">
        <v>64</v>
      </c>
      <c r="AB634" s="97">
        <v>4</v>
      </c>
      <c r="AC634" s="97">
        <v>103</v>
      </c>
      <c r="AD634" s="97">
        <v>74</v>
      </c>
      <c r="AE634" s="97">
        <v>6</v>
      </c>
      <c r="AF634" s="97">
        <v>174</v>
      </c>
      <c r="AG634" s="97">
        <v>429.5</v>
      </c>
      <c r="AH634" s="97">
        <v>34</v>
      </c>
      <c r="AI634" s="97">
        <v>625</v>
      </c>
    </row>
    <row r="635" spans="1:35" ht="15" customHeight="1">
      <c r="A635" s="97" t="s">
        <v>2083</v>
      </c>
      <c r="B635" s="97" t="s">
        <v>2083</v>
      </c>
      <c r="C635" s="97" t="s">
        <v>2084</v>
      </c>
      <c r="D635" s="97" t="s">
        <v>3198</v>
      </c>
      <c r="E635" s="97" t="s">
        <v>109</v>
      </c>
      <c r="F635" s="97">
        <v>98</v>
      </c>
      <c r="G635" s="97">
        <v>36</v>
      </c>
      <c r="H635" s="97">
        <v>611</v>
      </c>
      <c r="I635" s="97">
        <v>53</v>
      </c>
      <c r="J635" s="97">
        <v>48</v>
      </c>
      <c r="K635" s="97">
        <v>792</v>
      </c>
      <c r="L635" s="97">
        <v>94.5</v>
      </c>
      <c r="M635" s="97">
        <v>22</v>
      </c>
      <c r="N635" s="97">
        <v>377</v>
      </c>
      <c r="O635" s="97">
        <v>60</v>
      </c>
      <c r="P635" s="97">
        <v>33</v>
      </c>
      <c r="Q635" s="97">
        <v>607</v>
      </c>
      <c r="R635" s="97">
        <v>55</v>
      </c>
      <c r="S635" s="97">
        <v>27</v>
      </c>
      <c r="T635" s="97">
        <v>470</v>
      </c>
      <c r="U635" s="97">
        <v>69</v>
      </c>
      <c r="V635" s="97">
        <v>32</v>
      </c>
      <c r="W635" s="97">
        <v>523</v>
      </c>
      <c r="X635" s="97">
        <v>73</v>
      </c>
      <c r="Y635" s="97">
        <v>19</v>
      </c>
      <c r="Z635" s="97">
        <v>359</v>
      </c>
      <c r="AA635" s="97">
        <v>47</v>
      </c>
      <c r="AB635" s="97">
        <v>38</v>
      </c>
      <c r="AC635" s="97">
        <v>719</v>
      </c>
      <c r="AD635" s="97">
        <v>57</v>
      </c>
      <c r="AE635" s="97">
        <v>44</v>
      </c>
      <c r="AF635" s="97">
        <v>798</v>
      </c>
      <c r="AG635" s="97">
        <v>429.5</v>
      </c>
      <c r="AH635" s="97">
        <v>34</v>
      </c>
      <c r="AI635" s="97">
        <v>625</v>
      </c>
    </row>
    <row r="636" spans="1:35" ht="15" customHeight="1">
      <c r="A636" s="97" t="s">
        <v>2743</v>
      </c>
      <c r="B636" s="97" t="s">
        <v>2743</v>
      </c>
      <c r="C636" s="97" t="s">
        <v>2744</v>
      </c>
      <c r="D636" s="97" t="s">
        <v>3198</v>
      </c>
      <c r="E636" s="97" t="s">
        <v>49</v>
      </c>
      <c r="F636" s="97">
        <v>105</v>
      </c>
      <c r="G636" s="97">
        <v>15</v>
      </c>
      <c r="H636" s="97">
        <v>325</v>
      </c>
      <c r="I636" s="97">
        <v>68</v>
      </c>
      <c r="J636" s="97">
        <v>34</v>
      </c>
      <c r="K636" s="97">
        <v>540</v>
      </c>
      <c r="L636" s="97">
        <v>73</v>
      </c>
      <c r="M636" s="97">
        <v>49</v>
      </c>
      <c r="N636" s="97">
        <v>808</v>
      </c>
      <c r="O636" s="97">
        <v>76</v>
      </c>
      <c r="P636" s="97">
        <v>19</v>
      </c>
      <c r="Q636" s="97">
        <v>287</v>
      </c>
      <c r="R636" s="97">
        <v>38</v>
      </c>
      <c r="S636" s="97">
        <v>48</v>
      </c>
      <c r="T636" s="97">
        <v>840</v>
      </c>
      <c r="U636" s="97">
        <v>69</v>
      </c>
      <c r="V636" s="97">
        <v>21</v>
      </c>
      <c r="W636" s="97">
        <v>523</v>
      </c>
      <c r="X636" s="97">
        <v>56</v>
      </c>
      <c r="Y636" s="97">
        <v>46</v>
      </c>
      <c r="Z636" s="97">
        <v>849</v>
      </c>
      <c r="AA636" s="97">
        <v>52</v>
      </c>
      <c r="AB636" s="97">
        <v>20</v>
      </c>
      <c r="AC636" s="97">
        <v>509</v>
      </c>
      <c r="AD636" s="97">
        <v>53</v>
      </c>
      <c r="AE636" s="97">
        <v>45</v>
      </c>
      <c r="AF636" s="97">
        <v>869</v>
      </c>
      <c r="AG636" s="97">
        <v>429</v>
      </c>
      <c r="AH636" s="97">
        <v>38</v>
      </c>
      <c r="AI636" s="97">
        <v>633</v>
      </c>
    </row>
    <row r="637" spans="1:35" ht="15" customHeight="1">
      <c r="A637" s="97" t="s">
        <v>769</v>
      </c>
      <c r="B637" s="97" t="s">
        <v>769</v>
      </c>
      <c r="C637" s="97" t="s">
        <v>770</v>
      </c>
      <c r="D637" s="97" t="s">
        <v>3198</v>
      </c>
      <c r="E637" s="97" t="s">
        <v>117</v>
      </c>
      <c r="F637" s="97">
        <v>104</v>
      </c>
      <c r="G637" s="97">
        <v>16</v>
      </c>
      <c r="H637" s="97">
        <v>357</v>
      </c>
      <c r="I637" s="97">
        <v>68</v>
      </c>
      <c r="J637" s="97">
        <v>33</v>
      </c>
      <c r="K637" s="97">
        <v>540</v>
      </c>
      <c r="L637" s="97">
        <v>80</v>
      </c>
      <c r="M637" s="97">
        <v>40</v>
      </c>
      <c r="N637" s="97">
        <v>693</v>
      </c>
      <c r="O637" s="97">
        <v>62</v>
      </c>
      <c r="P637" s="97">
        <v>31</v>
      </c>
      <c r="Q637" s="97">
        <v>564</v>
      </c>
      <c r="R637" s="97">
        <v>49</v>
      </c>
      <c r="S637" s="97">
        <v>38</v>
      </c>
      <c r="T637" s="97">
        <v>624</v>
      </c>
      <c r="U637" s="97">
        <v>66</v>
      </c>
      <c r="V637" s="97">
        <v>32</v>
      </c>
      <c r="W637" s="97">
        <v>611</v>
      </c>
      <c r="X637" s="97">
        <v>74</v>
      </c>
      <c r="Y637" s="97">
        <v>25</v>
      </c>
      <c r="Z637" s="97">
        <v>326</v>
      </c>
      <c r="AA637" s="97">
        <v>47</v>
      </c>
      <c r="AB637" s="97">
        <v>42</v>
      </c>
      <c r="AC637" s="97">
        <v>719</v>
      </c>
      <c r="AD637" s="97">
        <v>69</v>
      </c>
      <c r="AE637" s="97">
        <v>23</v>
      </c>
      <c r="AF637" s="97">
        <v>367</v>
      </c>
      <c r="AG637" s="97">
        <v>429</v>
      </c>
      <c r="AH637" s="97">
        <v>36</v>
      </c>
      <c r="AI637" s="97">
        <v>633</v>
      </c>
    </row>
    <row r="638" spans="1:35" ht="15" customHeight="1">
      <c r="A638" s="97" t="s">
        <v>1878</v>
      </c>
      <c r="B638" s="97" t="s">
        <v>1878</v>
      </c>
      <c r="C638" s="97" t="s">
        <v>1879</v>
      </c>
      <c r="D638" s="97" t="s">
        <v>3198</v>
      </c>
      <c r="E638" s="97" t="s">
        <v>34</v>
      </c>
      <c r="F638" s="97">
        <v>99</v>
      </c>
      <c r="G638" s="97">
        <v>37</v>
      </c>
      <c r="H638" s="97">
        <v>571</v>
      </c>
      <c r="I638" s="97">
        <v>70</v>
      </c>
      <c r="J638" s="97">
        <v>31</v>
      </c>
      <c r="K638" s="97">
        <v>505</v>
      </c>
      <c r="L638" s="97">
        <v>93.5</v>
      </c>
      <c r="M638" s="97">
        <v>20</v>
      </c>
      <c r="N638" s="97">
        <v>393</v>
      </c>
      <c r="O638" s="97">
        <v>52</v>
      </c>
      <c r="P638" s="97">
        <v>45</v>
      </c>
      <c r="Q638" s="97">
        <v>757</v>
      </c>
      <c r="R638" s="97">
        <v>48</v>
      </c>
      <c r="S638" s="97">
        <v>38</v>
      </c>
      <c r="T638" s="97">
        <v>649</v>
      </c>
      <c r="U638" s="97">
        <v>66</v>
      </c>
      <c r="V638" s="97">
        <v>31</v>
      </c>
      <c r="W638" s="97">
        <v>611</v>
      </c>
      <c r="X638" s="97">
        <v>76</v>
      </c>
      <c r="Y638" s="97">
        <v>22</v>
      </c>
      <c r="Z638" s="97">
        <v>260</v>
      </c>
      <c r="AA638" s="97">
        <v>53</v>
      </c>
      <c r="AB638" s="97">
        <v>23</v>
      </c>
      <c r="AC638" s="97">
        <v>470</v>
      </c>
      <c r="AD638" s="97">
        <v>63</v>
      </c>
      <c r="AE638" s="97">
        <v>38</v>
      </c>
      <c r="AF638" s="97">
        <v>633</v>
      </c>
      <c r="AG638" s="97">
        <v>428.5</v>
      </c>
      <c r="AH638" s="97">
        <v>35</v>
      </c>
      <c r="AI638" s="97">
        <v>635</v>
      </c>
    </row>
    <row r="639" spans="1:35" ht="15" customHeight="1">
      <c r="A639" s="97" t="s">
        <v>2258</v>
      </c>
      <c r="B639" s="97" t="s">
        <v>2258</v>
      </c>
      <c r="C639" s="97" t="s">
        <v>2259</v>
      </c>
      <c r="D639" s="97" t="s">
        <v>3198</v>
      </c>
      <c r="E639" s="97" t="s">
        <v>73</v>
      </c>
      <c r="F639" s="97">
        <v>109</v>
      </c>
      <c r="G639" s="97">
        <v>8</v>
      </c>
      <c r="H639" s="97">
        <v>185</v>
      </c>
      <c r="I639" s="97">
        <v>61</v>
      </c>
      <c r="J639" s="97">
        <v>34</v>
      </c>
      <c r="K639" s="97">
        <v>678</v>
      </c>
      <c r="L639" s="97">
        <v>88</v>
      </c>
      <c r="M639" s="97">
        <v>33</v>
      </c>
      <c r="N639" s="97">
        <v>534</v>
      </c>
      <c r="O639" s="97">
        <v>55</v>
      </c>
      <c r="P639" s="97">
        <v>34</v>
      </c>
      <c r="Q639" s="97">
        <v>694</v>
      </c>
      <c r="R639" s="97">
        <v>46</v>
      </c>
      <c r="S639" s="97">
        <v>43</v>
      </c>
      <c r="T639" s="97">
        <v>702</v>
      </c>
      <c r="U639" s="97">
        <v>69</v>
      </c>
      <c r="V639" s="97">
        <v>24</v>
      </c>
      <c r="W639" s="97">
        <v>523</v>
      </c>
      <c r="X639" s="97">
        <v>66</v>
      </c>
      <c r="Y639" s="97">
        <v>30</v>
      </c>
      <c r="Z639" s="97">
        <v>604</v>
      </c>
      <c r="AA639" s="97">
        <v>64</v>
      </c>
      <c r="AB639" s="97">
        <v>2</v>
      </c>
      <c r="AC639" s="97">
        <v>103</v>
      </c>
      <c r="AD639" s="97">
        <v>65</v>
      </c>
      <c r="AE639" s="97">
        <v>38</v>
      </c>
      <c r="AF639" s="97">
        <v>548</v>
      </c>
      <c r="AG639" s="97">
        <v>428</v>
      </c>
      <c r="AH639" s="97">
        <v>37</v>
      </c>
      <c r="AI639" s="97">
        <v>636</v>
      </c>
    </row>
    <row r="640" spans="1:35" ht="15" customHeight="1">
      <c r="A640" s="97" t="s">
        <v>2211</v>
      </c>
      <c r="B640" s="97" t="s">
        <v>2211</v>
      </c>
      <c r="C640" s="97" t="s">
        <v>2212</v>
      </c>
      <c r="D640" s="97" t="s">
        <v>3198</v>
      </c>
      <c r="E640" s="97" t="s">
        <v>73</v>
      </c>
      <c r="F640" s="97">
        <v>104</v>
      </c>
      <c r="G640" s="97">
        <v>18</v>
      </c>
      <c r="H640" s="97">
        <v>357</v>
      </c>
      <c r="I640" s="97">
        <v>79</v>
      </c>
      <c r="J640" s="97">
        <v>11</v>
      </c>
      <c r="K640" s="97">
        <v>342</v>
      </c>
      <c r="L640" s="97">
        <v>70</v>
      </c>
      <c r="M640" s="97">
        <v>52</v>
      </c>
      <c r="N640" s="97">
        <v>841</v>
      </c>
      <c r="O640" s="97">
        <v>33</v>
      </c>
      <c r="P640" s="97">
        <v>53</v>
      </c>
      <c r="Q640" s="97">
        <v>920</v>
      </c>
      <c r="R640" s="97">
        <v>69</v>
      </c>
      <c r="S640" s="97">
        <v>8</v>
      </c>
      <c r="T640" s="97">
        <v>152</v>
      </c>
      <c r="U640" s="97">
        <v>73</v>
      </c>
      <c r="V640" s="97">
        <v>17</v>
      </c>
      <c r="W640" s="97">
        <v>393</v>
      </c>
      <c r="X640" s="97">
        <v>61</v>
      </c>
      <c r="Y640" s="97">
        <v>41</v>
      </c>
      <c r="Z640" s="97">
        <v>754</v>
      </c>
      <c r="AA640" s="97">
        <v>60</v>
      </c>
      <c r="AB640" s="97">
        <v>10</v>
      </c>
      <c r="AC640" s="97">
        <v>203</v>
      </c>
      <c r="AD640" s="97">
        <v>74</v>
      </c>
      <c r="AE640" s="97">
        <v>8</v>
      </c>
      <c r="AF640" s="97">
        <v>174</v>
      </c>
      <c r="AG640" s="97">
        <v>428</v>
      </c>
      <c r="AH640" s="97">
        <v>37</v>
      </c>
      <c r="AI640" s="97">
        <v>636</v>
      </c>
    </row>
    <row r="641" spans="1:35" ht="15" customHeight="1">
      <c r="A641" s="97" t="s">
        <v>2456</v>
      </c>
      <c r="B641" s="97" t="s">
        <v>2456</v>
      </c>
      <c r="C641" s="97" t="s">
        <v>2457</v>
      </c>
      <c r="D641" s="97" t="s">
        <v>3198</v>
      </c>
      <c r="E641" s="97" t="s">
        <v>131</v>
      </c>
      <c r="F641" s="97">
        <v>98</v>
      </c>
      <c r="G641" s="97">
        <v>26</v>
      </c>
      <c r="H641" s="97">
        <v>611</v>
      </c>
      <c r="I641" s="97">
        <v>65</v>
      </c>
      <c r="J641" s="97">
        <v>42</v>
      </c>
      <c r="K641" s="97">
        <v>604</v>
      </c>
      <c r="L641" s="97">
        <v>100.5</v>
      </c>
      <c r="M641" s="97">
        <v>9</v>
      </c>
      <c r="N641" s="97">
        <v>247</v>
      </c>
      <c r="O641" s="97">
        <v>50</v>
      </c>
      <c r="P641" s="97">
        <v>45</v>
      </c>
      <c r="Q641" s="97">
        <v>788</v>
      </c>
      <c r="R641" s="97">
        <v>57</v>
      </c>
      <c r="S641" s="97">
        <v>19</v>
      </c>
      <c r="T641" s="97">
        <v>409</v>
      </c>
      <c r="U641" s="97">
        <v>57</v>
      </c>
      <c r="V641" s="97">
        <v>45</v>
      </c>
      <c r="W641" s="97">
        <v>801</v>
      </c>
      <c r="X641" s="97">
        <v>66</v>
      </c>
      <c r="Y641" s="97">
        <v>30</v>
      </c>
      <c r="Z641" s="97">
        <v>604</v>
      </c>
      <c r="AA641" s="97">
        <v>63</v>
      </c>
      <c r="AB641" s="97">
        <v>13</v>
      </c>
      <c r="AC641" s="97">
        <v>123</v>
      </c>
      <c r="AD641" s="97">
        <v>69</v>
      </c>
      <c r="AE641" s="97">
        <v>26</v>
      </c>
      <c r="AF641" s="97">
        <v>367</v>
      </c>
      <c r="AG641" s="97">
        <v>427.5</v>
      </c>
      <c r="AH641" s="97">
        <v>35</v>
      </c>
      <c r="AI641" s="97">
        <v>638</v>
      </c>
    </row>
    <row r="642" spans="1:35" ht="15" customHeight="1">
      <c r="A642" s="97" t="s">
        <v>560</v>
      </c>
      <c r="B642" s="97" t="s">
        <v>560</v>
      </c>
      <c r="C642" s="97" t="s">
        <v>561</v>
      </c>
      <c r="D642" s="97" t="s">
        <v>3198</v>
      </c>
      <c r="E642" s="97" t="s">
        <v>17</v>
      </c>
      <c r="F642" s="97">
        <v>112</v>
      </c>
      <c r="G642" s="97">
        <v>9</v>
      </c>
      <c r="H642" s="97">
        <v>114</v>
      </c>
      <c r="I642" s="97">
        <v>63</v>
      </c>
      <c r="J642" s="97">
        <v>38</v>
      </c>
      <c r="K642" s="97">
        <v>642</v>
      </c>
      <c r="L642" s="97">
        <v>104.5</v>
      </c>
      <c r="M642" s="97">
        <v>8</v>
      </c>
      <c r="N642" s="97">
        <v>177</v>
      </c>
      <c r="O642" s="97">
        <v>40</v>
      </c>
      <c r="P642" s="97">
        <v>56</v>
      </c>
      <c r="Q642" s="97">
        <v>879</v>
      </c>
      <c r="R642" s="97">
        <v>47</v>
      </c>
      <c r="S642" s="97">
        <v>42</v>
      </c>
      <c r="T642" s="97">
        <v>673</v>
      </c>
      <c r="U642" s="97">
        <v>61</v>
      </c>
      <c r="V642" s="97">
        <v>47</v>
      </c>
      <c r="W642" s="97">
        <v>734</v>
      </c>
      <c r="X642" s="97">
        <v>70</v>
      </c>
      <c r="Y642" s="97">
        <v>32</v>
      </c>
      <c r="Z642" s="97">
        <v>473</v>
      </c>
      <c r="AA642" s="97">
        <v>59</v>
      </c>
      <c r="AB642" s="97">
        <v>14</v>
      </c>
      <c r="AC642" s="97">
        <v>233</v>
      </c>
      <c r="AD642" s="97">
        <v>62</v>
      </c>
      <c r="AE642" s="97">
        <v>45</v>
      </c>
      <c r="AF642" s="97">
        <v>672</v>
      </c>
      <c r="AG642" s="97">
        <v>427.5</v>
      </c>
      <c r="AH642" s="97">
        <v>40</v>
      </c>
      <c r="AI642" s="97">
        <v>638</v>
      </c>
    </row>
    <row r="643" spans="1:35" ht="15" customHeight="1">
      <c r="A643" s="97" t="s">
        <v>1954</v>
      </c>
      <c r="B643" s="97" t="s">
        <v>1954</v>
      </c>
      <c r="C643" s="97" t="s">
        <v>1955</v>
      </c>
      <c r="D643" s="97" t="s">
        <v>3198</v>
      </c>
      <c r="E643" s="97" t="s">
        <v>109</v>
      </c>
      <c r="F643" s="97">
        <v>96</v>
      </c>
      <c r="G643" s="97">
        <v>42</v>
      </c>
      <c r="H643" s="97">
        <v>676</v>
      </c>
      <c r="I643" s="97">
        <v>69</v>
      </c>
      <c r="J643" s="97">
        <v>25</v>
      </c>
      <c r="K643" s="97">
        <v>524</v>
      </c>
      <c r="L643" s="97">
        <v>94</v>
      </c>
      <c r="M643" s="97">
        <v>25</v>
      </c>
      <c r="N643" s="97">
        <v>382</v>
      </c>
      <c r="O643" s="97">
        <v>50</v>
      </c>
      <c r="P643" s="97">
        <v>47</v>
      </c>
      <c r="Q643" s="97">
        <v>788</v>
      </c>
      <c r="R643" s="97">
        <v>55</v>
      </c>
      <c r="S643" s="97">
        <v>27</v>
      </c>
      <c r="T643" s="97">
        <v>470</v>
      </c>
      <c r="U643" s="97">
        <v>63</v>
      </c>
      <c r="V643" s="97">
        <v>42</v>
      </c>
      <c r="W643" s="97">
        <v>692</v>
      </c>
      <c r="X643" s="97">
        <v>80</v>
      </c>
      <c r="Y643" s="97">
        <v>9</v>
      </c>
      <c r="Z643" s="97">
        <v>151</v>
      </c>
      <c r="AA643" s="97">
        <v>45</v>
      </c>
      <c r="AB643" s="97">
        <v>44</v>
      </c>
      <c r="AC643" s="97">
        <v>781</v>
      </c>
      <c r="AD643" s="97">
        <v>58</v>
      </c>
      <c r="AE643" s="97">
        <v>40</v>
      </c>
      <c r="AF643" s="97">
        <v>770</v>
      </c>
      <c r="AG643" s="97">
        <v>427</v>
      </c>
      <c r="AH643" s="97">
        <v>35</v>
      </c>
      <c r="AI643" s="97">
        <v>640</v>
      </c>
    </row>
    <row r="644" spans="1:35" ht="15" customHeight="1">
      <c r="A644" s="97" t="s">
        <v>715</v>
      </c>
      <c r="B644" s="97" t="s">
        <v>715</v>
      </c>
      <c r="C644" s="97" t="s">
        <v>716</v>
      </c>
      <c r="D644" s="97" t="s">
        <v>3198</v>
      </c>
      <c r="E644" s="97" t="s">
        <v>117</v>
      </c>
      <c r="F644" s="97">
        <v>86</v>
      </c>
      <c r="G644" s="97">
        <v>51</v>
      </c>
      <c r="H644" s="97">
        <v>867</v>
      </c>
      <c r="I644" s="97">
        <v>84</v>
      </c>
      <c r="J644" s="97">
        <v>12</v>
      </c>
      <c r="K644" s="97">
        <v>251</v>
      </c>
      <c r="L644" s="97">
        <v>92.5</v>
      </c>
      <c r="M644" s="97">
        <v>22</v>
      </c>
      <c r="N644" s="97">
        <v>414</v>
      </c>
      <c r="O644" s="97">
        <v>69</v>
      </c>
      <c r="P644" s="97">
        <v>22</v>
      </c>
      <c r="Q644" s="97">
        <v>428</v>
      </c>
      <c r="R644" s="97">
        <v>39</v>
      </c>
      <c r="S644" s="97">
        <v>51</v>
      </c>
      <c r="T644" s="97">
        <v>825</v>
      </c>
      <c r="U644" s="97">
        <v>56</v>
      </c>
      <c r="V644" s="97">
        <v>48</v>
      </c>
      <c r="W644" s="97">
        <v>816</v>
      </c>
      <c r="X644" s="97">
        <v>56</v>
      </c>
      <c r="Y644" s="97">
        <v>49</v>
      </c>
      <c r="Z644" s="97">
        <v>849</v>
      </c>
      <c r="AA644" s="97">
        <v>57</v>
      </c>
      <c r="AB644" s="97">
        <v>16</v>
      </c>
      <c r="AC644" s="97">
        <v>306</v>
      </c>
      <c r="AD644" s="97">
        <v>72</v>
      </c>
      <c r="AE644" s="97">
        <v>18</v>
      </c>
      <c r="AF644" s="97">
        <v>256</v>
      </c>
      <c r="AG644" s="97">
        <v>426.5</v>
      </c>
      <c r="AH644" s="97">
        <v>37</v>
      </c>
      <c r="AI644" s="97">
        <v>641</v>
      </c>
    </row>
    <row r="645" spans="1:35" ht="15" customHeight="1">
      <c r="A645" s="97" t="s">
        <v>2240</v>
      </c>
      <c r="B645" s="97" t="s">
        <v>2240</v>
      </c>
      <c r="C645" s="97" t="s">
        <v>2241</v>
      </c>
      <c r="D645" s="97" t="s">
        <v>3198</v>
      </c>
      <c r="E645" s="97" t="s">
        <v>73</v>
      </c>
      <c r="F645" s="97">
        <v>100</v>
      </c>
      <c r="G645" s="97">
        <v>30</v>
      </c>
      <c r="H645" s="97">
        <v>528</v>
      </c>
      <c r="I645" s="97">
        <v>67</v>
      </c>
      <c r="J645" s="97">
        <v>25</v>
      </c>
      <c r="K645" s="97">
        <v>565</v>
      </c>
      <c r="L645" s="97">
        <v>92</v>
      </c>
      <c r="M645" s="97">
        <v>27</v>
      </c>
      <c r="N645" s="97">
        <v>426</v>
      </c>
      <c r="O645" s="97">
        <v>64</v>
      </c>
      <c r="P645" s="97">
        <v>26</v>
      </c>
      <c r="Q645" s="97">
        <v>517</v>
      </c>
      <c r="R645" s="97">
        <v>47</v>
      </c>
      <c r="S645" s="97">
        <v>40</v>
      </c>
      <c r="T645" s="97">
        <v>673</v>
      </c>
      <c r="U645" s="97">
        <v>56</v>
      </c>
      <c r="V645" s="97">
        <v>47</v>
      </c>
      <c r="W645" s="97">
        <v>816</v>
      </c>
      <c r="X645" s="97">
        <v>75</v>
      </c>
      <c r="Y645" s="97">
        <v>10</v>
      </c>
      <c r="Z645" s="97">
        <v>289</v>
      </c>
      <c r="AA645" s="97">
        <v>53</v>
      </c>
      <c r="AB645" s="97">
        <v>34</v>
      </c>
      <c r="AC645" s="97">
        <v>470</v>
      </c>
      <c r="AD645" s="97">
        <v>67</v>
      </c>
      <c r="AE645" s="97">
        <v>33</v>
      </c>
      <c r="AF645" s="97">
        <v>471</v>
      </c>
      <c r="AG645" s="97">
        <v>426</v>
      </c>
      <c r="AH645" s="97">
        <v>39</v>
      </c>
      <c r="AI645" s="97">
        <v>642</v>
      </c>
    </row>
    <row r="646" spans="1:35" ht="15" customHeight="1">
      <c r="A646" s="97" t="s">
        <v>2077</v>
      </c>
      <c r="B646" s="97" t="s">
        <v>2077</v>
      </c>
      <c r="C646" s="97" t="s">
        <v>2078</v>
      </c>
      <c r="D646" s="97" t="s">
        <v>3198</v>
      </c>
      <c r="E646" s="97" t="s">
        <v>109</v>
      </c>
      <c r="F646" s="97">
        <v>92</v>
      </c>
      <c r="G646" s="97">
        <v>51</v>
      </c>
      <c r="H646" s="97">
        <v>779</v>
      </c>
      <c r="I646" s="97">
        <v>66</v>
      </c>
      <c r="J646" s="97">
        <v>35</v>
      </c>
      <c r="K646" s="97">
        <v>584</v>
      </c>
      <c r="L646" s="97">
        <v>84.5</v>
      </c>
      <c r="M646" s="97">
        <v>36</v>
      </c>
      <c r="N646" s="97">
        <v>606</v>
      </c>
      <c r="O646" s="97">
        <v>58</v>
      </c>
      <c r="P646" s="97">
        <v>36</v>
      </c>
      <c r="Q646" s="97">
        <v>649</v>
      </c>
      <c r="R646" s="97">
        <v>63</v>
      </c>
      <c r="S646" s="97">
        <v>12</v>
      </c>
      <c r="T646" s="97">
        <v>262</v>
      </c>
      <c r="U646" s="97">
        <v>62</v>
      </c>
      <c r="V646" s="97">
        <v>43</v>
      </c>
      <c r="W646" s="97">
        <v>716</v>
      </c>
      <c r="X646" s="97">
        <v>62</v>
      </c>
      <c r="Y646" s="97">
        <v>41</v>
      </c>
      <c r="Z646" s="97">
        <v>729</v>
      </c>
      <c r="AA646" s="97">
        <v>52</v>
      </c>
      <c r="AB646" s="97">
        <v>26</v>
      </c>
      <c r="AC646" s="97">
        <v>509</v>
      </c>
      <c r="AD646" s="97">
        <v>57</v>
      </c>
      <c r="AE646" s="97">
        <v>44</v>
      </c>
      <c r="AF646" s="97">
        <v>798</v>
      </c>
      <c r="AG646" s="97">
        <v>425.5</v>
      </c>
      <c r="AH646" s="97">
        <v>36</v>
      </c>
      <c r="AI646" s="97">
        <v>643</v>
      </c>
    </row>
    <row r="647" spans="1:35" ht="15" customHeight="1">
      <c r="A647" s="97" t="s">
        <v>694</v>
      </c>
      <c r="B647" s="97" t="s">
        <v>694</v>
      </c>
      <c r="C647" s="97" t="s">
        <v>695</v>
      </c>
      <c r="D647" s="97" t="s">
        <v>3198</v>
      </c>
      <c r="E647" s="97" t="s">
        <v>17</v>
      </c>
      <c r="F647" s="97">
        <v>100</v>
      </c>
      <c r="G647" s="97">
        <v>30</v>
      </c>
      <c r="H647" s="97">
        <v>528</v>
      </c>
      <c r="I647" s="97">
        <v>55</v>
      </c>
      <c r="J647" s="97">
        <v>47</v>
      </c>
      <c r="K647" s="97">
        <v>766</v>
      </c>
      <c r="L647" s="97">
        <v>104.5</v>
      </c>
      <c r="M647" s="97">
        <v>8</v>
      </c>
      <c r="N647" s="97">
        <v>177</v>
      </c>
      <c r="O647" s="97">
        <v>51</v>
      </c>
      <c r="P647" s="97">
        <v>50</v>
      </c>
      <c r="Q647" s="97">
        <v>771</v>
      </c>
      <c r="R647" s="97">
        <v>42</v>
      </c>
      <c r="S647" s="97">
        <v>50</v>
      </c>
      <c r="T647" s="97">
        <v>774</v>
      </c>
      <c r="U647" s="97">
        <v>73</v>
      </c>
      <c r="V647" s="97">
        <v>25</v>
      </c>
      <c r="W647" s="97">
        <v>393</v>
      </c>
      <c r="X647" s="97">
        <v>70</v>
      </c>
      <c r="Y647" s="97">
        <v>32</v>
      </c>
      <c r="Z647" s="97">
        <v>473</v>
      </c>
      <c r="AA647" s="97">
        <v>47</v>
      </c>
      <c r="AB647" s="97">
        <v>44</v>
      </c>
      <c r="AC647" s="97">
        <v>719</v>
      </c>
      <c r="AD647" s="97">
        <v>70</v>
      </c>
      <c r="AE647" s="97">
        <v>22</v>
      </c>
      <c r="AF647" s="97">
        <v>327</v>
      </c>
      <c r="AG647" s="97">
        <v>425.5</v>
      </c>
      <c r="AH647" s="97">
        <v>41</v>
      </c>
      <c r="AI647" s="97">
        <v>643</v>
      </c>
    </row>
    <row r="648" spans="1:35" ht="15" customHeight="1">
      <c r="A648" s="97" t="s">
        <v>832</v>
      </c>
      <c r="B648" s="97" t="s">
        <v>832</v>
      </c>
      <c r="C648" s="97" t="s">
        <v>833</v>
      </c>
      <c r="D648" s="97" t="s">
        <v>3198</v>
      </c>
      <c r="E648" s="97" t="s">
        <v>117</v>
      </c>
      <c r="F648" s="97">
        <v>97</v>
      </c>
      <c r="G648" s="97">
        <v>36</v>
      </c>
      <c r="H648" s="97">
        <v>645</v>
      </c>
      <c r="I648" s="97">
        <v>62</v>
      </c>
      <c r="J648" s="97">
        <v>40</v>
      </c>
      <c r="K648" s="97">
        <v>665</v>
      </c>
      <c r="L648" s="97">
        <v>97.5</v>
      </c>
      <c r="M648" s="97">
        <v>17</v>
      </c>
      <c r="N648" s="97">
        <v>310</v>
      </c>
      <c r="O648" s="97">
        <v>63</v>
      </c>
      <c r="P648" s="97">
        <v>30</v>
      </c>
      <c r="Q648" s="97">
        <v>540</v>
      </c>
      <c r="R648" s="97">
        <v>50</v>
      </c>
      <c r="S648" s="97">
        <v>35</v>
      </c>
      <c r="T648" s="97">
        <v>599</v>
      </c>
      <c r="U648" s="97">
        <v>56</v>
      </c>
      <c r="V648" s="97">
        <v>48</v>
      </c>
      <c r="W648" s="97">
        <v>816</v>
      </c>
      <c r="X648" s="97">
        <v>60</v>
      </c>
      <c r="Y648" s="97">
        <v>47</v>
      </c>
      <c r="Z648" s="97">
        <v>777</v>
      </c>
      <c r="AA648" s="97">
        <v>42</v>
      </c>
      <c r="AB648" s="97">
        <v>50</v>
      </c>
      <c r="AC648" s="97">
        <v>845</v>
      </c>
      <c r="AD648" s="97">
        <v>71</v>
      </c>
      <c r="AE648" s="97">
        <v>20</v>
      </c>
      <c r="AF648" s="97">
        <v>290</v>
      </c>
      <c r="AG648" s="97">
        <v>425.5</v>
      </c>
      <c r="AH648" s="97">
        <v>38</v>
      </c>
      <c r="AI648" s="97">
        <v>643</v>
      </c>
    </row>
    <row r="649" spans="1:35" ht="15" customHeight="1">
      <c r="A649" s="97" t="s">
        <v>865</v>
      </c>
      <c r="B649" s="97" t="s">
        <v>865</v>
      </c>
      <c r="C649" s="97" t="s">
        <v>866</v>
      </c>
      <c r="D649" s="97" t="s">
        <v>3198</v>
      </c>
      <c r="E649" s="97" t="s">
        <v>60</v>
      </c>
      <c r="F649" s="97">
        <v>101</v>
      </c>
      <c r="G649" s="97">
        <v>35</v>
      </c>
      <c r="H649" s="97">
        <v>481</v>
      </c>
      <c r="I649" s="97">
        <v>67</v>
      </c>
      <c r="J649" s="97">
        <v>32</v>
      </c>
      <c r="K649" s="97">
        <v>565</v>
      </c>
      <c r="L649" s="97">
        <v>67.5</v>
      </c>
      <c r="M649" s="97">
        <v>47</v>
      </c>
      <c r="N649" s="97">
        <v>868</v>
      </c>
      <c r="O649" s="97">
        <v>70</v>
      </c>
      <c r="P649" s="97">
        <v>22</v>
      </c>
      <c r="Q649" s="97">
        <v>400</v>
      </c>
      <c r="R649" s="97">
        <v>49</v>
      </c>
      <c r="S649" s="97">
        <v>40</v>
      </c>
      <c r="T649" s="97">
        <v>624</v>
      </c>
      <c r="U649" s="97">
        <v>71</v>
      </c>
      <c r="V649" s="97">
        <v>18</v>
      </c>
      <c r="W649" s="97">
        <v>462</v>
      </c>
      <c r="X649" s="97">
        <v>61</v>
      </c>
      <c r="Y649" s="97">
        <v>45</v>
      </c>
      <c r="Z649" s="97">
        <v>754</v>
      </c>
      <c r="AA649" s="97">
        <v>54</v>
      </c>
      <c r="AB649" s="97">
        <v>17</v>
      </c>
      <c r="AC649" s="97">
        <v>428</v>
      </c>
      <c r="AD649" s="97">
        <v>66</v>
      </c>
      <c r="AE649" s="97">
        <v>23</v>
      </c>
      <c r="AF649" s="97">
        <v>511</v>
      </c>
      <c r="AG649" s="97">
        <v>425.5</v>
      </c>
      <c r="AH649" s="97">
        <v>35</v>
      </c>
      <c r="AI649" s="97">
        <v>643</v>
      </c>
    </row>
    <row r="650" spans="1:35" ht="15" customHeight="1">
      <c r="A650" s="97" t="s">
        <v>619</v>
      </c>
      <c r="B650" s="97" t="s">
        <v>619</v>
      </c>
      <c r="C650" s="97" t="s">
        <v>620</v>
      </c>
      <c r="D650" s="97" t="s">
        <v>3198</v>
      </c>
      <c r="E650" s="97" t="s">
        <v>17</v>
      </c>
      <c r="F650" s="97">
        <v>94</v>
      </c>
      <c r="G650" s="97">
        <v>45</v>
      </c>
      <c r="H650" s="97">
        <v>733</v>
      </c>
      <c r="I650" s="97">
        <v>61</v>
      </c>
      <c r="J650" s="97">
        <v>42</v>
      </c>
      <c r="K650" s="97">
        <v>678</v>
      </c>
      <c r="L650" s="97">
        <v>78.5</v>
      </c>
      <c r="M650" s="97">
        <v>44</v>
      </c>
      <c r="N650" s="97">
        <v>711</v>
      </c>
      <c r="O650" s="97">
        <v>65</v>
      </c>
      <c r="P650" s="97">
        <v>30</v>
      </c>
      <c r="Q650" s="97">
        <v>501</v>
      </c>
      <c r="R650" s="97">
        <v>50</v>
      </c>
      <c r="S650" s="97">
        <v>37</v>
      </c>
      <c r="T650" s="97">
        <v>599</v>
      </c>
      <c r="U650" s="97">
        <v>77</v>
      </c>
      <c r="V650" s="97">
        <v>13</v>
      </c>
      <c r="W650" s="97">
        <v>275</v>
      </c>
      <c r="X650" s="97">
        <v>83</v>
      </c>
      <c r="Y650" s="97">
        <v>7</v>
      </c>
      <c r="Z650" s="97">
        <v>79</v>
      </c>
      <c r="AA650" s="97">
        <v>57</v>
      </c>
      <c r="AB650" s="97">
        <v>20</v>
      </c>
      <c r="AC650" s="97">
        <v>306</v>
      </c>
      <c r="AD650" s="97">
        <v>67</v>
      </c>
      <c r="AE650" s="97">
        <v>34</v>
      </c>
      <c r="AF650" s="97">
        <v>471</v>
      </c>
      <c r="AG650" s="97">
        <v>425.5</v>
      </c>
      <c r="AH650" s="97">
        <v>41</v>
      </c>
      <c r="AI650" s="97">
        <v>643</v>
      </c>
    </row>
    <row r="651" spans="1:35" ht="15" customHeight="1">
      <c r="A651" s="97" t="s">
        <v>1440</v>
      </c>
      <c r="B651" s="97" t="s">
        <v>1440</v>
      </c>
      <c r="C651" s="97" t="s">
        <v>1441</v>
      </c>
      <c r="D651" s="97" t="s">
        <v>3198</v>
      </c>
      <c r="E651" s="97" t="s">
        <v>56</v>
      </c>
      <c r="F651" s="97">
        <v>92</v>
      </c>
      <c r="G651" s="97">
        <v>42</v>
      </c>
      <c r="H651" s="97">
        <v>779</v>
      </c>
      <c r="I651" s="97">
        <v>43</v>
      </c>
      <c r="J651" s="97">
        <v>52</v>
      </c>
      <c r="K651" s="97">
        <v>881</v>
      </c>
      <c r="L651" s="97">
        <v>86.5</v>
      </c>
      <c r="M651" s="97">
        <v>30</v>
      </c>
      <c r="N651" s="97">
        <v>565</v>
      </c>
      <c r="O651" s="97">
        <v>75</v>
      </c>
      <c r="P651" s="97">
        <v>12</v>
      </c>
      <c r="Q651" s="97">
        <v>299</v>
      </c>
      <c r="R651" s="97">
        <v>60</v>
      </c>
      <c r="S651" s="97">
        <v>10</v>
      </c>
      <c r="T651" s="97">
        <v>322</v>
      </c>
      <c r="U651" s="97">
        <v>69</v>
      </c>
      <c r="V651" s="97">
        <v>37</v>
      </c>
      <c r="W651" s="97">
        <v>523</v>
      </c>
      <c r="X651" s="97">
        <v>62</v>
      </c>
      <c r="Y651" s="97">
        <v>47</v>
      </c>
      <c r="Z651" s="97">
        <v>729</v>
      </c>
      <c r="AA651" s="97">
        <v>44</v>
      </c>
      <c r="AB651" s="97">
        <v>44</v>
      </c>
      <c r="AC651" s="97">
        <v>804</v>
      </c>
      <c r="AD651" s="97">
        <v>65</v>
      </c>
      <c r="AE651" s="97">
        <v>29</v>
      </c>
      <c r="AF651" s="97">
        <v>548</v>
      </c>
      <c r="AG651" s="97">
        <v>425.5</v>
      </c>
      <c r="AH651" s="97">
        <v>37</v>
      </c>
      <c r="AI651" s="97">
        <v>643</v>
      </c>
    </row>
    <row r="652" spans="1:35" ht="15" customHeight="1">
      <c r="A652" s="97" t="s">
        <v>1810</v>
      </c>
      <c r="B652" s="97" t="s">
        <v>1810</v>
      </c>
      <c r="C652" s="97" t="s">
        <v>1811</v>
      </c>
      <c r="D652" s="97" t="s">
        <v>3198</v>
      </c>
      <c r="E652" s="97" t="s">
        <v>34</v>
      </c>
      <c r="F652" s="97">
        <v>103</v>
      </c>
      <c r="G652" s="97">
        <v>25</v>
      </c>
      <c r="H652" s="97">
        <v>400</v>
      </c>
      <c r="I652" s="97">
        <v>76</v>
      </c>
      <c r="J652" s="97">
        <v>22</v>
      </c>
      <c r="K652" s="97">
        <v>391</v>
      </c>
      <c r="L652" s="97">
        <v>65.5</v>
      </c>
      <c r="M652" s="97">
        <v>53</v>
      </c>
      <c r="N652" s="97">
        <v>878</v>
      </c>
      <c r="O652" s="97">
        <v>59</v>
      </c>
      <c r="P652" s="97">
        <v>35</v>
      </c>
      <c r="Q652" s="97">
        <v>626</v>
      </c>
      <c r="R652" s="97">
        <v>51</v>
      </c>
      <c r="S652" s="97">
        <v>32</v>
      </c>
      <c r="T652" s="97">
        <v>571</v>
      </c>
      <c r="U652" s="97">
        <v>71</v>
      </c>
      <c r="V652" s="97">
        <v>21</v>
      </c>
      <c r="W652" s="97">
        <v>462</v>
      </c>
      <c r="X652" s="97">
        <v>80</v>
      </c>
      <c r="Y652" s="97">
        <v>13</v>
      </c>
      <c r="Z652" s="97">
        <v>151</v>
      </c>
      <c r="AA652" s="97">
        <v>65</v>
      </c>
      <c r="AB652" s="97">
        <v>3</v>
      </c>
      <c r="AC652" s="97">
        <v>89</v>
      </c>
      <c r="AD652" s="97">
        <v>72</v>
      </c>
      <c r="AE652" s="97">
        <v>12</v>
      </c>
      <c r="AF652" s="97">
        <v>256</v>
      </c>
      <c r="AG652" s="97">
        <v>425.5</v>
      </c>
      <c r="AH652" s="97">
        <v>36</v>
      </c>
      <c r="AI652" s="97">
        <v>643</v>
      </c>
    </row>
    <row r="653" spans="1:35" ht="15" customHeight="1">
      <c r="A653" s="97" t="s">
        <v>551</v>
      </c>
      <c r="B653" s="97" t="s">
        <v>551</v>
      </c>
      <c r="C653" s="97" t="s">
        <v>552</v>
      </c>
      <c r="D653" s="97" t="s">
        <v>3198</v>
      </c>
      <c r="E653" s="97" t="s">
        <v>17</v>
      </c>
      <c r="F653" s="97">
        <v>101</v>
      </c>
      <c r="G653" s="97">
        <v>28</v>
      </c>
      <c r="H653" s="97">
        <v>481</v>
      </c>
      <c r="I653" s="97">
        <v>50</v>
      </c>
      <c r="J653" s="97">
        <v>53</v>
      </c>
      <c r="K653" s="97">
        <v>831</v>
      </c>
      <c r="L653" s="97">
        <v>77</v>
      </c>
      <c r="M653" s="97">
        <v>46</v>
      </c>
      <c r="N653" s="97">
        <v>740</v>
      </c>
      <c r="O653" s="97">
        <v>80</v>
      </c>
      <c r="P653" s="97">
        <v>6</v>
      </c>
      <c r="Q653" s="97">
        <v>207</v>
      </c>
      <c r="R653" s="97">
        <v>46</v>
      </c>
      <c r="S653" s="97">
        <v>45</v>
      </c>
      <c r="T653" s="97">
        <v>702</v>
      </c>
      <c r="U653" s="97">
        <v>71</v>
      </c>
      <c r="V653" s="97">
        <v>30</v>
      </c>
      <c r="W653" s="97">
        <v>462</v>
      </c>
      <c r="X653" s="97">
        <v>65</v>
      </c>
      <c r="Y653" s="97">
        <v>43</v>
      </c>
      <c r="Z653" s="97">
        <v>651</v>
      </c>
      <c r="AA653" s="97">
        <v>57</v>
      </c>
      <c r="AB653" s="97">
        <v>20</v>
      </c>
      <c r="AC653" s="97">
        <v>306</v>
      </c>
      <c r="AD653" s="97">
        <v>68</v>
      </c>
      <c r="AE653" s="97">
        <v>27</v>
      </c>
      <c r="AF653" s="97">
        <v>412</v>
      </c>
      <c r="AG653" s="97">
        <v>425</v>
      </c>
      <c r="AH653" s="97">
        <v>43</v>
      </c>
      <c r="AI653" s="97">
        <v>650</v>
      </c>
    </row>
    <row r="654" spans="1:35" ht="15" customHeight="1">
      <c r="A654" s="97" t="s">
        <v>3241</v>
      </c>
      <c r="B654" s="97" t="s">
        <v>3241</v>
      </c>
      <c r="C654" s="97" t="s">
        <v>3248</v>
      </c>
      <c r="D654" s="97" t="s">
        <v>3198</v>
      </c>
      <c r="E654" s="97" t="s">
        <v>7</v>
      </c>
      <c r="F654" s="97">
        <v>92</v>
      </c>
      <c r="G654" s="97">
        <v>44</v>
      </c>
      <c r="H654" s="97">
        <v>779</v>
      </c>
      <c r="I654" s="97">
        <v>64</v>
      </c>
      <c r="J654" s="97">
        <v>26</v>
      </c>
      <c r="K654" s="97">
        <v>627</v>
      </c>
      <c r="L654" s="97">
        <v>97</v>
      </c>
      <c r="M654" s="97">
        <v>13</v>
      </c>
      <c r="N654" s="97">
        <v>327</v>
      </c>
      <c r="O654" s="97">
        <v>59</v>
      </c>
      <c r="P654" s="97">
        <v>34</v>
      </c>
      <c r="Q654" s="97">
        <v>626</v>
      </c>
      <c r="R654" s="97">
        <v>40</v>
      </c>
      <c r="S654" s="97">
        <v>42</v>
      </c>
      <c r="T654" s="97">
        <v>811</v>
      </c>
      <c r="U654" s="97">
        <v>73</v>
      </c>
      <c r="V654" s="97">
        <v>18</v>
      </c>
      <c r="W654" s="97">
        <v>393</v>
      </c>
      <c r="X654" s="97">
        <v>53</v>
      </c>
      <c r="Y654" s="97">
        <v>51</v>
      </c>
      <c r="Z654" s="97">
        <v>888</v>
      </c>
      <c r="AA654" s="97">
        <v>48</v>
      </c>
      <c r="AB654" s="97">
        <v>45</v>
      </c>
      <c r="AC654" s="97">
        <v>671</v>
      </c>
      <c r="AD654" s="97">
        <v>62</v>
      </c>
      <c r="AE654" s="97">
        <v>40</v>
      </c>
      <c r="AF654" s="97">
        <v>672</v>
      </c>
      <c r="AG654" s="97">
        <v>425</v>
      </c>
      <c r="AH654" s="97">
        <v>35</v>
      </c>
      <c r="AI654" s="97">
        <v>650</v>
      </c>
    </row>
    <row r="655" spans="1:35" ht="15" customHeight="1">
      <c r="A655" s="97" t="s">
        <v>874</v>
      </c>
      <c r="B655" s="97" t="s">
        <v>874</v>
      </c>
      <c r="C655" s="97" t="s">
        <v>875</v>
      </c>
      <c r="D655" s="97" t="s">
        <v>3198</v>
      </c>
      <c r="E655" s="97" t="s">
        <v>60</v>
      </c>
      <c r="F655" s="97">
        <v>108</v>
      </c>
      <c r="G655" s="97">
        <v>13</v>
      </c>
      <c r="H655" s="97">
        <v>212</v>
      </c>
      <c r="I655" s="97">
        <v>65</v>
      </c>
      <c r="J655" s="97">
        <v>36</v>
      </c>
      <c r="K655" s="97">
        <v>604</v>
      </c>
      <c r="L655" s="97">
        <v>98.5</v>
      </c>
      <c r="M655" s="97">
        <v>11</v>
      </c>
      <c r="N655" s="97">
        <v>285</v>
      </c>
      <c r="O655" s="97">
        <v>43</v>
      </c>
      <c r="P655" s="97">
        <v>48</v>
      </c>
      <c r="Q655" s="97">
        <v>860</v>
      </c>
      <c r="R655" s="97">
        <v>55</v>
      </c>
      <c r="S655" s="97">
        <v>31</v>
      </c>
      <c r="T655" s="97">
        <v>470</v>
      </c>
      <c r="U655" s="97">
        <v>55</v>
      </c>
      <c r="V655" s="97">
        <v>51</v>
      </c>
      <c r="W655" s="97">
        <v>831</v>
      </c>
      <c r="X655" s="97">
        <v>66</v>
      </c>
      <c r="Y655" s="97">
        <v>35</v>
      </c>
      <c r="Z655" s="97">
        <v>604</v>
      </c>
      <c r="AA655" s="97">
        <v>42</v>
      </c>
      <c r="AB655" s="97">
        <v>49</v>
      </c>
      <c r="AC655" s="97">
        <v>845</v>
      </c>
      <c r="AD655" s="97">
        <v>63</v>
      </c>
      <c r="AE655" s="97">
        <v>35</v>
      </c>
      <c r="AF655" s="97">
        <v>633</v>
      </c>
      <c r="AG655" s="97">
        <v>424.5</v>
      </c>
      <c r="AH655" s="97">
        <v>36</v>
      </c>
      <c r="AI655" s="97">
        <v>652</v>
      </c>
    </row>
    <row r="656" spans="1:35" ht="15" customHeight="1">
      <c r="A656" s="97" t="s">
        <v>700</v>
      </c>
      <c r="B656" s="97" t="s">
        <v>700</v>
      </c>
      <c r="C656" s="97" t="s">
        <v>701</v>
      </c>
      <c r="D656" s="97" t="s">
        <v>3198</v>
      </c>
      <c r="E656" s="97" t="s">
        <v>117</v>
      </c>
      <c r="F656" s="97">
        <v>101</v>
      </c>
      <c r="G656" s="97">
        <v>26</v>
      </c>
      <c r="H656" s="97">
        <v>481</v>
      </c>
      <c r="I656" s="97">
        <v>77</v>
      </c>
      <c r="J656" s="97">
        <v>22</v>
      </c>
      <c r="K656" s="97">
        <v>369</v>
      </c>
      <c r="L656" s="97">
        <v>89.5</v>
      </c>
      <c r="M656" s="97">
        <v>28</v>
      </c>
      <c r="N656" s="97">
        <v>493</v>
      </c>
      <c r="O656" s="97">
        <v>59</v>
      </c>
      <c r="P656" s="97">
        <v>37</v>
      </c>
      <c r="Q656" s="97">
        <v>626</v>
      </c>
      <c r="R656" s="97">
        <v>43</v>
      </c>
      <c r="S656" s="97">
        <v>46</v>
      </c>
      <c r="T656" s="97">
        <v>757</v>
      </c>
      <c r="U656" s="97">
        <v>55</v>
      </c>
      <c r="V656" s="97">
        <v>51</v>
      </c>
      <c r="W656" s="97">
        <v>831</v>
      </c>
      <c r="X656" s="97">
        <v>79</v>
      </c>
      <c r="Y656" s="97">
        <v>13</v>
      </c>
      <c r="Z656" s="97">
        <v>175</v>
      </c>
      <c r="AA656" s="97">
        <v>56</v>
      </c>
      <c r="AB656" s="97">
        <v>19</v>
      </c>
      <c r="AC656" s="97">
        <v>352</v>
      </c>
      <c r="AD656" s="97">
        <v>50</v>
      </c>
      <c r="AE656" s="97">
        <v>53</v>
      </c>
      <c r="AF656" s="97">
        <v>896</v>
      </c>
      <c r="AG656" s="97">
        <v>424.5</v>
      </c>
      <c r="AH656" s="97">
        <v>39</v>
      </c>
      <c r="AI656" s="97">
        <v>652</v>
      </c>
    </row>
    <row r="657" spans="1:35" ht="15" customHeight="1">
      <c r="A657" s="97" t="s">
        <v>590</v>
      </c>
      <c r="B657" s="97" t="s">
        <v>590</v>
      </c>
      <c r="C657" s="97" t="s">
        <v>591</v>
      </c>
      <c r="D657" s="97" t="s">
        <v>3198</v>
      </c>
      <c r="E657" s="97" t="s">
        <v>17</v>
      </c>
      <c r="F657" s="97">
        <v>90</v>
      </c>
      <c r="G657" s="97">
        <v>52</v>
      </c>
      <c r="H657" s="97">
        <v>815</v>
      </c>
      <c r="I657" s="97">
        <v>59</v>
      </c>
      <c r="J657" s="97">
        <v>45</v>
      </c>
      <c r="K657" s="97">
        <v>721</v>
      </c>
      <c r="L657" s="97">
        <v>85</v>
      </c>
      <c r="M657" s="97">
        <v>38</v>
      </c>
      <c r="N657" s="97">
        <v>592</v>
      </c>
      <c r="O657" s="97">
        <v>63</v>
      </c>
      <c r="P657" s="97">
        <v>34</v>
      </c>
      <c r="Q657" s="97">
        <v>540</v>
      </c>
      <c r="R657" s="97">
        <v>50</v>
      </c>
      <c r="S657" s="97">
        <v>37</v>
      </c>
      <c r="T657" s="97">
        <v>599</v>
      </c>
      <c r="U657" s="97">
        <v>77</v>
      </c>
      <c r="V657" s="97">
        <v>13</v>
      </c>
      <c r="W657" s="97">
        <v>275</v>
      </c>
      <c r="X657" s="97">
        <v>70</v>
      </c>
      <c r="Y657" s="97">
        <v>32</v>
      </c>
      <c r="Z657" s="97">
        <v>473</v>
      </c>
      <c r="AA657" s="97">
        <v>62</v>
      </c>
      <c r="AB657" s="97">
        <v>7</v>
      </c>
      <c r="AC657" s="97">
        <v>146</v>
      </c>
      <c r="AD657" s="97">
        <v>76</v>
      </c>
      <c r="AE657" s="97">
        <v>6</v>
      </c>
      <c r="AF657" s="97">
        <v>125</v>
      </c>
      <c r="AG657" s="97">
        <v>424</v>
      </c>
      <c r="AH657" s="97">
        <v>44</v>
      </c>
      <c r="AI657" s="97">
        <v>654</v>
      </c>
    </row>
    <row r="658" spans="1:35" ht="15" customHeight="1">
      <c r="A658" s="97" t="s">
        <v>2510</v>
      </c>
      <c r="B658" s="97" t="s">
        <v>2510</v>
      </c>
      <c r="C658" s="97" t="s">
        <v>2511</v>
      </c>
      <c r="D658" s="97" t="s">
        <v>3198</v>
      </c>
      <c r="E658" s="97" t="s">
        <v>131</v>
      </c>
      <c r="F658" s="97">
        <v>83</v>
      </c>
      <c r="G658" s="97">
        <v>48</v>
      </c>
      <c r="H658" s="97">
        <v>897</v>
      </c>
      <c r="I658" s="97">
        <v>71</v>
      </c>
      <c r="J658" s="97">
        <v>29</v>
      </c>
      <c r="K658" s="97">
        <v>475</v>
      </c>
      <c r="L658" s="97">
        <v>60</v>
      </c>
      <c r="M658" s="97">
        <v>55</v>
      </c>
      <c r="N658" s="97">
        <v>911</v>
      </c>
      <c r="O658" s="97">
        <v>85</v>
      </c>
      <c r="P658" s="97">
        <v>8</v>
      </c>
      <c r="Q658" s="97">
        <v>135</v>
      </c>
      <c r="R658" s="97">
        <v>52</v>
      </c>
      <c r="S658" s="97">
        <v>30</v>
      </c>
      <c r="T658" s="97">
        <v>551</v>
      </c>
      <c r="U658" s="97">
        <v>73</v>
      </c>
      <c r="V658" s="97">
        <v>18</v>
      </c>
      <c r="W658" s="97">
        <v>393</v>
      </c>
      <c r="X658" s="97">
        <v>55</v>
      </c>
      <c r="Y658" s="97">
        <v>54</v>
      </c>
      <c r="Z658" s="97">
        <v>868</v>
      </c>
      <c r="AA658" s="97">
        <v>64</v>
      </c>
      <c r="AB658" s="97">
        <v>11</v>
      </c>
      <c r="AC658" s="97">
        <v>103</v>
      </c>
      <c r="AD658" s="97">
        <v>69</v>
      </c>
      <c r="AE658" s="97">
        <v>26</v>
      </c>
      <c r="AF658" s="97">
        <v>367</v>
      </c>
      <c r="AG658" s="97">
        <v>424</v>
      </c>
      <c r="AH658" s="97">
        <v>36</v>
      </c>
      <c r="AI658" s="97">
        <v>654</v>
      </c>
    </row>
    <row r="659" spans="1:35" ht="15" customHeight="1">
      <c r="A659" s="97" t="s">
        <v>2462</v>
      </c>
      <c r="B659" s="97" t="s">
        <v>2462</v>
      </c>
      <c r="C659" s="97" t="s">
        <v>2463</v>
      </c>
      <c r="D659" s="97" t="s">
        <v>3198</v>
      </c>
      <c r="E659" s="97" t="s">
        <v>131</v>
      </c>
      <c r="F659" s="97">
        <v>86</v>
      </c>
      <c r="G659" s="97">
        <v>41</v>
      </c>
      <c r="H659" s="97">
        <v>867</v>
      </c>
      <c r="I659" s="97">
        <v>68</v>
      </c>
      <c r="J659" s="97">
        <v>36</v>
      </c>
      <c r="K659" s="97">
        <v>540</v>
      </c>
      <c r="L659" s="97">
        <v>77.5</v>
      </c>
      <c r="M659" s="97">
        <v>40</v>
      </c>
      <c r="N659" s="97">
        <v>734</v>
      </c>
      <c r="O659" s="97">
        <v>61</v>
      </c>
      <c r="P659" s="97">
        <v>36</v>
      </c>
      <c r="Q659" s="97">
        <v>587</v>
      </c>
      <c r="R659" s="97">
        <v>58</v>
      </c>
      <c r="S659" s="97">
        <v>18</v>
      </c>
      <c r="T659" s="97">
        <v>377</v>
      </c>
      <c r="U659" s="97">
        <v>73</v>
      </c>
      <c r="V659" s="97">
        <v>18</v>
      </c>
      <c r="W659" s="97">
        <v>393</v>
      </c>
      <c r="X659" s="97">
        <v>66</v>
      </c>
      <c r="Y659" s="97">
        <v>30</v>
      </c>
      <c r="Z659" s="97">
        <v>604</v>
      </c>
      <c r="AA659" s="97">
        <v>55</v>
      </c>
      <c r="AB659" s="97">
        <v>30</v>
      </c>
      <c r="AC659" s="97">
        <v>392</v>
      </c>
      <c r="AD659" s="97">
        <v>71</v>
      </c>
      <c r="AE659" s="97">
        <v>16</v>
      </c>
      <c r="AF659" s="97">
        <v>290</v>
      </c>
      <c r="AG659" s="97">
        <v>423.5</v>
      </c>
      <c r="AH659" s="97">
        <v>37</v>
      </c>
      <c r="AI659" s="97">
        <v>656</v>
      </c>
    </row>
    <row r="660" spans="1:35" ht="15" customHeight="1">
      <c r="A660" s="97" t="s">
        <v>2770</v>
      </c>
      <c r="B660" s="97" t="s">
        <v>2770</v>
      </c>
      <c r="C660" s="97" t="s">
        <v>2771</v>
      </c>
      <c r="D660" s="97" t="s">
        <v>3198</v>
      </c>
      <c r="E660" s="97" t="s">
        <v>38</v>
      </c>
      <c r="F660" s="97">
        <v>106</v>
      </c>
      <c r="G660" s="97">
        <v>14</v>
      </c>
      <c r="H660" s="97">
        <v>287</v>
      </c>
      <c r="I660" s="97">
        <v>52</v>
      </c>
      <c r="J660" s="97">
        <v>45</v>
      </c>
      <c r="K660" s="97">
        <v>807</v>
      </c>
      <c r="L660" s="97">
        <v>88.5</v>
      </c>
      <c r="M660" s="97">
        <v>32</v>
      </c>
      <c r="N660" s="97">
        <v>519</v>
      </c>
      <c r="O660" s="97">
        <v>60</v>
      </c>
      <c r="P660" s="97">
        <v>34</v>
      </c>
      <c r="Q660" s="97">
        <v>607</v>
      </c>
      <c r="R660" s="97">
        <v>47</v>
      </c>
      <c r="S660" s="97">
        <v>34</v>
      </c>
      <c r="T660" s="97">
        <v>673</v>
      </c>
      <c r="U660" s="97">
        <v>70</v>
      </c>
      <c r="V660" s="97">
        <v>25</v>
      </c>
      <c r="W660" s="97">
        <v>485</v>
      </c>
      <c r="X660" s="97">
        <v>68</v>
      </c>
      <c r="Y660" s="97">
        <v>31</v>
      </c>
      <c r="Z660" s="97">
        <v>541</v>
      </c>
      <c r="AA660" s="97">
        <v>45</v>
      </c>
      <c r="AB660" s="97">
        <v>43</v>
      </c>
      <c r="AC660" s="97">
        <v>781</v>
      </c>
      <c r="AD660" s="97">
        <v>61</v>
      </c>
      <c r="AE660" s="97">
        <v>38</v>
      </c>
      <c r="AF660" s="97">
        <v>703</v>
      </c>
      <c r="AG660" s="97">
        <v>423.5</v>
      </c>
      <c r="AH660" s="97">
        <v>34</v>
      </c>
      <c r="AI660" s="97">
        <v>656</v>
      </c>
    </row>
    <row r="661" spans="1:35" ht="15" customHeight="1">
      <c r="A661" s="97" t="s">
        <v>2429</v>
      </c>
      <c r="B661" s="97" t="s">
        <v>2429</v>
      </c>
      <c r="C661" s="97" t="s">
        <v>2430</v>
      </c>
      <c r="D661" s="97" t="s">
        <v>3198</v>
      </c>
      <c r="E661" s="97" t="s">
        <v>131</v>
      </c>
      <c r="F661" s="97">
        <v>93</v>
      </c>
      <c r="G661" s="97">
        <v>35</v>
      </c>
      <c r="H661" s="97">
        <v>755</v>
      </c>
      <c r="I661" s="97">
        <v>69</v>
      </c>
      <c r="J661" s="97">
        <v>34</v>
      </c>
      <c r="K661" s="97">
        <v>524</v>
      </c>
      <c r="L661" s="97">
        <v>76</v>
      </c>
      <c r="M661" s="97">
        <v>43</v>
      </c>
      <c r="N661" s="97">
        <v>759</v>
      </c>
      <c r="O661" s="97">
        <v>67</v>
      </c>
      <c r="P661" s="97">
        <v>28</v>
      </c>
      <c r="Q661" s="97">
        <v>468</v>
      </c>
      <c r="R661" s="97">
        <v>44</v>
      </c>
      <c r="S661" s="97">
        <v>41</v>
      </c>
      <c r="T661" s="97">
        <v>736</v>
      </c>
      <c r="U661" s="97">
        <v>74</v>
      </c>
      <c r="V661" s="97">
        <v>15</v>
      </c>
      <c r="W661" s="97">
        <v>366</v>
      </c>
      <c r="X661" s="97">
        <v>63</v>
      </c>
      <c r="Y661" s="97">
        <v>37</v>
      </c>
      <c r="Z661" s="97">
        <v>712</v>
      </c>
      <c r="AA661" s="97">
        <v>47</v>
      </c>
      <c r="AB661" s="97">
        <v>46</v>
      </c>
      <c r="AC661" s="97">
        <v>719</v>
      </c>
      <c r="AD661" s="97">
        <v>62</v>
      </c>
      <c r="AE661" s="97">
        <v>45</v>
      </c>
      <c r="AF661" s="97">
        <v>672</v>
      </c>
      <c r="AG661" s="97">
        <v>423</v>
      </c>
      <c r="AH661" s="97">
        <v>38</v>
      </c>
      <c r="AI661" s="97">
        <v>658</v>
      </c>
    </row>
    <row r="662" spans="1:35" ht="15" customHeight="1">
      <c r="A662" s="97" t="s">
        <v>2331</v>
      </c>
      <c r="B662" s="97" t="s">
        <v>2331</v>
      </c>
      <c r="C662" s="97" t="s">
        <v>2338</v>
      </c>
      <c r="D662" s="97" t="s">
        <v>3198</v>
      </c>
      <c r="E662" s="97" t="s">
        <v>7</v>
      </c>
      <c r="F662" s="97">
        <v>103</v>
      </c>
      <c r="G662" s="97">
        <v>20</v>
      </c>
      <c r="H662" s="97">
        <v>400</v>
      </c>
      <c r="I662" s="97">
        <v>72</v>
      </c>
      <c r="J662" s="97">
        <v>16</v>
      </c>
      <c r="K662" s="97">
        <v>458</v>
      </c>
      <c r="L662" s="97">
        <v>62</v>
      </c>
      <c r="M662" s="97">
        <v>54</v>
      </c>
      <c r="N662" s="97">
        <v>903</v>
      </c>
      <c r="O662" s="97">
        <v>59</v>
      </c>
      <c r="P662" s="97">
        <v>34</v>
      </c>
      <c r="Q662" s="97">
        <v>626</v>
      </c>
      <c r="R662" s="97">
        <v>54</v>
      </c>
      <c r="S662" s="97">
        <v>20</v>
      </c>
      <c r="T662" s="97">
        <v>494</v>
      </c>
      <c r="U662" s="97">
        <v>73</v>
      </c>
      <c r="V662" s="97">
        <v>18</v>
      </c>
      <c r="W662" s="97">
        <v>393</v>
      </c>
      <c r="X662" s="97">
        <v>76</v>
      </c>
      <c r="Y662" s="97">
        <v>28</v>
      </c>
      <c r="Z662" s="97">
        <v>260</v>
      </c>
      <c r="AA662" s="97">
        <v>62</v>
      </c>
      <c r="AB662" s="97">
        <v>9</v>
      </c>
      <c r="AC662" s="97">
        <v>146</v>
      </c>
      <c r="AD662" s="97">
        <v>65</v>
      </c>
      <c r="AE662" s="97">
        <v>30</v>
      </c>
      <c r="AF662" s="97">
        <v>548</v>
      </c>
      <c r="AG662" s="97">
        <v>423</v>
      </c>
      <c r="AH662" s="97">
        <v>36</v>
      </c>
      <c r="AI662" s="97">
        <v>658</v>
      </c>
    </row>
    <row r="663" spans="1:35" ht="15" customHeight="1">
      <c r="A663" s="97" t="s">
        <v>377</v>
      </c>
      <c r="B663" s="97" t="s">
        <v>377</v>
      </c>
      <c r="C663" s="97" t="s">
        <v>378</v>
      </c>
      <c r="D663" s="97" t="s">
        <v>3198</v>
      </c>
      <c r="E663" s="97" t="s">
        <v>19</v>
      </c>
      <c r="F663" s="97">
        <v>106</v>
      </c>
      <c r="G663" s="97">
        <v>18</v>
      </c>
      <c r="H663" s="97">
        <v>287</v>
      </c>
      <c r="I663" s="97">
        <v>68</v>
      </c>
      <c r="J663" s="97">
        <v>28</v>
      </c>
      <c r="K663" s="97">
        <v>540</v>
      </c>
      <c r="L663" s="97">
        <v>75</v>
      </c>
      <c r="M663" s="97">
        <v>47</v>
      </c>
      <c r="N663" s="97">
        <v>776</v>
      </c>
      <c r="O663" s="97">
        <v>45</v>
      </c>
      <c r="P663" s="97">
        <v>52</v>
      </c>
      <c r="Q663" s="97">
        <v>840</v>
      </c>
      <c r="R663" s="97">
        <v>55</v>
      </c>
      <c r="S663" s="97">
        <v>24</v>
      </c>
      <c r="T663" s="97">
        <v>470</v>
      </c>
      <c r="U663" s="97">
        <v>74</v>
      </c>
      <c r="V663" s="97">
        <v>17</v>
      </c>
      <c r="W663" s="97">
        <v>366</v>
      </c>
      <c r="X663" s="97">
        <v>63</v>
      </c>
      <c r="Y663" s="97">
        <v>39</v>
      </c>
      <c r="Z663" s="97">
        <v>712</v>
      </c>
      <c r="AA663" s="97">
        <v>41</v>
      </c>
      <c r="AB663" s="97">
        <v>53</v>
      </c>
      <c r="AC663" s="97">
        <v>866</v>
      </c>
      <c r="AD663" s="97">
        <v>61</v>
      </c>
      <c r="AE663" s="97">
        <v>39</v>
      </c>
      <c r="AF663" s="97">
        <v>703</v>
      </c>
      <c r="AG663" s="97">
        <v>423</v>
      </c>
      <c r="AH663" s="97">
        <v>36</v>
      </c>
      <c r="AI663" s="97">
        <v>658</v>
      </c>
    </row>
    <row r="664" spans="1:35" ht="15" customHeight="1">
      <c r="A664" s="97" t="s">
        <v>655</v>
      </c>
      <c r="B664" s="97" t="s">
        <v>655</v>
      </c>
      <c r="C664" s="97" t="s">
        <v>656</v>
      </c>
      <c r="D664" s="97" t="s">
        <v>3198</v>
      </c>
      <c r="E664" s="97" t="s">
        <v>17</v>
      </c>
      <c r="F664" s="97">
        <v>98</v>
      </c>
      <c r="G664" s="97">
        <v>36</v>
      </c>
      <c r="H664" s="97">
        <v>611</v>
      </c>
      <c r="I664" s="97">
        <v>66</v>
      </c>
      <c r="J664" s="97">
        <v>36</v>
      </c>
      <c r="K664" s="97">
        <v>584</v>
      </c>
      <c r="L664" s="97">
        <v>89</v>
      </c>
      <c r="M664" s="97">
        <v>31</v>
      </c>
      <c r="N664" s="97">
        <v>509</v>
      </c>
      <c r="O664" s="97">
        <v>64</v>
      </c>
      <c r="P664" s="97">
        <v>33</v>
      </c>
      <c r="Q664" s="97">
        <v>517</v>
      </c>
      <c r="R664" s="97">
        <v>36</v>
      </c>
      <c r="S664" s="97">
        <v>52</v>
      </c>
      <c r="T664" s="97">
        <v>856</v>
      </c>
      <c r="U664" s="97">
        <v>70</v>
      </c>
      <c r="V664" s="97">
        <v>32</v>
      </c>
      <c r="W664" s="97">
        <v>485</v>
      </c>
      <c r="X664" s="97">
        <v>65</v>
      </c>
      <c r="Y664" s="97">
        <v>43</v>
      </c>
      <c r="Z664" s="97">
        <v>651</v>
      </c>
      <c r="AA664" s="97">
        <v>50</v>
      </c>
      <c r="AB664" s="97">
        <v>39</v>
      </c>
      <c r="AC664" s="97">
        <v>591</v>
      </c>
      <c r="AD664" s="97">
        <v>73</v>
      </c>
      <c r="AE664" s="97">
        <v>12</v>
      </c>
      <c r="AF664" s="97">
        <v>216</v>
      </c>
      <c r="AG664" s="97">
        <v>423</v>
      </c>
      <c r="AH664" s="97">
        <v>45</v>
      </c>
      <c r="AI664" s="97">
        <v>658</v>
      </c>
    </row>
    <row r="665" spans="1:35" ht="15" customHeight="1">
      <c r="A665" s="97" t="s">
        <v>1898</v>
      </c>
      <c r="B665" s="97" t="s">
        <v>1898</v>
      </c>
      <c r="C665" s="97" t="s">
        <v>1899</v>
      </c>
      <c r="D665" s="97" t="s">
        <v>3198</v>
      </c>
      <c r="E665" s="97" t="s">
        <v>34</v>
      </c>
      <c r="F665" s="97">
        <v>99</v>
      </c>
      <c r="G665" s="97">
        <v>37</v>
      </c>
      <c r="H665" s="97">
        <v>571</v>
      </c>
      <c r="I665" s="97">
        <v>55</v>
      </c>
      <c r="J665" s="97">
        <v>47</v>
      </c>
      <c r="K665" s="97">
        <v>766</v>
      </c>
      <c r="L665" s="97">
        <v>100.5</v>
      </c>
      <c r="M665" s="97">
        <v>14</v>
      </c>
      <c r="N665" s="97">
        <v>247</v>
      </c>
      <c r="O665" s="97">
        <v>48</v>
      </c>
      <c r="P665" s="97">
        <v>50</v>
      </c>
      <c r="Q665" s="97">
        <v>820</v>
      </c>
      <c r="R665" s="97">
        <v>52</v>
      </c>
      <c r="S665" s="97">
        <v>30</v>
      </c>
      <c r="T665" s="97">
        <v>551</v>
      </c>
      <c r="U665" s="97">
        <v>68</v>
      </c>
      <c r="V665" s="97">
        <v>28</v>
      </c>
      <c r="W665" s="97">
        <v>555</v>
      </c>
      <c r="X665" s="97">
        <v>59</v>
      </c>
      <c r="Y665" s="97">
        <v>49</v>
      </c>
      <c r="Z665" s="97">
        <v>799</v>
      </c>
      <c r="AA665" s="97">
        <v>62</v>
      </c>
      <c r="AB665" s="97">
        <v>6</v>
      </c>
      <c r="AC665" s="97">
        <v>146</v>
      </c>
      <c r="AD665" s="97">
        <v>57</v>
      </c>
      <c r="AE665" s="97">
        <v>50</v>
      </c>
      <c r="AF665" s="97">
        <v>798</v>
      </c>
      <c r="AG665" s="97">
        <v>422.5</v>
      </c>
      <c r="AH665" s="97">
        <v>37</v>
      </c>
      <c r="AI665" s="97">
        <v>662</v>
      </c>
    </row>
    <row r="666" spans="1:35" ht="15" customHeight="1">
      <c r="A666" s="97" t="s">
        <v>689</v>
      </c>
      <c r="B666" s="97" t="s">
        <v>689</v>
      </c>
      <c r="C666" s="97" t="s">
        <v>690</v>
      </c>
      <c r="D666" s="97" t="s">
        <v>3198</v>
      </c>
      <c r="E666" s="97" t="s">
        <v>17</v>
      </c>
      <c r="F666" s="97">
        <v>91</v>
      </c>
      <c r="G666" s="97">
        <v>49</v>
      </c>
      <c r="H666" s="97">
        <v>799</v>
      </c>
      <c r="I666" s="97">
        <v>62</v>
      </c>
      <c r="J666" s="97">
        <v>41</v>
      </c>
      <c r="K666" s="97">
        <v>665</v>
      </c>
      <c r="L666" s="97">
        <v>96</v>
      </c>
      <c r="M666" s="97">
        <v>18</v>
      </c>
      <c r="N666" s="97">
        <v>346</v>
      </c>
      <c r="O666" s="97">
        <v>59</v>
      </c>
      <c r="P666" s="97">
        <v>40</v>
      </c>
      <c r="Q666" s="97">
        <v>626</v>
      </c>
      <c r="R666" s="97">
        <v>47</v>
      </c>
      <c r="S666" s="97">
        <v>42</v>
      </c>
      <c r="T666" s="97">
        <v>673</v>
      </c>
      <c r="U666" s="97">
        <v>67</v>
      </c>
      <c r="V666" s="97">
        <v>37</v>
      </c>
      <c r="W666" s="97">
        <v>587</v>
      </c>
      <c r="X666" s="97">
        <v>53</v>
      </c>
      <c r="Y666" s="97">
        <v>54</v>
      </c>
      <c r="Z666" s="97">
        <v>888</v>
      </c>
      <c r="AA666" s="97">
        <v>41</v>
      </c>
      <c r="AB666" s="97">
        <v>56</v>
      </c>
      <c r="AC666" s="97">
        <v>866</v>
      </c>
      <c r="AD666" s="97">
        <v>55</v>
      </c>
      <c r="AE666" s="97">
        <v>50</v>
      </c>
      <c r="AF666" s="97">
        <v>835</v>
      </c>
      <c r="AG666" s="97">
        <v>422</v>
      </c>
      <c r="AH666" s="97">
        <v>46</v>
      </c>
      <c r="AI666" s="97">
        <v>663</v>
      </c>
    </row>
    <row r="667" spans="1:35" ht="15" customHeight="1">
      <c r="A667" s="97" t="s">
        <v>1306</v>
      </c>
      <c r="B667" s="97" t="s">
        <v>1306</v>
      </c>
      <c r="C667" s="97" t="s">
        <v>1700</v>
      </c>
      <c r="D667" s="97" t="s">
        <v>3198</v>
      </c>
      <c r="E667" s="97" t="s">
        <v>54</v>
      </c>
      <c r="F667" s="97">
        <v>108</v>
      </c>
      <c r="G667" s="97">
        <v>17</v>
      </c>
      <c r="H667" s="97">
        <v>212</v>
      </c>
      <c r="I667" s="97">
        <v>63</v>
      </c>
      <c r="J667" s="97">
        <v>36</v>
      </c>
      <c r="K667" s="97">
        <v>642</v>
      </c>
      <c r="L667" s="97">
        <v>84</v>
      </c>
      <c r="M667" s="97">
        <v>29</v>
      </c>
      <c r="N667" s="97">
        <v>622</v>
      </c>
      <c r="O667" s="97">
        <v>48</v>
      </c>
      <c r="P667" s="97">
        <v>48</v>
      </c>
      <c r="Q667" s="97">
        <v>820</v>
      </c>
      <c r="R667" s="97">
        <v>45</v>
      </c>
      <c r="S667" s="97">
        <v>46</v>
      </c>
      <c r="T667" s="97">
        <v>720</v>
      </c>
      <c r="U667" s="97">
        <v>74</v>
      </c>
      <c r="V667" s="97">
        <v>23</v>
      </c>
      <c r="W667" s="97">
        <v>366</v>
      </c>
      <c r="X667" s="97">
        <v>62</v>
      </c>
      <c r="Y667" s="97">
        <v>38</v>
      </c>
      <c r="Z667" s="97">
        <v>729</v>
      </c>
      <c r="AA667" s="97">
        <v>44</v>
      </c>
      <c r="AB667" s="97">
        <v>47</v>
      </c>
      <c r="AC667" s="97">
        <v>804</v>
      </c>
      <c r="AD667" s="97">
        <v>62</v>
      </c>
      <c r="AE667" s="97">
        <v>37</v>
      </c>
      <c r="AF667" s="97">
        <v>672</v>
      </c>
      <c r="AG667" s="97">
        <v>422</v>
      </c>
      <c r="AH667" s="97">
        <v>39</v>
      </c>
      <c r="AI667" s="97">
        <v>663</v>
      </c>
    </row>
    <row r="668" spans="1:35" ht="15" customHeight="1">
      <c r="A668" s="97" t="s">
        <v>2492</v>
      </c>
      <c r="B668" s="97" t="s">
        <v>2492</v>
      </c>
      <c r="C668" s="97" t="s">
        <v>2493</v>
      </c>
      <c r="D668" s="97" t="s">
        <v>3198</v>
      </c>
      <c r="E668" s="97" t="s">
        <v>131</v>
      </c>
      <c r="F668" s="97">
        <v>98</v>
      </c>
      <c r="G668" s="97">
        <v>26</v>
      </c>
      <c r="H668" s="97">
        <v>611</v>
      </c>
      <c r="I668" s="97">
        <v>54</v>
      </c>
      <c r="J668" s="97">
        <v>48</v>
      </c>
      <c r="K668" s="97">
        <v>782</v>
      </c>
      <c r="L668" s="97">
        <v>89.5</v>
      </c>
      <c r="M668" s="97">
        <v>25</v>
      </c>
      <c r="N668" s="97">
        <v>493</v>
      </c>
      <c r="O668" s="97">
        <v>74</v>
      </c>
      <c r="P668" s="97">
        <v>19</v>
      </c>
      <c r="Q668" s="97">
        <v>317</v>
      </c>
      <c r="R668" s="97">
        <v>48</v>
      </c>
      <c r="S668" s="97">
        <v>39</v>
      </c>
      <c r="T668" s="97">
        <v>649</v>
      </c>
      <c r="U668" s="97">
        <v>58</v>
      </c>
      <c r="V668" s="97">
        <v>43</v>
      </c>
      <c r="W668" s="97">
        <v>786</v>
      </c>
      <c r="X668" s="97">
        <v>78</v>
      </c>
      <c r="Y668" s="97">
        <v>4</v>
      </c>
      <c r="Z668" s="97">
        <v>209</v>
      </c>
      <c r="AA668" s="97">
        <v>62</v>
      </c>
      <c r="AB668" s="97">
        <v>15</v>
      </c>
      <c r="AC668" s="97">
        <v>146</v>
      </c>
      <c r="AD668" s="97">
        <v>77</v>
      </c>
      <c r="AE668" s="97">
        <v>6</v>
      </c>
      <c r="AF668" s="97">
        <v>102</v>
      </c>
      <c r="AG668" s="97">
        <v>421.5</v>
      </c>
      <c r="AH668" s="97">
        <v>39</v>
      </c>
      <c r="AI668" s="97">
        <v>665</v>
      </c>
    </row>
    <row r="669" spans="1:35" ht="15" customHeight="1">
      <c r="A669" s="97" t="s">
        <v>2764</v>
      </c>
      <c r="B669" s="97" t="s">
        <v>2764</v>
      </c>
      <c r="C669" s="97" t="s">
        <v>2765</v>
      </c>
      <c r="D669" s="97" t="s">
        <v>3198</v>
      </c>
      <c r="E669" s="97" t="s">
        <v>38</v>
      </c>
      <c r="F669" s="97">
        <v>112</v>
      </c>
      <c r="G669" s="97">
        <v>5</v>
      </c>
      <c r="H669" s="97">
        <v>114</v>
      </c>
      <c r="I669" s="97">
        <v>78</v>
      </c>
      <c r="J669" s="97">
        <v>13</v>
      </c>
      <c r="K669" s="97">
        <v>353</v>
      </c>
      <c r="L669" s="97">
        <v>68</v>
      </c>
      <c r="M669" s="97">
        <v>54</v>
      </c>
      <c r="N669" s="97">
        <v>862</v>
      </c>
      <c r="O669" s="97">
        <v>37</v>
      </c>
      <c r="P669" s="97">
        <v>52</v>
      </c>
      <c r="Q669" s="97">
        <v>901</v>
      </c>
      <c r="R669" s="97">
        <v>55</v>
      </c>
      <c r="S669" s="97">
        <v>17</v>
      </c>
      <c r="T669" s="97">
        <v>470</v>
      </c>
      <c r="U669" s="97">
        <v>71</v>
      </c>
      <c r="V669" s="97">
        <v>23</v>
      </c>
      <c r="W669" s="97">
        <v>462</v>
      </c>
      <c r="X669" s="97">
        <v>71</v>
      </c>
      <c r="Y669" s="97">
        <v>17</v>
      </c>
      <c r="Z669" s="97">
        <v>439</v>
      </c>
      <c r="AA669" s="97">
        <v>41</v>
      </c>
      <c r="AB669" s="97">
        <v>51</v>
      </c>
      <c r="AC669" s="97">
        <v>866</v>
      </c>
      <c r="AD669" s="97">
        <v>57</v>
      </c>
      <c r="AE669" s="97">
        <v>43</v>
      </c>
      <c r="AF669" s="97">
        <v>798</v>
      </c>
      <c r="AG669" s="97">
        <v>421</v>
      </c>
      <c r="AH669" s="97">
        <v>35</v>
      </c>
      <c r="AI669" s="97">
        <v>666</v>
      </c>
    </row>
    <row r="670" spans="1:35" ht="15" customHeight="1">
      <c r="A670" s="97" t="s">
        <v>2758</v>
      </c>
      <c r="B670" s="97" t="s">
        <v>2758</v>
      </c>
      <c r="C670" s="97" t="s">
        <v>2759</v>
      </c>
      <c r="D670" s="97" t="s">
        <v>3198</v>
      </c>
      <c r="E670" s="97" t="s">
        <v>38</v>
      </c>
      <c r="F670" s="97">
        <v>82</v>
      </c>
      <c r="G670" s="97">
        <v>52</v>
      </c>
      <c r="H670" s="97">
        <v>903</v>
      </c>
      <c r="I670" s="97">
        <v>73</v>
      </c>
      <c r="J670" s="97">
        <v>16</v>
      </c>
      <c r="K670" s="97">
        <v>438</v>
      </c>
      <c r="L670" s="97">
        <v>83</v>
      </c>
      <c r="M670" s="97">
        <v>39</v>
      </c>
      <c r="N670" s="97">
        <v>642</v>
      </c>
      <c r="O670" s="97">
        <v>69</v>
      </c>
      <c r="P670" s="97">
        <v>21</v>
      </c>
      <c r="Q670" s="97">
        <v>428</v>
      </c>
      <c r="R670" s="97">
        <v>48</v>
      </c>
      <c r="S670" s="97">
        <v>33</v>
      </c>
      <c r="T670" s="97">
        <v>649</v>
      </c>
      <c r="U670" s="97">
        <v>66</v>
      </c>
      <c r="V670" s="97">
        <v>31</v>
      </c>
      <c r="W670" s="97">
        <v>611</v>
      </c>
      <c r="X670" s="97">
        <v>56</v>
      </c>
      <c r="Y670" s="97">
        <v>51</v>
      </c>
      <c r="Z670" s="97">
        <v>849</v>
      </c>
      <c r="AA670" s="97">
        <v>32</v>
      </c>
      <c r="AB670" s="97">
        <v>55</v>
      </c>
      <c r="AC670" s="97">
        <v>930</v>
      </c>
      <c r="AD670" s="97">
        <v>50</v>
      </c>
      <c r="AE670" s="97">
        <v>54</v>
      </c>
      <c r="AF670" s="97">
        <v>896</v>
      </c>
      <c r="AG670" s="97">
        <v>421</v>
      </c>
      <c r="AH670" s="97">
        <v>35</v>
      </c>
      <c r="AI670" s="97">
        <v>666</v>
      </c>
    </row>
    <row r="671" spans="1:35" ht="15" customHeight="1">
      <c r="A671" s="97" t="s">
        <v>2755</v>
      </c>
      <c r="B671" s="97" t="s">
        <v>2755</v>
      </c>
      <c r="C671" s="97" t="s">
        <v>2756</v>
      </c>
      <c r="D671" s="97" t="s">
        <v>3198</v>
      </c>
      <c r="E671" s="97" t="s">
        <v>38</v>
      </c>
      <c r="F671" s="97">
        <v>108</v>
      </c>
      <c r="G671" s="97">
        <v>10</v>
      </c>
      <c r="H671" s="97">
        <v>212</v>
      </c>
      <c r="I671" s="97">
        <v>61</v>
      </c>
      <c r="J671" s="97">
        <v>37</v>
      </c>
      <c r="K671" s="97">
        <v>678</v>
      </c>
      <c r="L671" s="97">
        <v>68.5</v>
      </c>
      <c r="M671" s="97">
        <v>53</v>
      </c>
      <c r="N671" s="97">
        <v>857</v>
      </c>
      <c r="O671" s="97">
        <v>59</v>
      </c>
      <c r="P671" s="97">
        <v>36</v>
      </c>
      <c r="Q671" s="97">
        <v>626</v>
      </c>
      <c r="R671" s="97">
        <v>47</v>
      </c>
      <c r="S671" s="97">
        <v>34</v>
      </c>
      <c r="T671" s="97">
        <v>673</v>
      </c>
      <c r="U671" s="97">
        <v>77</v>
      </c>
      <c r="V671" s="97">
        <v>13</v>
      </c>
      <c r="W671" s="97">
        <v>275</v>
      </c>
      <c r="X671" s="97">
        <v>75</v>
      </c>
      <c r="Y671" s="97">
        <v>5</v>
      </c>
      <c r="Z671" s="97">
        <v>289</v>
      </c>
      <c r="AA671" s="97">
        <v>57</v>
      </c>
      <c r="AB671" s="97">
        <v>15</v>
      </c>
      <c r="AC671" s="97">
        <v>306</v>
      </c>
      <c r="AD671" s="97">
        <v>81</v>
      </c>
      <c r="AE671" s="97">
        <v>3</v>
      </c>
      <c r="AF671" s="97">
        <v>42</v>
      </c>
      <c r="AG671" s="97">
        <v>420.5</v>
      </c>
      <c r="AH671" s="97">
        <v>37</v>
      </c>
      <c r="AI671" s="97">
        <v>668</v>
      </c>
    </row>
    <row r="672" spans="1:35" ht="15" customHeight="1">
      <c r="A672" s="97" t="s">
        <v>2004</v>
      </c>
      <c r="B672" s="97" t="s">
        <v>2004</v>
      </c>
      <c r="C672" s="97" t="s">
        <v>2005</v>
      </c>
      <c r="D672" s="97" t="s">
        <v>3198</v>
      </c>
      <c r="E672" s="97" t="s">
        <v>109</v>
      </c>
      <c r="F672" s="97">
        <v>96</v>
      </c>
      <c r="G672" s="97">
        <v>42</v>
      </c>
      <c r="H672" s="97">
        <v>676</v>
      </c>
      <c r="I672" s="97">
        <v>70</v>
      </c>
      <c r="J672" s="97">
        <v>24</v>
      </c>
      <c r="K672" s="97">
        <v>505</v>
      </c>
      <c r="L672" s="97">
        <v>82.5</v>
      </c>
      <c r="M672" s="97">
        <v>43</v>
      </c>
      <c r="N672" s="97">
        <v>657</v>
      </c>
      <c r="O672" s="97">
        <v>60</v>
      </c>
      <c r="P672" s="97">
        <v>33</v>
      </c>
      <c r="Q672" s="97">
        <v>607</v>
      </c>
      <c r="R672" s="97">
        <v>56</v>
      </c>
      <c r="S672" s="97">
        <v>24</v>
      </c>
      <c r="T672" s="97">
        <v>433</v>
      </c>
      <c r="U672" s="97">
        <v>56</v>
      </c>
      <c r="V672" s="97">
        <v>49</v>
      </c>
      <c r="W672" s="97">
        <v>816</v>
      </c>
      <c r="X672" s="97">
        <v>69</v>
      </c>
      <c r="Y672" s="97">
        <v>27</v>
      </c>
      <c r="Z672" s="97">
        <v>504</v>
      </c>
      <c r="AA672" s="97">
        <v>47</v>
      </c>
      <c r="AB672" s="97">
        <v>38</v>
      </c>
      <c r="AC672" s="97">
        <v>719</v>
      </c>
      <c r="AD672" s="97">
        <v>58</v>
      </c>
      <c r="AE672" s="97">
        <v>40</v>
      </c>
      <c r="AF672" s="97">
        <v>770</v>
      </c>
      <c r="AG672" s="97">
        <v>420.5</v>
      </c>
      <c r="AH672" s="97">
        <v>37</v>
      </c>
      <c r="AI672" s="97">
        <v>668</v>
      </c>
    </row>
    <row r="673" spans="1:35" ht="15" customHeight="1">
      <c r="A673" s="97" t="s">
        <v>1976</v>
      </c>
      <c r="B673" s="97" t="s">
        <v>1976</v>
      </c>
      <c r="C673" s="97" t="s">
        <v>1977</v>
      </c>
      <c r="D673" s="97" t="s">
        <v>3198</v>
      </c>
      <c r="E673" s="97" t="s">
        <v>109</v>
      </c>
      <c r="F673" s="97">
        <v>96</v>
      </c>
      <c r="G673" s="97">
        <v>42</v>
      </c>
      <c r="H673" s="97">
        <v>676</v>
      </c>
      <c r="I673" s="97">
        <v>54</v>
      </c>
      <c r="J673" s="97">
        <v>47</v>
      </c>
      <c r="K673" s="97">
        <v>782</v>
      </c>
      <c r="L673" s="97">
        <v>104</v>
      </c>
      <c r="M673" s="97">
        <v>11</v>
      </c>
      <c r="N673" s="97">
        <v>188</v>
      </c>
      <c r="O673" s="97">
        <v>57</v>
      </c>
      <c r="P673" s="97">
        <v>37</v>
      </c>
      <c r="Q673" s="97">
        <v>665</v>
      </c>
      <c r="R673" s="97">
        <v>48</v>
      </c>
      <c r="S673" s="97">
        <v>38</v>
      </c>
      <c r="T673" s="97">
        <v>649</v>
      </c>
      <c r="U673" s="97">
        <v>61</v>
      </c>
      <c r="V673" s="97">
        <v>45</v>
      </c>
      <c r="W673" s="97">
        <v>734</v>
      </c>
      <c r="X673" s="97">
        <v>69</v>
      </c>
      <c r="Y673" s="97">
        <v>27</v>
      </c>
      <c r="Z673" s="97">
        <v>504</v>
      </c>
      <c r="AA673" s="97">
        <v>55</v>
      </c>
      <c r="AB673" s="97">
        <v>16</v>
      </c>
      <c r="AC673" s="97">
        <v>392</v>
      </c>
      <c r="AD673" s="97">
        <v>71</v>
      </c>
      <c r="AE673" s="97">
        <v>14</v>
      </c>
      <c r="AF673" s="97">
        <v>290</v>
      </c>
      <c r="AG673" s="97">
        <v>420</v>
      </c>
      <c r="AH673" s="97">
        <v>38</v>
      </c>
      <c r="AI673" s="97">
        <v>670</v>
      </c>
    </row>
    <row r="674" spans="1:35" ht="15" customHeight="1">
      <c r="A674" s="97" t="s">
        <v>2823</v>
      </c>
      <c r="B674" s="97" t="s">
        <v>2823</v>
      </c>
      <c r="C674" s="97" t="s">
        <v>2824</v>
      </c>
      <c r="D674" s="97" t="s">
        <v>3198</v>
      </c>
      <c r="E674" s="97" t="s">
        <v>38</v>
      </c>
      <c r="F674" s="97">
        <v>90</v>
      </c>
      <c r="G674" s="97">
        <v>44</v>
      </c>
      <c r="H674" s="97">
        <v>815</v>
      </c>
      <c r="I674" s="97">
        <v>70</v>
      </c>
      <c r="J674" s="97">
        <v>22</v>
      </c>
      <c r="K674" s="97">
        <v>505</v>
      </c>
      <c r="L674" s="97">
        <v>92.5</v>
      </c>
      <c r="M674" s="97">
        <v>25</v>
      </c>
      <c r="N674" s="97">
        <v>414</v>
      </c>
      <c r="O674" s="97">
        <v>58</v>
      </c>
      <c r="P674" s="97">
        <v>39</v>
      </c>
      <c r="Q674" s="97">
        <v>649</v>
      </c>
      <c r="R674" s="97">
        <v>44</v>
      </c>
      <c r="S674" s="97">
        <v>43</v>
      </c>
      <c r="T674" s="97">
        <v>736</v>
      </c>
      <c r="U674" s="97">
        <v>65</v>
      </c>
      <c r="V674" s="97">
        <v>34</v>
      </c>
      <c r="W674" s="97">
        <v>643</v>
      </c>
      <c r="X674" s="97">
        <v>56</v>
      </c>
      <c r="Y674" s="97">
        <v>51</v>
      </c>
      <c r="Z674" s="97">
        <v>849</v>
      </c>
      <c r="AA674" s="97">
        <v>39</v>
      </c>
      <c r="AB674" s="97">
        <v>52</v>
      </c>
      <c r="AC674" s="97">
        <v>895</v>
      </c>
      <c r="AD674" s="97">
        <v>70</v>
      </c>
      <c r="AE674" s="97">
        <v>17</v>
      </c>
      <c r="AF674" s="97">
        <v>327</v>
      </c>
      <c r="AG674" s="97">
        <v>419.5</v>
      </c>
      <c r="AH674" s="97">
        <v>38</v>
      </c>
      <c r="AI674" s="97">
        <v>671</v>
      </c>
    </row>
    <row r="675" spans="1:35" ht="15" customHeight="1">
      <c r="A675" s="97" t="s">
        <v>1167</v>
      </c>
      <c r="B675" s="97" t="s">
        <v>1167</v>
      </c>
      <c r="C675" s="97" t="s">
        <v>1168</v>
      </c>
      <c r="D675" s="97" t="s">
        <v>3198</v>
      </c>
      <c r="E675" s="97" t="s">
        <v>68</v>
      </c>
      <c r="F675" s="97">
        <v>106</v>
      </c>
      <c r="G675" s="97">
        <v>18</v>
      </c>
      <c r="H675" s="97">
        <v>287</v>
      </c>
      <c r="I675" s="97">
        <v>48</v>
      </c>
      <c r="J675" s="97">
        <v>51</v>
      </c>
      <c r="K675" s="97">
        <v>848</v>
      </c>
      <c r="L675" s="97">
        <v>78</v>
      </c>
      <c r="M675" s="97">
        <v>38</v>
      </c>
      <c r="N675" s="97">
        <v>722</v>
      </c>
      <c r="O675" s="97">
        <v>66</v>
      </c>
      <c r="P675" s="97">
        <v>23</v>
      </c>
      <c r="Q675" s="97">
        <v>484</v>
      </c>
      <c r="R675" s="97">
        <v>47</v>
      </c>
      <c r="S675" s="97">
        <v>41</v>
      </c>
      <c r="T675" s="97">
        <v>673</v>
      </c>
      <c r="U675" s="97">
        <v>74</v>
      </c>
      <c r="V675" s="97">
        <v>19</v>
      </c>
      <c r="W675" s="97">
        <v>366</v>
      </c>
      <c r="X675" s="97">
        <v>64</v>
      </c>
      <c r="Y675" s="97">
        <v>39</v>
      </c>
      <c r="Z675" s="97">
        <v>680</v>
      </c>
      <c r="AA675" s="97">
        <v>48</v>
      </c>
      <c r="AB675" s="97">
        <v>36</v>
      </c>
      <c r="AC675" s="97">
        <v>671</v>
      </c>
      <c r="AD675" s="97">
        <v>68</v>
      </c>
      <c r="AE675" s="97">
        <v>25</v>
      </c>
      <c r="AF675" s="97">
        <v>412</v>
      </c>
      <c r="AG675" s="97">
        <v>419</v>
      </c>
      <c r="AH675" s="97">
        <v>38</v>
      </c>
      <c r="AI675" s="97">
        <v>672</v>
      </c>
    </row>
    <row r="676" spans="1:35" ht="15" customHeight="1">
      <c r="A676" s="97" t="s">
        <v>1228</v>
      </c>
      <c r="B676" s="97" t="s">
        <v>1228</v>
      </c>
      <c r="C676" s="97" t="s">
        <v>1229</v>
      </c>
      <c r="D676" s="97" t="s">
        <v>3198</v>
      </c>
      <c r="E676" s="97" t="s">
        <v>54</v>
      </c>
      <c r="F676" s="97">
        <v>120</v>
      </c>
      <c r="G676" s="97">
        <v>3</v>
      </c>
      <c r="H676" s="97">
        <v>21</v>
      </c>
      <c r="I676" s="97">
        <v>45</v>
      </c>
      <c r="J676" s="97">
        <v>51</v>
      </c>
      <c r="K676" s="97">
        <v>871</v>
      </c>
      <c r="L676" s="97">
        <v>100</v>
      </c>
      <c r="M676" s="97">
        <v>10</v>
      </c>
      <c r="N676" s="97">
        <v>258</v>
      </c>
      <c r="O676" s="97">
        <v>50</v>
      </c>
      <c r="P676" s="97">
        <v>43</v>
      </c>
      <c r="Q676" s="97">
        <v>788</v>
      </c>
      <c r="R676" s="97">
        <v>39</v>
      </c>
      <c r="S676" s="97">
        <v>51</v>
      </c>
      <c r="T676" s="97">
        <v>825</v>
      </c>
      <c r="U676" s="97">
        <v>65</v>
      </c>
      <c r="V676" s="97">
        <v>41</v>
      </c>
      <c r="W676" s="97">
        <v>643</v>
      </c>
      <c r="X676" s="97">
        <v>64</v>
      </c>
      <c r="Y676" s="97">
        <v>35</v>
      </c>
      <c r="Z676" s="97">
        <v>680</v>
      </c>
      <c r="AA676" s="97">
        <v>47</v>
      </c>
      <c r="AB676" s="97">
        <v>37</v>
      </c>
      <c r="AC676" s="97">
        <v>719</v>
      </c>
      <c r="AD676" s="97">
        <v>62</v>
      </c>
      <c r="AE676" s="97">
        <v>37</v>
      </c>
      <c r="AF676" s="97">
        <v>672</v>
      </c>
      <c r="AG676" s="97">
        <v>419</v>
      </c>
      <c r="AH676" s="97">
        <v>40</v>
      </c>
      <c r="AI676" s="97">
        <v>672</v>
      </c>
    </row>
    <row r="677" spans="1:35" ht="15" customHeight="1">
      <c r="A677" s="97" t="s">
        <v>772</v>
      </c>
      <c r="B677" s="97" t="s">
        <v>772</v>
      </c>
      <c r="C677" s="97" t="s">
        <v>773</v>
      </c>
      <c r="D677" s="97" t="s">
        <v>3198</v>
      </c>
      <c r="E677" s="97" t="s">
        <v>117</v>
      </c>
      <c r="F677" s="97">
        <v>101</v>
      </c>
      <c r="G677" s="97">
        <v>26</v>
      </c>
      <c r="H677" s="97">
        <v>481</v>
      </c>
      <c r="I677" s="97">
        <v>65</v>
      </c>
      <c r="J677" s="97">
        <v>38</v>
      </c>
      <c r="K677" s="97">
        <v>604</v>
      </c>
      <c r="L677" s="97">
        <v>64</v>
      </c>
      <c r="M677" s="97">
        <v>49</v>
      </c>
      <c r="N677" s="97">
        <v>886</v>
      </c>
      <c r="O677" s="97">
        <v>73</v>
      </c>
      <c r="P677" s="97">
        <v>17</v>
      </c>
      <c r="Q677" s="97">
        <v>339</v>
      </c>
      <c r="R677" s="97">
        <v>42</v>
      </c>
      <c r="S677" s="97">
        <v>48</v>
      </c>
      <c r="T677" s="97">
        <v>774</v>
      </c>
      <c r="U677" s="97">
        <v>74</v>
      </c>
      <c r="V677" s="97">
        <v>14</v>
      </c>
      <c r="W677" s="97">
        <v>366</v>
      </c>
      <c r="X677" s="97">
        <v>76</v>
      </c>
      <c r="Y677" s="97">
        <v>19</v>
      </c>
      <c r="Z677" s="97">
        <v>260</v>
      </c>
      <c r="AA677" s="97">
        <v>58</v>
      </c>
      <c r="AB677" s="97">
        <v>14</v>
      </c>
      <c r="AC677" s="97">
        <v>278</v>
      </c>
      <c r="AD677" s="97">
        <v>77</v>
      </c>
      <c r="AE677" s="97">
        <v>9</v>
      </c>
      <c r="AF677" s="97">
        <v>102</v>
      </c>
      <c r="AG677" s="97">
        <v>419</v>
      </c>
      <c r="AH677" s="97">
        <v>40</v>
      </c>
      <c r="AI677" s="97">
        <v>672</v>
      </c>
    </row>
    <row r="678" spans="1:35" ht="15" customHeight="1">
      <c r="A678" s="97" t="s">
        <v>975</v>
      </c>
      <c r="B678" s="97" t="s">
        <v>975</v>
      </c>
      <c r="C678" s="97" t="s">
        <v>976</v>
      </c>
      <c r="D678" s="97" t="s">
        <v>3198</v>
      </c>
      <c r="E678" s="97" t="s">
        <v>60</v>
      </c>
      <c r="F678" s="97">
        <v>117</v>
      </c>
      <c r="G678" s="97">
        <v>4</v>
      </c>
      <c r="H678" s="97">
        <v>40</v>
      </c>
      <c r="I678" s="97">
        <v>43</v>
      </c>
      <c r="J678" s="97">
        <v>55</v>
      </c>
      <c r="K678" s="97">
        <v>881</v>
      </c>
      <c r="L678" s="97">
        <v>90</v>
      </c>
      <c r="M678" s="97">
        <v>28</v>
      </c>
      <c r="N678" s="97">
        <v>481</v>
      </c>
      <c r="O678" s="97">
        <v>50</v>
      </c>
      <c r="P678" s="97">
        <v>46</v>
      </c>
      <c r="Q678" s="97">
        <v>788</v>
      </c>
      <c r="R678" s="97">
        <v>58</v>
      </c>
      <c r="S678" s="97">
        <v>24</v>
      </c>
      <c r="T678" s="97">
        <v>377</v>
      </c>
      <c r="U678" s="97">
        <v>61</v>
      </c>
      <c r="V678" s="97">
        <v>41</v>
      </c>
      <c r="W678" s="97">
        <v>734</v>
      </c>
      <c r="X678" s="97">
        <v>71</v>
      </c>
      <c r="Y678" s="97">
        <v>27</v>
      </c>
      <c r="Z678" s="97">
        <v>439</v>
      </c>
      <c r="AA678" s="97">
        <v>48</v>
      </c>
      <c r="AB678" s="97">
        <v>36</v>
      </c>
      <c r="AC678" s="97">
        <v>671</v>
      </c>
      <c r="AD678" s="97">
        <v>63</v>
      </c>
      <c r="AE678" s="97">
        <v>35</v>
      </c>
      <c r="AF678" s="97">
        <v>633</v>
      </c>
      <c r="AG678" s="97">
        <v>419</v>
      </c>
      <c r="AH678" s="97">
        <v>37</v>
      </c>
      <c r="AI678" s="97">
        <v>672</v>
      </c>
    </row>
    <row r="679" spans="1:35" ht="15" customHeight="1">
      <c r="A679" s="97" t="s">
        <v>637</v>
      </c>
      <c r="B679" s="97" t="s">
        <v>637</v>
      </c>
      <c r="C679" s="97" t="s">
        <v>638</v>
      </c>
      <c r="D679" s="97" t="s">
        <v>3198</v>
      </c>
      <c r="E679" s="97" t="s">
        <v>17</v>
      </c>
      <c r="F679" s="97">
        <v>110</v>
      </c>
      <c r="G679" s="97">
        <v>14</v>
      </c>
      <c r="H679" s="97">
        <v>159</v>
      </c>
      <c r="I679" s="97">
        <v>55</v>
      </c>
      <c r="J679" s="97">
        <v>47</v>
      </c>
      <c r="K679" s="97">
        <v>766</v>
      </c>
      <c r="L679" s="97">
        <v>85.5</v>
      </c>
      <c r="M679" s="97">
        <v>36</v>
      </c>
      <c r="N679" s="97">
        <v>585</v>
      </c>
      <c r="O679" s="97">
        <v>55</v>
      </c>
      <c r="P679" s="97">
        <v>44</v>
      </c>
      <c r="Q679" s="97">
        <v>694</v>
      </c>
      <c r="R679" s="97">
        <v>50</v>
      </c>
      <c r="S679" s="97">
        <v>37</v>
      </c>
      <c r="T679" s="97">
        <v>599</v>
      </c>
      <c r="U679" s="97">
        <v>63</v>
      </c>
      <c r="V679" s="97">
        <v>44</v>
      </c>
      <c r="W679" s="97">
        <v>692</v>
      </c>
      <c r="X679" s="97">
        <v>78</v>
      </c>
      <c r="Y679" s="97">
        <v>17</v>
      </c>
      <c r="Z679" s="97">
        <v>209</v>
      </c>
      <c r="AA679" s="97">
        <v>46</v>
      </c>
      <c r="AB679" s="97">
        <v>50</v>
      </c>
      <c r="AC679" s="97">
        <v>755</v>
      </c>
      <c r="AD679" s="97">
        <v>65</v>
      </c>
      <c r="AE679" s="97">
        <v>42</v>
      </c>
      <c r="AF679" s="97">
        <v>548</v>
      </c>
      <c r="AG679" s="97">
        <v>418.5</v>
      </c>
      <c r="AH679" s="97">
        <v>47</v>
      </c>
      <c r="AI679" s="97">
        <v>676</v>
      </c>
    </row>
    <row r="680" spans="1:35" ht="15" customHeight="1">
      <c r="A680" s="97" t="s">
        <v>2308</v>
      </c>
      <c r="B680" s="97" t="s">
        <v>2308</v>
      </c>
      <c r="C680" s="97" t="s">
        <v>2309</v>
      </c>
      <c r="D680" s="97" t="s">
        <v>3198</v>
      </c>
      <c r="E680" s="97" t="s">
        <v>7</v>
      </c>
      <c r="F680" s="97">
        <v>96</v>
      </c>
      <c r="G680" s="97">
        <v>36</v>
      </c>
      <c r="H680" s="97">
        <v>676</v>
      </c>
      <c r="I680" s="97">
        <v>51</v>
      </c>
      <c r="J680" s="97">
        <v>49</v>
      </c>
      <c r="K680" s="97">
        <v>817</v>
      </c>
      <c r="L680" s="97">
        <v>92.5</v>
      </c>
      <c r="M680" s="97">
        <v>18</v>
      </c>
      <c r="N680" s="97">
        <v>414</v>
      </c>
      <c r="O680" s="97">
        <v>52</v>
      </c>
      <c r="P680" s="97">
        <v>46</v>
      </c>
      <c r="Q680" s="97">
        <v>757</v>
      </c>
      <c r="R680" s="97">
        <v>61</v>
      </c>
      <c r="S680" s="97">
        <v>12</v>
      </c>
      <c r="T680" s="97">
        <v>300</v>
      </c>
      <c r="U680" s="97">
        <v>66</v>
      </c>
      <c r="V680" s="97">
        <v>36</v>
      </c>
      <c r="W680" s="97">
        <v>611</v>
      </c>
      <c r="X680" s="97">
        <v>53</v>
      </c>
      <c r="Y680" s="97">
        <v>51</v>
      </c>
      <c r="Z680" s="97">
        <v>888</v>
      </c>
      <c r="AA680" s="97">
        <v>59</v>
      </c>
      <c r="AB680" s="97">
        <v>12</v>
      </c>
      <c r="AC680" s="97">
        <v>233</v>
      </c>
      <c r="AD680" s="97">
        <v>63</v>
      </c>
      <c r="AE680" s="97">
        <v>36</v>
      </c>
      <c r="AF680" s="97">
        <v>633</v>
      </c>
      <c r="AG680" s="97">
        <v>418.5</v>
      </c>
      <c r="AH680" s="97">
        <v>37</v>
      </c>
      <c r="AI680" s="97">
        <v>676</v>
      </c>
    </row>
    <row r="681" spans="1:35" ht="15" customHeight="1">
      <c r="A681" s="97" t="s">
        <v>235</v>
      </c>
      <c r="B681" s="97" t="s">
        <v>235</v>
      </c>
      <c r="C681" s="97" t="s">
        <v>236</v>
      </c>
      <c r="D681" s="97" t="s">
        <v>3198</v>
      </c>
      <c r="E681" s="97" t="s">
        <v>28</v>
      </c>
      <c r="F681" s="97">
        <v>97</v>
      </c>
      <c r="G681" s="97">
        <v>40</v>
      </c>
      <c r="H681" s="97">
        <v>645</v>
      </c>
      <c r="I681" s="97">
        <v>57</v>
      </c>
      <c r="J681" s="97">
        <v>40</v>
      </c>
      <c r="K681" s="97">
        <v>744</v>
      </c>
      <c r="L681" s="97">
        <v>78</v>
      </c>
      <c r="M681" s="97">
        <v>40</v>
      </c>
      <c r="N681" s="97">
        <v>722</v>
      </c>
      <c r="O681" s="97">
        <v>77</v>
      </c>
      <c r="P681" s="97">
        <v>14</v>
      </c>
      <c r="Q681" s="97">
        <v>274</v>
      </c>
      <c r="R681" s="97">
        <v>49</v>
      </c>
      <c r="S681" s="97">
        <v>32</v>
      </c>
      <c r="T681" s="97">
        <v>624</v>
      </c>
      <c r="U681" s="97">
        <v>60</v>
      </c>
      <c r="V681" s="97">
        <v>41</v>
      </c>
      <c r="W681" s="97">
        <v>748</v>
      </c>
      <c r="X681" s="97">
        <v>65</v>
      </c>
      <c r="Y681" s="97">
        <v>38</v>
      </c>
      <c r="Z681" s="97">
        <v>651</v>
      </c>
      <c r="AA681" s="97">
        <v>61</v>
      </c>
      <c r="AB681" s="97">
        <v>14</v>
      </c>
      <c r="AC681" s="97">
        <v>172</v>
      </c>
      <c r="AD681" s="97">
        <v>66</v>
      </c>
      <c r="AE681" s="97">
        <v>31</v>
      </c>
      <c r="AF681" s="97">
        <v>511</v>
      </c>
      <c r="AG681" s="97">
        <v>418</v>
      </c>
      <c r="AH681" s="97">
        <v>35</v>
      </c>
      <c r="AI681" s="97">
        <v>678</v>
      </c>
    </row>
    <row r="682" spans="1:35" ht="15" customHeight="1">
      <c r="A682" s="97" t="s">
        <v>262</v>
      </c>
      <c r="B682" s="97" t="s">
        <v>262</v>
      </c>
      <c r="C682" s="97" t="s">
        <v>263</v>
      </c>
      <c r="D682" s="97" t="s">
        <v>3198</v>
      </c>
      <c r="E682" s="97" t="s">
        <v>28</v>
      </c>
      <c r="F682" s="97">
        <v>100</v>
      </c>
      <c r="G682" s="97">
        <v>32</v>
      </c>
      <c r="H682" s="97">
        <v>528</v>
      </c>
      <c r="I682" s="97">
        <v>58</v>
      </c>
      <c r="J682" s="97">
        <v>39</v>
      </c>
      <c r="K682" s="97">
        <v>734</v>
      </c>
      <c r="L682" s="97">
        <v>96.5</v>
      </c>
      <c r="M682" s="97">
        <v>20</v>
      </c>
      <c r="N682" s="97">
        <v>337</v>
      </c>
      <c r="O682" s="97">
        <v>49</v>
      </c>
      <c r="P682" s="97">
        <v>46</v>
      </c>
      <c r="Q682" s="97">
        <v>803</v>
      </c>
      <c r="R682" s="97">
        <v>46</v>
      </c>
      <c r="S682" s="97">
        <v>39</v>
      </c>
      <c r="T682" s="97">
        <v>702</v>
      </c>
      <c r="U682" s="97">
        <v>68</v>
      </c>
      <c r="V682" s="97">
        <v>29</v>
      </c>
      <c r="W682" s="97">
        <v>555</v>
      </c>
      <c r="X682" s="97">
        <v>73</v>
      </c>
      <c r="Y682" s="97">
        <v>19</v>
      </c>
      <c r="Z682" s="97">
        <v>359</v>
      </c>
      <c r="AA682" s="97">
        <v>59</v>
      </c>
      <c r="AB682" s="97">
        <v>17</v>
      </c>
      <c r="AC682" s="97">
        <v>233</v>
      </c>
      <c r="AD682" s="97">
        <v>73</v>
      </c>
      <c r="AE682" s="97">
        <v>10</v>
      </c>
      <c r="AF682" s="97">
        <v>216</v>
      </c>
      <c r="AG682" s="97">
        <v>417.5</v>
      </c>
      <c r="AH682" s="97">
        <v>36</v>
      </c>
      <c r="AI682" s="97">
        <v>679</v>
      </c>
    </row>
    <row r="683" spans="1:35" ht="15" customHeight="1">
      <c r="A683" s="97" t="s">
        <v>336</v>
      </c>
      <c r="B683" s="97" t="s">
        <v>336</v>
      </c>
      <c r="C683" s="97" t="s">
        <v>337</v>
      </c>
      <c r="D683" s="97" t="s">
        <v>3198</v>
      </c>
      <c r="E683" s="97" t="s">
        <v>28</v>
      </c>
      <c r="F683" s="97">
        <v>111</v>
      </c>
      <c r="G683" s="97">
        <v>7</v>
      </c>
      <c r="H683" s="97">
        <v>136</v>
      </c>
      <c r="I683" s="97">
        <v>56</v>
      </c>
      <c r="J683" s="97">
        <v>43</v>
      </c>
      <c r="K683" s="97">
        <v>755</v>
      </c>
      <c r="L683" s="97">
        <v>89.5</v>
      </c>
      <c r="M683" s="97">
        <v>30</v>
      </c>
      <c r="N683" s="97">
        <v>493</v>
      </c>
      <c r="O683" s="97">
        <v>53</v>
      </c>
      <c r="P683" s="97">
        <v>43</v>
      </c>
      <c r="Q683" s="97">
        <v>739</v>
      </c>
      <c r="R683" s="97">
        <v>41</v>
      </c>
      <c r="S683" s="97">
        <v>46</v>
      </c>
      <c r="T683" s="97">
        <v>795</v>
      </c>
      <c r="U683" s="97">
        <v>67</v>
      </c>
      <c r="V683" s="97">
        <v>33</v>
      </c>
      <c r="W683" s="97">
        <v>587</v>
      </c>
      <c r="X683" s="97">
        <v>64</v>
      </c>
      <c r="Y683" s="97">
        <v>41</v>
      </c>
      <c r="Z683" s="97">
        <v>680</v>
      </c>
      <c r="AA683" s="97">
        <v>54</v>
      </c>
      <c r="AB683" s="97">
        <v>32</v>
      </c>
      <c r="AC683" s="97">
        <v>428</v>
      </c>
      <c r="AD683" s="97">
        <v>66</v>
      </c>
      <c r="AE683" s="97">
        <v>31</v>
      </c>
      <c r="AF683" s="97">
        <v>511</v>
      </c>
      <c r="AG683" s="97">
        <v>417.5</v>
      </c>
      <c r="AH683" s="97">
        <v>36</v>
      </c>
      <c r="AI683" s="97">
        <v>679</v>
      </c>
    </row>
    <row r="684" spans="1:35" ht="15" customHeight="1">
      <c r="A684" s="97" t="s">
        <v>1210</v>
      </c>
      <c r="B684" s="97" t="s">
        <v>1210</v>
      </c>
      <c r="C684" s="97" t="s">
        <v>1211</v>
      </c>
      <c r="D684" s="97" t="s">
        <v>3198</v>
      </c>
      <c r="E684" s="97" t="s">
        <v>54</v>
      </c>
      <c r="F684" s="97">
        <v>92</v>
      </c>
      <c r="G684" s="97">
        <v>47</v>
      </c>
      <c r="H684" s="97">
        <v>779</v>
      </c>
      <c r="I684" s="97">
        <v>74</v>
      </c>
      <c r="J684" s="97">
        <v>22</v>
      </c>
      <c r="K684" s="97">
        <v>424</v>
      </c>
      <c r="L684" s="97">
        <v>79.5</v>
      </c>
      <c r="M684" s="97">
        <v>35</v>
      </c>
      <c r="N684" s="97">
        <v>698</v>
      </c>
      <c r="O684" s="97">
        <v>60</v>
      </c>
      <c r="P684" s="97">
        <v>30</v>
      </c>
      <c r="Q684" s="97">
        <v>607</v>
      </c>
      <c r="R684" s="97">
        <v>57</v>
      </c>
      <c r="S684" s="97">
        <v>27</v>
      </c>
      <c r="T684" s="97">
        <v>409</v>
      </c>
      <c r="U684" s="97">
        <v>55</v>
      </c>
      <c r="V684" s="97">
        <v>52</v>
      </c>
      <c r="W684" s="97">
        <v>831</v>
      </c>
      <c r="X684" s="97">
        <v>50</v>
      </c>
      <c r="Y684" s="97">
        <v>55</v>
      </c>
      <c r="Z684" s="97">
        <v>911</v>
      </c>
      <c r="AA684" s="97">
        <v>41</v>
      </c>
      <c r="AB684" s="97">
        <v>51</v>
      </c>
      <c r="AC684" s="97">
        <v>866</v>
      </c>
      <c r="AD684" s="97">
        <v>58</v>
      </c>
      <c r="AE684" s="97">
        <v>45</v>
      </c>
      <c r="AF684" s="97">
        <v>770</v>
      </c>
      <c r="AG684" s="97">
        <v>417.5</v>
      </c>
      <c r="AH684" s="97">
        <v>41</v>
      </c>
      <c r="AI684" s="97">
        <v>679</v>
      </c>
    </row>
    <row r="685" spans="1:35" ht="15" customHeight="1">
      <c r="A685" s="97" t="s">
        <v>1875</v>
      </c>
      <c r="B685" s="97" t="s">
        <v>1875</v>
      </c>
      <c r="C685" s="97" t="s">
        <v>1876</v>
      </c>
      <c r="D685" s="97" t="s">
        <v>3198</v>
      </c>
      <c r="E685" s="97" t="s">
        <v>34</v>
      </c>
      <c r="F685" s="97">
        <v>110</v>
      </c>
      <c r="G685" s="97">
        <v>12</v>
      </c>
      <c r="H685" s="97">
        <v>159</v>
      </c>
      <c r="I685" s="97">
        <v>62</v>
      </c>
      <c r="J685" s="97">
        <v>42</v>
      </c>
      <c r="K685" s="97">
        <v>665</v>
      </c>
      <c r="L685" s="97">
        <v>88.5</v>
      </c>
      <c r="M685" s="97">
        <v>31</v>
      </c>
      <c r="N685" s="97">
        <v>519</v>
      </c>
      <c r="O685" s="97">
        <v>62</v>
      </c>
      <c r="P685" s="97">
        <v>31</v>
      </c>
      <c r="Q685" s="97">
        <v>564</v>
      </c>
      <c r="R685" s="97">
        <v>43</v>
      </c>
      <c r="S685" s="97">
        <v>44</v>
      </c>
      <c r="T685" s="97">
        <v>757</v>
      </c>
      <c r="U685" s="97">
        <v>52</v>
      </c>
      <c r="V685" s="97">
        <v>50</v>
      </c>
      <c r="W685" s="97">
        <v>866</v>
      </c>
      <c r="X685" s="97">
        <v>80</v>
      </c>
      <c r="Y685" s="97">
        <v>13</v>
      </c>
      <c r="Z685" s="97">
        <v>151</v>
      </c>
      <c r="AA685" s="97">
        <v>55</v>
      </c>
      <c r="AB685" s="97">
        <v>20</v>
      </c>
      <c r="AC685" s="97">
        <v>392</v>
      </c>
      <c r="AD685" s="97">
        <v>54</v>
      </c>
      <c r="AE685" s="97">
        <v>53</v>
      </c>
      <c r="AF685" s="97">
        <v>855</v>
      </c>
      <c r="AG685" s="97">
        <v>417.5</v>
      </c>
      <c r="AH685" s="97">
        <v>38</v>
      </c>
      <c r="AI685" s="97">
        <v>679</v>
      </c>
    </row>
    <row r="686" spans="1:35" ht="15" customHeight="1">
      <c r="A686" s="97" t="s">
        <v>1928</v>
      </c>
      <c r="B686" s="97" t="s">
        <v>1928</v>
      </c>
      <c r="C686" s="97" t="s">
        <v>1929</v>
      </c>
      <c r="D686" s="97" t="s">
        <v>3198</v>
      </c>
      <c r="E686" s="97" t="s">
        <v>34</v>
      </c>
      <c r="F686" s="97">
        <v>109</v>
      </c>
      <c r="G686" s="97">
        <v>15</v>
      </c>
      <c r="H686" s="97">
        <v>185</v>
      </c>
      <c r="I686" s="97">
        <v>63</v>
      </c>
      <c r="J686" s="97">
        <v>38</v>
      </c>
      <c r="K686" s="97">
        <v>642</v>
      </c>
      <c r="L686" s="97">
        <v>72.5</v>
      </c>
      <c r="M686" s="97">
        <v>48</v>
      </c>
      <c r="N686" s="97">
        <v>813</v>
      </c>
      <c r="O686" s="97">
        <v>65</v>
      </c>
      <c r="P686" s="97">
        <v>28</v>
      </c>
      <c r="Q686" s="97">
        <v>501</v>
      </c>
      <c r="R686" s="97">
        <v>31</v>
      </c>
      <c r="S686" s="97">
        <v>53</v>
      </c>
      <c r="T686" s="97">
        <v>893</v>
      </c>
      <c r="U686" s="97">
        <v>77</v>
      </c>
      <c r="V686" s="97">
        <v>7</v>
      </c>
      <c r="W686" s="97">
        <v>275</v>
      </c>
      <c r="X686" s="97">
        <v>72</v>
      </c>
      <c r="Y686" s="97">
        <v>28</v>
      </c>
      <c r="Z686" s="97">
        <v>396</v>
      </c>
      <c r="AA686" s="97">
        <v>51</v>
      </c>
      <c r="AB686" s="97">
        <v>29</v>
      </c>
      <c r="AC686" s="97">
        <v>555</v>
      </c>
      <c r="AD686" s="97">
        <v>70</v>
      </c>
      <c r="AE686" s="97">
        <v>13</v>
      </c>
      <c r="AF686" s="97">
        <v>327</v>
      </c>
      <c r="AG686" s="97">
        <v>417.5</v>
      </c>
      <c r="AH686" s="97">
        <v>38</v>
      </c>
      <c r="AI686" s="97">
        <v>679</v>
      </c>
    </row>
    <row r="687" spans="1:35" ht="15" customHeight="1">
      <c r="A687" s="97" t="s">
        <v>1804</v>
      </c>
      <c r="B687" s="97" t="s">
        <v>1804</v>
      </c>
      <c r="C687" s="97" t="s">
        <v>1805</v>
      </c>
      <c r="D687" s="97" t="s">
        <v>3198</v>
      </c>
      <c r="E687" s="97" t="s">
        <v>34</v>
      </c>
      <c r="F687" s="97">
        <v>92</v>
      </c>
      <c r="G687" s="97">
        <v>51</v>
      </c>
      <c r="H687" s="97">
        <v>779</v>
      </c>
      <c r="I687" s="97">
        <v>81</v>
      </c>
      <c r="J687" s="97">
        <v>13</v>
      </c>
      <c r="K687" s="97">
        <v>309</v>
      </c>
      <c r="L687" s="97">
        <v>86</v>
      </c>
      <c r="M687" s="97">
        <v>36</v>
      </c>
      <c r="N687" s="97">
        <v>580</v>
      </c>
      <c r="O687" s="97">
        <v>59</v>
      </c>
      <c r="P687" s="97">
        <v>35</v>
      </c>
      <c r="Q687" s="97">
        <v>626</v>
      </c>
      <c r="R687" s="97">
        <v>44</v>
      </c>
      <c r="S687" s="97">
        <v>43</v>
      </c>
      <c r="T687" s="97">
        <v>736</v>
      </c>
      <c r="U687" s="97">
        <v>55</v>
      </c>
      <c r="V687" s="97">
        <v>46</v>
      </c>
      <c r="W687" s="97">
        <v>831</v>
      </c>
      <c r="X687" s="97">
        <v>67</v>
      </c>
      <c r="Y687" s="97">
        <v>40</v>
      </c>
      <c r="Z687" s="97">
        <v>570</v>
      </c>
      <c r="AA687" s="97">
        <v>42</v>
      </c>
      <c r="AB687" s="97">
        <v>52</v>
      </c>
      <c r="AC687" s="97">
        <v>845</v>
      </c>
      <c r="AD687" s="97">
        <v>66</v>
      </c>
      <c r="AE687" s="97">
        <v>26</v>
      </c>
      <c r="AF687" s="97">
        <v>511</v>
      </c>
      <c r="AG687" s="97">
        <v>417</v>
      </c>
      <c r="AH687" s="97">
        <v>40</v>
      </c>
      <c r="AI687" s="97">
        <v>684</v>
      </c>
    </row>
    <row r="688" spans="1:35" ht="15" customHeight="1">
      <c r="A688" s="97" t="s">
        <v>2710</v>
      </c>
      <c r="B688" s="97" t="s">
        <v>2710</v>
      </c>
      <c r="C688" s="97" t="s">
        <v>2708</v>
      </c>
      <c r="D688" s="97" t="s">
        <v>3198</v>
      </c>
      <c r="E688" s="97" t="s">
        <v>49</v>
      </c>
      <c r="F688" s="97">
        <v>101</v>
      </c>
      <c r="G688" s="97">
        <v>24</v>
      </c>
      <c r="H688" s="97">
        <v>481</v>
      </c>
      <c r="I688" s="97">
        <v>68</v>
      </c>
      <c r="J688" s="97">
        <v>34</v>
      </c>
      <c r="K688" s="97">
        <v>540</v>
      </c>
      <c r="L688" s="97">
        <v>71.5</v>
      </c>
      <c r="M688" s="97">
        <v>50</v>
      </c>
      <c r="N688" s="97">
        <v>826</v>
      </c>
      <c r="O688" s="97">
        <v>70</v>
      </c>
      <c r="P688" s="97">
        <v>29</v>
      </c>
      <c r="Q688" s="97">
        <v>400</v>
      </c>
      <c r="R688" s="97">
        <v>53</v>
      </c>
      <c r="S688" s="97">
        <v>30</v>
      </c>
      <c r="T688" s="97">
        <v>526</v>
      </c>
      <c r="U688" s="97">
        <v>53</v>
      </c>
      <c r="V688" s="97">
        <v>49</v>
      </c>
      <c r="W688" s="97">
        <v>858</v>
      </c>
      <c r="X688" s="97">
        <v>48</v>
      </c>
      <c r="Y688" s="97">
        <v>54</v>
      </c>
      <c r="Z688" s="97">
        <v>923</v>
      </c>
      <c r="AA688" s="97">
        <v>55</v>
      </c>
      <c r="AB688" s="97">
        <v>16</v>
      </c>
      <c r="AC688" s="97">
        <v>392</v>
      </c>
      <c r="AD688" s="97">
        <v>55</v>
      </c>
      <c r="AE688" s="97">
        <v>42</v>
      </c>
      <c r="AF688" s="97">
        <v>835</v>
      </c>
      <c r="AG688" s="97">
        <v>416.5</v>
      </c>
      <c r="AH688" s="97">
        <v>39</v>
      </c>
      <c r="AI688" s="97">
        <v>685</v>
      </c>
    </row>
    <row r="689" spans="1:35" ht="15" customHeight="1">
      <c r="A689" s="97" t="s">
        <v>949</v>
      </c>
      <c r="B689" s="97" t="s">
        <v>949</v>
      </c>
      <c r="C689" s="97" t="s">
        <v>950</v>
      </c>
      <c r="D689" s="97" t="s">
        <v>3198</v>
      </c>
      <c r="E689" s="97" t="s">
        <v>60</v>
      </c>
      <c r="F689" s="97">
        <v>91</v>
      </c>
      <c r="G689" s="97">
        <v>52</v>
      </c>
      <c r="H689" s="97">
        <v>799</v>
      </c>
      <c r="I689" s="97">
        <v>71</v>
      </c>
      <c r="J689" s="97">
        <v>27</v>
      </c>
      <c r="K689" s="97">
        <v>475</v>
      </c>
      <c r="L689" s="97">
        <v>72</v>
      </c>
      <c r="M689" s="97">
        <v>42</v>
      </c>
      <c r="N689" s="97">
        <v>821</v>
      </c>
      <c r="O689" s="97">
        <v>75</v>
      </c>
      <c r="P689" s="97">
        <v>17</v>
      </c>
      <c r="Q689" s="97">
        <v>299</v>
      </c>
      <c r="R689" s="97">
        <v>48</v>
      </c>
      <c r="S689" s="97">
        <v>41</v>
      </c>
      <c r="T689" s="97">
        <v>649</v>
      </c>
      <c r="U689" s="97">
        <v>59</v>
      </c>
      <c r="V689" s="97">
        <v>46</v>
      </c>
      <c r="W689" s="97">
        <v>762</v>
      </c>
      <c r="X689" s="97">
        <v>76</v>
      </c>
      <c r="Y689" s="97">
        <v>16</v>
      </c>
      <c r="Z689" s="97">
        <v>260</v>
      </c>
      <c r="AA689" s="97">
        <v>54</v>
      </c>
      <c r="AB689" s="97">
        <v>17</v>
      </c>
      <c r="AC689" s="97">
        <v>428</v>
      </c>
      <c r="AD689" s="97">
        <v>57</v>
      </c>
      <c r="AE689" s="97">
        <v>48</v>
      </c>
      <c r="AF689" s="97">
        <v>798</v>
      </c>
      <c r="AG689" s="97">
        <v>416</v>
      </c>
      <c r="AH689" s="97">
        <v>38</v>
      </c>
      <c r="AI689" s="97">
        <v>686</v>
      </c>
    </row>
    <row r="690" spans="1:35" ht="15" customHeight="1">
      <c r="A690" s="97" t="s">
        <v>331</v>
      </c>
      <c r="B690" s="97" t="s">
        <v>331</v>
      </c>
      <c r="C690" s="97" t="s">
        <v>332</v>
      </c>
      <c r="D690" s="97" t="s">
        <v>3198</v>
      </c>
      <c r="E690" s="97" t="s">
        <v>28</v>
      </c>
      <c r="F690" s="97">
        <v>100</v>
      </c>
      <c r="G690" s="97">
        <v>32</v>
      </c>
      <c r="H690" s="97">
        <v>528</v>
      </c>
      <c r="I690" s="97">
        <v>64</v>
      </c>
      <c r="J690" s="97">
        <v>35</v>
      </c>
      <c r="K690" s="97">
        <v>627</v>
      </c>
      <c r="L690" s="97">
        <v>62.5</v>
      </c>
      <c r="M690" s="97">
        <v>52</v>
      </c>
      <c r="N690" s="97">
        <v>898</v>
      </c>
      <c r="O690" s="97">
        <v>61</v>
      </c>
      <c r="P690" s="97">
        <v>37</v>
      </c>
      <c r="Q690" s="97">
        <v>587</v>
      </c>
      <c r="R690" s="97">
        <v>54</v>
      </c>
      <c r="S690" s="97">
        <v>26</v>
      </c>
      <c r="T690" s="97">
        <v>494</v>
      </c>
      <c r="U690" s="97">
        <v>74</v>
      </c>
      <c r="V690" s="97">
        <v>22</v>
      </c>
      <c r="W690" s="97">
        <v>366</v>
      </c>
      <c r="X690" s="97">
        <v>70</v>
      </c>
      <c r="Y690" s="97">
        <v>25</v>
      </c>
      <c r="Z690" s="97">
        <v>473</v>
      </c>
      <c r="AA690" s="97">
        <v>50</v>
      </c>
      <c r="AB690" s="97">
        <v>43</v>
      </c>
      <c r="AC690" s="97">
        <v>591</v>
      </c>
      <c r="AD690" s="97">
        <v>66</v>
      </c>
      <c r="AE690" s="97">
        <v>31</v>
      </c>
      <c r="AF690" s="97">
        <v>511</v>
      </c>
      <c r="AG690" s="97">
        <v>415.5</v>
      </c>
      <c r="AH690" s="97">
        <v>38</v>
      </c>
      <c r="AI690" s="97">
        <v>687</v>
      </c>
    </row>
    <row r="691" spans="1:35" ht="15" customHeight="1">
      <c r="A691" s="97" t="s">
        <v>2533</v>
      </c>
      <c r="B691" s="97" t="s">
        <v>2533</v>
      </c>
      <c r="C691" s="97" t="s">
        <v>2534</v>
      </c>
      <c r="D691" s="97" t="s">
        <v>3198</v>
      </c>
      <c r="E691" s="97" t="s">
        <v>131</v>
      </c>
      <c r="F691" s="97">
        <v>100</v>
      </c>
      <c r="G691" s="97">
        <v>19</v>
      </c>
      <c r="H691" s="97">
        <v>528</v>
      </c>
      <c r="I691" s="97">
        <v>83</v>
      </c>
      <c r="J691" s="97">
        <v>9</v>
      </c>
      <c r="K691" s="97">
        <v>267</v>
      </c>
      <c r="L691" s="97">
        <v>70.5</v>
      </c>
      <c r="M691" s="97">
        <v>51</v>
      </c>
      <c r="N691" s="97">
        <v>834</v>
      </c>
      <c r="O691" s="97">
        <v>44</v>
      </c>
      <c r="P691" s="97">
        <v>48</v>
      </c>
      <c r="Q691" s="97">
        <v>849</v>
      </c>
      <c r="R691" s="97">
        <v>60</v>
      </c>
      <c r="S691" s="97">
        <v>15</v>
      </c>
      <c r="T691" s="97">
        <v>322</v>
      </c>
      <c r="U691" s="97">
        <v>58</v>
      </c>
      <c r="V691" s="97">
        <v>43</v>
      </c>
      <c r="W691" s="97">
        <v>786</v>
      </c>
      <c r="X691" s="97">
        <v>73</v>
      </c>
      <c r="Y691" s="97">
        <v>13</v>
      </c>
      <c r="Z691" s="97">
        <v>359</v>
      </c>
      <c r="AA691" s="97">
        <v>63</v>
      </c>
      <c r="AB691" s="97">
        <v>13</v>
      </c>
      <c r="AC691" s="97">
        <v>123</v>
      </c>
      <c r="AD691" s="97">
        <v>63</v>
      </c>
      <c r="AE691" s="97">
        <v>42</v>
      </c>
      <c r="AF691" s="97">
        <v>633</v>
      </c>
      <c r="AG691" s="97">
        <v>415.5</v>
      </c>
      <c r="AH691" s="97">
        <v>40</v>
      </c>
      <c r="AI691" s="97">
        <v>687</v>
      </c>
    </row>
    <row r="692" spans="1:35" ht="15" customHeight="1">
      <c r="A692" s="97" t="s">
        <v>2546</v>
      </c>
      <c r="B692" s="97" t="s">
        <v>2546</v>
      </c>
      <c r="C692" s="97" t="s">
        <v>2547</v>
      </c>
      <c r="D692" s="97" t="s">
        <v>3198</v>
      </c>
      <c r="E692" s="97" t="s">
        <v>131</v>
      </c>
      <c r="F692" s="97">
        <v>98</v>
      </c>
      <c r="G692" s="97">
        <v>26</v>
      </c>
      <c r="H692" s="97">
        <v>611</v>
      </c>
      <c r="I692" s="97">
        <v>75</v>
      </c>
      <c r="J692" s="97">
        <v>22</v>
      </c>
      <c r="K692" s="97">
        <v>409</v>
      </c>
      <c r="L692" s="97">
        <v>97.5</v>
      </c>
      <c r="M692" s="97">
        <v>12</v>
      </c>
      <c r="N692" s="97">
        <v>310</v>
      </c>
      <c r="O692" s="97">
        <v>54</v>
      </c>
      <c r="P692" s="97">
        <v>43</v>
      </c>
      <c r="Q692" s="97">
        <v>718</v>
      </c>
      <c r="R692" s="97">
        <v>41</v>
      </c>
      <c r="S692" s="97">
        <v>50</v>
      </c>
      <c r="T692" s="97">
        <v>795</v>
      </c>
      <c r="U692" s="97">
        <v>50</v>
      </c>
      <c r="V692" s="97">
        <v>51</v>
      </c>
      <c r="W692" s="97">
        <v>883</v>
      </c>
      <c r="X692" s="97">
        <v>63</v>
      </c>
      <c r="Y692" s="97">
        <v>37</v>
      </c>
      <c r="Z692" s="97">
        <v>712</v>
      </c>
      <c r="AA692" s="97">
        <v>41</v>
      </c>
      <c r="AB692" s="97">
        <v>51</v>
      </c>
      <c r="AC692" s="97">
        <v>866</v>
      </c>
      <c r="AD692" s="97">
        <v>64</v>
      </c>
      <c r="AE692" s="97">
        <v>39</v>
      </c>
      <c r="AF692" s="97">
        <v>586</v>
      </c>
      <c r="AG692" s="97">
        <v>415.5</v>
      </c>
      <c r="AH692" s="97">
        <v>40</v>
      </c>
      <c r="AI692" s="97">
        <v>687</v>
      </c>
    </row>
    <row r="693" spans="1:35" ht="15" customHeight="1">
      <c r="A693" s="97" t="s">
        <v>2080</v>
      </c>
      <c r="B693" s="97" t="s">
        <v>2080</v>
      </c>
      <c r="C693" s="97" t="s">
        <v>2081</v>
      </c>
      <c r="D693" s="97" t="s">
        <v>3198</v>
      </c>
      <c r="E693" s="97" t="s">
        <v>109</v>
      </c>
      <c r="F693" s="97">
        <v>90</v>
      </c>
      <c r="G693" s="97">
        <v>53</v>
      </c>
      <c r="H693" s="97">
        <v>815</v>
      </c>
      <c r="I693" s="97">
        <v>68</v>
      </c>
      <c r="J693" s="97">
        <v>30</v>
      </c>
      <c r="K693" s="97">
        <v>540</v>
      </c>
      <c r="L693" s="97">
        <v>87</v>
      </c>
      <c r="M693" s="97">
        <v>32</v>
      </c>
      <c r="N693" s="97">
        <v>553</v>
      </c>
      <c r="O693" s="97">
        <v>74</v>
      </c>
      <c r="P693" s="97">
        <v>18</v>
      </c>
      <c r="Q693" s="97">
        <v>317</v>
      </c>
      <c r="R693" s="97">
        <v>36</v>
      </c>
      <c r="S693" s="97">
        <v>52</v>
      </c>
      <c r="T693" s="97">
        <v>856</v>
      </c>
      <c r="U693" s="97">
        <v>60</v>
      </c>
      <c r="V693" s="97">
        <v>48</v>
      </c>
      <c r="W693" s="97">
        <v>748</v>
      </c>
      <c r="X693" s="97">
        <v>52</v>
      </c>
      <c r="Y693" s="97">
        <v>55</v>
      </c>
      <c r="Z693" s="97">
        <v>897</v>
      </c>
      <c r="AA693" s="97">
        <v>50</v>
      </c>
      <c r="AB693" s="97">
        <v>29</v>
      </c>
      <c r="AC693" s="97">
        <v>591</v>
      </c>
      <c r="AD693" s="97">
        <v>54</v>
      </c>
      <c r="AE693" s="97">
        <v>49</v>
      </c>
      <c r="AF693" s="97">
        <v>855</v>
      </c>
      <c r="AG693" s="97">
        <v>415</v>
      </c>
      <c r="AH693" s="97">
        <v>39</v>
      </c>
      <c r="AI693" s="97">
        <v>690</v>
      </c>
    </row>
    <row r="694" spans="1:35" ht="15" customHeight="1">
      <c r="A694" s="97" t="s">
        <v>599</v>
      </c>
      <c r="B694" s="97" t="s">
        <v>599</v>
      </c>
      <c r="C694" s="97" t="s">
        <v>600</v>
      </c>
      <c r="D694" s="97" t="s">
        <v>3198</v>
      </c>
      <c r="E694" s="97" t="s">
        <v>17</v>
      </c>
      <c r="F694" s="97">
        <v>84</v>
      </c>
      <c r="G694" s="97">
        <v>56</v>
      </c>
      <c r="H694" s="97">
        <v>891</v>
      </c>
      <c r="I694" s="97">
        <v>71</v>
      </c>
      <c r="J694" s="97">
        <v>31</v>
      </c>
      <c r="K694" s="97">
        <v>475</v>
      </c>
      <c r="L694" s="97">
        <v>75</v>
      </c>
      <c r="M694" s="97">
        <v>48</v>
      </c>
      <c r="N694" s="97">
        <v>776</v>
      </c>
      <c r="O694" s="97">
        <v>60</v>
      </c>
      <c r="P694" s="97">
        <v>39</v>
      </c>
      <c r="Q694" s="97">
        <v>607</v>
      </c>
      <c r="R694" s="97">
        <v>60</v>
      </c>
      <c r="S694" s="97">
        <v>19</v>
      </c>
      <c r="T694" s="97">
        <v>322</v>
      </c>
      <c r="U694" s="97">
        <v>65</v>
      </c>
      <c r="V694" s="97">
        <v>41</v>
      </c>
      <c r="W694" s="97">
        <v>643</v>
      </c>
      <c r="X694" s="97">
        <v>53</v>
      </c>
      <c r="Y694" s="97">
        <v>54</v>
      </c>
      <c r="Z694" s="97">
        <v>888</v>
      </c>
      <c r="AA694" s="97">
        <v>47</v>
      </c>
      <c r="AB694" s="97">
        <v>44</v>
      </c>
      <c r="AC694" s="97">
        <v>719</v>
      </c>
      <c r="AD694" s="97">
        <v>55</v>
      </c>
      <c r="AE694" s="97">
        <v>50</v>
      </c>
      <c r="AF694" s="97">
        <v>835</v>
      </c>
      <c r="AG694" s="97">
        <v>415</v>
      </c>
      <c r="AH694" s="97">
        <v>48</v>
      </c>
      <c r="AI694" s="97">
        <v>690</v>
      </c>
    </row>
    <row r="695" spans="1:35" ht="15" customHeight="1">
      <c r="A695" s="97" t="s">
        <v>1008</v>
      </c>
      <c r="B695" s="97" t="s">
        <v>1008</v>
      </c>
      <c r="C695" s="97" t="s">
        <v>1009</v>
      </c>
      <c r="D695" s="97" t="s">
        <v>3198</v>
      </c>
      <c r="E695" s="97" t="s">
        <v>60</v>
      </c>
      <c r="F695" s="97">
        <v>109</v>
      </c>
      <c r="G695" s="97">
        <v>12</v>
      </c>
      <c r="H695" s="97">
        <v>185</v>
      </c>
      <c r="I695" s="97">
        <v>71</v>
      </c>
      <c r="J695" s="97">
        <v>27</v>
      </c>
      <c r="K695" s="97">
        <v>475</v>
      </c>
      <c r="L695" s="97">
        <v>106</v>
      </c>
      <c r="M695" s="97">
        <v>7</v>
      </c>
      <c r="N695" s="97">
        <v>162</v>
      </c>
      <c r="O695" s="97">
        <v>36</v>
      </c>
      <c r="P695" s="97">
        <v>55</v>
      </c>
      <c r="Q695" s="97">
        <v>905</v>
      </c>
      <c r="R695" s="97">
        <v>31</v>
      </c>
      <c r="S695" s="97">
        <v>57</v>
      </c>
      <c r="T695" s="97">
        <v>893</v>
      </c>
      <c r="U695" s="97">
        <v>62</v>
      </c>
      <c r="V695" s="97">
        <v>38</v>
      </c>
      <c r="W695" s="97">
        <v>716</v>
      </c>
      <c r="X695" s="97">
        <v>72</v>
      </c>
      <c r="Y695" s="97">
        <v>25</v>
      </c>
      <c r="Z695" s="97">
        <v>396</v>
      </c>
      <c r="AA695" s="97">
        <v>57</v>
      </c>
      <c r="AB695" s="97">
        <v>10</v>
      </c>
      <c r="AC695" s="97">
        <v>306</v>
      </c>
      <c r="AD695" s="97">
        <v>64</v>
      </c>
      <c r="AE695" s="97">
        <v>28</v>
      </c>
      <c r="AF695" s="97">
        <v>586</v>
      </c>
      <c r="AG695" s="97">
        <v>415</v>
      </c>
      <c r="AH695" s="97">
        <v>39</v>
      </c>
      <c r="AI695" s="97">
        <v>690</v>
      </c>
    </row>
    <row r="696" spans="1:35" ht="15" customHeight="1">
      <c r="A696" s="97" t="s">
        <v>1017</v>
      </c>
      <c r="B696" s="97" t="s">
        <v>1017</v>
      </c>
      <c r="C696" s="97" t="s">
        <v>1018</v>
      </c>
      <c r="D696" s="97" t="s">
        <v>3198</v>
      </c>
      <c r="E696" s="97" t="s">
        <v>60</v>
      </c>
      <c r="F696" s="97">
        <v>101</v>
      </c>
      <c r="G696" s="97">
        <v>35</v>
      </c>
      <c r="H696" s="97">
        <v>481</v>
      </c>
      <c r="I696" s="97">
        <v>60</v>
      </c>
      <c r="J696" s="97">
        <v>41</v>
      </c>
      <c r="K696" s="97">
        <v>696</v>
      </c>
      <c r="L696" s="97">
        <v>65.5</v>
      </c>
      <c r="M696" s="97">
        <v>50</v>
      </c>
      <c r="N696" s="97">
        <v>878</v>
      </c>
      <c r="O696" s="97">
        <v>61</v>
      </c>
      <c r="P696" s="97">
        <v>31</v>
      </c>
      <c r="Q696" s="97">
        <v>587</v>
      </c>
      <c r="R696" s="97">
        <v>59</v>
      </c>
      <c r="S696" s="97">
        <v>23</v>
      </c>
      <c r="T696" s="97">
        <v>348</v>
      </c>
      <c r="U696" s="97">
        <v>68</v>
      </c>
      <c r="V696" s="97">
        <v>26</v>
      </c>
      <c r="W696" s="97">
        <v>555</v>
      </c>
      <c r="X696" s="97">
        <v>74</v>
      </c>
      <c r="Y696" s="97">
        <v>21</v>
      </c>
      <c r="Z696" s="97">
        <v>326</v>
      </c>
      <c r="AA696" s="97">
        <v>49</v>
      </c>
      <c r="AB696" s="97">
        <v>33</v>
      </c>
      <c r="AC696" s="97">
        <v>633</v>
      </c>
      <c r="AD696" s="97">
        <v>49</v>
      </c>
      <c r="AE696" s="97">
        <v>57</v>
      </c>
      <c r="AF696" s="97">
        <v>904</v>
      </c>
      <c r="AG696" s="97">
        <v>414.5</v>
      </c>
      <c r="AH696" s="97">
        <v>40</v>
      </c>
      <c r="AI696" s="97">
        <v>693</v>
      </c>
    </row>
    <row r="697" spans="1:35" ht="15" customHeight="1">
      <c r="A697" s="97" t="s">
        <v>296</v>
      </c>
      <c r="B697" s="97" t="s">
        <v>296</v>
      </c>
      <c r="C697" s="97" t="s">
        <v>297</v>
      </c>
      <c r="D697" s="97" t="s">
        <v>3198</v>
      </c>
      <c r="E697" s="97" t="s">
        <v>28</v>
      </c>
      <c r="F697" s="97">
        <v>79</v>
      </c>
      <c r="G697" s="97">
        <v>52</v>
      </c>
      <c r="H697" s="97">
        <v>915</v>
      </c>
      <c r="I697" s="97">
        <v>67</v>
      </c>
      <c r="J697" s="97">
        <v>33</v>
      </c>
      <c r="K697" s="97">
        <v>565</v>
      </c>
      <c r="L697" s="97">
        <v>69.5</v>
      </c>
      <c r="M697" s="97">
        <v>49</v>
      </c>
      <c r="N697" s="97">
        <v>847</v>
      </c>
      <c r="O697" s="97">
        <v>70</v>
      </c>
      <c r="P697" s="97">
        <v>25</v>
      </c>
      <c r="Q697" s="97">
        <v>400</v>
      </c>
      <c r="R697" s="97">
        <v>58</v>
      </c>
      <c r="S697" s="97">
        <v>16</v>
      </c>
      <c r="T697" s="97">
        <v>377</v>
      </c>
      <c r="U697" s="97">
        <v>71</v>
      </c>
      <c r="V697" s="97">
        <v>27</v>
      </c>
      <c r="W697" s="97">
        <v>462</v>
      </c>
      <c r="X697" s="97">
        <v>60</v>
      </c>
      <c r="Y697" s="97">
        <v>47</v>
      </c>
      <c r="Z697" s="97">
        <v>777</v>
      </c>
      <c r="AA697" s="97">
        <v>51</v>
      </c>
      <c r="AB697" s="97">
        <v>39</v>
      </c>
      <c r="AC697" s="97">
        <v>555</v>
      </c>
      <c r="AD697" s="97">
        <v>75</v>
      </c>
      <c r="AE697" s="97">
        <v>6</v>
      </c>
      <c r="AF697" s="97">
        <v>146</v>
      </c>
      <c r="AG697" s="97">
        <v>414.5</v>
      </c>
      <c r="AH697" s="97">
        <v>39</v>
      </c>
      <c r="AI697" s="97">
        <v>693</v>
      </c>
    </row>
    <row r="698" spans="1:35" ht="15" customHeight="1">
      <c r="A698" s="97" t="s">
        <v>1870</v>
      </c>
      <c r="B698" s="97" t="s">
        <v>1870</v>
      </c>
      <c r="C698" s="97" t="s">
        <v>1680</v>
      </c>
      <c r="D698" s="97" t="s">
        <v>3198</v>
      </c>
      <c r="E698" s="97" t="s">
        <v>34</v>
      </c>
      <c r="F698" s="97">
        <v>110</v>
      </c>
      <c r="G698" s="97">
        <v>12</v>
      </c>
      <c r="H698" s="97">
        <v>159</v>
      </c>
      <c r="I698" s="97">
        <v>72</v>
      </c>
      <c r="J698" s="97">
        <v>28</v>
      </c>
      <c r="K698" s="97">
        <v>458</v>
      </c>
      <c r="L698" s="97">
        <v>75.5</v>
      </c>
      <c r="M698" s="97">
        <v>45</v>
      </c>
      <c r="N698" s="97">
        <v>763</v>
      </c>
      <c r="O698" s="97">
        <v>54</v>
      </c>
      <c r="P698" s="97">
        <v>44</v>
      </c>
      <c r="Q698" s="97">
        <v>718</v>
      </c>
      <c r="R698" s="97">
        <v>50</v>
      </c>
      <c r="S698" s="97">
        <v>34</v>
      </c>
      <c r="T698" s="97">
        <v>599</v>
      </c>
      <c r="U698" s="97">
        <v>53</v>
      </c>
      <c r="V698" s="97">
        <v>48</v>
      </c>
      <c r="W698" s="97">
        <v>858</v>
      </c>
      <c r="X698" s="97">
        <v>86</v>
      </c>
      <c r="Y698" s="97">
        <v>5</v>
      </c>
      <c r="Z698" s="97">
        <v>34</v>
      </c>
      <c r="AA698" s="97">
        <v>61</v>
      </c>
      <c r="AB698" s="97">
        <v>7</v>
      </c>
      <c r="AC698" s="97">
        <v>172</v>
      </c>
      <c r="AD698" s="97">
        <v>68</v>
      </c>
      <c r="AE698" s="97">
        <v>19</v>
      </c>
      <c r="AF698" s="97">
        <v>412</v>
      </c>
      <c r="AG698" s="97">
        <v>414.5</v>
      </c>
      <c r="AH698" s="97">
        <v>41</v>
      </c>
      <c r="AI698" s="97">
        <v>693</v>
      </c>
    </row>
    <row r="699" spans="1:35" ht="15" customHeight="1">
      <c r="A699" s="97" t="s">
        <v>2349</v>
      </c>
      <c r="B699" s="97" t="s">
        <v>2349</v>
      </c>
      <c r="C699" s="97" t="s">
        <v>2359</v>
      </c>
      <c r="D699" s="97" t="s">
        <v>3198</v>
      </c>
      <c r="E699" s="97" t="s">
        <v>7</v>
      </c>
      <c r="F699" s="97">
        <v>89</v>
      </c>
      <c r="G699" s="97">
        <v>46</v>
      </c>
      <c r="H699" s="97">
        <v>835</v>
      </c>
      <c r="I699" s="97">
        <v>64</v>
      </c>
      <c r="J699" s="97">
        <v>26</v>
      </c>
      <c r="K699" s="97">
        <v>627</v>
      </c>
      <c r="L699" s="97">
        <v>83.5</v>
      </c>
      <c r="M699" s="97">
        <v>35</v>
      </c>
      <c r="N699" s="97">
        <v>632</v>
      </c>
      <c r="O699" s="97">
        <v>59</v>
      </c>
      <c r="P699" s="97">
        <v>34</v>
      </c>
      <c r="Q699" s="97">
        <v>626</v>
      </c>
      <c r="R699" s="97">
        <v>40</v>
      </c>
      <c r="S699" s="97">
        <v>42</v>
      </c>
      <c r="T699" s="97">
        <v>811</v>
      </c>
      <c r="U699" s="97">
        <v>79</v>
      </c>
      <c r="V699" s="97">
        <v>10</v>
      </c>
      <c r="W699" s="97">
        <v>229</v>
      </c>
      <c r="X699" s="97">
        <v>75</v>
      </c>
      <c r="Y699" s="97">
        <v>31</v>
      </c>
      <c r="Z699" s="97">
        <v>289</v>
      </c>
      <c r="AA699" s="97">
        <v>51</v>
      </c>
      <c r="AB699" s="97">
        <v>38</v>
      </c>
      <c r="AC699" s="97">
        <v>555</v>
      </c>
      <c r="AD699" s="97">
        <v>54</v>
      </c>
      <c r="AE699" s="97">
        <v>47</v>
      </c>
      <c r="AF699" s="97">
        <v>855</v>
      </c>
      <c r="AG699" s="97">
        <v>414.5</v>
      </c>
      <c r="AH699" s="97">
        <v>38</v>
      </c>
      <c r="AI699" s="97">
        <v>693</v>
      </c>
    </row>
    <row r="700" spans="1:35" ht="15" customHeight="1">
      <c r="A700" s="97" t="s">
        <v>2465</v>
      </c>
      <c r="B700" s="97" t="s">
        <v>2465</v>
      </c>
      <c r="C700" s="97" t="s">
        <v>2466</v>
      </c>
      <c r="D700" s="97" t="s">
        <v>3198</v>
      </c>
      <c r="E700" s="97" t="s">
        <v>131</v>
      </c>
      <c r="F700" s="97">
        <v>86</v>
      </c>
      <c r="G700" s="97">
        <v>41</v>
      </c>
      <c r="H700" s="97">
        <v>867</v>
      </c>
      <c r="I700" s="97">
        <v>75</v>
      </c>
      <c r="J700" s="97">
        <v>22</v>
      </c>
      <c r="K700" s="97">
        <v>409</v>
      </c>
      <c r="L700" s="97">
        <v>84.5</v>
      </c>
      <c r="M700" s="97">
        <v>32</v>
      </c>
      <c r="N700" s="97">
        <v>606</v>
      </c>
      <c r="O700" s="97">
        <v>60</v>
      </c>
      <c r="P700" s="97">
        <v>37</v>
      </c>
      <c r="Q700" s="97">
        <v>607</v>
      </c>
      <c r="R700" s="97">
        <v>44</v>
      </c>
      <c r="S700" s="97">
        <v>41</v>
      </c>
      <c r="T700" s="97">
        <v>736</v>
      </c>
      <c r="U700" s="97">
        <v>65</v>
      </c>
      <c r="V700" s="97">
        <v>33</v>
      </c>
      <c r="W700" s="97">
        <v>643</v>
      </c>
      <c r="X700" s="97">
        <v>73</v>
      </c>
      <c r="Y700" s="97">
        <v>13</v>
      </c>
      <c r="Z700" s="97">
        <v>359</v>
      </c>
      <c r="AA700" s="97">
        <v>60</v>
      </c>
      <c r="AB700" s="97">
        <v>20</v>
      </c>
      <c r="AC700" s="97">
        <v>203</v>
      </c>
      <c r="AD700" s="97">
        <v>61</v>
      </c>
      <c r="AE700" s="97">
        <v>46</v>
      </c>
      <c r="AF700" s="97">
        <v>703</v>
      </c>
      <c r="AG700" s="97">
        <v>414.5</v>
      </c>
      <c r="AH700" s="97">
        <v>42</v>
      </c>
      <c r="AI700" s="97">
        <v>693</v>
      </c>
    </row>
    <row r="701" spans="1:35" ht="15" customHeight="1">
      <c r="A701" s="97" t="s">
        <v>2411</v>
      </c>
      <c r="B701" s="97" t="s">
        <v>2411</v>
      </c>
      <c r="C701" s="97" t="s">
        <v>2418</v>
      </c>
      <c r="D701" s="97" t="s">
        <v>3198</v>
      </c>
      <c r="E701" s="97" t="s">
        <v>7</v>
      </c>
      <c r="F701" s="97">
        <v>101</v>
      </c>
      <c r="G701" s="97">
        <v>27</v>
      </c>
      <c r="H701" s="97">
        <v>481</v>
      </c>
      <c r="I701" s="97">
        <v>55</v>
      </c>
      <c r="J701" s="97">
        <v>44</v>
      </c>
      <c r="K701" s="97">
        <v>766</v>
      </c>
      <c r="L701" s="97">
        <v>100.5</v>
      </c>
      <c r="M701" s="97">
        <v>6</v>
      </c>
      <c r="N701" s="97">
        <v>247</v>
      </c>
      <c r="O701" s="97">
        <v>54</v>
      </c>
      <c r="P701" s="97">
        <v>44</v>
      </c>
      <c r="Q701" s="97">
        <v>718</v>
      </c>
      <c r="R701" s="97">
        <v>39</v>
      </c>
      <c r="S701" s="97">
        <v>45</v>
      </c>
      <c r="T701" s="97">
        <v>825</v>
      </c>
      <c r="U701" s="97">
        <v>65</v>
      </c>
      <c r="V701" s="97">
        <v>39</v>
      </c>
      <c r="W701" s="97">
        <v>643</v>
      </c>
      <c r="X701" s="97">
        <v>72</v>
      </c>
      <c r="Y701" s="97">
        <v>38</v>
      </c>
      <c r="Z701" s="97">
        <v>396</v>
      </c>
      <c r="AA701" s="97">
        <v>43</v>
      </c>
      <c r="AB701" s="97">
        <v>53</v>
      </c>
      <c r="AC701" s="97">
        <v>824</v>
      </c>
      <c r="AD701" s="97">
        <v>48</v>
      </c>
      <c r="AE701" s="97">
        <v>52</v>
      </c>
      <c r="AF701" s="97">
        <v>912</v>
      </c>
      <c r="AG701" s="97">
        <v>414.5</v>
      </c>
      <c r="AH701" s="97">
        <v>38</v>
      </c>
      <c r="AI701" s="97">
        <v>693</v>
      </c>
    </row>
    <row r="702" spans="1:35" ht="15" customHeight="1">
      <c r="A702" s="97" t="s">
        <v>2885</v>
      </c>
      <c r="B702" s="97" t="s">
        <v>2885</v>
      </c>
      <c r="C702" s="97" t="s">
        <v>2886</v>
      </c>
      <c r="D702" s="97" t="s">
        <v>3198</v>
      </c>
      <c r="E702" s="97" t="s">
        <v>38</v>
      </c>
      <c r="F702" s="97">
        <v>97</v>
      </c>
      <c r="G702" s="97">
        <v>33</v>
      </c>
      <c r="H702" s="97">
        <v>645</v>
      </c>
      <c r="I702" s="97">
        <v>49</v>
      </c>
      <c r="J702" s="97">
        <v>50</v>
      </c>
      <c r="K702" s="97">
        <v>839</v>
      </c>
      <c r="L702" s="97">
        <v>101.5</v>
      </c>
      <c r="M702" s="97">
        <v>11</v>
      </c>
      <c r="N702" s="97">
        <v>225</v>
      </c>
      <c r="O702" s="97">
        <v>63</v>
      </c>
      <c r="P702" s="97">
        <v>27</v>
      </c>
      <c r="Q702" s="97">
        <v>540</v>
      </c>
      <c r="R702" s="97">
        <v>41</v>
      </c>
      <c r="S702" s="97">
        <v>46</v>
      </c>
      <c r="T702" s="97">
        <v>795</v>
      </c>
      <c r="U702" s="97">
        <v>63</v>
      </c>
      <c r="V702" s="97">
        <v>41</v>
      </c>
      <c r="W702" s="97">
        <v>692</v>
      </c>
      <c r="X702" s="97">
        <v>62</v>
      </c>
      <c r="Y702" s="97">
        <v>43</v>
      </c>
      <c r="Z702" s="97">
        <v>729</v>
      </c>
      <c r="AA702" s="97">
        <v>46</v>
      </c>
      <c r="AB702" s="97">
        <v>42</v>
      </c>
      <c r="AC702" s="97">
        <v>755</v>
      </c>
      <c r="AD702" s="97">
        <v>58</v>
      </c>
      <c r="AE702" s="97">
        <v>42</v>
      </c>
      <c r="AF702" s="97">
        <v>770</v>
      </c>
      <c r="AG702" s="97">
        <v>414.5</v>
      </c>
      <c r="AH702" s="97">
        <v>39</v>
      </c>
      <c r="AI702" s="97">
        <v>693</v>
      </c>
    </row>
    <row r="703" spans="1:35" ht="15" customHeight="1">
      <c r="A703" s="97" t="s">
        <v>2876</v>
      </c>
      <c r="B703" s="97" t="s">
        <v>2876</v>
      </c>
      <c r="C703" s="97" t="s">
        <v>2877</v>
      </c>
      <c r="D703" s="97" t="s">
        <v>3198</v>
      </c>
      <c r="E703" s="97" t="s">
        <v>38</v>
      </c>
      <c r="F703" s="97">
        <v>98</v>
      </c>
      <c r="G703" s="97">
        <v>32</v>
      </c>
      <c r="H703" s="97">
        <v>611</v>
      </c>
      <c r="I703" s="97">
        <v>71</v>
      </c>
      <c r="J703" s="97">
        <v>18</v>
      </c>
      <c r="K703" s="97">
        <v>475</v>
      </c>
      <c r="L703" s="97">
        <v>83</v>
      </c>
      <c r="M703" s="97">
        <v>39</v>
      </c>
      <c r="N703" s="97">
        <v>642</v>
      </c>
      <c r="O703" s="97">
        <v>52</v>
      </c>
      <c r="P703" s="97">
        <v>46</v>
      </c>
      <c r="Q703" s="97">
        <v>757</v>
      </c>
      <c r="R703" s="97">
        <v>53</v>
      </c>
      <c r="S703" s="97">
        <v>22</v>
      </c>
      <c r="T703" s="97">
        <v>526</v>
      </c>
      <c r="U703" s="97">
        <v>57</v>
      </c>
      <c r="V703" s="97">
        <v>48</v>
      </c>
      <c r="W703" s="97">
        <v>801</v>
      </c>
      <c r="X703" s="97">
        <v>59</v>
      </c>
      <c r="Y703" s="97">
        <v>48</v>
      </c>
      <c r="Z703" s="97">
        <v>799</v>
      </c>
      <c r="AA703" s="97">
        <v>59</v>
      </c>
      <c r="AB703" s="97">
        <v>11</v>
      </c>
      <c r="AC703" s="97">
        <v>233</v>
      </c>
      <c r="AD703" s="97">
        <v>63</v>
      </c>
      <c r="AE703" s="97">
        <v>30</v>
      </c>
      <c r="AF703" s="97">
        <v>633</v>
      </c>
      <c r="AG703" s="97">
        <v>414</v>
      </c>
      <c r="AH703" s="97">
        <v>40</v>
      </c>
      <c r="AI703" s="97">
        <v>700</v>
      </c>
    </row>
    <row r="704" spans="1:35" ht="15" customHeight="1">
      <c r="A704" s="97" t="s">
        <v>2391</v>
      </c>
      <c r="B704" s="97" t="s">
        <v>2391</v>
      </c>
      <c r="C704" s="97" t="s">
        <v>1754</v>
      </c>
      <c r="D704" s="97" t="s">
        <v>3198</v>
      </c>
      <c r="E704" s="97" t="s">
        <v>7</v>
      </c>
      <c r="F704" s="97">
        <v>111</v>
      </c>
      <c r="G704" s="97">
        <v>6</v>
      </c>
      <c r="H704" s="97">
        <v>136</v>
      </c>
      <c r="I704" s="97">
        <v>65</v>
      </c>
      <c r="J704" s="97">
        <v>23</v>
      </c>
      <c r="K704" s="97">
        <v>604</v>
      </c>
      <c r="L704" s="97">
        <v>71.5</v>
      </c>
      <c r="M704" s="97">
        <v>50</v>
      </c>
      <c r="N704" s="97">
        <v>826</v>
      </c>
      <c r="O704" s="97">
        <v>51</v>
      </c>
      <c r="P704" s="97">
        <v>47</v>
      </c>
      <c r="Q704" s="97">
        <v>771</v>
      </c>
      <c r="R704" s="97">
        <v>48</v>
      </c>
      <c r="S704" s="97">
        <v>33</v>
      </c>
      <c r="T704" s="97">
        <v>649</v>
      </c>
      <c r="U704" s="97">
        <v>67</v>
      </c>
      <c r="V704" s="97">
        <v>33</v>
      </c>
      <c r="W704" s="97">
        <v>587</v>
      </c>
      <c r="X704" s="97">
        <v>79</v>
      </c>
      <c r="Y704" s="97">
        <v>24</v>
      </c>
      <c r="Z704" s="97">
        <v>175</v>
      </c>
      <c r="AA704" s="97">
        <v>63</v>
      </c>
      <c r="AB704" s="97">
        <v>8</v>
      </c>
      <c r="AC704" s="97">
        <v>123</v>
      </c>
      <c r="AD704" s="97">
        <v>70</v>
      </c>
      <c r="AE704" s="97">
        <v>13</v>
      </c>
      <c r="AF704" s="97">
        <v>327</v>
      </c>
      <c r="AG704" s="97">
        <v>413.5</v>
      </c>
      <c r="AH704" s="97">
        <v>40</v>
      </c>
      <c r="AI704" s="97">
        <v>701</v>
      </c>
    </row>
    <row r="705" spans="1:35" ht="15" customHeight="1">
      <c r="A705" s="97" t="s">
        <v>1396</v>
      </c>
      <c r="B705" s="97" t="s">
        <v>1396</v>
      </c>
      <c r="C705" s="97" t="s">
        <v>1397</v>
      </c>
      <c r="D705" s="97" t="s">
        <v>3198</v>
      </c>
      <c r="E705" s="97" t="s">
        <v>56</v>
      </c>
      <c r="F705" s="97">
        <v>101</v>
      </c>
      <c r="G705" s="97">
        <v>21</v>
      </c>
      <c r="H705" s="97">
        <v>481</v>
      </c>
      <c r="I705" s="97">
        <v>53</v>
      </c>
      <c r="J705" s="97">
        <v>43</v>
      </c>
      <c r="K705" s="97">
        <v>792</v>
      </c>
      <c r="L705" s="97">
        <v>86.5</v>
      </c>
      <c r="M705" s="97">
        <v>30</v>
      </c>
      <c r="N705" s="97">
        <v>565</v>
      </c>
      <c r="O705" s="97">
        <v>51</v>
      </c>
      <c r="P705" s="97">
        <v>45</v>
      </c>
      <c r="Q705" s="97">
        <v>771</v>
      </c>
      <c r="R705" s="97">
        <v>55</v>
      </c>
      <c r="S705" s="97">
        <v>25</v>
      </c>
      <c r="T705" s="97">
        <v>470</v>
      </c>
      <c r="U705" s="97">
        <v>67</v>
      </c>
      <c r="V705" s="97">
        <v>42</v>
      </c>
      <c r="W705" s="97">
        <v>587</v>
      </c>
      <c r="X705" s="97">
        <v>88</v>
      </c>
      <c r="Y705" s="97">
        <v>2</v>
      </c>
      <c r="Z705" s="97">
        <v>15</v>
      </c>
      <c r="AA705" s="97">
        <v>47</v>
      </c>
      <c r="AB705" s="97">
        <v>36</v>
      </c>
      <c r="AC705" s="97">
        <v>719</v>
      </c>
      <c r="AD705" s="97">
        <v>78</v>
      </c>
      <c r="AE705" s="97">
        <v>4</v>
      </c>
      <c r="AF705" s="97">
        <v>86</v>
      </c>
      <c r="AG705" s="97">
        <v>413.5</v>
      </c>
      <c r="AH705" s="97">
        <v>38</v>
      </c>
      <c r="AI705" s="97">
        <v>701</v>
      </c>
    </row>
    <row r="706" spans="1:35" ht="15" customHeight="1">
      <c r="A706" s="97" t="s">
        <v>1062</v>
      </c>
      <c r="B706" s="97" t="s">
        <v>1062</v>
      </c>
      <c r="C706" s="97" t="s">
        <v>1063</v>
      </c>
      <c r="D706" s="97" t="s">
        <v>3198</v>
      </c>
      <c r="E706" s="97" t="s">
        <v>68</v>
      </c>
      <c r="F706" s="97">
        <v>98</v>
      </c>
      <c r="G706" s="97">
        <v>37</v>
      </c>
      <c r="H706" s="97">
        <v>611</v>
      </c>
      <c r="I706" s="97">
        <v>66</v>
      </c>
      <c r="J706" s="97">
        <v>41</v>
      </c>
      <c r="K706" s="97">
        <v>584</v>
      </c>
      <c r="L706" s="97">
        <v>64</v>
      </c>
      <c r="M706" s="97">
        <v>54</v>
      </c>
      <c r="N706" s="97">
        <v>886</v>
      </c>
      <c r="O706" s="97">
        <v>60</v>
      </c>
      <c r="P706" s="97">
        <v>35</v>
      </c>
      <c r="Q706" s="97">
        <v>607</v>
      </c>
      <c r="R706" s="97">
        <v>61</v>
      </c>
      <c r="S706" s="97">
        <v>15</v>
      </c>
      <c r="T706" s="97">
        <v>300</v>
      </c>
      <c r="U706" s="97">
        <v>64</v>
      </c>
      <c r="V706" s="97">
        <v>37</v>
      </c>
      <c r="W706" s="97">
        <v>667</v>
      </c>
      <c r="X706" s="97">
        <v>64</v>
      </c>
      <c r="Y706" s="97">
        <v>39</v>
      </c>
      <c r="Z706" s="97">
        <v>680</v>
      </c>
      <c r="AA706" s="97">
        <v>48</v>
      </c>
      <c r="AB706" s="97">
        <v>36</v>
      </c>
      <c r="AC706" s="97">
        <v>671</v>
      </c>
      <c r="AD706" s="97">
        <v>62</v>
      </c>
      <c r="AE706" s="97">
        <v>37</v>
      </c>
      <c r="AF706" s="97">
        <v>672</v>
      </c>
      <c r="AG706" s="97">
        <v>413</v>
      </c>
      <c r="AH706" s="97">
        <v>39</v>
      </c>
      <c r="AI706" s="97">
        <v>703</v>
      </c>
    </row>
    <row r="707" spans="1:35" ht="15" customHeight="1">
      <c r="A707" s="97" t="s">
        <v>1089</v>
      </c>
      <c r="B707" s="97" t="s">
        <v>1089</v>
      </c>
      <c r="C707" s="97" t="s">
        <v>1090</v>
      </c>
      <c r="D707" s="97" t="s">
        <v>3198</v>
      </c>
      <c r="E707" s="97" t="s">
        <v>68</v>
      </c>
      <c r="F707" s="97">
        <v>100</v>
      </c>
      <c r="G707" s="97">
        <v>33</v>
      </c>
      <c r="H707" s="97">
        <v>528</v>
      </c>
      <c r="I707" s="97">
        <v>60</v>
      </c>
      <c r="J707" s="97">
        <v>46</v>
      </c>
      <c r="K707" s="97">
        <v>696</v>
      </c>
      <c r="L707" s="97">
        <v>71</v>
      </c>
      <c r="M707" s="97">
        <v>46</v>
      </c>
      <c r="N707" s="97">
        <v>829</v>
      </c>
      <c r="O707" s="97">
        <v>66</v>
      </c>
      <c r="P707" s="97">
        <v>23</v>
      </c>
      <c r="Q707" s="97">
        <v>484</v>
      </c>
      <c r="R707" s="97">
        <v>53</v>
      </c>
      <c r="S707" s="97">
        <v>32</v>
      </c>
      <c r="T707" s="97">
        <v>526</v>
      </c>
      <c r="U707" s="97">
        <v>63</v>
      </c>
      <c r="V707" s="97">
        <v>39</v>
      </c>
      <c r="W707" s="97">
        <v>692</v>
      </c>
      <c r="X707" s="97">
        <v>67</v>
      </c>
      <c r="Y707" s="97">
        <v>32</v>
      </c>
      <c r="Z707" s="97">
        <v>570</v>
      </c>
      <c r="AA707" s="97">
        <v>52</v>
      </c>
      <c r="AB707" s="97">
        <v>22</v>
      </c>
      <c r="AC707" s="97">
        <v>509</v>
      </c>
      <c r="AD707" s="97">
        <v>52</v>
      </c>
      <c r="AE707" s="97">
        <v>53</v>
      </c>
      <c r="AF707" s="97">
        <v>879</v>
      </c>
      <c r="AG707" s="97">
        <v>413</v>
      </c>
      <c r="AH707" s="97">
        <v>39</v>
      </c>
      <c r="AI707" s="97">
        <v>703</v>
      </c>
    </row>
    <row r="708" spans="1:35" ht="15" customHeight="1">
      <c r="A708" s="97" t="s">
        <v>220</v>
      </c>
      <c r="B708" s="97" t="s">
        <v>220</v>
      </c>
      <c r="C708" s="97" t="s">
        <v>221</v>
      </c>
      <c r="D708" s="97" t="s">
        <v>3198</v>
      </c>
      <c r="E708" s="97" t="s">
        <v>28</v>
      </c>
      <c r="F708" s="97">
        <v>86</v>
      </c>
      <c r="G708" s="97">
        <v>48</v>
      </c>
      <c r="H708" s="97">
        <v>867</v>
      </c>
      <c r="I708" s="97">
        <v>54</v>
      </c>
      <c r="J708" s="97">
        <v>45</v>
      </c>
      <c r="K708" s="97">
        <v>782</v>
      </c>
      <c r="L708" s="97">
        <v>99</v>
      </c>
      <c r="M708" s="97">
        <v>13</v>
      </c>
      <c r="N708" s="97">
        <v>277</v>
      </c>
      <c r="O708" s="97">
        <v>57</v>
      </c>
      <c r="P708" s="97">
        <v>39</v>
      </c>
      <c r="Q708" s="97">
        <v>665</v>
      </c>
      <c r="R708" s="97">
        <v>62</v>
      </c>
      <c r="S708" s="97">
        <v>10</v>
      </c>
      <c r="T708" s="97">
        <v>277</v>
      </c>
      <c r="U708" s="97">
        <v>55</v>
      </c>
      <c r="V708" s="97">
        <v>47</v>
      </c>
      <c r="W708" s="97">
        <v>831</v>
      </c>
      <c r="X708" s="97">
        <v>66</v>
      </c>
      <c r="Y708" s="97">
        <v>35</v>
      </c>
      <c r="Z708" s="97">
        <v>604</v>
      </c>
      <c r="AA708" s="97">
        <v>57</v>
      </c>
      <c r="AB708" s="97">
        <v>24</v>
      </c>
      <c r="AC708" s="97">
        <v>306</v>
      </c>
      <c r="AD708" s="97">
        <v>65</v>
      </c>
      <c r="AE708" s="97">
        <v>36</v>
      </c>
      <c r="AF708" s="97">
        <v>548</v>
      </c>
      <c r="AG708" s="97">
        <v>413</v>
      </c>
      <c r="AH708" s="97">
        <v>40</v>
      </c>
      <c r="AI708" s="97">
        <v>703</v>
      </c>
    </row>
    <row r="709" spans="1:35" ht="15" customHeight="1">
      <c r="A709" s="97" t="s">
        <v>2568</v>
      </c>
      <c r="B709" s="97" t="s">
        <v>2568</v>
      </c>
      <c r="C709" s="97" t="s">
        <v>2569</v>
      </c>
      <c r="D709" s="97" t="s">
        <v>3198</v>
      </c>
      <c r="E709" s="97" t="s">
        <v>131</v>
      </c>
      <c r="F709" s="97">
        <v>104</v>
      </c>
      <c r="G709" s="97">
        <v>10</v>
      </c>
      <c r="H709" s="97">
        <v>357</v>
      </c>
      <c r="I709" s="97">
        <v>56</v>
      </c>
      <c r="J709" s="97">
        <v>47</v>
      </c>
      <c r="K709" s="97">
        <v>755</v>
      </c>
      <c r="L709" s="97">
        <v>94</v>
      </c>
      <c r="M709" s="97">
        <v>18</v>
      </c>
      <c r="N709" s="97">
        <v>382</v>
      </c>
      <c r="O709" s="97">
        <v>58</v>
      </c>
      <c r="P709" s="97">
        <v>40</v>
      </c>
      <c r="Q709" s="97">
        <v>649</v>
      </c>
      <c r="R709" s="97">
        <v>44</v>
      </c>
      <c r="S709" s="97">
        <v>41</v>
      </c>
      <c r="T709" s="97">
        <v>736</v>
      </c>
      <c r="U709" s="97">
        <v>57</v>
      </c>
      <c r="V709" s="97">
        <v>45</v>
      </c>
      <c r="W709" s="97">
        <v>801</v>
      </c>
      <c r="X709" s="97">
        <v>79</v>
      </c>
      <c r="Y709" s="97">
        <v>3</v>
      </c>
      <c r="Z709" s="97">
        <v>175</v>
      </c>
      <c r="AA709" s="97">
        <v>53</v>
      </c>
      <c r="AB709" s="97">
        <v>33</v>
      </c>
      <c r="AC709" s="97">
        <v>470</v>
      </c>
      <c r="AD709" s="97">
        <v>75</v>
      </c>
      <c r="AE709" s="97">
        <v>10</v>
      </c>
      <c r="AF709" s="97">
        <v>146</v>
      </c>
      <c r="AG709" s="97">
        <v>413</v>
      </c>
      <c r="AH709" s="97">
        <v>43</v>
      </c>
      <c r="AI709" s="97">
        <v>703</v>
      </c>
    </row>
    <row r="710" spans="1:35" ht="15" customHeight="1">
      <c r="A710" s="97" t="s">
        <v>450</v>
      </c>
      <c r="B710" s="97" t="s">
        <v>450</v>
      </c>
      <c r="C710" s="97" t="s">
        <v>453</v>
      </c>
      <c r="D710" s="97" t="s">
        <v>3198</v>
      </c>
      <c r="E710" s="97" t="s">
        <v>19</v>
      </c>
      <c r="F710" s="97">
        <v>89</v>
      </c>
      <c r="G710" s="97">
        <v>51</v>
      </c>
      <c r="H710" s="97">
        <v>835</v>
      </c>
      <c r="I710" s="97">
        <v>65</v>
      </c>
      <c r="J710" s="97">
        <v>33</v>
      </c>
      <c r="K710" s="97">
        <v>604</v>
      </c>
      <c r="L710" s="97">
        <v>95.5</v>
      </c>
      <c r="M710" s="97">
        <v>18</v>
      </c>
      <c r="N710" s="97">
        <v>357</v>
      </c>
      <c r="O710" s="97">
        <v>62</v>
      </c>
      <c r="P710" s="97">
        <v>29</v>
      </c>
      <c r="Q710" s="97">
        <v>564</v>
      </c>
      <c r="R710" s="97">
        <v>43</v>
      </c>
      <c r="S710" s="97">
        <v>41</v>
      </c>
      <c r="T710" s="97">
        <v>757</v>
      </c>
      <c r="U710" s="97">
        <v>58</v>
      </c>
      <c r="V710" s="97">
        <v>46</v>
      </c>
      <c r="W710" s="97">
        <v>786</v>
      </c>
      <c r="X710" s="97">
        <v>72</v>
      </c>
      <c r="Y710" s="97">
        <v>19</v>
      </c>
      <c r="Z710" s="97">
        <v>396</v>
      </c>
      <c r="AA710" s="97">
        <v>52</v>
      </c>
      <c r="AB710" s="97">
        <v>30</v>
      </c>
      <c r="AC710" s="97">
        <v>509</v>
      </c>
      <c r="AD710" s="97">
        <v>61</v>
      </c>
      <c r="AE710" s="97">
        <v>39</v>
      </c>
      <c r="AF710" s="97">
        <v>703</v>
      </c>
      <c r="AG710" s="97">
        <v>412.5</v>
      </c>
      <c r="AH710" s="97">
        <v>37</v>
      </c>
      <c r="AI710" s="97">
        <v>707</v>
      </c>
    </row>
    <row r="711" spans="1:35" ht="15" customHeight="1">
      <c r="A711" s="97" t="s">
        <v>1107</v>
      </c>
      <c r="B711" s="97" t="s">
        <v>1107</v>
      </c>
      <c r="C711" s="97" t="s">
        <v>1108</v>
      </c>
      <c r="D711" s="97" t="s">
        <v>3198</v>
      </c>
      <c r="E711" s="97" t="s">
        <v>68</v>
      </c>
      <c r="F711" s="97">
        <v>107</v>
      </c>
      <c r="G711" s="97">
        <v>11</v>
      </c>
      <c r="H711" s="97">
        <v>242</v>
      </c>
      <c r="I711" s="97">
        <v>55</v>
      </c>
      <c r="J711" s="97">
        <v>48</v>
      </c>
      <c r="K711" s="97">
        <v>766</v>
      </c>
      <c r="L711" s="97">
        <v>79.5</v>
      </c>
      <c r="M711" s="97">
        <v>35</v>
      </c>
      <c r="N711" s="97">
        <v>698</v>
      </c>
      <c r="O711" s="97">
        <v>74</v>
      </c>
      <c r="P711" s="97">
        <v>15</v>
      </c>
      <c r="Q711" s="97">
        <v>317</v>
      </c>
      <c r="R711" s="97">
        <v>51</v>
      </c>
      <c r="S711" s="97">
        <v>37</v>
      </c>
      <c r="T711" s="97">
        <v>571</v>
      </c>
      <c r="U711" s="97">
        <v>46</v>
      </c>
      <c r="V711" s="97">
        <v>56</v>
      </c>
      <c r="W711" s="97">
        <v>901</v>
      </c>
      <c r="X711" s="97">
        <v>68</v>
      </c>
      <c r="Y711" s="97">
        <v>30</v>
      </c>
      <c r="Z711" s="97">
        <v>541</v>
      </c>
      <c r="AA711" s="97">
        <v>43</v>
      </c>
      <c r="AB711" s="97">
        <v>48</v>
      </c>
      <c r="AC711" s="97">
        <v>824</v>
      </c>
      <c r="AD711" s="97">
        <v>57</v>
      </c>
      <c r="AE711" s="97">
        <v>46</v>
      </c>
      <c r="AF711" s="97">
        <v>798</v>
      </c>
      <c r="AG711" s="97">
        <v>412.5</v>
      </c>
      <c r="AH711" s="97">
        <v>41</v>
      </c>
      <c r="AI711" s="97">
        <v>707</v>
      </c>
    </row>
    <row r="712" spans="1:35" ht="15" customHeight="1">
      <c r="A712" s="97" t="s">
        <v>1188</v>
      </c>
      <c r="B712" s="97" t="s">
        <v>1188</v>
      </c>
      <c r="C712" s="97" t="s">
        <v>1189</v>
      </c>
      <c r="D712" s="97" t="s">
        <v>3198</v>
      </c>
      <c r="E712" s="97" t="s">
        <v>68</v>
      </c>
      <c r="F712" s="97">
        <v>98</v>
      </c>
      <c r="G712" s="97">
        <v>37</v>
      </c>
      <c r="H712" s="97">
        <v>611</v>
      </c>
      <c r="I712" s="97">
        <v>40</v>
      </c>
      <c r="J712" s="97">
        <v>54</v>
      </c>
      <c r="K712" s="97">
        <v>897</v>
      </c>
      <c r="L712" s="97">
        <v>92</v>
      </c>
      <c r="M712" s="97">
        <v>15</v>
      </c>
      <c r="N712" s="97">
        <v>426</v>
      </c>
      <c r="O712" s="97">
        <v>49</v>
      </c>
      <c r="P712" s="97">
        <v>46</v>
      </c>
      <c r="Q712" s="97">
        <v>803</v>
      </c>
      <c r="R712" s="97">
        <v>57</v>
      </c>
      <c r="S712" s="97">
        <v>26</v>
      </c>
      <c r="T712" s="97">
        <v>409</v>
      </c>
      <c r="U712" s="97">
        <v>76</v>
      </c>
      <c r="V712" s="97">
        <v>17</v>
      </c>
      <c r="W712" s="97">
        <v>308</v>
      </c>
      <c r="X712" s="97">
        <v>76</v>
      </c>
      <c r="Y712" s="97">
        <v>13</v>
      </c>
      <c r="Z712" s="97">
        <v>260</v>
      </c>
      <c r="AA712" s="97">
        <v>53</v>
      </c>
      <c r="AB712" s="97">
        <v>21</v>
      </c>
      <c r="AC712" s="97">
        <v>470</v>
      </c>
      <c r="AD712" s="97">
        <v>67</v>
      </c>
      <c r="AE712" s="97">
        <v>28</v>
      </c>
      <c r="AF712" s="97">
        <v>471</v>
      </c>
      <c r="AG712" s="97">
        <v>412</v>
      </c>
      <c r="AH712" s="97">
        <v>42</v>
      </c>
      <c r="AI712" s="97">
        <v>709</v>
      </c>
    </row>
    <row r="713" spans="1:35" ht="15" customHeight="1">
      <c r="A713" s="97" t="s">
        <v>1050</v>
      </c>
      <c r="B713" s="97" t="s">
        <v>1050</v>
      </c>
      <c r="C713" s="97" t="s">
        <v>1051</v>
      </c>
      <c r="D713" s="97" t="s">
        <v>3198</v>
      </c>
      <c r="E713" s="97" t="s">
        <v>68</v>
      </c>
      <c r="F713" s="97">
        <v>107</v>
      </c>
      <c r="G713" s="97">
        <v>11</v>
      </c>
      <c r="H713" s="97">
        <v>242</v>
      </c>
      <c r="I713" s="97">
        <v>65</v>
      </c>
      <c r="J713" s="97">
        <v>42</v>
      </c>
      <c r="K713" s="97">
        <v>604</v>
      </c>
      <c r="L713" s="97">
        <v>75</v>
      </c>
      <c r="M713" s="97">
        <v>42</v>
      </c>
      <c r="N713" s="97">
        <v>776</v>
      </c>
      <c r="O713" s="97">
        <v>54</v>
      </c>
      <c r="P713" s="97">
        <v>41</v>
      </c>
      <c r="Q713" s="97">
        <v>718</v>
      </c>
      <c r="R713" s="97">
        <v>50</v>
      </c>
      <c r="S713" s="97">
        <v>38</v>
      </c>
      <c r="T713" s="97">
        <v>599</v>
      </c>
      <c r="U713" s="97">
        <v>61</v>
      </c>
      <c r="V713" s="97">
        <v>43</v>
      </c>
      <c r="W713" s="97">
        <v>734</v>
      </c>
      <c r="X713" s="97">
        <v>66</v>
      </c>
      <c r="Y713" s="97">
        <v>34</v>
      </c>
      <c r="Z713" s="97">
        <v>604</v>
      </c>
      <c r="AA713" s="97">
        <v>57</v>
      </c>
      <c r="AB713" s="97">
        <v>10</v>
      </c>
      <c r="AC713" s="97">
        <v>306</v>
      </c>
      <c r="AD713" s="97">
        <v>61</v>
      </c>
      <c r="AE713" s="97">
        <v>40</v>
      </c>
      <c r="AF713" s="97">
        <v>703</v>
      </c>
      <c r="AG713" s="97">
        <v>412</v>
      </c>
      <c r="AH713" s="97">
        <v>42</v>
      </c>
      <c r="AI713" s="97">
        <v>709</v>
      </c>
    </row>
    <row r="714" spans="1:35" ht="15" customHeight="1">
      <c r="A714" s="97" t="s">
        <v>1881</v>
      </c>
      <c r="B714" s="97" t="s">
        <v>1881</v>
      </c>
      <c r="C714" s="97" t="s">
        <v>1882</v>
      </c>
      <c r="D714" s="97" t="s">
        <v>3198</v>
      </c>
      <c r="E714" s="97" t="s">
        <v>34</v>
      </c>
      <c r="F714" s="97">
        <v>102</v>
      </c>
      <c r="G714" s="97">
        <v>27</v>
      </c>
      <c r="H714" s="97">
        <v>442</v>
      </c>
      <c r="I714" s="97">
        <v>35</v>
      </c>
      <c r="J714" s="97">
        <v>54</v>
      </c>
      <c r="K714" s="97">
        <v>911</v>
      </c>
      <c r="L714" s="97">
        <v>83</v>
      </c>
      <c r="M714" s="97">
        <v>40</v>
      </c>
      <c r="N714" s="97">
        <v>642</v>
      </c>
      <c r="O714" s="97">
        <v>72</v>
      </c>
      <c r="P714" s="97">
        <v>14</v>
      </c>
      <c r="Q714" s="97">
        <v>358</v>
      </c>
      <c r="R714" s="97">
        <v>61</v>
      </c>
      <c r="S714" s="97">
        <v>14</v>
      </c>
      <c r="T714" s="97">
        <v>300</v>
      </c>
      <c r="U714" s="97">
        <v>59</v>
      </c>
      <c r="V714" s="97">
        <v>41</v>
      </c>
      <c r="W714" s="97">
        <v>762</v>
      </c>
      <c r="X714" s="97">
        <v>56</v>
      </c>
      <c r="Y714" s="97">
        <v>53</v>
      </c>
      <c r="Z714" s="97">
        <v>849</v>
      </c>
      <c r="AA714" s="97">
        <v>37</v>
      </c>
      <c r="AB714" s="97">
        <v>54</v>
      </c>
      <c r="AC714" s="97">
        <v>912</v>
      </c>
      <c r="AD714" s="97">
        <v>66</v>
      </c>
      <c r="AE714" s="97">
        <v>26</v>
      </c>
      <c r="AF714" s="97">
        <v>511</v>
      </c>
      <c r="AG714" s="97">
        <v>412</v>
      </c>
      <c r="AH714" s="97">
        <v>42</v>
      </c>
      <c r="AI714" s="97">
        <v>709</v>
      </c>
    </row>
    <row r="715" spans="1:35" ht="15" customHeight="1">
      <c r="A715" s="97" t="s">
        <v>2063</v>
      </c>
      <c r="B715" s="97" t="s">
        <v>2063</v>
      </c>
      <c r="C715" s="97" t="s">
        <v>2064</v>
      </c>
      <c r="D715" s="97" t="s">
        <v>3198</v>
      </c>
      <c r="E715" s="97" t="s">
        <v>109</v>
      </c>
      <c r="F715" s="97">
        <v>100</v>
      </c>
      <c r="G715" s="97">
        <v>32</v>
      </c>
      <c r="H715" s="97">
        <v>528</v>
      </c>
      <c r="I715" s="97">
        <v>46</v>
      </c>
      <c r="J715" s="97">
        <v>51</v>
      </c>
      <c r="K715" s="97">
        <v>862</v>
      </c>
      <c r="L715" s="97">
        <v>78.5</v>
      </c>
      <c r="M715" s="97">
        <v>46</v>
      </c>
      <c r="N715" s="97">
        <v>711</v>
      </c>
      <c r="O715" s="97">
        <v>54</v>
      </c>
      <c r="P715" s="97">
        <v>43</v>
      </c>
      <c r="Q715" s="97">
        <v>718</v>
      </c>
      <c r="R715" s="97">
        <v>59</v>
      </c>
      <c r="S715" s="97">
        <v>19</v>
      </c>
      <c r="T715" s="97">
        <v>348</v>
      </c>
      <c r="U715" s="97">
        <v>74</v>
      </c>
      <c r="V715" s="97">
        <v>20</v>
      </c>
      <c r="W715" s="97">
        <v>366</v>
      </c>
      <c r="X715" s="97">
        <v>70</v>
      </c>
      <c r="Y715" s="97">
        <v>25</v>
      </c>
      <c r="Z715" s="97">
        <v>473</v>
      </c>
      <c r="AA715" s="97">
        <v>49</v>
      </c>
      <c r="AB715" s="97">
        <v>32</v>
      </c>
      <c r="AC715" s="97">
        <v>633</v>
      </c>
      <c r="AD715" s="97">
        <v>68</v>
      </c>
      <c r="AE715" s="97">
        <v>21</v>
      </c>
      <c r="AF715" s="97">
        <v>412</v>
      </c>
      <c r="AG715" s="97">
        <v>411.5</v>
      </c>
      <c r="AH715" s="97">
        <v>40</v>
      </c>
      <c r="AI715" s="97">
        <v>712</v>
      </c>
    </row>
    <row r="716" spans="1:35" ht="15" customHeight="1">
      <c r="A716" s="97" t="s">
        <v>2586</v>
      </c>
      <c r="B716" s="97" t="s">
        <v>2586</v>
      </c>
      <c r="C716" s="97" t="s">
        <v>2587</v>
      </c>
      <c r="D716" s="97" t="s">
        <v>3198</v>
      </c>
      <c r="E716" s="97" t="s">
        <v>49</v>
      </c>
      <c r="F716" s="97">
        <v>97</v>
      </c>
      <c r="G716" s="97">
        <v>34</v>
      </c>
      <c r="H716" s="97">
        <v>645</v>
      </c>
      <c r="I716" s="97">
        <v>86</v>
      </c>
      <c r="J716" s="97">
        <v>19</v>
      </c>
      <c r="K716" s="97">
        <v>233</v>
      </c>
      <c r="L716" s="97">
        <v>86.5</v>
      </c>
      <c r="M716" s="97">
        <v>39</v>
      </c>
      <c r="N716" s="97">
        <v>565</v>
      </c>
      <c r="O716" s="97">
        <v>52</v>
      </c>
      <c r="P716" s="97">
        <v>44</v>
      </c>
      <c r="Q716" s="97">
        <v>757</v>
      </c>
      <c r="R716" s="97">
        <v>38</v>
      </c>
      <c r="S716" s="97">
        <v>48</v>
      </c>
      <c r="T716" s="97">
        <v>840</v>
      </c>
      <c r="U716" s="97">
        <v>52</v>
      </c>
      <c r="V716" s="97">
        <v>50</v>
      </c>
      <c r="W716" s="97">
        <v>866</v>
      </c>
      <c r="X716" s="97">
        <v>65</v>
      </c>
      <c r="Y716" s="97">
        <v>24</v>
      </c>
      <c r="Z716" s="97">
        <v>651</v>
      </c>
      <c r="AA716" s="97">
        <v>41</v>
      </c>
      <c r="AB716" s="97">
        <v>46</v>
      </c>
      <c r="AC716" s="97">
        <v>866</v>
      </c>
      <c r="AD716" s="97">
        <v>62</v>
      </c>
      <c r="AE716" s="97">
        <v>28</v>
      </c>
      <c r="AF716" s="97">
        <v>672</v>
      </c>
      <c r="AG716" s="97">
        <v>411.5</v>
      </c>
      <c r="AH716" s="97">
        <v>40</v>
      </c>
      <c r="AI716" s="97">
        <v>712</v>
      </c>
    </row>
    <row r="717" spans="1:35" ht="15" customHeight="1">
      <c r="A717" s="97" t="s">
        <v>1942</v>
      </c>
      <c r="B717" s="97" t="s">
        <v>1942</v>
      </c>
      <c r="C717" s="97" t="s">
        <v>1943</v>
      </c>
      <c r="D717" s="97" t="s">
        <v>3198</v>
      </c>
      <c r="E717" s="97" t="s">
        <v>109</v>
      </c>
      <c r="F717" s="97">
        <v>99</v>
      </c>
      <c r="G717" s="97">
        <v>35</v>
      </c>
      <c r="H717" s="97">
        <v>571</v>
      </c>
      <c r="I717" s="97">
        <v>68</v>
      </c>
      <c r="J717" s="97">
        <v>30</v>
      </c>
      <c r="K717" s="97">
        <v>540</v>
      </c>
      <c r="L717" s="97">
        <v>83</v>
      </c>
      <c r="M717" s="97">
        <v>42</v>
      </c>
      <c r="N717" s="97">
        <v>642</v>
      </c>
      <c r="O717" s="97">
        <v>46</v>
      </c>
      <c r="P717" s="97">
        <v>51</v>
      </c>
      <c r="Q717" s="97">
        <v>833</v>
      </c>
      <c r="R717" s="97">
        <v>44</v>
      </c>
      <c r="S717" s="97">
        <v>46</v>
      </c>
      <c r="T717" s="97">
        <v>736</v>
      </c>
      <c r="U717" s="97">
        <v>71</v>
      </c>
      <c r="V717" s="97">
        <v>27</v>
      </c>
      <c r="W717" s="97">
        <v>462</v>
      </c>
      <c r="X717" s="97">
        <v>77</v>
      </c>
      <c r="Y717" s="97">
        <v>13</v>
      </c>
      <c r="Z717" s="97">
        <v>240</v>
      </c>
      <c r="AA717" s="97">
        <v>53</v>
      </c>
      <c r="AB717" s="97">
        <v>24</v>
      </c>
      <c r="AC717" s="97">
        <v>470</v>
      </c>
      <c r="AD717" s="97">
        <v>78</v>
      </c>
      <c r="AE717" s="97">
        <v>6</v>
      </c>
      <c r="AF717" s="97">
        <v>86</v>
      </c>
      <c r="AG717" s="97">
        <v>411</v>
      </c>
      <c r="AH717" s="97">
        <v>41</v>
      </c>
      <c r="AI717" s="97">
        <v>714</v>
      </c>
    </row>
    <row r="718" spans="1:35" ht="15" customHeight="1">
      <c r="A718" s="97" t="s">
        <v>470</v>
      </c>
      <c r="B718" s="97" t="s">
        <v>470</v>
      </c>
      <c r="C718" s="97" t="s">
        <v>474</v>
      </c>
      <c r="D718" s="97" t="s">
        <v>3198</v>
      </c>
      <c r="E718" s="97" t="s">
        <v>19</v>
      </c>
      <c r="F718" s="97">
        <v>98</v>
      </c>
      <c r="G718" s="97">
        <v>37</v>
      </c>
      <c r="H718" s="97">
        <v>611</v>
      </c>
      <c r="I718" s="97">
        <v>42</v>
      </c>
      <c r="J718" s="97">
        <v>52</v>
      </c>
      <c r="K718" s="97">
        <v>887</v>
      </c>
      <c r="L718" s="97">
        <v>78</v>
      </c>
      <c r="M718" s="97">
        <v>40</v>
      </c>
      <c r="N718" s="97">
        <v>722</v>
      </c>
      <c r="O718" s="97">
        <v>76</v>
      </c>
      <c r="P718" s="97">
        <v>17</v>
      </c>
      <c r="Q718" s="97">
        <v>287</v>
      </c>
      <c r="R718" s="97">
        <v>46</v>
      </c>
      <c r="S718" s="97">
        <v>40</v>
      </c>
      <c r="T718" s="97">
        <v>702</v>
      </c>
      <c r="U718" s="97">
        <v>71</v>
      </c>
      <c r="V718" s="97">
        <v>25</v>
      </c>
      <c r="W718" s="97">
        <v>462</v>
      </c>
      <c r="X718" s="97">
        <v>71</v>
      </c>
      <c r="Y718" s="97">
        <v>21</v>
      </c>
      <c r="Z718" s="97">
        <v>439</v>
      </c>
      <c r="AA718" s="97">
        <v>57</v>
      </c>
      <c r="AB718" s="97">
        <v>18</v>
      </c>
      <c r="AC718" s="97">
        <v>306</v>
      </c>
      <c r="AD718" s="97">
        <v>81</v>
      </c>
      <c r="AE718" s="97">
        <v>3</v>
      </c>
      <c r="AF718" s="97">
        <v>42</v>
      </c>
      <c r="AG718" s="97">
        <v>411</v>
      </c>
      <c r="AH718" s="97">
        <v>38</v>
      </c>
      <c r="AI718" s="97">
        <v>714</v>
      </c>
    </row>
    <row r="719" spans="1:35" ht="15" customHeight="1">
      <c r="A719" s="97" t="s">
        <v>494</v>
      </c>
      <c r="B719" s="97" t="s">
        <v>494</v>
      </c>
      <c r="C719" s="97" t="s">
        <v>504</v>
      </c>
      <c r="D719" s="97" t="s">
        <v>3198</v>
      </c>
      <c r="E719" s="97" t="s">
        <v>19</v>
      </c>
      <c r="F719" s="97">
        <v>118</v>
      </c>
      <c r="G719" s="97">
        <v>4</v>
      </c>
      <c r="H719" s="97">
        <v>33</v>
      </c>
      <c r="I719" s="97">
        <v>59</v>
      </c>
      <c r="J719" s="97">
        <v>41</v>
      </c>
      <c r="K719" s="97">
        <v>721</v>
      </c>
      <c r="L719" s="97">
        <v>77</v>
      </c>
      <c r="M719" s="97">
        <v>43</v>
      </c>
      <c r="N719" s="97">
        <v>740</v>
      </c>
      <c r="O719" s="97">
        <v>62</v>
      </c>
      <c r="P719" s="97">
        <v>29</v>
      </c>
      <c r="Q719" s="97">
        <v>564</v>
      </c>
      <c r="R719" s="97">
        <v>41</v>
      </c>
      <c r="S719" s="97">
        <v>45</v>
      </c>
      <c r="T719" s="97">
        <v>795</v>
      </c>
      <c r="U719" s="97">
        <v>54</v>
      </c>
      <c r="V719" s="97">
        <v>51</v>
      </c>
      <c r="W719" s="97">
        <v>845</v>
      </c>
      <c r="X719" s="97">
        <v>59</v>
      </c>
      <c r="Y719" s="97">
        <v>44</v>
      </c>
      <c r="Z719" s="97">
        <v>799</v>
      </c>
      <c r="AA719" s="97">
        <v>51</v>
      </c>
      <c r="AB719" s="97">
        <v>32</v>
      </c>
      <c r="AC719" s="97">
        <v>555</v>
      </c>
      <c r="AD719" s="97">
        <v>58</v>
      </c>
      <c r="AE719" s="97">
        <v>45</v>
      </c>
      <c r="AF719" s="97">
        <v>770</v>
      </c>
      <c r="AG719" s="97">
        <v>411</v>
      </c>
      <c r="AH719" s="97">
        <v>38</v>
      </c>
      <c r="AI719" s="97">
        <v>714</v>
      </c>
    </row>
    <row r="720" spans="1:35" ht="15" customHeight="1">
      <c r="A720" s="97" t="s">
        <v>868</v>
      </c>
      <c r="B720" s="97" t="s">
        <v>868</v>
      </c>
      <c r="C720" s="97" t="s">
        <v>869</v>
      </c>
      <c r="D720" s="97" t="s">
        <v>3198</v>
      </c>
      <c r="E720" s="97" t="s">
        <v>60</v>
      </c>
      <c r="F720" s="97">
        <v>101</v>
      </c>
      <c r="G720" s="97">
        <v>35</v>
      </c>
      <c r="H720" s="97">
        <v>481</v>
      </c>
      <c r="I720" s="97">
        <v>72</v>
      </c>
      <c r="J720" s="97">
        <v>26</v>
      </c>
      <c r="K720" s="97">
        <v>458</v>
      </c>
      <c r="L720" s="97">
        <v>64.5</v>
      </c>
      <c r="M720" s="97">
        <v>51</v>
      </c>
      <c r="N720" s="97">
        <v>884</v>
      </c>
      <c r="O720" s="97">
        <v>51</v>
      </c>
      <c r="P720" s="97">
        <v>45</v>
      </c>
      <c r="Q720" s="97">
        <v>771</v>
      </c>
      <c r="R720" s="97">
        <v>54</v>
      </c>
      <c r="S720" s="97">
        <v>32</v>
      </c>
      <c r="T720" s="97">
        <v>494</v>
      </c>
      <c r="U720" s="97">
        <v>68</v>
      </c>
      <c r="V720" s="97">
        <v>26</v>
      </c>
      <c r="W720" s="97">
        <v>555</v>
      </c>
      <c r="X720" s="97">
        <v>68</v>
      </c>
      <c r="Y720" s="97">
        <v>31</v>
      </c>
      <c r="Z720" s="97">
        <v>541</v>
      </c>
      <c r="AA720" s="97">
        <v>46</v>
      </c>
      <c r="AB720" s="97">
        <v>43</v>
      </c>
      <c r="AC720" s="97">
        <v>755</v>
      </c>
      <c r="AD720" s="97">
        <v>67</v>
      </c>
      <c r="AE720" s="97">
        <v>20</v>
      </c>
      <c r="AF720" s="97">
        <v>471</v>
      </c>
      <c r="AG720" s="97">
        <v>410.5</v>
      </c>
      <c r="AH720" s="97">
        <v>41</v>
      </c>
      <c r="AI720" s="97">
        <v>717</v>
      </c>
    </row>
    <row r="721" spans="1:35" ht="15" customHeight="1">
      <c r="A721" s="97" t="s">
        <v>681</v>
      </c>
      <c r="B721" s="97" t="s">
        <v>681</v>
      </c>
      <c r="C721" s="97" t="s">
        <v>682</v>
      </c>
      <c r="D721" s="97" t="s">
        <v>3198</v>
      </c>
      <c r="E721" s="97" t="s">
        <v>17</v>
      </c>
      <c r="F721" s="97">
        <v>98</v>
      </c>
      <c r="G721" s="97">
        <v>36</v>
      </c>
      <c r="H721" s="97">
        <v>611</v>
      </c>
      <c r="I721" s="97">
        <v>67</v>
      </c>
      <c r="J721" s="97">
        <v>35</v>
      </c>
      <c r="K721" s="97">
        <v>565</v>
      </c>
      <c r="L721" s="97">
        <v>63.5</v>
      </c>
      <c r="M721" s="97">
        <v>53</v>
      </c>
      <c r="N721" s="97">
        <v>892</v>
      </c>
      <c r="O721" s="97">
        <v>67</v>
      </c>
      <c r="P721" s="97">
        <v>28</v>
      </c>
      <c r="Q721" s="97">
        <v>468</v>
      </c>
      <c r="R721" s="97">
        <v>61</v>
      </c>
      <c r="S721" s="97">
        <v>18</v>
      </c>
      <c r="T721" s="97">
        <v>300</v>
      </c>
      <c r="U721" s="97">
        <v>54</v>
      </c>
      <c r="V721" s="97">
        <v>52</v>
      </c>
      <c r="W721" s="97">
        <v>845</v>
      </c>
      <c r="X721" s="97">
        <v>63</v>
      </c>
      <c r="Y721" s="97">
        <v>48</v>
      </c>
      <c r="Z721" s="97">
        <v>712</v>
      </c>
      <c r="AA721" s="97">
        <v>52</v>
      </c>
      <c r="AB721" s="97">
        <v>34</v>
      </c>
      <c r="AC721" s="97">
        <v>509</v>
      </c>
      <c r="AD721" s="97">
        <v>78</v>
      </c>
      <c r="AE721" s="97">
        <v>3</v>
      </c>
      <c r="AF721" s="97">
        <v>86</v>
      </c>
      <c r="AG721" s="97">
        <v>410.5</v>
      </c>
      <c r="AH721" s="97">
        <v>49</v>
      </c>
      <c r="AI721" s="97">
        <v>717</v>
      </c>
    </row>
    <row r="722" spans="1:35" ht="15" customHeight="1">
      <c r="A722" s="97" t="s">
        <v>786</v>
      </c>
      <c r="B722" s="97" t="s">
        <v>786</v>
      </c>
      <c r="C722" s="97" t="s">
        <v>787</v>
      </c>
      <c r="D722" s="97" t="s">
        <v>3198</v>
      </c>
      <c r="E722" s="97" t="s">
        <v>117</v>
      </c>
      <c r="F722" s="97">
        <v>95</v>
      </c>
      <c r="G722" s="97">
        <v>39</v>
      </c>
      <c r="H722" s="97">
        <v>710</v>
      </c>
      <c r="I722" s="97">
        <v>57</v>
      </c>
      <c r="J722" s="97">
        <v>47</v>
      </c>
      <c r="K722" s="97">
        <v>744</v>
      </c>
      <c r="L722" s="97">
        <v>79.5</v>
      </c>
      <c r="M722" s="97">
        <v>42</v>
      </c>
      <c r="N722" s="97">
        <v>698</v>
      </c>
      <c r="O722" s="97">
        <v>58</v>
      </c>
      <c r="P722" s="97">
        <v>38</v>
      </c>
      <c r="Q722" s="97">
        <v>649</v>
      </c>
      <c r="R722" s="97">
        <v>52</v>
      </c>
      <c r="S722" s="97">
        <v>32</v>
      </c>
      <c r="T722" s="97">
        <v>551</v>
      </c>
      <c r="U722" s="97">
        <v>69</v>
      </c>
      <c r="V722" s="97">
        <v>25</v>
      </c>
      <c r="W722" s="97">
        <v>523</v>
      </c>
      <c r="X722" s="97">
        <v>78</v>
      </c>
      <c r="Y722" s="97">
        <v>15</v>
      </c>
      <c r="Z722" s="97">
        <v>209</v>
      </c>
      <c r="AA722" s="97">
        <v>59</v>
      </c>
      <c r="AB722" s="97">
        <v>12</v>
      </c>
      <c r="AC722" s="97">
        <v>233</v>
      </c>
      <c r="AD722" s="97">
        <v>64</v>
      </c>
      <c r="AE722" s="97">
        <v>33</v>
      </c>
      <c r="AF722" s="97">
        <v>586</v>
      </c>
      <c r="AG722" s="97">
        <v>410.5</v>
      </c>
      <c r="AH722" s="97">
        <v>41</v>
      </c>
      <c r="AI722" s="97">
        <v>717</v>
      </c>
    </row>
    <row r="723" spans="1:35" ht="15" customHeight="1">
      <c r="A723" s="97" t="s">
        <v>2749</v>
      </c>
      <c r="B723" s="97" t="s">
        <v>2749</v>
      </c>
      <c r="C723" s="97" t="s">
        <v>2750</v>
      </c>
      <c r="D723" s="97" t="s">
        <v>3198</v>
      </c>
      <c r="E723" s="97" t="s">
        <v>38</v>
      </c>
      <c r="F723" s="97">
        <v>96</v>
      </c>
      <c r="G723" s="97">
        <v>37</v>
      </c>
      <c r="H723" s="97">
        <v>676</v>
      </c>
      <c r="I723" s="97">
        <v>61</v>
      </c>
      <c r="J723" s="97">
        <v>37</v>
      </c>
      <c r="K723" s="97">
        <v>678</v>
      </c>
      <c r="L723" s="97">
        <v>72.5</v>
      </c>
      <c r="M723" s="97">
        <v>51</v>
      </c>
      <c r="N723" s="97">
        <v>813</v>
      </c>
      <c r="O723" s="97">
        <v>70</v>
      </c>
      <c r="P723" s="97">
        <v>17</v>
      </c>
      <c r="Q723" s="97">
        <v>400</v>
      </c>
      <c r="R723" s="97">
        <v>46</v>
      </c>
      <c r="S723" s="97">
        <v>40</v>
      </c>
      <c r="T723" s="97">
        <v>702</v>
      </c>
      <c r="U723" s="97">
        <v>65</v>
      </c>
      <c r="V723" s="97">
        <v>34</v>
      </c>
      <c r="W723" s="97">
        <v>643</v>
      </c>
      <c r="X723" s="97">
        <v>63</v>
      </c>
      <c r="Y723" s="97">
        <v>40</v>
      </c>
      <c r="Z723" s="97">
        <v>712</v>
      </c>
      <c r="AA723" s="97">
        <v>45</v>
      </c>
      <c r="AB723" s="97">
        <v>43</v>
      </c>
      <c r="AC723" s="97">
        <v>781</v>
      </c>
      <c r="AD723" s="97">
        <v>40</v>
      </c>
      <c r="AE723" s="97">
        <v>56</v>
      </c>
      <c r="AF723" s="97">
        <v>932</v>
      </c>
      <c r="AG723" s="97">
        <v>410.5</v>
      </c>
      <c r="AH723" s="97">
        <v>41</v>
      </c>
      <c r="AI723" s="97">
        <v>717</v>
      </c>
    </row>
    <row r="724" spans="1:35" ht="15" customHeight="1">
      <c r="A724" s="97" t="s">
        <v>1053</v>
      </c>
      <c r="B724" s="97" t="s">
        <v>1053</v>
      </c>
      <c r="C724" s="97" t="s">
        <v>1054</v>
      </c>
      <c r="D724" s="97" t="s">
        <v>3198</v>
      </c>
      <c r="E724" s="97" t="s">
        <v>68</v>
      </c>
      <c r="F724" s="97">
        <v>100</v>
      </c>
      <c r="G724" s="97">
        <v>33</v>
      </c>
      <c r="H724" s="97">
        <v>528</v>
      </c>
      <c r="I724" s="97">
        <v>75</v>
      </c>
      <c r="J724" s="97">
        <v>29</v>
      </c>
      <c r="K724" s="97">
        <v>409</v>
      </c>
      <c r="L724" s="97">
        <v>74</v>
      </c>
      <c r="M724" s="97">
        <v>43</v>
      </c>
      <c r="N724" s="97">
        <v>791</v>
      </c>
      <c r="O724" s="97">
        <v>39</v>
      </c>
      <c r="P724" s="97">
        <v>52</v>
      </c>
      <c r="Q724" s="97">
        <v>888</v>
      </c>
      <c r="R724" s="97">
        <v>44</v>
      </c>
      <c r="S724" s="97">
        <v>47</v>
      </c>
      <c r="T724" s="97">
        <v>736</v>
      </c>
      <c r="U724" s="97">
        <v>78</v>
      </c>
      <c r="V724" s="97">
        <v>12</v>
      </c>
      <c r="W724" s="97">
        <v>250</v>
      </c>
      <c r="X724" s="97">
        <v>72</v>
      </c>
      <c r="Y724" s="97">
        <v>21</v>
      </c>
      <c r="Z724" s="97">
        <v>396</v>
      </c>
      <c r="AA724" s="97">
        <v>41</v>
      </c>
      <c r="AB724" s="97">
        <v>51</v>
      </c>
      <c r="AC724" s="97">
        <v>866</v>
      </c>
      <c r="AD724" s="97">
        <v>63</v>
      </c>
      <c r="AE724" s="97">
        <v>34</v>
      </c>
      <c r="AF724" s="97">
        <v>633</v>
      </c>
      <c r="AG724" s="97">
        <v>410</v>
      </c>
      <c r="AH724" s="97">
        <v>44</v>
      </c>
      <c r="AI724" s="97">
        <v>721</v>
      </c>
    </row>
    <row r="725" spans="1:35" ht="15" customHeight="1">
      <c r="A725" s="97" t="s">
        <v>847</v>
      </c>
      <c r="B725" s="97" t="s">
        <v>847</v>
      </c>
      <c r="C725" s="97" t="s">
        <v>848</v>
      </c>
      <c r="D725" s="97" t="s">
        <v>3198</v>
      </c>
      <c r="E725" s="97" t="s">
        <v>117</v>
      </c>
      <c r="F725" s="97">
        <v>84</v>
      </c>
      <c r="G725" s="97">
        <v>52</v>
      </c>
      <c r="H725" s="97">
        <v>891</v>
      </c>
      <c r="I725" s="97">
        <v>68</v>
      </c>
      <c r="J725" s="97">
        <v>33</v>
      </c>
      <c r="K725" s="97">
        <v>540</v>
      </c>
      <c r="L725" s="97">
        <v>92.5</v>
      </c>
      <c r="M725" s="97">
        <v>22</v>
      </c>
      <c r="N725" s="97">
        <v>414</v>
      </c>
      <c r="O725" s="97">
        <v>47</v>
      </c>
      <c r="P725" s="97">
        <v>49</v>
      </c>
      <c r="Q725" s="97">
        <v>825</v>
      </c>
      <c r="R725" s="97">
        <v>50</v>
      </c>
      <c r="S725" s="97">
        <v>35</v>
      </c>
      <c r="T725" s="97">
        <v>599</v>
      </c>
      <c r="U725" s="97">
        <v>68</v>
      </c>
      <c r="V725" s="97">
        <v>27</v>
      </c>
      <c r="W725" s="97">
        <v>555</v>
      </c>
      <c r="X725" s="97">
        <v>85</v>
      </c>
      <c r="Y725" s="97">
        <v>4</v>
      </c>
      <c r="Z725" s="97">
        <v>45</v>
      </c>
      <c r="AA725" s="97">
        <v>51</v>
      </c>
      <c r="AB725" s="97">
        <v>33</v>
      </c>
      <c r="AC725" s="97">
        <v>555</v>
      </c>
      <c r="AD725" s="97">
        <v>59</v>
      </c>
      <c r="AE725" s="97">
        <v>43</v>
      </c>
      <c r="AF725" s="97">
        <v>746</v>
      </c>
      <c r="AG725" s="97">
        <v>409.5</v>
      </c>
      <c r="AH725" s="97">
        <v>42</v>
      </c>
      <c r="AI725" s="97">
        <v>722</v>
      </c>
    </row>
    <row r="726" spans="1:35" ht="15" customHeight="1">
      <c r="A726" s="97" t="s">
        <v>485</v>
      </c>
      <c r="B726" s="97" t="s">
        <v>485</v>
      </c>
      <c r="C726" s="97" t="s">
        <v>488</v>
      </c>
      <c r="D726" s="97" t="s">
        <v>3198</v>
      </c>
      <c r="E726" s="97" t="s">
        <v>19</v>
      </c>
      <c r="F726" s="97">
        <v>112</v>
      </c>
      <c r="G726" s="97">
        <v>8</v>
      </c>
      <c r="H726" s="97">
        <v>114</v>
      </c>
      <c r="I726" s="97">
        <v>39</v>
      </c>
      <c r="J726" s="97">
        <v>53</v>
      </c>
      <c r="K726" s="97">
        <v>902</v>
      </c>
      <c r="L726" s="97">
        <v>87.5</v>
      </c>
      <c r="M726" s="97">
        <v>25</v>
      </c>
      <c r="N726" s="97">
        <v>541</v>
      </c>
      <c r="O726" s="97">
        <v>47</v>
      </c>
      <c r="P726" s="97">
        <v>50</v>
      </c>
      <c r="Q726" s="97">
        <v>825</v>
      </c>
      <c r="R726" s="97">
        <v>49</v>
      </c>
      <c r="S726" s="97">
        <v>34</v>
      </c>
      <c r="T726" s="97">
        <v>624</v>
      </c>
      <c r="U726" s="97">
        <v>75</v>
      </c>
      <c r="V726" s="97">
        <v>15</v>
      </c>
      <c r="W726" s="97">
        <v>342</v>
      </c>
      <c r="X726" s="97">
        <v>81</v>
      </c>
      <c r="Y726" s="97">
        <v>5</v>
      </c>
      <c r="Z726" s="97">
        <v>124</v>
      </c>
      <c r="AA726" s="97">
        <v>65</v>
      </c>
      <c r="AB726" s="97">
        <v>5</v>
      </c>
      <c r="AC726" s="97">
        <v>89</v>
      </c>
      <c r="AD726" s="97">
        <v>74</v>
      </c>
      <c r="AE726" s="97">
        <v>9</v>
      </c>
      <c r="AF726" s="97">
        <v>174</v>
      </c>
      <c r="AG726" s="97">
        <v>409.5</v>
      </c>
      <c r="AH726" s="97">
        <v>40</v>
      </c>
      <c r="AI726" s="97">
        <v>722</v>
      </c>
    </row>
    <row r="727" spans="1:35" ht="15" customHeight="1">
      <c r="A727" s="97" t="s">
        <v>610</v>
      </c>
      <c r="B727" s="97" t="s">
        <v>610</v>
      </c>
      <c r="C727" s="97" t="s">
        <v>1697</v>
      </c>
      <c r="D727" s="97" t="s">
        <v>3198</v>
      </c>
      <c r="E727" s="97" t="s">
        <v>17</v>
      </c>
      <c r="F727" s="97">
        <v>102</v>
      </c>
      <c r="G727" s="97">
        <v>25</v>
      </c>
      <c r="H727" s="97">
        <v>442</v>
      </c>
      <c r="I727" s="97">
        <v>54</v>
      </c>
      <c r="J727" s="97">
        <v>50</v>
      </c>
      <c r="K727" s="97">
        <v>782</v>
      </c>
      <c r="L727" s="97">
        <v>89.5</v>
      </c>
      <c r="M727" s="97">
        <v>30</v>
      </c>
      <c r="N727" s="97">
        <v>493</v>
      </c>
      <c r="O727" s="97">
        <v>61</v>
      </c>
      <c r="P727" s="97">
        <v>37</v>
      </c>
      <c r="Q727" s="97">
        <v>587</v>
      </c>
      <c r="R727" s="97">
        <v>31</v>
      </c>
      <c r="S727" s="97">
        <v>55</v>
      </c>
      <c r="T727" s="97">
        <v>893</v>
      </c>
      <c r="U727" s="97">
        <v>72</v>
      </c>
      <c r="V727" s="97">
        <v>28</v>
      </c>
      <c r="W727" s="97">
        <v>433</v>
      </c>
      <c r="X727" s="97">
        <v>80</v>
      </c>
      <c r="Y727" s="97">
        <v>13</v>
      </c>
      <c r="Z727" s="97">
        <v>151</v>
      </c>
      <c r="AA727" s="97">
        <v>51</v>
      </c>
      <c r="AB727" s="97">
        <v>38</v>
      </c>
      <c r="AC727" s="97">
        <v>555</v>
      </c>
      <c r="AD727" s="97">
        <v>67</v>
      </c>
      <c r="AE727" s="97">
        <v>34</v>
      </c>
      <c r="AF727" s="97">
        <v>471</v>
      </c>
      <c r="AG727" s="97">
        <v>409.5</v>
      </c>
      <c r="AH727" s="97">
        <v>50</v>
      </c>
      <c r="AI727" s="97">
        <v>722</v>
      </c>
    </row>
    <row r="728" spans="1:35" ht="15" customHeight="1">
      <c r="A728" s="97" t="s">
        <v>524</v>
      </c>
      <c r="B728" s="97" t="s">
        <v>524</v>
      </c>
      <c r="C728" s="97" t="s">
        <v>3250</v>
      </c>
      <c r="D728" s="97" t="s">
        <v>3198</v>
      </c>
      <c r="E728" s="97" t="s">
        <v>19</v>
      </c>
      <c r="F728" s="97">
        <v>94</v>
      </c>
      <c r="G728" s="97">
        <v>44</v>
      </c>
      <c r="H728" s="97">
        <v>733</v>
      </c>
      <c r="I728" s="97">
        <v>60</v>
      </c>
      <c r="J728" s="97">
        <v>38</v>
      </c>
      <c r="K728" s="97">
        <v>696</v>
      </c>
      <c r="L728" s="97">
        <v>81.5</v>
      </c>
      <c r="M728" s="97">
        <v>34</v>
      </c>
      <c r="N728" s="97">
        <v>673</v>
      </c>
      <c r="O728" s="97">
        <v>58</v>
      </c>
      <c r="P728" s="97">
        <v>36</v>
      </c>
      <c r="Q728" s="97">
        <v>649</v>
      </c>
      <c r="R728" s="97">
        <v>41</v>
      </c>
      <c r="S728" s="97">
        <v>45</v>
      </c>
      <c r="T728" s="97">
        <v>795</v>
      </c>
      <c r="U728" s="97">
        <v>75</v>
      </c>
      <c r="V728" s="97">
        <v>15</v>
      </c>
      <c r="W728" s="97">
        <v>342</v>
      </c>
      <c r="X728" s="97">
        <v>66</v>
      </c>
      <c r="Y728" s="97">
        <v>32</v>
      </c>
      <c r="Z728" s="97">
        <v>604</v>
      </c>
      <c r="AA728" s="97">
        <v>65</v>
      </c>
      <c r="AB728" s="97">
        <v>5</v>
      </c>
      <c r="AC728" s="97">
        <v>89</v>
      </c>
      <c r="AD728" s="97">
        <v>67</v>
      </c>
      <c r="AE728" s="97">
        <v>25</v>
      </c>
      <c r="AF728" s="97">
        <v>471</v>
      </c>
      <c r="AG728" s="97">
        <v>409.5</v>
      </c>
      <c r="AH728" s="97">
        <v>40</v>
      </c>
      <c r="AI728" s="97">
        <v>722</v>
      </c>
    </row>
    <row r="729" spans="1:35" ht="15" customHeight="1">
      <c r="A729" s="97" t="s">
        <v>271</v>
      </c>
      <c r="B729" s="97" t="s">
        <v>271</v>
      </c>
      <c r="C729" s="97" t="s">
        <v>272</v>
      </c>
      <c r="D729" s="97" t="s">
        <v>3198</v>
      </c>
      <c r="E729" s="97" t="s">
        <v>28</v>
      </c>
      <c r="F729" s="97">
        <v>90</v>
      </c>
      <c r="G729" s="97">
        <v>45</v>
      </c>
      <c r="H729" s="97">
        <v>815</v>
      </c>
      <c r="I729" s="97">
        <v>62</v>
      </c>
      <c r="J729" s="97">
        <v>37</v>
      </c>
      <c r="K729" s="97">
        <v>665</v>
      </c>
      <c r="L729" s="97">
        <v>98.5</v>
      </c>
      <c r="M729" s="97">
        <v>15</v>
      </c>
      <c r="N729" s="97">
        <v>285</v>
      </c>
      <c r="O729" s="97">
        <v>57</v>
      </c>
      <c r="P729" s="97">
        <v>39</v>
      </c>
      <c r="Q729" s="97">
        <v>665</v>
      </c>
      <c r="R729" s="97">
        <v>38</v>
      </c>
      <c r="S729" s="97">
        <v>48</v>
      </c>
      <c r="T729" s="97">
        <v>840</v>
      </c>
      <c r="U729" s="97">
        <v>64</v>
      </c>
      <c r="V729" s="97">
        <v>36</v>
      </c>
      <c r="W729" s="97">
        <v>667</v>
      </c>
      <c r="X729" s="97">
        <v>79</v>
      </c>
      <c r="Y729" s="97">
        <v>6</v>
      </c>
      <c r="Z729" s="97">
        <v>175</v>
      </c>
      <c r="AA729" s="97">
        <v>49</v>
      </c>
      <c r="AB729" s="97">
        <v>46</v>
      </c>
      <c r="AC729" s="97">
        <v>633</v>
      </c>
      <c r="AD729" s="97">
        <v>68</v>
      </c>
      <c r="AE729" s="97">
        <v>24</v>
      </c>
      <c r="AF729" s="97">
        <v>412</v>
      </c>
      <c r="AG729" s="97">
        <v>409.5</v>
      </c>
      <c r="AH729" s="97">
        <v>41</v>
      </c>
      <c r="AI729" s="97">
        <v>722</v>
      </c>
    </row>
    <row r="730" spans="1:35" ht="15" customHeight="1">
      <c r="A730" s="97" t="s">
        <v>362</v>
      </c>
      <c r="B730" s="97" t="s">
        <v>362</v>
      </c>
      <c r="C730" s="97" t="s">
        <v>363</v>
      </c>
      <c r="D730" s="97" t="s">
        <v>3198</v>
      </c>
      <c r="E730" s="97" t="s">
        <v>28</v>
      </c>
      <c r="F730" s="97">
        <v>99</v>
      </c>
      <c r="G730" s="97">
        <v>37</v>
      </c>
      <c r="H730" s="97">
        <v>571</v>
      </c>
      <c r="I730" s="97">
        <v>50</v>
      </c>
      <c r="J730" s="97">
        <v>49</v>
      </c>
      <c r="K730" s="97">
        <v>831</v>
      </c>
      <c r="L730" s="97">
        <v>76.5</v>
      </c>
      <c r="M730" s="97">
        <v>44</v>
      </c>
      <c r="N730" s="97">
        <v>750</v>
      </c>
      <c r="O730" s="97">
        <v>49</v>
      </c>
      <c r="P730" s="97">
        <v>46</v>
      </c>
      <c r="Q730" s="97">
        <v>803</v>
      </c>
      <c r="R730" s="97">
        <v>60</v>
      </c>
      <c r="S730" s="97">
        <v>13</v>
      </c>
      <c r="T730" s="97">
        <v>322</v>
      </c>
      <c r="U730" s="97">
        <v>75</v>
      </c>
      <c r="V730" s="97">
        <v>19</v>
      </c>
      <c r="W730" s="97">
        <v>342</v>
      </c>
      <c r="X730" s="97">
        <v>53</v>
      </c>
      <c r="Y730" s="97">
        <v>53</v>
      </c>
      <c r="Z730" s="97">
        <v>888</v>
      </c>
      <c r="AA730" s="97">
        <v>60</v>
      </c>
      <c r="AB730" s="97">
        <v>16</v>
      </c>
      <c r="AC730" s="97">
        <v>203</v>
      </c>
      <c r="AD730" s="97">
        <v>66</v>
      </c>
      <c r="AE730" s="97">
        <v>31</v>
      </c>
      <c r="AF730" s="97">
        <v>511</v>
      </c>
      <c r="AG730" s="97">
        <v>409.5</v>
      </c>
      <c r="AH730" s="97">
        <v>41</v>
      </c>
      <c r="AI730" s="97">
        <v>722</v>
      </c>
    </row>
    <row r="731" spans="1:35" ht="15" customHeight="1">
      <c r="A731" s="97" t="s">
        <v>2767</v>
      </c>
      <c r="B731" s="97" t="s">
        <v>2767</v>
      </c>
      <c r="C731" s="97" t="s">
        <v>2768</v>
      </c>
      <c r="D731" s="97" t="s">
        <v>3198</v>
      </c>
      <c r="E731" s="97" t="s">
        <v>38</v>
      </c>
      <c r="F731" s="97">
        <v>102</v>
      </c>
      <c r="G731" s="97">
        <v>23</v>
      </c>
      <c r="H731" s="97">
        <v>442</v>
      </c>
      <c r="I731" s="97">
        <v>59</v>
      </c>
      <c r="J731" s="97">
        <v>43</v>
      </c>
      <c r="K731" s="97">
        <v>721</v>
      </c>
      <c r="L731" s="97">
        <v>78.5</v>
      </c>
      <c r="M731" s="97">
        <v>45</v>
      </c>
      <c r="N731" s="97">
        <v>711</v>
      </c>
      <c r="O731" s="97">
        <v>55</v>
      </c>
      <c r="P731" s="97">
        <v>43</v>
      </c>
      <c r="Q731" s="97">
        <v>694</v>
      </c>
      <c r="R731" s="97">
        <v>45</v>
      </c>
      <c r="S731" s="97">
        <v>42</v>
      </c>
      <c r="T731" s="97">
        <v>720</v>
      </c>
      <c r="U731" s="97">
        <v>70</v>
      </c>
      <c r="V731" s="97">
        <v>25</v>
      </c>
      <c r="W731" s="97">
        <v>485</v>
      </c>
      <c r="X731" s="97">
        <v>71</v>
      </c>
      <c r="Y731" s="97">
        <v>17</v>
      </c>
      <c r="Z731" s="97">
        <v>439</v>
      </c>
      <c r="AA731" s="97">
        <v>54</v>
      </c>
      <c r="AB731" s="97">
        <v>23</v>
      </c>
      <c r="AC731" s="97">
        <v>428</v>
      </c>
      <c r="AD731" s="97">
        <v>62</v>
      </c>
      <c r="AE731" s="97">
        <v>35</v>
      </c>
      <c r="AF731" s="97">
        <v>672</v>
      </c>
      <c r="AG731" s="97">
        <v>409.5</v>
      </c>
      <c r="AH731" s="97">
        <v>42</v>
      </c>
      <c r="AI731" s="97">
        <v>722</v>
      </c>
    </row>
    <row r="732" spans="1:35" ht="15" customHeight="1">
      <c r="A732" s="97" t="s">
        <v>444</v>
      </c>
      <c r="B732" s="97" t="s">
        <v>444</v>
      </c>
      <c r="C732" s="97" t="s">
        <v>445</v>
      </c>
      <c r="D732" s="97" t="s">
        <v>3198</v>
      </c>
      <c r="E732" s="97" t="s">
        <v>19</v>
      </c>
      <c r="F732" s="97">
        <v>108</v>
      </c>
      <c r="G732" s="97">
        <v>15</v>
      </c>
      <c r="H732" s="97">
        <v>212</v>
      </c>
      <c r="I732" s="97">
        <v>58</v>
      </c>
      <c r="J732" s="97">
        <v>42</v>
      </c>
      <c r="K732" s="97">
        <v>734</v>
      </c>
      <c r="L732" s="97">
        <v>98</v>
      </c>
      <c r="M732" s="97">
        <v>14</v>
      </c>
      <c r="N732" s="97">
        <v>294</v>
      </c>
      <c r="O732" s="97">
        <v>51</v>
      </c>
      <c r="P732" s="97">
        <v>45</v>
      </c>
      <c r="Q732" s="97">
        <v>771</v>
      </c>
      <c r="R732" s="97">
        <v>38</v>
      </c>
      <c r="S732" s="97">
        <v>51</v>
      </c>
      <c r="T732" s="97">
        <v>840</v>
      </c>
      <c r="U732" s="97">
        <v>56</v>
      </c>
      <c r="V732" s="97">
        <v>49</v>
      </c>
      <c r="W732" s="97">
        <v>816</v>
      </c>
      <c r="X732" s="97">
        <v>69</v>
      </c>
      <c r="Y732" s="97">
        <v>26</v>
      </c>
      <c r="Z732" s="97">
        <v>504</v>
      </c>
      <c r="AA732" s="97">
        <v>48</v>
      </c>
      <c r="AB732" s="97">
        <v>44</v>
      </c>
      <c r="AC732" s="97">
        <v>671</v>
      </c>
      <c r="AD732" s="97">
        <v>62</v>
      </c>
      <c r="AE732" s="97">
        <v>38</v>
      </c>
      <c r="AF732" s="97">
        <v>672</v>
      </c>
      <c r="AG732" s="97">
        <v>409</v>
      </c>
      <c r="AH732" s="97">
        <v>42</v>
      </c>
      <c r="AI732" s="97">
        <v>729</v>
      </c>
    </row>
    <row r="733" spans="1:35" ht="15" customHeight="1">
      <c r="A733" s="97" t="s">
        <v>1161</v>
      </c>
      <c r="B733" s="97" t="s">
        <v>1161</v>
      </c>
      <c r="C733" s="97" t="s">
        <v>1162</v>
      </c>
      <c r="D733" s="97" t="s">
        <v>3198</v>
      </c>
      <c r="E733" s="97" t="s">
        <v>68</v>
      </c>
      <c r="F733" s="97">
        <v>92</v>
      </c>
      <c r="G733" s="97">
        <v>48</v>
      </c>
      <c r="H733" s="97">
        <v>779</v>
      </c>
      <c r="I733" s="97">
        <v>73</v>
      </c>
      <c r="J733" s="97">
        <v>31</v>
      </c>
      <c r="K733" s="97">
        <v>438</v>
      </c>
      <c r="L733" s="97">
        <v>77</v>
      </c>
      <c r="M733" s="97">
        <v>39</v>
      </c>
      <c r="N733" s="97">
        <v>740</v>
      </c>
      <c r="O733" s="97">
        <v>35</v>
      </c>
      <c r="P733" s="97">
        <v>55</v>
      </c>
      <c r="Q733" s="97">
        <v>912</v>
      </c>
      <c r="R733" s="97">
        <v>59</v>
      </c>
      <c r="S733" s="97">
        <v>19</v>
      </c>
      <c r="T733" s="97">
        <v>348</v>
      </c>
      <c r="U733" s="97">
        <v>73</v>
      </c>
      <c r="V733" s="97">
        <v>21</v>
      </c>
      <c r="W733" s="97">
        <v>393</v>
      </c>
      <c r="X733" s="97">
        <v>81</v>
      </c>
      <c r="Y733" s="97">
        <v>5</v>
      </c>
      <c r="Z733" s="97">
        <v>124</v>
      </c>
      <c r="AA733" s="97">
        <v>49</v>
      </c>
      <c r="AB733" s="97">
        <v>32</v>
      </c>
      <c r="AC733" s="97">
        <v>633</v>
      </c>
      <c r="AD733" s="97">
        <v>70</v>
      </c>
      <c r="AE733" s="97">
        <v>18</v>
      </c>
      <c r="AF733" s="97">
        <v>327</v>
      </c>
      <c r="AG733" s="97">
        <v>409</v>
      </c>
      <c r="AH733" s="97">
        <v>45</v>
      </c>
      <c r="AI733" s="97">
        <v>729</v>
      </c>
    </row>
    <row r="734" spans="1:35" ht="15" customHeight="1">
      <c r="A734" s="97" t="s">
        <v>1452</v>
      </c>
      <c r="B734" s="97" t="s">
        <v>1452</v>
      </c>
      <c r="C734" s="97" t="s">
        <v>1453</v>
      </c>
      <c r="D734" s="97" t="s">
        <v>3198</v>
      </c>
      <c r="E734" s="97" t="s">
        <v>56</v>
      </c>
      <c r="F734" s="97">
        <v>95</v>
      </c>
      <c r="G734" s="97">
        <v>35</v>
      </c>
      <c r="H734" s="97">
        <v>710</v>
      </c>
      <c r="I734" s="97">
        <v>58</v>
      </c>
      <c r="J734" s="97">
        <v>34</v>
      </c>
      <c r="K734" s="97">
        <v>734</v>
      </c>
      <c r="L734" s="97">
        <v>81.5</v>
      </c>
      <c r="M734" s="97">
        <v>39</v>
      </c>
      <c r="N734" s="97">
        <v>673</v>
      </c>
      <c r="O734" s="97">
        <v>61</v>
      </c>
      <c r="P734" s="97">
        <v>34</v>
      </c>
      <c r="Q734" s="97">
        <v>587</v>
      </c>
      <c r="R734" s="97">
        <v>45</v>
      </c>
      <c r="S734" s="97">
        <v>34</v>
      </c>
      <c r="T734" s="97">
        <v>720</v>
      </c>
      <c r="U734" s="97">
        <v>68</v>
      </c>
      <c r="V734" s="97">
        <v>40</v>
      </c>
      <c r="W734" s="97">
        <v>555</v>
      </c>
      <c r="X734" s="97">
        <v>72</v>
      </c>
      <c r="Y734" s="97">
        <v>23</v>
      </c>
      <c r="Z734" s="97">
        <v>396</v>
      </c>
      <c r="AA734" s="97">
        <v>47</v>
      </c>
      <c r="AB734" s="97">
        <v>36</v>
      </c>
      <c r="AC734" s="97">
        <v>719</v>
      </c>
      <c r="AD734" s="97">
        <v>66</v>
      </c>
      <c r="AE734" s="97">
        <v>28</v>
      </c>
      <c r="AF734" s="97">
        <v>511</v>
      </c>
      <c r="AG734" s="97">
        <v>408.5</v>
      </c>
      <c r="AH734" s="97">
        <v>39</v>
      </c>
      <c r="AI734" s="97">
        <v>731</v>
      </c>
    </row>
    <row r="735" spans="1:35" ht="15" customHeight="1">
      <c r="A735" s="97" t="s">
        <v>458</v>
      </c>
      <c r="B735" s="97" t="s">
        <v>458</v>
      </c>
      <c r="C735" s="97" t="s">
        <v>462</v>
      </c>
      <c r="D735" s="97" t="s">
        <v>3198</v>
      </c>
      <c r="E735" s="97" t="s">
        <v>19</v>
      </c>
      <c r="F735" s="97">
        <v>105</v>
      </c>
      <c r="G735" s="97">
        <v>19</v>
      </c>
      <c r="H735" s="97">
        <v>325</v>
      </c>
      <c r="I735" s="97">
        <v>60</v>
      </c>
      <c r="J735" s="97">
        <v>38</v>
      </c>
      <c r="K735" s="97">
        <v>696</v>
      </c>
      <c r="L735" s="97">
        <v>74.5</v>
      </c>
      <c r="M735" s="97">
        <v>48</v>
      </c>
      <c r="N735" s="97">
        <v>784</v>
      </c>
      <c r="O735" s="97">
        <v>59</v>
      </c>
      <c r="P735" s="97">
        <v>33</v>
      </c>
      <c r="Q735" s="97">
        <v>626</v>
      </c>
      <c r="R735" s="97">
        <v>38</v>
      </c>
      <c r="S735" s="97">
        <v>51</v>
      </c>
      <c r="T735" s="97">
        <v>840</v>
      </c>
      <c r="U735" s="97">
        <v>72</v>
      </c>
      <c r="V735" s="97">
        <v>22</v>
      </c>
      <c r="W735" s="97">
        <v>433</v>
      </c>
      <c r="X735" s="97">
        <v>70</v>
      </c>
      <c r="Y735" s="97">
        <v>24</v>
      </c>
      <c r="Z735" s="97">
        <v>473</v>
      </c>
      <c r="AA735" s="97">
        <v>55</v>
      </c>
      <c r="AB735" s="97">
        <v>26</v>
      </c>
      <c r="AC735" s="97">
        <v>392</v>
      </c>
      <c r="AD735" s="97">
        <v>52</v>
      </c>
      <c r="AE735" s="97">
        <v>52</v>
      </c>
      <c r="AF735" s="97">
        <v>879</v>
      </c>
      <c r="AG735" s="97">
        <v>408.5</v>
      </c>
      <c r="AH735" s="97">
        <v>43</v>
      </c>
      <c r="AI735" s="97">
        <v>731</v>
      </c>
    </row>
    <row r="736" spans="1:35" ht="15" customHeight="1">
      <c r="A736" s="97" t="s">
        <v>359</v>
      </c>
      <c r="B736" s="97" t="s">
        <v>359</v>
      </c>
      <c r="C736" s="97" t="s">
        <v>360</v>
      </c>
      <c r="D736" s="97" t="s">
        <v>3198</v>
      </c>
      <c r="E736" s="97" t="s">
        <v>28</v>
      </c>
      <c r="F736" s="97">
        <v>109</v>
      </c>
      <c r="G736" s="97">
        <v>9</v>
      </c>
      <c r="H736" s="97">
        <v>185</v>
      </c>
      <c r="I736" s="97">
        <v>49</v>
      </c>
      <c r="J736" s="97">
        <v>51</v>
      </c>
      <c r="K736" s="97">
        <v>839</v>
      </c>
      <c r="L736" s="97">
        <v>113</v>
      </c>
      <c r="M736" s="97">
        <v>1</v>
      </c>
      <c r="N736" s="97">
        <v>74</v>
      </c>
      <c r="O736" s="97">
        <v>47</v>
      </c>
      <c r="P736" s="97">
        <v>48</v>
      </c>
      <c r="Q736" s="97">
        <v>825</v>
      </c>
      <c r="R736" s="97">
        <v>36</v>
      </c>
      <c r="S736" s="97">
        <v>50</v>
      </c>
      <c r="T736" s="97">
        <v>856</v>
      </c>
      <c r="U736" s="97">
        <v>54</v>
      </c>
      <c r="V736" s="97">
        <v>49</v>
      </c>
      <c r="W736" s="97">
        <v>845</v>
      </c>
      <c r="X736" s="97">
        <v>66</v>
      </c>
      <c r="Y736" s="97">
        <v>35</v>
      </c>
      <c r="Z736" s="97">
        <v>604</v>
      </c>
      <c r="AA736" s="97">
        <v>40</v>
      </c>
      <c r="AB736" s="97">
        <v>54</v>
      </c>
      <c r="AC736" s="97">
        <v>881</v>
      </c>
      <c r="AD736" s="97">
        <v>58</v>
      </c>
      <c r="AE736" s="97">
        <v>52</v>
      </c>
      <c r="AF736" s="97">
        <v>770</v>
      </c>
      <c r="AG736" s="97">
        <v>408</v>
      </c>
      <c r="AH736" s="97">
        <v>43</v>
      </c>
      <c r="AI736" s="97">
        <v>733</v>
      </c>
    </row>
    <row r="737" spans="1:35" ht="15" customHeight="1">
      <c r="A737" s="97" t="s">
        <v>2803</v>
      </c>
      <c r="B737" s="97" t="s">
        <v>2803</v>
      </c>
      <c r="C737" s="97" t="s">
        <v>2804</v>
      </c>
      <c r="D737" s="97" t="s">
        <v>3198</v>
      </c>
      <c r="E737" s="97" t="s">
        <v>38</v>
      </c>
      <c r="F737" s="97">
        <v>87</v>
      </c>
      <c r="G737" s="97">
        <v>47</v>
      </c>
      <c r="H737" s="97">
        <v>857</v>
      </c>
      <c r="I737" s="97">
        <v>66</v>
      </c>
      <c r="J737" s="97">
        <v>28</v>
      </c>
      <c r="K737" s="97">
        <v>584</v>
      </c>
      <c r="L737" s="97">
        <v>98</v>
      </c>
      <c r="M737" s="97">
        <v>16</v>
      </c>
      <c r="N737" s="97">
        <v>294</v>
      </c>
      <c r="O737" s="97">
        <v>57</v>
      </c>
      <c r="P737" s="97">
        <v>41</v>
      </c>
      <c r="Q737" s="97">
        <v>665</v>
      </c>
      <c r="R737" s="97">
        <v>20</v>
      </c>
      <c r="S737" s="97">
        <v>55</v>
      </c>
      <c r="T737" s="97">
        <v>932</v>
      </c>
      <c r="U737" s="97">
        <v>80</v>
      </c>
      <c r="V737" s="97">
        <v>10</v>
      </c>
      <c r="W737" s="97">
        <v>205</v>
      </c>
      <c r="X737" s="97">
        <v>74</v>
      </c>
      <c r="Y737" s="97">
        <v>9</v>
      </c>
      <c r="Z737" s="97">
        <v>326</v>
      </c>
      <c r="AA737" s="97">
        <v>48</v>
      </c>
      <c r="AB737" s="97">
        <v>39</v>
      </c>
      <c r="AC737" s="97">
        <v>671</v>
      </c>
      <c r="AD737" s="97">
        <v>55</v>
      </c>
      <c r="AE737" s="97">
        <v>49</v>
      </c>
      <c r="AF737" s="97">
        <v>835</v>
      </c>
      <c r="AG737" s="97">
        <v>408</v>
      </c>
      <c r="AH737" s="97">
        <v>43</v>
      </c>
      <c r="AI737" s="97">
        <v>733</v>
      </c>
    </row>
    <row r="738" spans="1:35" ht="15" customHeight="1">
      <c r="A738" s="97" t="s">
        <v>2620</v>
      </c>
      <c r="B738" s="97" t="s">
        <v>2620</v>
      </c>
      <c r="C738" s="97" t="s">
        <v>2621</v>
      </c>
      <c r="D738" s="97" t="s">
        <v>3198</v>
      </c>
      <c r="E738" s="97" t="s">
        <v>49</v>
      </c>
      <c r="F738" s="97">
        <v>90</v>
      </c>
      <c r="G738" s="97">
        <v>46</v>
      </c>
      <c r="H738" s="97">
        <v>815</v>
      </c>
      <c r="I738" s="97">
        <v>71</v>
      </c>
      <c r="J738" s="97">
        <v>31</v>
      </c>
      <c r="K738" s="97">
        <v>475</v>
      </c>
      <c r="L738" s="97">
        <v>94.5</v>
      </c>
      <c r="M738" s="97">
        <v>24</v>
      </c>
      <c r="N738" s="97">
        <v>377</v>
      </c>
      <c r="O738" s="97">
        <v>52</v>
      </c>
      <c r="P738" s="97">
        <v>44</v>
      </c>
      <c r="Q738" s="97">
        <v>757</v>
      </c>
      <c r="R738" s="97">
        <v>44</v>
      </c>
      <c r="S738" s="97">
        <v>43</v>
      </c>
      <c r="T738" s="97">
        <v>736</v>
      </c>
      <c r="U738" s="97">
        <v>56</v>
      </c>
      <c r="V738" s="97">
        <v>45</v>
      </c>
      <c r="W738" s="97">
        <v>816</v>
      </c>
      <c r="X738" s="97">
        <v>68</v>
      </c>
      <c r="Y738" s="97">
        <v>19</v>
      </c>
      <c r="Z738" s="97">
        <v>541</v>
      </c>
      <c r="AA738" s="97">
        <v>49</v>
      </c>
      <c r="AB738" s="97">
        <v>29</v>
      </c>
      <c r="AC738" s="97">
        <v>633</v>
      </c>
      <c r="AD738" s="97">
        <v>46</v>
      </c>
      <c r="AE738" s="97">
        <v>52</v>
      </c>
      <c r="AF738" s="97">
        <v>921</v>
      </c>
      <c r="AG738" s="97">
        <v>407.5</v>
      </c>
      <c r="AH738" s="97">
        <v>41</v>
      </c>
      <c r="AI738" s="97">
        <v>735</v>
      </c>
    </row>
    <row r="739" spans="1:35" ht="15" customHeight="1">
      <c r="A739" s="97" t="s">
        <v>829</v>
      </c>
      <c r="B739" s="97" t="s">
        <v>829</v>
      </c>
      <c r="C739" s="97" t="s">
        <v>830</v>
      </c>
      <c r="D739" s="97" t="s">
        <v>3198</v>
      </c>
      <c r="E739" s="97" t="s">
        <v>117</v>
      </c>
      <c r="F739" s="97">
        <v>93</v>
      </c>
      <c r="G739" s="97">
        <v>42</v>
      </c>
      <c r="H739" s="97">
        <v>755</v>
      </c>
      <c r="I739" s="97">
        <v>84</v>
      </c>
      <c r="J739" s="97">
        <v>12</v>
      </c>
      <c r="K739" s="97">
        <v>251</v>
      </c>
      <c r="L739" s="97">
        <v>63.5</v>
      </c>
      <c r="M739" s="97">
        <v>50</v>
      </c>
      <c r="N739" s="97">
        <v>892</v>
      </c>
      <c r="O739" s="97">
        <v>58</v>
      </c>
      <c r="P739" s="97">
        <v>38</v>
      </c>
      <c r="Q739" s="97">
        <v>649</v>
      </c>
      <c r="R739" s="97">
        <v>58</v>
      </c>
      <c r="S739" s="97">
        <v>19</v>
      </c>
      <c r="T739" s="97">
        <v>377</v>
      </c>
      <c r="U739" s="97">
        <v>51</v>
      </c>
      <c r="V739" s="97">
        <v>52</v>
      </c>
      <c r="W739" s="97">
        <v>874</v>
      </c>
      <c r="X739" s="97">
        <v>61</v>
      </c>
      <c r="Y739" s="97">
        <v>46</v>
      </c>
      <c r="Z739" s="97">
        <v>754</v>
      </c>
      <c r="AA739" s="97">
        <v>45</v>
      </c>
      <c r="AB739" s="97">
        <v>46</v>
      </c>
      <c r="AC739" s="97">
        <v>781</v>
      </c>
      <c r="AD739" s="97">
        <v>60</v>
      </c>
      <c r="AE739" s="97">
        <v>41</v>
      </c>
      <c r="AF739" s="97">
        <v>727</v>
      </c>
      <c r="AG739" s="97">
        <v>407.5</v>
      </c>
      <c r="AH739" s="97">
        <v>43</v>
      </c>
      <c r="AI739" s="97">
        <v>735</v>
      </c>
    </row>
    <row r="740" spans="1:35" ht="15" customHeight="1">
      <c r="A740" s="97" t="s">
        <v>1399</v>
      </c>
      <c r="B740" s="97" t="s">
        <v>1399</v>
      </c>
      <c r="C740" s="97" t="s">
        <v>1400</v>
      </c>
      <c r="D740" s="97" t="s">
        <v>3198</v>
      </c>
      <c r="E740" s="97" t="s">
        <v>56</v>
      </c>
      <c r="F740" s="97">
        <v>94</v>
      </c>
      <c r="G740" s="97">
        <v>37</v>
      </c>
      <c r="H740" s="97">
        <v>733</v>
      </c>
      <c r="I740" s="97">
        <v>55</v>
      </c>
      <c r="J740" s="97">
        <v>40</v>
      </c>
      <c r="K740" s="97">
        <v>766</v>
      </c>
      <c r="L740" s="97">
        <v>71</v>
      </c>
      <c r="M740" s="97">
        <v>51</v>
      </c>
      <c r="N740" s="97">
        <v>829</v>
      </c>
      <c r="O740" s="97">
        <v>71</v>
      </c>
      <c r="P740" s="97">
        <v>15</v>
      </c>
      <c r="Q740" s="97">
        <v>378</v>
      </c>
      <c r="R740" s="97">
        <v>37</v>
      </c>
      <c r="S740" s="97">
        <v>41</v>
      </c>
      <c r="T740" s="97">
        <v>850</v>
      </c>
      <c r="U740" s="97">
        <v>79</v>
      </c>
      <c r="V740" s="97">
        <v>20</v>
      </c>
      <c r="W740" s="97">
        <v>229</v>
      </c>
      <c r="X740" s="97">
        <v>70</v>
      </c>
      <c r="Y740" s="97">
        <v>33</v>
      </c>
      <c r="Z740" s="97">
        <v>473</v>
      </c>
      <c r="AA740" s="97">
        <v>47</v>
      </c>
      <c r="AB740" s="97">
        <v>36</v>
      </c>
      <c r="AC740" s="97">
        <v>719</v>
      </c>
      <c r="AD740" s="97">
        <v>49</v>
      </c>
      <c r="AE740" s="97">
        <v>52</v>
      </c>
      <c r="AF740" s="97">
        <v>904</v>
      </c>
      <c r="AG740" s="97">
        <v>407</v>
      </c>
      <c r="AH740" s="97">
        <v>40</v>
      </c>
      <c r="AI740" s="97">
        <v>737</v>
      </c>
    </row>
    <row r="741" spans="1:35" ht="15" customHeight="1">
      <c r="A741" s="97" t="s">
        <v>2831</v>
      </c>
      <c r="B741" s="97" t="s">
        <v>2831</v>
      </c>
      <c r="C741" s="97" t="s">
        <v>2832</v>
      </c>
      <c r="D741" s="97" t="s">
        <v>3198</v>
      </c>
      <c r="E741" s="97" t="s">
        <v>38</v>
      </c>
      <c r="F741" s="97">
        <v>79</v>
      </c>
      <c r="G741" s="97">
        <v>54</v>
      </c>
      <c r="H741" s="97">
        <v>915</v>
      </c>
      <c r="I741" s="97">
        <v>63</v>
      </c>
      <c r="J741" s="97">
        <v>31</v>
      </c>
      <c r="K741" s="97">
        <v>642</v>
      </c>
      <c r="L741" s="97">
        <v>93</v>
      </c>
      <c r="M741" s="97">
        <v>24</v>
      </c>
      <c r="N741" s="97">
        <v>405</v>
      </c>
      <c r="O741" s="97">
        <v>72</v>
      </c>
      <c r="P741" s="97">
        <v>15</v>
      </c>
      <c r="Q741" s="97">
        <v>358</v>
      </c>
      <c r="R741" s="97">
        <v>43</v>
      </c>
      <c r="S741" s="97">
        <v>45</v>
      </c>
      <c r="T741" s="97">
        <v>757</v>
      </c>
      <c r="U741" s="97">
        <v>57</v>
      </c>
      <c r="V741" s="97">
        <v>48</v>
      </c>
      <c r="W741" s="97">
        <v>801</v>
      </c>
      <c r="X741" s="97">
        <v>57</v>
      </c>
      <c r="Y741" s="97">
        <v>50</v>
      </c>
      <c r="Z741" s="97">
        <v>838</v>
      </c>
      <c r="AA741" s="97">
        <v>49</v>
      </c>
      <c r="AB741" s="97">
        <v>35</v>
      </c>
      <c r="AC741" s="97">
        <v>633</v>
      </c>
      <c r="AD741" s="97">
        <v>67</v>
      </c>
      <c r="AE741" s="97">
        <v>25</v>
      </c>
      <c r="AF741" s="97">
        <v>471</v>
      </c>
      <c r="AG741" s="97">
        <v>407</v>
      </c>
      <c r="AH741" s="97">
        <v>44</v>
      </c>
      <c r="AI741" s="97">
        <v>737</v>
      </c>
    </row>
    <row r="742" spans="1:35" ht="15" customHeight="1">
      <c r="A742" s="97" t="s">
        <v>1913</v>
      </c>
      <c r="B742" s="97" t="s">
        <v>1913</v>
      </c>
      <c r="C742" s="97" t="s">
        <v>1914</v>
      </c>
      <c r="D742" s="97" t="s">
        <v>3198</v>
      </c>
      <c r="E742" s="97" t="s">
        <v>34</v>
      </c>
      <c r="F742" s="97">
        <v>104</v>
      </c>
      <c r="G742" s="97">
        <v>23</v>
      </c>
      <c r="H742" s="97">
        <v>357</v>
      </c>
      <c r="I742" s="97">
        <v>63</v>
      </c>
      <c r="J742" s="97">
        <v>38</v>
      </c>
      <c r="K742" s="97">
        <v>642</v>
      </c>
      <c r="L742" s="97">
        <v>103.5</v>
      </c>
      <c r="M742" s="97">
        <v>8</v>
      </c>
      <c r="N742" s="97">
        <v>200</v>
      </c>
      <c r="O742" s="97">
        <v>50</v>
      </c>
      <c r="P742" s="97">
        <v>47</v>
      </c>
      <c r="Q742" s="97">
        <v>788</v>
      </c>
      <c r="R742" s="97">
        <v>29</v>
      </c>
      <c r="S742" s="97">
        <v>54</v>
      </c>
      <c r="T742" s="97">
        <v>908</v>
      </c>
      <c r="U742" s="97">
        <v>57</v>
      </c>
      <c r="V742" s="97">
        <v>44</v>
      </c>
      <c r="W742" s="97">
        <v>801</v>
      </c>
      <c r="X742" s="97">
        <v>67</v>
      </c>
      <c r="Y742" s="97">
        <v>40</v>
      </c>
      <c r="Z742" s="97">
        <v>570</v>
      </c>
      <c r="AA742" s="97">
        <v>45</v>
      </c>
      <c r="AB742" s="97">
        <v>48</v>
      </c>
      <c r="AC742" s="97">
        <v>781</v>
      </c>
      <c r="AD742" s="97">
        <v>65</v>
      </c>
      <c r="AE742" s="97">
        <v>29</v>
      </c>
      <c r="AF742" s="97">
        <v>548</v>
      </c>
      <c r="AG742" s="97">
        <v>406.5</v>
      </c>
      <c r="AH742" s="97">
        <v>43</v>
      </c>
      <c r="AI742" s="97">
        <v>739</v>
      </c>
    </row>
    <row r="743" spans="1:35" ht="15" customHeight="1">
      <c r="A743" s="97" t="s">
        <v>1249</v>
      </c>
      <c r="B743" s="97" t="s">
        <v>1249</v>
      </c>
      <c r="C743" s="97" t="s">
        <v>1250</v>
      </c>
      <c r="D743" s="97" t="s">
        <v>3198</v>
      </c>
      <c r="E743" s="97" t="s">
        <v>54</v>
      </c>
      <c r="F743" s="97">
        <v>95</v>
      </c>
      <c r="G743" s="97">
        <v>43</v>
      </c>
      <c r="H743" s="97">
        <v>710</v>
      </c>
      <c r="I743" s="97">
        <v>64</v>
      </c>
      <c r="J743" s="97">
        <v>35</v>
      </c>
      <c r="K743" s="97">
        <v>627</v>
      </c>
      <c r="L743" s="97">
        <v>84.5</v>
      </c>
      <c r="M743" s="97">
        <v>26</v>
      </c>
      <c r="N743" s="97">
        <v>606</v>
      </c>
      <c r="O743" s="97">
        <v>49</v>
      </c>
      <c r="P743" s="97">
        <v>46</v>
      </c>
      <c r="Q743" s="97">
        <v>803</v>
      </c>
      <c r="R743" s="97">
        <v>45</v>
      </c>
      <c r="S743" s="97">
        <v>46</v>
      </c>
      <c r="T743" s="97">
        <v>720</v>
      </c>
      <c r="U743" s="97">
        <v>69</v>
      </c>
      <c r="V743" s="97">
        <v>34</v>
      </c>
      <c r="W743" s="97">
        <v>523</v>
      </c>
      <c r="X743" s="97">
        <v>77</v>
      </c>
      <c r="Y743" s="97">
        <v>11</v>
      </c>
      <c r="Z743" s="97">
        <v>240</v>
      </c>
      <c r="AA743" s="97">
        <v>47</v>
      </c>
      <c r="AB743" s="97">
        <v>37</v>
      </c>
      <c r="AC743" s="97">
        <v>719</v>
      </c>
      <c r="AD743" s="97">
        <v>79</v>
      </c>
      <c r="AE743" s="97">
        <v>4</v>
      </c>
      <c r="AF743" s="97">
        <v>73</v>
      </c>
      <c r="AG743" s="97">
        <v>406.5</v>
      </c>
      <c r="AH743" s="97">
        <v>42</v>
      </c>
      <c r="AI743" s="97">
        <v>739</v>
      </c>
    </row>
    <row r="744" spans="1:35" ht="15" customHeight="1">
      <c r="A744" s="97" t="s">
        <v>1117</v>
      </c>
      <c r="B744" s="97" t="s">
        <v>1117</v>
      </c>
      <c r="C744" s="97" t="s">
        <v>1118</v>
      </c>
      <c r="D744" s="97" t="s">
        <v>3198</v>
      </c>
      <c r="E744" s="97" t="s">
        <v>68</v>
      </c>
      <c r="F744" s="97">
        <v>105</v>
      </c>
      <c r="G744" s="97">
        <v>19</v>
      </c>
      <c r="H744" s="97">
        <v>325</v>
      </c>
      <c r="I744" s="97">
        <v>70</v>
      </c>
      <c r="J744" s="97">
        <v>38</v>
      </c>
      <c r="K744" s="97">
        <v>505</v>
      </c>
      <c r="L744" s="97">
        <v>61.5</v>
      </c>
      <c r="M744" s="97">
        <v>57</v>
      </c>
      <c r="N744" s="97">
        <v>905</v>
      </c>
      <c r="O744" s="97">
        <v>49</v>
      </c>
      <c r="P744" s="97">
        <v>46</v>
      </c>
      <c r="Q744" s="97">
        <v>803</v>
      </c>
      <c r="R744" s="97">
        <v>46</v>
      </c>
      <c r="S744" s="97">
        <v>45</v>
      </c>
      <c r="T744" s="97">
        <v>702</v>
      </c>
      <c r="U744" s="97">
        <v>75</v>
      </c>
      <c r="V744" s="97">
        <v>18</v>
      </c>
      <c r="W744" s="97">
        <v>342</v>
      </c>
      <c r="X744" s="97">
        <v>73</v>
      </c>
      <c r="Y744" s="97">
        <v>18</v>
      </c>
      <c r="Z744" s="97">
        <v>359</v>
      </c>
      <c r="AA744" s="97">
        <v>52</v>
      </c>
      <c r="AB744" s="97">
        <v>22</v>
      </c>
      <c r="AC744" s="97">
        <v>509</v>
      </c>
      <c r="AD744" s="97">
        <v>70</v>
      </c>
      <c r="AE744" s="97">
        <v>18</v>
      </c>
      <c r="AF744" s="97">
        <v>327</v>
      </c>
      <c r="AG744" s="97">
        <v>406.5</v>
      </c>
      <c r="AH744" s="97">
        <v>46</v>
      </c>
      <c r="AI744" s="97">
        <v>739</v>
      </c>
    </row>
    <row r="745" spans="1:35" ht="15" customHeight="1">
      <c r="A745" s="97" t="s">
        <v>1957</v>
      </c>
      <c r="B745" s="97" t="s">
        <v>1957</v>
      </c>
      <c r="C745" s="97" t="s">
        <v>1958</v>
      </c>
      <c r="D745" s="97" t="s">
        <v>3198</v>
      </c>
      <c r="E745" s="97" t="s">
        <v>109</v>
      </c>
      <c r="F745" s="97">
        <v>97</v>
      </c>
      <c r="G745" s="97">
        <v>39</v>
      </c>
      <c r="H745" s="97">
        <v>645</v>
      </c>
      <c r="I745" s="97">
        <v>61</v>
      </c>
      <c r="J745" s="97">
        <v>41</v>
      </c>
      <c r="K745" s="97">
        <v>678</v>
      </c>
      <c r="L745" s="97">
        <v>87</v>
      </c>
      <c r="M745" s="97">
        <v>32</v>
      </c>
      <c r="N745" s="97">
        <v>553</v>
      </c>
      <c r="O745" s="97">
        <v>36</v>
      </c>
      <c r="P745" s="97">
        <v>54</v>
      </c>
      <c r="Q745" s="97">
        <v>905</v>
      </c>
      <c r="R745" s="97">
        <v>59</v>
      </c>
      <c r="S745" s="97">
        <v>19</v>
      </c>
      <c r="T745" s="97">
        <v>348</v>
      </c>
      <c r="U745" s="97">
        <v>66</v>
      </c>
      <c r="V745" s="97">
        <v>37</v>
      </c>
      <c r="W745" s="97">
        <v>611</v>
      </c>
      <c r="X745" s="97">
        <v>54</v>
      </c>
      <c r="Y745" s="97">
        <v>53</v>
      </c>
      <c r="Z745" s="97">
        <v>880</v>
      </c>
      <c r="AA745" s="97">
        <v>48</v>
      </c>
      <c r="AB745" s="97">
        <v>34</v>
      </c>
      <c r="AC745" s="97">
        <v>671</v>
      </c>
      <c r="AD745" s="97">
        <v>57</v>
      </c>
      <c r="AE745" s="97">
        <v>44</v>
      </c>
      <c r="AF745" s="97">
        <v>798</v>
      </c>
      <c r="AG745" s="97">
        <v>406</v>
      </c>
      <c r="AH745" s="97">
        <v>42</v>
      </c>
      <c r="AI745" s="97">
        <v>742</v>
      </c>
    </row>
    <row r="746" spans="1:35" ht="15" customHeight="1">
      <c r="A746" s="97" t="s">
        <v>1901</v>
      </c>
      <c r="B746" s="97" t="s">
        <v>1901</v>
      </c>
      <c r="C746" s="97" t="s">
        <v>1902</v>
      </c>
      <c r="D746" s="97" t="s">
        <v>3198</v>
      </c>
      <c r="E746" s="97" t="s">
        <v>34</v>
      </c>
      <c r="F746" s="97">
        <v>99</v>
      </c>
      <c r="G746" s="97">
        <v>37</v>
      </c>
      <c r="H746" s="97">
        <v>571</v>
      </c>
      <c r="I746" s="97">
        <v>51</v>
      </c>
      <c r="J746" s="97">
        <v>52</v>
      </c>
      <c r="K746" s="97">
        <v>817</v>
      </c>
      <c r="L746" s="97">
        <v>118.5</v>
      </c>
      <c r="M746" s="97">
        <v>1</v>
      </c>
      <c r="N746" s="97">
        <v>36</v>
      </c>
      <c r="O746" s="97">
        <v>41</v>
      </c>
      <c r="P746" s="97">
        <v>55</v>
      </c>
      <c r="Q746" s="97">
        <v>871</v>
      </c>
      <c r="R746" s="97">
        <v>48</v>
      </c>
      <c r="S746" s="97">
        <v>38</v>
      </c>
      <c r="T746" s="97">
        <v>649</v>
      </c>
      <c r="U746" s="97">
        <v>48</v>
      </c>
      <c r="V746" s="97">
        <v>53</v>
      </c>
      <c r="W746" s="97">
        <v>892</v>
      </c>
      <c r="X746" s="97">
        <v>80</v>
      </c>
      <c r="Y746" s="97">
        <v>13</v>
      </c>
      <c r="Z746" s="97">
        <v>151</v>
      </c>
      <c r="AA746" s="97">
        <v>46</v>
      </c>
      <c r="AB746" s="97">
        <v>43</v>
      </c>
      <c r="AC746" s="97">
        <v>755</v>
      </c>
      <c r="AD746" s="97">
        <v>58</v>
      </c>
      <c r="AE746" s="97">
        <v>46</v>
      </c>
      <c r="AF746" s="97">
        <v>770</v>
      </c>
      <c r="AG746" s="97">
        <v>405.5</v>
      </c>
      <c r="AH746" s="97">
        <v>44</v>
      </c>
      <c r="AI746" s="97">
        <v>743</v>
      </c>
    </row>
    <row r="747" spans="1:35" ht="15" customHeight="1">
      <c r="A747" s="97" t="s">
        <v>2252</v>
      </c>
      <c r="B747" s="97" t="s">
        <v>2252</v>
      </c>
      <c r="C747" s="97" t="s">
        <v>2253</v>
      </c>
      <c r="D747" s="97" t="s">
        <v>3198</v>
      </c>
      <c r="E747" s="97" t="s">
        <v>73</v>
      </c>
      <c r="F747" s="97">
        <v>89</v>
      </c>
      <c r="G747" s="97">
        <v>51</v>
      </c>
      <c r="H747" s="97">
        <v>835</v>
      </c>
      <c r="I747" s="97">
        <v>67</v>
      </c>
      <c r="J747" s="97">
        <v>25</v>
      </c>
      <c r="K747" s="97">
        <v>565</v>
      </c>
      <c r="L747" s="97">
        <v>107.5</v>
      </c>
      <c r="M747" s="97">
        <v>8</v>
      </c>
      <c r="N747" s="97">
        <v>141</v>
      </c>
      <c r="O747" s="97">
        <v>40</v>
      </c>
      <c r="P747" s="97">
        <v>48</v>
      </c>
      <c r="Q747" s="97">
        <v>879</v>
      </c>
      <c r="R747" s="97">
        <v>50</v>
      </c>
      <c r="S747" s="97">
        <v>36</v>
      </c>
      <c r="T747" s="97">
        <v>599</v>
      </c>
      <c r="U747" s="97">
        <v>52</v>
      </c>
      <c r="V747" s="97">
        <v>50</v>
      </c>
      <c r="W747" s="97">
        <v>866</v>
      </c>
      <c r="X747" s="97">
        <v>59</v>
      </c>
      <c r="Y747" s="97">
        <v>46</v>
      </c>
      <c r="Z747" s="97">
        <v>799</v>
      </c>
      <c r="AA747" s="97">
        <v>53</v>
      </c>
      <c r="AB747" s="97">
        <v>34</v>
      </c>
      <c r="AC747" s="97">
        <v>470</v>
      </c>
      <c r="AD747" s="97">
        <v>49</v>
      </c>
      <c r="AE747" s="97">
        <v>54</v>
      </c>
      <c r="AF747" s="97">
        <v>904</v>
      </c>
      <c r="AG747" s="97">
        <v>405.5</v>
      </c>
      <c r="AH747" s="97">
        <v>40</v>
      </c>
      <c r="AI747" s="97">
        <v>743</v>
      </c>
    </row>
    <row r="748" spans="1:35" ht="15" customHeight="1">
      <c r="A748" s="97" t="s">
        <v>2214</v>
      </c>
      <c r="B748" s="97" t="s">
        <v>2214</v>
      </c>
      <c r="C748" s="97" t="s">
        <v>2215</v>
      </c>
      <c r="D748" s="97" t="s">
        <v>3198</v>
      </c>
      <c r="E748" s="97" t="s">
        <v>73</v>
      </c>
      <c r="F748" s="97">
        <v>96</v>
      </c>
      <c r="G748" s="97">
        <v>43</v>
      </c>
      <c r="H748" s="97">
        <v>676</v>
      </c>
      <c r="I748" s="97">
        <v>53</v>
      </c>
      <c r="J748" s="97">
        <v>43</v>
      </c>
      <c r="K748" s="97">
        <v>792</v>
      </c>
      <c r="L748" s="97">
        <v>104.5</v>
      </c>
      <c r="M748" s="97">
        <v>11</v>
      </c>
      <c r="N748" s="97">
        <v>177</v>
      </c>
      <c r="O748" s="97">
        <v>40</v>
      </c>
      <c r="P748" s="97">
        <v>48</v>
      </c>
      <c r="Q748" s="97">
        <v>879</v>
      </c>
      <c r="R748" s="97">
        <v>42</v>
      </c>
      <c r="S748" s="97">
        <v>46</v>
      </c>
      <c r="T748" s="97">
        <v>774</v>
      </c>
      <c r="U748" s="97">
        <v>70</v>
      </c>
      <c r="V748" s="97">
        <v>20</v>
      </c>
      <c r="W748" s="97">
        <v>485</v>
      </c>
      <c r="X748" s="97">
        <v>77</v>
      </c>
      <c r="Y748" s="97">
        <v>9</v>
      </c>
      <c r="Z748" s="97">
        <v>240</v>
      </c>
      <c r="AA748" s="97">
        <v>54</v>
      </c>
      <c r="AB748" s="97">
        <v>26</v>
      </c>
      <c r="AC748" s="97">
        <v>428</v>
      </c>
      <c r="AD748" s="97">
        <v>70</v>
      </c>
      <c r="AE748" s="97">
        <v>20</v>
      </c>
      <c r="AF748" s="97">
        <v>327</v>
      </c>
      <c r="AG748" s="97">
        <v>405.5</v>
      </c>
      <c r="AH748" s="97">
        <v>40</v>
      </c>
      <c r="AI748" s="97">
        <v>743</v>
      </c>
    </row>
    <row r="749" spans="1:35" ht="15" customHeight="1">
      <c r="A749" s="97" t="s">
        <v>1895</v>
      </c>
      <c r="B749" s="97" t="s">
        <v>1895</v>
      </c>
      <c r="C749" s="97" t="s">
        <v>1896</v>
      </c>
      <c r="D749" s="97" t="s">
        <v>3198</v>
      </c>
      <c r="E749" s="97" t="s">
        <v>34</v>
      </c>
      <c r="F749" s="97">
        <v>101</v>
      </c>
      <c r="G749" s="97">
        <v>30</v>
      </c>
      <c r="H749" s="97">
        <v>481</v>
      </c>
      <c r="I749" s="97">
        <v>65</v>
      </c>
      <c r="J749" s="97">
        <v>35</v>
      </c>
      <c r="K749" s="97">
        <v>604</v>
      </c>
      <c r="L749" s="97">
        <v>88</v>
      </c>
      <c r="M749" s="97">
        <v>33</v>
      </c>
      <c r="N749" s="97">
        <v>534</v>
      </c>
      <c r="O749" s="97">
        <v>44</v>
      </c>
      <c r="P749" s="97">
        <v>51</v>
      </c>
      <c r="Q749" s="97">
        <v>849</v>
      </c>
      <c r="R749" s="97">
        <v>46</v>
      </c>
      <c r="S749" s="97">
        <v>42</v>
      </c>
      <c r="T749" s="97">
        <v>702</v>
      </c>
      <c r="U749" s="97">
        <v>61</v>
      </c>
      <c r="V749" s="97">
        <v>39</v>
      </c>
      <c r="W749" s="97">
        <v>734</v>
      </c>
      <c r="X749" s="97">
        <v>78</v>
      </c>
      <c r="Y749" s="97">
        <v>18</v>
      </c>
      <c r="Z749" s="97">
        <v>209</v>
      </c>
      <c r="AA749" s="97">
        <v>52</v>
      </c>
      <c r="AB749" s="97">
        <v>25</v>
      </c>
      <c r="AC749" s="97">
        <v>509</v>
      </c>
      <c r="AD749" s="97">
        <v>62</v>
      </c>
      <c r="AE749" s="97">
        <v>42</v>
      </c>
      <c r="AF749" s="97">
        <v>672</v>
      </c>
      <c r="AG749" s="97">
        <v>405</v>
      </c>
      <c r="AH749" s="97">
        <v>45</v>
      </c>
      <c r="AI749" s="97">
        <v>746</v>
      </c>
    </row>
    <row r="750" spans="1:35" ht="15" customHeight="1">
      <c r="A750" s="97" t="s">
        <v>2343</v>
      </c>
      <c r="B750" s="97" t="s">
        <v>2343</v>
      </c>
      <c r="C750" s="97" t="s">
        <v>2350</v>
      </c>
      <c r="D750" s="97" t="s">
        <v>3198</v>
      </c>
      <c r="E750" s="97" t="s">
        <v>7</v>
      </c>
      <c r="F750" s="97">
        <v>95</v>
      </c>
      <c r="G750" s="97">
        <v>41</v>
      </c>
      <c r="H750" s="97">
        <v>710</v>
      </c>
      <c r="I750" s="97">
        <v>53</v>
      </c>
      <c r="J750" s="97">
        <v>46</v>
      </c>
      <c r="K750" s="97">
        <v>792</v>
      </c>
      <c r="L750" s="97">
        <v>97.5</v>
      </c>
      <c r="M750" s="97">
        <v>11</v>
      </c>
      <c r="N750" s="97">
        <v>310</v>
      </c>
      <c r="O750" s="97">
        <v>58</v>
      </c>
      <c r="P750" s="97">
        <v>38</v>
      </c>
      <c r="Q750" s="97">
        <v>649</v>
      </c>
      <c r="R750" s="97">
        <v>45</v>
      </c>
      <c r="S750" s="97">
        <v>37</v>
      </c>
      <c r="T750" s="97">
        <v>720</v>
      </c>
      <c r="U750" s="97">
        <v>56</v>
      </c>
      <c r="V750" s="97">
        <v>47</v>
      </c>
      <c r="W750" s="97">
        <v>816</v>
      </c>
      <c r="X750" s="97">
        <v>75</v>
      </c>
      <c r="Y750" s="97">
        <v>31</v>
      </c>
      <c r="Z750" s="97">
        <v>289</v>
      </c>
      <c r="AA750" s="97">
        <v>55</v>
      </c>
      <c r="AB750" s="97">
        <v>28</v>
      </c>
      <c r="AC750" s="97">
        <v>392</v>
      </c>
      <c r="AD750" s="97">
        <v>67</v>
      </c>
      <c r="AE750" s="97">
        <v>26</v>
      </c>
      <c r="AF750" s="97">
        <v>471</v>
      </c>
      <c r="AG750" s="97">
        <v>404.5</v>
      </c>
      <c r="AH750" s="97">
        <v>41</v>
      </c>
      <c r="AI750" s="97">
        <v>747</v>
      </c>
    </row>
    <row r="751" spans="1:35" ht="15" customHeight="1">
      <c r="A751" s="97" t="s">
        <v>2580</v>
      </c>
      <c r="B751" s="97" t="s">
        <v>2580</v>
      </c>
      <c r="C751" s="97" t="s">
        <v>2581</v>
      </c>
      <c r="D751" s="97" t="s">
        <v>3198</v>
      </c>
      <c r="E751" s="97" t="s">
        <v>131</v>
      </c>
      <c r="F751" s="97">
        <v>92</v>
      </c>
      <c r="G751" s="97">
        <v>37</v>
      </c>
      <c r="H751" s="97">
        <v>779</v>
      </c>
      <c r="I751" s="97">
        <v>72</v>
      </c>
      <c r="J751" s="97">
        <v>27</v>
      </c>
      <c r="K751" s="97">
        <v>458</v>
      </c>
      <c r="L751" s="97">
        <v>87.5</v>
      </c>
      <c r="M751" s="97">
        <v>27</v>
      </c>
      <c r="N751" s="97">
        <v>541</v>
      </c>
      <c r="O751" s="97">
        <v>41</v>
      </c>
      <c r="P751" s="97">
        <v>52</v>
      </c>
      <c r="Q751" s="97">
        <v>871</v>
      </c>
      <c r="R751" s="97">
        <v>39</v>
      </c>
      <c r="S751" s="97">
        <v>52</v>
      </c>
      <c r="T751" s="97">
        <v>825</v>
      </c>
      <c r="U751" s="97">
        <v>72</v>
      </c>
      <c r="V751" s="97">
        <v>21</v>
      </c>
      <c r="W751" s="97">
        <v>433</v>
      </c>
      <c r="X751" s="97">
        <v>73</v>
      </c>
      <c r="Y751" s="97">
        <v>13</v>
      </c>
      <c r="Z751" s="97">
        <v>359</v>
      </c>
      <c r="AA751" s="97">
        <v>48</v>
      </c>
      <c r="AB751" s="97">
        <v>45</v>
      </c>
      <c r="AC751" s="97">
        <v>671</v>
      </c>
      <c r="AD751" s="97">
        <v>69</v>
      </c>
      <c r="AE751" s="97">
        <v>26</v>
      </c>
      <c r="AF751" s="97">
        <v>367</v>
      </c>
      <c r="AG751" s="97">
        <v>403.5</v>
      </c>
      <c r="AH751" s="97">
        <v>44</v>
      </c>
      <c r="AI751" s="97">
        <v>748</v>
      </c>
    </row>
    <row r="752" spans="1:35" ht="15" customHeight="1">
      <c r="A752" s="97" t="s">
        <v>2095</v>
      </c>
      <c r="B752" s="97" t="s">
        <v>2095</v>
      </c>
      <c r="C752" s="97" t="s">
        <v>2096</v>
      </c>
      <c r="D752" s="97" t="s">
        <v>3198</v>
      </c>
      <c r="E752" s="97" t="s">
        <v>109</v>
      </c>
      <c r="F752" s="97">
        <v>93</v>
      </c>
      <c r="G752" s="97">
        <v>49</v>
      </c>
      <c r="H752" s="97">
        <v>755</v>
      </c>
      <c r="I752" s="97">
        <v>69</v>
      </c>
      <c r="J752" s="97">
        <v>25</v>
      </c>
      <c r="K752" s="97">
        <v>524</v>
      </c>
      <c r="L752" s="97">
        <v>81.5</v>
      </c>
      <c r="M752" s="97">
        <v>45</v>
      </c>
      <c r="N752" s="97">
        <v>673</v>
      </c>
      <c r="O752" s="97">
        <v>57</v>
      </c>
      <c r="P752" s="97">
        <v>37</v>
      </c>
      <c r="Q752" s="97">
        <v>665</v>
      </c>
      <c r="R752" s="97">
        <v>41</v>
      </c>
      <c r="S752" s="97">
        <v>50</v>
      </c>
      <c r="T752" s="97">
        <v>795</v>
      </c>
      <c r="U752" s="97">
        <v>62</v>
      </c>
      <c r="V752" s="97">
        <v>43</v>
      </c>
      <c r="W752" s="97">
        <v>716</v>
      </c>
      <c r="X752" s="97">
        <v>66</v>
      </c>
      <c r="Y752" s="97">
        <v>34</v>
      </c>
      <c r="Z752" s="97">
        <v>604</v>
      </c>
      <c r="AA752" s="97">
        <v>55</v>
      </c>
      <c r="AB752" s="97">
        <v>16</v>
      </c>
      <c r="AC752" s="97">
        <v>392</v>
      </c>
      <c r="AD752" s="97">
        <v>67</v>
      </c>
      <c r="AE752" s="97">
        <v>26</v>
      </c>
      <c r="AF752" s="97">
        <v>471</v>
      </c>
      <c r="AG752" s="97">
        <v>403.5</v>
      </c>
      <c r="AH752" s="97">
        <v>43</v>
      </c>
      <c r="AI752" s="97">
        <v>748</v>
      </c>
    </row>
    <row r="753" spans="1:35" ht="15" customHeight="1">
      <c r="A753" s="97" t="s">
        <v>2888</v>
      </c>
      <c r="B753" s="97" t="s">
        <v>2888</v>
      </c>
      <c r="C753" s="97" t="s">
        <v>2889</v>
      </c>
      <c r="D753" s="97" t="s">
        <v>3198</v>
      </c>
      <c r="E753" s="97" t="s">
        <v>38</v>
      </c>
      <c r="F753" s="97">
        <v>85</v>
      </c>
      <c r="G753" s="97">
        <v>48</v>
      </c>
      <c r="H753" s="97">
        <v>885</v>
      </c>
      <c r="I753" s="97">
        <v>63</v>
      </c>
      <c r="J753" s="97">
        <v>31</v>
      </c>
      <c r="K753" s="97">
        <v>642</v>
      </c>
      <c r="L753" s="97">
        <v>94</v>
      </c>
      <c r="M753" s="97">
        <v>23</v>
      </c>
      <c r="N753" s="97">
        <v>382</v>
      </c>
      <c r="O753" s="97">
        <v>50</v>
      </c>
      <c r="P753" s="97">
        <v>47</v>
      </c>
      <c r="Q753" s="97">
        <v>788</v>
      </c>
      <c r="R753" s="97">
        <v>47</v>
      </c>
      <c r="S753" s="97">
        <v>34</v>
      </c>
      <c r="T753" s="97">
        <v>673</v>
      </c>
      <c r="U753" s="97">
        <v>64</v>
      </c>
      <c r="V753" s="97">
        <v>36</v>
      </c>
      <c r="W753" s="97">
        <v>667</v>
      </c>
      <c r="X753" s="97">
        <v>66</v>
      </c>
      <c r="Y753" s="97">
        <v>34</v>
      </c>
      <c r="Z753" s="97">
        <v>604</v>
      </c>
      <c r="AA753" s="97">
        <v>43</v>
      </c>
      <c r="AB753" s="97">
        <v>48</v>
      </c>
      <c r="AC753" s="97">
        <v>824</v>
      </c>
      <c r="AD753" s="97">
        <v>75</v>
      </c>
      <c r="AE753" s="97">
        <v>6</v>
      </c>
      <c r="AF753" s="97">
        <v>146</v>
      </c>
      <c r="AG753" s="97">
        <v>403</v>
      </c>
      <c r="AH753" s="97">
        <v>45</v>
      </c>
      <c r="AI753" s="97">
        <v>750</v>
      </c>
    </row>
    <row r="754" spans="1:35" ht="15" customHeight="1">
      <c r="A754" s="97" t="s">
        <v>2752</v>
      </c>
      <c r="B754" s="97" t="s">
        <v>2752</v>
      </c>
      <c r="C754" s="97" t="s">
        <v>2753</v>
      </c>
      <c r="D754" s="97" t="s">
        <v>3198</v>
      </c>
      <c r="E754" s="97" t="s">
        <v>38</v>
      </c>
      <c r="F754" s="97">
        <v>76</v>
      </c>
      <c r="G754" s="97">
        <v>56</v>
      </c>
      <c r="H754" s="97">
        <v>924</v>
      </c>
      <c r="I754" s="97">
        <v>64</v>
      </c>
      <c r="J754" s="97">
        <v>30</v>
      </c>
      <c r="K754" s="97">
        <v>627</v>
      </c>
      <c r="L754" s="97">
        <v>95</v>
      </c>
      <c r="M754" s="97">
        <v>21</v>
      </c>
      <c r="N754" s="97">
        <v>364</v>
      </c>
      <c r="O754" s="97">
        <v>59</v>
      </c>
      <c r="P754" s="97">
        <v>36</v>
      </c>
      <c r="Q754" s="97">
        <v>626</v>
      </c>
      <c r="R754" s="97">
        <v>52</v>
      </c>
      <c r="S754" s="97">
        <v>25</v>
      </c>
      <c r="T754" s="97">
        <v>551</v>
      </c>
      <c r="U754" s="97">
        <v>57</v>
      </c>
      <c r="V754" s="97">
        <v>48</v>
      </c>
      <c r="W754" s="97">
        <v>801</v>
      </c>
      <c r="X754" s="97">
        <v>49</v>
      </c>
      <c r="Y754" s="97">
        <v>54</v>
      </c>
      <c r="Z754" s="97">
        <v>919</v>
      </c>
      <c r="AA754" s="97">
        <v>42</v>
      </c>
      <c r="AB754" s="97">
        <v>49</v>
      </c>
      <c r="AC754" s="97">
        <v>845</v>
      </c>
      <c r="AD754" s="97">
        <v>53</v>
      </c>
      <c r="AE754" s="97">
        <v>51</v>
      </c>
      <c r="AF754" s="97">
        <v>869</v>
      </c>
      <c r="AG754" s="97">
        <v>403</v>
      </c>
      <c r="AH754" s="97">
        <v>45</v>
      </c>
      <c r="AI754" s="97">
        <v>750</v>
      </c>
    </row>
    <row r="755" spans="1:35" ht="15" customHeight="1">
      <c r="A755" s="97" t="s">
        <v>1152</v>
      </c>
      <c r="B755" s="97" t="s">
        <v>1152</v>
      </c>
      <c r="C755" s="97" t="s">
        <v>1153</v>
      </c>
      <c r="D755" s="97" t="s">
        <v>3198</v>
      </c>
      <c r="E755" s="97" t="s">
        <v>68</v>
      </c>
      <c r="F755" s="97">
        <v>103</v>
      </c>
      <c r="G755" s="97">
        <v>26</v>
      </c>
      <c r="H755" s="97">
        <v>400</v>
      </c>
      <c r="I755" s="97">
        <v>50</v>
      </c>
      <c r="J755" s="97">
        <v>50</v>
      </c>
      <c r="K755" s="97">
        <v>831</v>
      </c>
      <c r="L755" s="97">
        <v>68</v>
      </c>
      <c r="M755" s="97">
        <v>48</v>
      </c>
      <c r="N755" s="97">
        <v>862</v>
      </c>
      <c r="O755" s="97">
        <v>67</v>
      </c>
      <c r="P755" s="97">
        <v>21</v>
      </c>
      <c r="Q755" s="97">
        <v>468</v>
      </c>
      <c r="R755" s="97">
        <v>47</v>
      </c>
      <c r="S755" s="97">
        <v>41</v>
      </c>
      <c r="T755" s="97">
        <v>673</v>
      </c>
      <c r="U755" s="97">
        <v>68</v>
      </c>
      <c r="V755" s="97">
        <v>33</v>
      </c>
      <c r="W755" s="97">
        <v>555</v>
      </c>
      <c r="X755" s="97">
        <v>55</v>
      </c>
      <c r="Y755" s="97">
        <v>50</v>
      </c>
      <c r="Z755" s="97">
        <v>868</v>
      </c>
      <c r="AA755" s="97">
        <v>57</v>
      </c>
      <c r="AB755" s="97">
        <v>10</v>
      </c>
      <c r="AC755" s="97">
        <v>306</v>
      </c>
      <c r="AD755" s="97">
        <v>68</v>
      </c>
      <c r="AE755" s="97">
        <v>25</v>
      </c>
      <c r="AF755" s="97">
        <v>412</v>
      </c>
      <c r="AG755" s="97">
        <v>403</v>
      </c>
      <c r="AH755" s="97">
        <v>47</v>
      </c>
      <c r="AI755" s="97">
        <v>750</v>
      </c>
    </row>
    <row r="756" spans="1:35" ht="15" customHeight="1">
      <c r="A756" s="97" t="s">
        <v>1858</v>
      </c>
      <c r="B756" s="97" t="s">
        <v>1858</v>
      </c>
      <c r="C756" s="97" t="s">
        <v>1859</v>
      </c>
      <c r="D756" s="97" t="s">
        <v>3198</v>
      </c>
      <c r="E756" s="97" t="s">
        <v>34</v>
      </c>
      <c r="F756" s="97">
        <v>104</v>
      </c>
      <c r="G756" s="97">
        <v>23</v>
      </c>
      <c r="H756" s="97">
        <v>357</v>
      </c>
      <c r="I756" s="97">
        <v>63</v>
      </c>
      <c r="J756" s="97">
        <v>38</v>
      </c>
      <c r="K756" s="97">
        <v>642</v>
      </c>
      <c r="L756" s="97">
        <v>87</v>
      </c>
      <c r="M756" s="97">
        <v>34</v>
      </c>
      <c r="N756" s="97">
        <v>553</v>
      </c>
      <c r="O756" s="97">
        <v>62</v>
      </c>
      <c r="P756" s="97">
        <v>31</v>
      </c>
      <c r="Q756" s="97">
        <v>564</v>
      </c>
      <c r="R756" s="97">
        <v>41</v>
      </c>
      <c r="S756" s="97">
        <v>47</v>
      </c>
      <c r="T756" s="97">
        <v>795</v>
      </c>
      <c r="U756" s="97">
        <v>46</v>
      </c>
      <c r="V756" s="97">
        <v>54</v>
      </c>
      <c r="W756" s="97">
        <v>901</v>
      </c>
      <c r="X756" s="97">
        <v>59</v>
      </c>
      <c r="Y756" s="97">
        <v>49</v>
      </c>
      <c r="Z756" s="97">
        <v>799</v>
      </c>
      <c r="AA756" s="97">
        <v>43</v>
      </c>
      <c r="AB756" s="97">
        <v>49</v>
      </c>
      <c r="AC756" s="97">
        <v>824</v>
      </c>
      <c r="AD756" s="97">
        <v>58</v>
      </c>
      <c r="AE756" s="97">
        <v>46</v>
      </c>
      <c r="AF756" s="97">
        <v>770</v>
      </c>
      <c r="AG756" s="97">
        <v>403</v>
      </c>
      <c r="AH756" s="97">
        <v>46</v>
      </c>
      <c r="AI756" s="97">
        <v>750</v>
      </c>
    </row>
    <row r="757" spans="1:35" ht="15" customHeight="1">
      <c r="A757" s="97" t="s">
        <v>314</v>
      </c>
      <c r="B757" s="97" t="s">
        <v>314</v>
      </c>
      <c r="C757" s="97" t="s">
        <v>315</v>
      </c>
      <c r="D757" s="97" t="s">
        <v>3198</v>
      </c>
      <c r="E757" s="97" t="s">
        <v>28</v>
      </c>
      <c r="F757" s="97">
        <v>112</v>
      </c>
      <c r="G757" s="97">
        <v>6</v>
      </c>
      <c r="H757" s="97">
        <v>114</v>
      </c>
      <c r="I757" s="97">
        <v>60</v>
      </c>
      <c r="J757" s="97">
        <v>38</v>
      </c>
      <c r="K757" s="97">
        <v>696</v>
      </c>
      <c r="L757" s="97">
        <v>111</v>
      </c>
      <c r="M757" s="97">
        <v>3</v>
      </c>
      <c r="N757" s="97">
        <v>95</v>
      </c>
      <c r="O757" s="97">
        <v>50</v>
      </c>
      <c r="P757" s="97">
        <v>45</v>
      </c>
      <c r="Q757" s="97">
        <v>788</v>
      </c>
      <c r="R757" s="97">
        <v>36</v>
      </c>
      <c r="S757" s="97">
        <v>50</v>
      </c>
      <c r="T757" s="97">
        <v>856</v>
      </c>
      <c r="U757" s="97">
        <v>34</v>
      </c>
      <c r="V757" s="97">
        <v>55</v>
      </c>
      <c r="W757" s="97">
        <v>933</v>
      </c>
      <c r="X757" s="97">
        <v>73</v>
      </c>
      <c r="Y757" s="97">
        <v>19</v>
      </c>
      <c r="Z757" s="97">
        <v>359</v>
      </c>
      <c r="AA757" s="97">
        <v>44</v>
      </c>
      <c r="AB757" s="97">
        <v>51</v>
      </c>
      <c r="AC757" s="97">
        <v>804</v>
      </c>
      <c r="AD757" s="97">
        <v>62</v>
      </c>
      <c r="AE757" s="97">
        <v>45</v>
      </c>
      <c r="AF757" s="97">
        <v>672</v>
      </c>
      <c r="AG757" s="97">
        <v>403</v>
      </c>
      <c r="AH757" s="97">
        <v>44</v>
      </c>
      <c r="AI757" s="97">
        <v>750</v>
      </c>
    </row>
    <row r="758" spans="1:35" ht="15" customHeight="1">
      <c r="A758" s="97" t="s">
        <v>405</v>
      </c>
      <c r="B758" s="97" t="s">
        <v>405</v>
      </c>
      <c r="C758" s="97" t="s">
        <v>406</v>
      </c>
      <c r="D758" s="97" t="s">
        <v>3198</v>
      </c>
      <c r="E758" s="97" t="s">
        <v>19</v>
      </c>
      <c r="F758" s="97">
        <v>91</v>
      </c>
      <c r="G758" s="97">
        <v>49</v>
      </c>
      <c r="H758" s="97">
        <v>799</v>
      </c>
      <c r="I758" s="97">
        <v>72</v>
      </c>
      <c r="J758" s="97">
        <v>24</v>
      </c>
      <c r="K758" s="97">
        <v>458</v>
      </c>
      <c r="L758" s="97">
        <v>83</v>
      </c>
      <c r="M758" s="97">
        <v>31</v>
      </c>
      <c r="N758" s="97">
        <v>642</v>
      </c>
      <c r="O758" s="97">
        <v>49</v>
      </c>
      <c r="P758" s="97">
        <v>47</v>
      </c>
      <c r="Q758" s="97">
        <v>803</v>
      </c>
      <c r="R758" s="97">
        <v>48</v>
      </c>
      <c r="S758" s="97">
        <v>35</v>
      </c>
      <c r="T758" s="97">
        <v>649</v>
      </c>
      <c r="U758" s="97">
        <v>60</v>
      </c>
      <c r="V758" s="97">
        <v>43</v>
      </c>
      <c r="W758" s="97">
        <v>748</v>
      </c>
      <c r="X758" s="97">
        <v>72</v>
      </c>
      <c r="Y758" s="97">
        <v>19</v>
      </c>
      <c r="Z758" s="97">
        <v>396</v>
      </c>
      <c r="AA758" s="97">
        <v>46</v>
      </c>
      <c r="AB758" s="97">
        <v>46</v>
      </c>
      <c r="AC758" s="97">
        <v>755</v>
      </c>
      <c r="AD758" s="97">
        <v>54</v>
      </c>
      <c r="AE758" s="97">
        <v>49</v>
      </c>
      <c r="AF758" s="97">
        <v>855</v>
      </c>
      <c r="AG758" s="97">
        <v>403</v>
      </c>
      <c r="AH758" s="97">
        <v>44</v>
      </c>
      <c r="AI758" s="97">
        <v>750</v>
      </c>
    </row>
    <row r="759" spans="1:35" ht="15" customHeight="1">
      <c r="A759" s="97" t="s">
        <v>521</v>
      </c>
      <c r="B759" s="97" t="s">
        <v>521</v>
      </c>
      <c r="C759" s="97" t="s">
        <v>531</v>
      </c>
      <c r="D759" s="97" t="s">
        <v>3198</v>
      </c>
      <c r="E759" s="97" t="s">
        <v>19</v>
      </c>
      <c r="F759" s="97">
        <v>97</v>
      </c>
      <c r="G759" s="97">
        <v>40</v>
      </c>
      <c r="H759" s="97">
        <v>645</v>
      </c>
      <c r="I759" s="97">
        <v>61</v>
      </c>
      <c r="J759" s="97">
        <v>37</v>
      </c>
      <c r="K759" s="97">
        <v>678</v>
      </c>
      <c r="L759" s="97">
        <v>100</v>
      </c>
      <c r="M759" s="97">
        <v>11</v>
      </c>
      <c r="N759" s="97">
        <v>258</v>
      </c>
      <c r="O759" s="97">
        <v>56</v>
      </c>
      <c r="P759" s="97">
        <v>40</v>
      </c>
      <c r="Q759" s="97">
        <v>682</v>
      </c>
      <c r="R759" s="97">
        <v>42</v>
      </c>
      <c r="S759" s="97">
        <v>42</v>
      </c>
      <c r="T759" s="97">
        <v>774</v>
      </c>
      <c r="U759" s="97">
        <v>47</v>
      </c>
      <c r="V759" s="97">
        <v>55</v>
      </c>
      <c r="W759" s="97">
        <v>895</v>
      </c>
      <c r="X759" s="97">
        <v>67</v>
      </c>
      <c r="Y759" s="97">
        <v>30</v>
      </c>
      <c r="Z759" s="97">
        <v>570</v>
      </c>
      <c r="AA759" s="97">
        <v>43</v>
      </c>
      <c r="AB759" s="97">
        <v>51</v>
      </c>
      <c r="AC759" s="97">
        <v>824</v>
      </c>
      <c r="AD759" s="97">
        <v>58</v>
      </c>
      <c r="AE759" s="97">
        <v>45</v>
      </c>
      <c r="AF759" s="97">
        <v>770</v>
      </c>
      <c r="AG759" s="97">
        <v>403</v>
      </c>
      <c r="AH759" s="97">
        <v>44</v>
      </c>
      <c r="AI759" s="97">
        <v>750</v>
      </c>
    </row>
    <row r="760" spans="1:35" ht="15" customHeight="1">
      <c r="A760" s="97" t="s">
        <v>2264</v>
      </c>
      <c r="B760" s="97" t="s">
        <v>2264</v>
      </c>
      <c r="C760" s="97" t="s">
        <v>2268</v>
      </c>
      <c r="D760" s="97" t="s">
        <v>3198</v>
      </c>
      <c r="E760" s="97" t="s">
        <v>7</v>
      </c>
      <c r="F760" s="97">
        <v>102</v>
      </c>
      <c r="G760" s="97">
        <v>24</v>
      </c>
      <c r="H760" s="97">
        <v>442</v>
      </c>
      <c r="I760" s="97">
        <v>60</v>
      </c>
      <c r="J760" s="97">
        <v>36</v>
      </c>
      <c r="K760" s="97">
        <v>696</v>
      </c>
      <c r="L760" s="97">
        <v>73.5</v>
      </c>
      <c r="M760" s="97">
        <v>47</v>
      </c>
      <c r="N760" s="97">
        <v>797</v>
      </c>
      <c r="O760" s="97">
        <v>60</v>
      </c>
      <c r="P760" s="97">
        <v>32</v>
      </c>
      <c r="Q760" s="97">
        <v>607</v>
      </c>
      <c r="R760" s="97">
        <v>35</v>
      </c>
      <c r="S760" s="97">
        <v>49</v>
      </c>
      <c r="T760" s="97">
        <v>870</v>
      </c>
      <c r="U760" s="97">
        <v>72</v>
      </c>
      <c r="V760" s="97">
        <v>20</v>
      </c>
      <c r="W760" s="97">
        <v>433</v>
      </c>
      <c r="X760" s="97">
        <v>68</v>
      </c>
      <c r="Y760" s="97">
        <v>44</v>
      </c>
      <c r="Z760" s="97">
        <v>541</v>
      </c>
      <c r="AA760" s="97">
        <v>51</v>
      </c>
      <c r="AB760" s="97">
        <v>38</v>
      </c>
      <c r="AC760" s="97">
        <v>555</v>
      </c>
      <c r="AD760" s="97">
        <v>66</v>
      </c>
      <c r="AE760" s="97">
        <v>29</v>
      </c>
      <c r="AF760" s="97">
        <v>511</v>
      </c>
      <c r="AG760" s="97">
        <v>402.5</v>
      </c>
      <c r="AH760" s="97">
        <v>42</v>
      </c>
      <c r="AI760" s="97">
        <v>757</v>
      </c>
    </row>
    <row r="761" spans="1:35" ht="15" customHeight="1">
      <c r="A761" s="97" t="s">
        <v>2267</v>
      </c>
      <c r="B761" s="97" t="s">
        <v>2267</v>
      </c>
      <c r="C761" s="97" t="s">
        <v>2271</v>
      </c>
      <c r="D761" s="97" t="s">
        <v>3198</v>
      </c>
      <c r="E761" s="97" t="s">
        <v>7</v>
      </c>
      <c r="F761" s="97">
        <v>96</v>
      </c>
      <c r="G761" s="97">
        <v>36</v>
      </c>
      <c r="H761" s="97">
        <v>676</v>
      </c>
      <c r="I761" s="97">
        <v>60</v>
      </c>
      <c r="J761" s="97">
        <v>36</v>
      </c>
      <c r="K761" s="97">
        <v>696</v>
      </c>
      <c r="L761" s="97">
        <v>60.5</v>
      </c>
      <c r="M761" s="97">
        <v>55</v>
      </c>
      <c r="N761" s="97">
        <v>909</v>
      </c>
      <c r="O761" s="97">
        <v>64</v>
      </c>
      <c r="P761" s="97">
        <v>26</v>
      </c>
      <c r="Q761" s="97">
        <v>517</v>
      </c>
      <c r="R761" s="97">
        <v>50</v>
      </c>
      <c r="S761" s="97">
        <v>28</v>
      </c>
      <c r="T761" s="97">
        <v>599</v>
      </c>
      <c r="U761" s="97">
        <v>72</v>
      </c>
      <c r="V761" s="97">
        <v>20</v>
      </c>
      <c r="W761" s="97">
        <v>433</v>
      </c>
      <c r="X761" s="97">
        <v>72</v>
      </c>
      <c r="Y761" s="97">
        <v>38</v>
      </c>
      <c r="Z761" s="97">
        <v>396</v>
      </c>
      <c r="AA761" s="97">
        <v>50</v>
      </c>
      <c r="AB761" s="97">
        <v>41</v>
      </c>
      <c r="AC761" s="97">
        <v>591</v>
      </c>
      <c r="AD761" s="97">
        <v>64</v>
      </c>
      <c r="AE761" s="97">
        <v>32</v>
      </c>
      <c r="AF761" s="97">
        <v>586</v>
      </c>
      <c r="AG761" s="97">
        <v>402.5</v>
      </c>
      <c r="AH761" s="97">
        <v>42</v>
      </c>
      <c r="AI761" s="97">
        <v>757</v>
      </c>
    </row>
    <row r="762" spans="1:35" ht="15" customHeight="1">
      <c r="A762" s="97" t="s">
        <v>1979</v>
      </c>
      <c r="B762" s="97" t="s">
        <v>1979</v>
      </c>
      <c r="C762" s="97" t="s">
        <v>1980</v>
      </c>
      <c r="D762" s="97" t="s">
        <v>3198</v>
      </c>
      <c r="E762" s="97" t="s">
        <v>109</v>
      </c>
      <c r="F762" s="97">
        <v>105</v>
      </c>
      <c r="G762" s="97">
        <v>24</v>
      </c>
      <c r="H762" s="97">
        <v>325</v>
      </c>
      <c r="I762" s="97">
        <v>66</v>
      </c>
      <c r="J762" s="97">
        <v>35</v>
      </c>
      <c r="K762" s="97">
        <v>584</v>
      </c>
      <c r="L762" s="97">
        <v>69</v>
      </c>
      <c r="M762" s="97">
        <v>52</v>
      </c>
      <c r="N762" s="97">
        <v>851</v>
      </c>
      <c r="O762" s="97">
        <v>49</v>
      </c>
      <c r="P762" s="97">
        <v>49</v>
      </c>
      <c r="Q762" s="97">
        <v>803</v>
      </c>
      <c r="R762" s="97">
        <v>52</v>
      </c>
      <c r="S762" s="97">
        <v>33</v>
      </c>
      <c r="T762" s="97">
        <v>551</v>
      </c>
      <c r="U762" s="97">
        <v>61</v>
      </c>
      <c r="V762" s="97">
        <v>45</v>
      </c>
      <c r="W762" s="97">
        <v>734</v>
      </c>
      <c r="X762" s="97">
        <v>71</v>
      </c>
      <c r="Y762" s="97">
        <v>23</v>
      </c>
      <c r="Z762" s="97">
        <v>439</v>
      </c>
      <c r="AA762" s="97">
        <v>57</v>
      </c>
      <c r="AB762" s="97">
        <v>11</v>
      </c>
      <c r="AC762" s="97">
        <v>306</v>
      </c>
      <c r="AD762" s="97">
        <v>69</v>
      </c>
      <c r="AE762" s="97">
        <v>19</v>
      </c>
      <c r="AF762" s="97">
        <v>367</v>
      </c>
      <c r="AG762" s="97">
        <v>402</v>
      </c>
      <c r="AH762" s="97">
        <v>44</v>
      </c>
      <c r="AI762" s="97">
        <v>759</v>
      </c>
    </row>
    <row r="763" spans="1:35" ht="15" customHeight="1">
      <c r="A763" s="97" t="s">
        <v>3266</v>
      </c>
      <c r="B763" s="97" t="s">
        <v>3266</v>
      </c>
      <c r="C763" s="97" t="s">
        <v>3249</v>
      </c>
      <c r="D763" s="97" t="s">
        <v>3198</v>
      </c>
      <c r="E763" s="97" t="s">
        <v>60</v>
      </c>
      <c r="F763" s="97">
        <v>90</v>
      </c>
      <c r="G763" s="97">
        <v>53</v>
      </c>
      <c r="H763" s="97">
        <v>815</v>
      </c>
      <c r="I763" s="97">
        <v>37</v>
      </c>
      <c r="J763" s="97">
        <v>56</v>
      </c>
      <c r="K763" s="97">
        <v>907</v>
      </c>
      <c r="L763" s="97">
        <v>47</v>
      </c>
      <c r="M763" s="97">
        <v>56</v>
      </c>
      <c r="N763" s="97">
        <v>930</v>
      </c>
      <c r="O763" s="97">
        <v>73</v>
      </c>
      <c r="P763" s="97">
        <v>18</v>
      </c>
      <c r="Q763" s="97">
        <v>339</v>
      </c>
      <c r="R763" s="97">
        <v>77</v>
      </c>
      <c r="S763" s="97">
        <v>1</v>
      </c>
      <c r="T763" s="97">
        <v>68</v>
      </c>
      <c r="U763" s="97">
        <v>78</v>
      </c>
      <c r="V763" s="97">
        <v>7</v>
      </c>
      <c r="W763" s="97">
        <v>250</v>
      </c>
      <c r="X763" s="97">
        <v>65</v>
      </c>
      <c r="Y763" s="97">
        <v>38</v>
      </c>
      <c r="Z763" s="97">
        <v>651</v>
      </c>
      <c r="AA763" s="97">
        <v>62</v>
      </c>
      <c r="AB763" s="97">
        <v>4</v>
      </c>
      <c r="AC763" s="97">
        <v>146</v>
      </c>
      <c r="AD763" s="97">
        <v>65</v>
      </c>
      <c r="AE763" s="97">
        <v>26</v>
      </c>
      <c r="AF763" s="97">
        <v>548</v>
      </c>
      <c r="AG763" s="97">
        <v>402</v>
      </c>
      <c r="AH763" s="97">
        <v>42</v>
      </c>
      <c r="AI763" s="97">
        <v>759</v>
      </c>
    </row>
    <row r="764" spans="1:35" ht="15" customHeight="1">
      <c r="A764" s="97" t="s">
        <v>1837</v>
      </c>
      <c r="B764" s="97" t="s">
        <v>1837</v>
      </c>
      <c r="C764" s="97" t="s">
        <v>1838</v>
      </c>
      <c r="D764" s="97" t="s">
        <v>3198</v>
      </c>
      <c r="E764" s="97" t="s">
        <v>34</v>
      </c>
      <c r="F764" s="97">
        <v>93</v>
      </c>
      <c r="G764" s="97">
        <v>50</v>
      </c>
      <c r="H764" s="97">
        <v>755</v>
      </c>
      <c r="I764" s="97">
        <v>77</v>
      </c>
      <c r="J764" s="97">
        <v>20</v>
      </c>
      <c r="K764" s="97">
        <v>369</v>
      </c>
      <c r="L764" s="97">
        <v>82</v>
      </c>
      <c r="M764" s="97">
        <v>42</v>
      </c>
      <c r="N764" s="97">
        <v>667</v>
      </c>
      <c r="O764" s="97">
        <v>42</v>
      </c>
      <c r="P764" s="97">
        <v>53</v>
      </c>
      <c r="Q764" s="97">
        <v>863</v>
      </c>
      <c r="R764" s="97">
        <v>50</v>
      </c>
      <c r="S764" s="97">
        <v>34</v>
      </c>
      <c r="T764" s="97">
        <v>599</v>
      </c>
      <c r="U764" s="97">
        <v>58</v>
      </c>
      <c r="V764" s="97">
        <v>43</v>
      </c>
      <c r="W764" s="97">
        <v>786</v>
      </c>
      <c r="X764" s="97">
        <v>66</v>
      </c>
      <c r="Y764" s="97">
        <v>45</v>
      </c>
      <c r="Z764" s="97">
        <v>604</v>
      </c>
      <c r="AA764" s="97">
        <v>47</v>
      </c>
      <c r="AB764" s="97">
        <v>41</v>
      </c>
      <c r="AC764" s="97">
        <v>719</v>
      </c>
      <c r="AD764" s="97">
        <v>74</v>
      </c>
      <c r="AE764" s="97">
        <v>6</v>
      </c>
      <c r="AF764" s="97">
        <v>174</v>
      </c>
      <c r="AG764" s="97">
        <v>402</v>
      </c>
      <c r="AH764" s="97">
        <v>47</v>
      </c>
      <c r="AI764" s="97">
        <v>759</v>
      </c>
    </row>
    <row r="765" spans="1:35" ht="15" customHeight="1">
      <c r="A765" s="97" t="s">
        <v>1798</v>
      </c>
      <c r="B765" s="97" t="s">
        <v>1798</v>
      </c>
      <c r="C765" s="97" t="s">
        <v>1799</v>
      </c>
      <c r="D765" s="97" t="s">
        <v>3198</v>
      </c>
      <c r="E765" s="97" t="s">
        <v>34</v>
      </c>
      <c r="F765" s="97">
        <v>88</v>
      </c>
      <c r="G765" s="97">
        <v>53</v>
      </c>
      <c r="H765" s="97">
        <v>851</v>
      </c>
      <c r="I765" s="97">
        <v>64</v>
      </c>
      <c r="J765" s="97">
        <v>37</v>
      </c>
      <c r="K765" s="97">
        <v>627</v>
      </c>
      <c r="L765" s="97">
        <v>70.5</v>
      </c>
      <c r="M765" s="97">
        <v>49</v>
      </c>
      <c r="N765" s="97">
        <v>834</v>
      </c>
      <c r="O765" s="97">
        <v>63</v>
      </c>
      <c r="P765" s="97">
        <v>30</v>
      </c>
      <c r="Q765" s="97">
        <v>540</v>
      </c>
      <c r="R765" s="97">
        <v>50</v>
      </c>
      <c r="S765" s="97">
        <v>34</v>
      </c>
      <c r="T765" s="97">
        <v>599</v>
      </c>
      <c r="U765" s="97">
        <v>66</v>
      </c>
      <c r="V765" s="97">
        <v>31</v>
      </c>
      <c r="W765" s="97">
        <v>611</v>
      </c>
      <c r="X765" s="97">
        <v>56</v>
      </c>
      <c r="Y765" s="97">
        <v>53</v>
      </c>
      <c r="Z765" s="97">
        <v>849</v>
      </c>
      <c r="AA765" s="97">
        <v>35</v>
      </c>
      <c r="AB765" s="97">
        <v>55</v>
      </c>
      <c r="AC765" s="97">
        <v>924</v>
      </c>
      <c r="AD765" s="97">
        <v>58</v>
      </c>
      <c r="AE765" s="97">
        <v>46</v>
      </c>
      <c r="AF765" s="97">
        <v>770</v>
      </c>
      <c r="AG765" s="97">
        <v>401.5</v>
      </c>
      <c r="AH765" s="97">
        <v>48</v>
      </c>
      <c r="AI765" s="97">
        <v>762</v>
      </c>
    </row>
    <row r="766" spans="1:35" ht="15" customHeight="1">
      <c r="A766" s="97" t="s">
        <v>1200</v>
      </c>
      <c r="B766" s="97" t="s">
        <v>1200</v>
      </c>
      <c r="C766" s="97" t="s">
        <v>1201</v>
      </c>
      <c r="D766" s="97" t="s">
        <v>3198</v>
      </c>
      <c r="E766" s="97" t="s">
        <v>54</v>
      </c>
      <c r="F766" s="97">
        <v>93</v>
      </c>
      <c r="G766" s="97">
        <v>45</v>
      </c>
      <c r="H766" s="97">
        <v>755</v>
      </c>
      <c r="I766" s="97">
        <v>62</v>
      </c>
      <c r="J766" s="97">
        <v>37</v>
      </c>
      <c r="K766" s="97">
        <v>665</v>
      </c>
      <c r="L766" s="97">
        <v>78.5</v>
      </c>
      <c r="M766" s="97">
        <v>39</v>
      </c>
      <c r="N766" s="97">
        <v>711</v>
      </c>
      <c r="O766" s="97">
        <v>50</v>
      </c>
      <c r="P766" s="97">
        <v>43</v>
      </c>
      <c r="Q766" s="97">
        <v>788</v>
      </c>
      <c r="R766" s="97">
        <v>56</v>
      </c>
      <c r="S766" s="97">
        <v>28</v>
      </c>
      <c r="T766" s="97">
        <v>433</v>
      </c>
      <c r="U766" s="97">
        <v>62</v>
      </c>
      <c r="V766" s="97">
        <v>44</v>
      </c>
      <c r="W766" s="97">
        <v>716</v>
      </c>
      <c r="X766" s="97">
        <v>69</v>
      </c>
      <c r="Y766" s="97">
        <v>22</v>
      </c>
      <c r="Z766" s="97">
        <v>504</v>
      </c>
      <c r="AA766" s="97">
        <v>41</v>
      </c>
      <c r="AB766" s="97">
        <v>51</v>
      </c>
      <c r="AC766" s="97">
        <v>866</v>
      </c>
      <c r="AD766" s="97">
        <v>50</v>
      </c>
      <c r="AE766" s="97">
        <v>54</v>
      </c>
      <c r="AF766" s="97">
        <v>896</v>
      </c>
      <c r="AG766" s="97">
        <v>401.5</v>
      </c>
      <c r="AH766" s="97">
        <v>43</v>
      </c>
      <c r="AI766" s="97">
        <v>762</v>
      </c>
    </row>
    <row r="767" spans="1:35" ht="15" customHeight="1">
      <c r="A767" s="97" t="s">
        <v>935</v>
      </c>
      <c r="B767" s="97" t="s">
        <v>935</v>
      </c>
      <c r="C767" s="97" t="s">
        <v>936</v>
      </c>
      <c r="D767" s="97" t="s">
        <v>3198</v>
      </c>
      <c r="E767" s="97" t="s">
        <v>60</v>
      </c>
      <c r="F767" s="97">
        <v>100</v>
      </c>
      <c r="G767" s="97">
        <v>40</v>
      </c>
      <c r="H767" s="97">
        <v>528</v>
      </c>
      <c r="I767" s="97">
        <v>66</v>
      </c>
      <c r="J767" s="97">
        <v>33</v>
      </c>
      <c r="K767" s="97">
        <v>584</v>
      </c>
      <c r="L767" s="97">
        <v>56.5</v>
      </c>
      <c r="M767" s="97">
        <v>55</v>
      </c>
      <c r="N767" s="97">
        <v>922</v>
      </c>
      <c r="O767" s="97">
        <v>57</v>
      </c>
      <c r="P767" s="97">
        <v>34</v>
      </c>
      <c r="Q767" s="97">
        <v>665</v>
      </c>
      <c r="R767" s="97">
        <v>51</v>
      </c>
      <c r="S767" s="97">
        <v>38</v>
      </c>
      <c r="T767" s="97">
        <v>571</v>
      </c>
      <c r="U767" s="97">
        <v>71</v>
      </c>
      <c r="V767" s="97">
        <v>18</v>
      </c>
      <c r="W767" s="97">
        <v>462</v>
      </c>
      <c r="X767" s="97">
        <v>55</v>
      </c>
      <c r="Y767" s="97">
        <v>53</v>
      </c>
      <c r="Z767" s="97">
        <v>868</v>
      </c>
      <c r="AA767" s="97">
        <v>61</v>
      </c>
      <c r="AB767" s="97">
        <v>5</v>
      </c>
      <c r="AC767" s="97">
        <v>172</v>
      </c>
      <c r="AD767" s="97">
        <v>61</v>
      </c>
      <c r="AE767" s="97">
        <v>40</v>
      </c>
      <c r="AF767" s="97">
        <v>703</v>
      </c>
      <c r="AG767" s="97">
        <v>401.5</v>
      </c>
      <c r="AH767" s="97">
        <v>43</v>
      </c>
      <c r="AI767" s="97">
        <v>762</v>
      </c>
    </row>
    <row r="768" spans="1:35" ht="15" customHeight="1">
      <c r="A768" s="97" t="s">
        <v>760</v>
      </c>
      <c r="B768" s="97" t="s">
        <v>760</v>
      </c>
      <c r="C768" s="97" t="s">
        <v>761</v>
      </c>
      <c r="D768" s="97" t="s">
        <v>3198</v>
      </c>
      <c r="E768" s="97" t="s">
        <v>117</v>
      </c>
      <c r="F768" s="97">
        <v>105</v>
      </c>
      <c r="G768" s="97">
        <v>14</v>
      </c>
      <c r="H768" s="97">
        <v>325</v>
      </c>
      <c r="I768" s="97">
        <v>60</v>
      </c>
      <c r="J768" s="97">
        <v>45</v>
      </c>
      <c r="K768" s="97">
        <v>696</v>
      </c>
      <c r="L768" s="97">
        <v>78.5</v>
      </c>
      <c r="M768" s="97">
        <v>43</v>
      </c>
      <c r="N768" s="97">
        <v>711</v>
      </c>
      <c r="O768" s="97">
        <v>53</v>
      </c>
      <c r="P768" s="97">
        <v>43</v>
      </c>
      <c r="Q768" s="97">
        <v>739</v>
      </c>
      <c r="R768" s="97">
        <v>44</v>
      </c>
      <c r="S768" s="97">
        <v>44</v>
      </c>
      <c r="T768" s="97">
        <v>736</v>
      </c>
      <c r="U768" s="97">
        <v>61</v>
      </c>
      <c r="V768" s="97">
        <v>42</v>
      </c>
      <c r="W768" s="97">
        <v>734</v>
      </c>
      <c r="X768" s="97">
        <v>68</v>
      </c>
      <c r="Y768" s="97">
        <v>36</v>
      </c>
      <c r="Z768" s="97">
        <v>541</v>
      </c>
      <c r="AA768" s="97">
        <v>53</v>
      </c>
      <c r="AB768" s="97">
        <v>25</v>
      </c>
      <c r="AC768" s="97">
        <v>470</v>
      </c>
      <c r="AD768" s="97">
        <v>67</v>
      </c>
      <c r="AE768" s="97">
        <v>28</v>
      </c>
      <c r="AF768" s="97">
        <v>471</v>
      </c>
      <c r="AG768" s="97">
        <v>401.5</v>
      </c>
      <c r="AH768" s="97">
        <v>44</v>
      </c>
      <c r="AI768" s="97">
        <v>762</v>
      </c>
    </row>
    <row r="769" spans="1:35" ht="15" customHeight="1">
      <c r="A769" s="97" t="s">
        <v>2631</v>
      </c>
      <c r="B769" s="97" t="s">
        <v>2631</v>
      </c>
      <c r="C769" s="97" t="s">
        <v>2634</v>
      </c>
      <c r="D769" s="97" t="s">
        <v>3198</v>
      </c>
      <c r="E769" s="97" t="s">
        <v>49</v>
      </c>
      <c r="F769" s="97">
        <v>108</v>
      </c>
      <c r="G769" s="97">
        <v>12</v>
      </c>
      <c r="H769" s="97">
        <v>212</v>
      </c>
      <c r="I769" s="97">
        <v>43</v>
      </c>
      <c r="J769" s="97">
        <v>50</v>
      </c>
      <c r="K769" s="97">
        <v>881</v>
      </c>
      <c r="L769" s="97">
        <v>77.5</v>
      </c>
      <c r="M769" s="97">
        <v>45</v>
      </c>
      <c r="N769" s="97">
        <v>734</v>
      </c>
      <c r="O769" s="97">
        <v>62</v>
      </c>
      <c r="P769" s="97">
        <v>36</v>
      </c>
      <c r="Q769" s="97">
        <v>564</v>
      </c>
      <c r="R769" s="97">
        <v>52</v>
      </c>
      <c r="S769" s="97">
        <v>31</v>
      </c>
      <c r="T769" s="97">
        <v>551</v>
      </c>
      <c r="U769" s="97">
        <v>59</v>
      </c>
      <c r="V769" s="97">
        <v>40</v>
      </c>
      <c r="W769" s="97">
        <v>762</v>
      </c>
      <c r="X769" s="97">
        <v>69</v>
      </c>
      <c r="Y769" s="97">
        <v>16</v>
      </c>
      <c r="Z769" s="97">
        <v>504</v>
      </c>
      <c r="AA769" s="97">
        <v>62</v>
      </c>
      <c r="AB769" s="97">
        <v>7</v>
      </c>
      <c r="AC769" s="97">
        <v>146</v>
      </c>
      <c r="AD769" s="97">
        <v>70</v>
      </c>
      <c r="AE769" s="97">
        <v>10</v>
      </c>
      <c r="AF769" s="97">
        <v>327</v>
      </c>
      <c r="AG769" s="97">
        <v>401.5</v>
      </c>
      <c r="AH769" s="97">
        <v>42</v>
      </c>
      <c r="AI769" s="97">
        <v>762</v>
      </c>
    </row>
    <row r="770" spans="1:35" ht="15" customHeight="1">
      <c r="A770" s="97" t="s">
        <v>1207</v>
      </c>
      <c r="B770" s="97" t="s">
        <v>1207</v>
      </c>
      <c r="C770" s="97" t="s">
        <v>1208</v>
      </c>
      <c r="D770" s="97" t="s">
        <v>3198</v>
      </c>
      <c r="E770" s="97" t="s">
        <v>54</v>
      </c>
      <c r="F770" s="97">
        <v>106</v>
      </c>
      <c r="G770" s="97">
        <v>22</v>
      </c>
      <c r="H770" s="97">
        <v>287</v>
      </c>
      <c r="I770" s="97">
        <v>59</v>
      </c>
      <c r="J770" s="97">
        <v>42</v>
      </c>
      <c r="K770" s="97">
        <v>721</v>
      </c>
      <c r="L770" s="97">
        <v>91</v>
      </c>
      <c r="M770" s="97">
        <v>19</v>
      </c>
      <c r="N770" s="97">
        <v>458</v>
      </c>
      <c r="O770" s="97">
        <v>51</v>
      </c>
      <c r="P770" s="97">
        <v>41</v>
      </c>
      <c r="Q770" s="97">
        <v>771</v>
      </c>
      <c r="R770" s="97">
        <v>35</v>
      </c>
      <c r="S770" s="97">
        <v>52</v>
      </c>
      <c r="T770" s="97">
        <v>870</v>
      </c>
      <c r="U770" s="97">
        <v>59</v>
      </c>
      <c r="V770" s="97">
        <v>48</v>
      </c>
      <c r="W770" s="97">
        <v>762</v>
      </c>
      <c r="X770" s="97">
        <v>59</v>
      </c>
      <c r="Y770" s="97">
        <v>47</v>
      </c>
      <c r="Z770" s="97">
        <v>799</v>
      </c>
      <c r="AA770" s="97">
        <v>57</v>
      </c>
      <c r="AB770" s="97">
        <v>10</v>
      </c>
      <c r="AC770" s="97">
        <v>306</v>
      </c>
      <c r="AD770" s="97">
        <v>55</v>
      </c>
      <c r="AE770" s="97">
        <v>49</v>
      </c>
      <c r="AF770" s="97">
        <v>835</v>
      </c>
      <c r="AG770" s="97">
        <v>401</v>
      </c>
      <c r="AH770" s="97">
        <v>44</v>
      </c>
      <c r="AI770" s="97">
        <v>767</v>
      </c>
    </row>
    <row r="771" spans="1:35" ht="15" customHeight="1">
      <c r="A771" s="97" t="s">
        <v>1364</v>
      </c>
      <c r="B771" s="97" t="s">
        <v>1364</v>
      </c>
      <c r="C771" s="97" t="s">
        <v>1365</v>
      </c>
      <c r="D771" s="97" t="s">
        <v>3198</v>
      </c>
      <c r="E771" s="97" t="s">
        <v>56</v>
      </c>
      <c r="F771" s="97">
        <v>102</v>
      </c>
      <c r="G771" s="97">
        <v>19</v>
      </c>
      <c r="H771" s="97">
        <v>442</v>
      </c>
      <c r="I771" s="97">
        <v>55</v>
      </c>
      <c r="J771" s="97">
        <v>40</v>
      </c>
      <c r="K771" s="97">
        <v>766</v>
      </c>
      <c r="L771" s="97">
        <v>77</v>
      </c>
      <c r="M771" s="97">
        <v>43</v>
      </c>
      <c r="N771" s="97">
        <v>740</v>
      </c>
      <c r="O771" s="97">
        <v>64</v>
      </c>
      <c r="P771" s="97">
        <v>28</v>
      </c>
      <c r="Q771" s="97">
        <v>517</v>
      </c>
      <c r="R771" s="97">
        <v>37</v>
      </c>
      <c r="S771" s="97">
        <v>41</v>
      </c>
      <c r="T771" s="97">
        <v>850</v>
      </c>
      <c r="U771" s="97">
        <v>66</v>
      </c>
      <c r="V771" s="97">
        <v>45</v>
      </c>
      <c r="W771" s="97">
        <v>611</v>
      </c>
      <c r="X771" s="97">
        <v>82</v>
      </c>
      <c r="Y771" s="97">
        <v>7</v>
      </c>
      <c r="Z771" s="97">
        <v>100</v>
      </c>
      <c r="AA771" s="97">
        <v>42</v>
      </c>
      <c r="AB771" s="97">
        <v>48</v>
      </c>
      <c r="AC771" s="97">
        <v>845</v>
      </c>
      <c r="AD771" s="97">
        <v>59</v>
      </c>
      <c r="AE771" s="97">
        <v>45</v>
      </c>
      <c r="AF771" s="97">
        <v>746</v>
      </c>
      <c r="AG771" s="97">
        <v>401</v>
      </c>
      <c r="AH771" s="97">
        <v>41</v>
      </c>
      <c r="AI771" s="97">
        <v>767</v>
      </c>
    </row>
    <row r="772" spans="1:35" ht="15" customHeight="1">
      <c r="A772" s="97" t="s">
        <v>1246</v>
      </c>
      <c r="B772" s="97" t="s">
        <v>1246</v>
      </c>
      <c r="C772" s="97" t="s">
        <v>1247</v>
      </c>
      <c r="D772" s="97" t="s">
        <v>3198</v>
      </c>
      <c r="E772" s="97" t="s">
        <v>54</v>
      </c>
      <c r="F772" s="97">
        <v>75</v>
      </c>
      <c r="G772" s="97">
        <v>55</v>
      </c>
      <c r="H772" s="97">
        <v>926</v>
      </c>
      <c r="I772" s="97">
        <v>54</v>
      </c>
      <c r="J772" s="97">
        <v>46</v>
      </c>
      <c r="K772" s="97">
        <v>782</v>
      </c>
      <c r="L772" s="97">
        <v>59.5</v>
      </c>
      <c r="M772" s="97">
        <v>53</v>
      </c>
      <c r="N772" s="97">
        <v>913</v>
      </c>
      <c r="O772" s="97">
        <v>66</v>
      </c>
      <c r="P772" s="97">
        <v>25</v>
      </c>
      <c r="Q772" s="97">
        <v>484</v>
      </c>
      <c r="R772" s="97">
        <v>67</v>
      </c>
      <c r="S772" s="97">
        <v>6</v>
      </c>
      <c r="T772" s="97">
        <v>177</v>
      </c>
      <c r="U772" s="97">
        <v>79</v>
      </c>
      <c r="V772" s="97">
        <v>14</v>
      </c>
      <c r="W772" s="97">
        <v>229</v>
      </c>
      <c r="X772" s="97">
        <v>60</v>
      </c>
      <c r="Y772" s="97">
        <v>43</v>
      </c>
      <c r="Z772" s="97">
        <v>777</v>
      </c>
      <c r="AA772" s="97">
        <v>60</v>
      </c>
      <c r="AB772" s="97">
        <v>6</v>
      </c>
      <c r="AC772" s="97">
        <v>203</v>
      </c>
      <c r="AD772" s="97">
        <v>72</v>
      </c>
      <c r="AE772" s="97">
        <v>16</v>
      </c>
      <c r="AF772" s="97">
        <v>256</v>
      </c>
      <c r="AG772" s="97">
        <v>400.5</v>
      </c>
      <c r="AH772" s="97">
        <v>45</v>
      </c>
      <c r="AI772" s="97">
        <v>769</v>
      </c>
    </row>
    <row r="773" spans="1:35" ht="15" customHeight="1">
      <c r="A773" s="97" t="s">
        <v>894</v>
      </c>
      <c r="B773" s="97" t="s">
        <v>894</v>
      </c>
      <c r="C773" s="97" t="s">
        <v>895</v>
      </c>
      <c r="D773" s="97" t="s">
        <v>3198</v>
      </c>
      <c r="E773" s="97" t="s">
        <v>60</v>
      </c>
      <c r="F773" s="97">
        <v>97</v>
      </c>
      <c r="G773" s="97">
        <v>46</v>
      </c>
      <c r="H773" s="97">
        <v>645</v>
      </c>
      <c r="I773" s="97">
        <v>44</v>
      </c>
      <c r="J773" s="97">
        <v>54</v>
      </c>
      <c r="K773" s="97">
        <v>877</v>
      </c>
      <c r="L773" s="97">
        <v>93.5</v>
      </c>
      <c r="M773" s="97">
        <v>21</v>
      </c>
      <c r="N773" s="97">
        <v>393</v>
      </c>
      <c r="O773" s="97">
        <v>54</v>
      </c>
      <c r="P773" s="97">
        <v>37</v>
      </c>
      <c r="Q773" s="97">
        <v>718</v>
      </c>
      <c r="R773" s="97">
        <v>47</v>
      </c>
      <c r="S773" s="97">
        <v>42</v>
      </c>
      <c r="T773" s="97">
        <v>673</v>
      </c>
      <c r="U773" s="97">
        <v>65</v>
      </c>
      <c r="V773" s="97">
        <v>32</v>
      </c>
      <c r="W773" s="97">
        <v>643</v>
      </c>
      <c r="X773" s="97">
        <v>66</v>
      </c>
      <c r="Y773" s="97">
        <v>35</v>
      </c>
      <c r="Z773" s="97">
        <v>604</v>
      </c>
      <c r="AA773" s="97">
        <v>57</v>
      </c>
      <c r="AB773" s="97">
        <v>10</v>
      </c>
      <c r="AC773" s="97">
        <v>306</v>
      </c>
      <c r="AD773" s="97">
        <v>60</v>
      </c>
      <c r="AE773" s="97">
        <v>41</v>
      </c>
      <c r="AF773" s="97">
        <v>727</v>
      </c>
      <c r="AG773" s="97">
        <v>400.5</v>
      </c>
      <c r="AH773" s="97">
        <v>44</v>
      </c>
      <c r="AI773" s="97">
        <v>769</v>
      </c>
    </row>
    <row r="774" spans="1:35" ht="15" customHeight="1">
      <c r="A774" s="97" t="s">
        <v>987</v>
      </c>
      <c r="B774" s="97" t="s">
        <v>987</v>
      </c>
      <c r="C774" s="97" t="s">
        <v>988</v>
      </c>
      <c r="D774" s="97" t="s">
        <v>3198</v>
      </c>
      <c r="E774" s="97" t="s">
        <v>60</v>
      </c>
      <c r="F774" s="97">
        <v>100</v>
      </c>
      <c r="G774" s="97">
        <v>40</v>
      </c>
      <c r="H774" s="97">
        <v>528</v>
      </c>
      <c r="I774" s="97">
        <v>29</v>
      </c>
      <c r="J774" s="97">
        <v>57</v>
      </c>
      <c r="K774" s="97">
        <v>922</v>
      </c>
      <c r="L774" s="97">
        <v>116.5</v>
      </c>
      <c r="M774" s="97">
        <v>1</v>
      </c>
      <c r="N774" s="97">
        <v>46</v>
      </c>
      <c r="O774" s="97">
        <v>41</v>
      </c>
      <c r="P774" s="97">
        <v>51</v>
      </c>
      <c r="Q774" s="97">
        <v>871</v>
      </c>
      <c r="R774" s="97">
        <v>44</v>
      </c>
      <c r="S774" s="97">
        <v>43</v>
      </c>
      <c r="T774" s="97">
        <v>736</v>
      </c>
      <c r="U774" s="97">
        <v>70</v>
      </c>
      <c r="V774" s="97">
        <v>20</v>
      </c>
      <c r="W774" s="97">
        <v>485</v>
      </c>
      <c r="X774" s="97">
        <v>61</v>
      </c>
      <c r="Y774" s="97">
        <v>45</v>
      </c>
      <c r="Z774" s="97">
        <v>754</v>
      </c>
      <c r="AA774" s="97">
        <v>59</v>
      </c>
      <c r="AB774" s="97">
        <v>7</v>
      </c>
      <c r="AC774" s="97">
        <v>233</v>
      </c>
      <c r="AD774" s="97">
        <v>74</v>
      </c>
      <c r="AE774" s="97">
        <v>7</v>
      </c>
      <c r="AF774" s="97">
        <v>174</v>
      </c>
      <c r="AG774" s="97">
        <v>400.5</v>
      </c>
      <c r="AH774" s="97">
        <v>44</v>
      </c>
      <c r="AI774" s="97">
        <v>769</v>
      </c>
    </row>
    <row r="775" spans="1:35" ht="15" customHeight="1">
      <c r="A775" s="97" t="s">
        <v>415</v>
      </c>
      <c r="B775" s="97" t="s">
        <v>415</v>
      </c>
      <c r="C775" s="97" t="s">
        <v>416</v>
      </c>
      <c r="D775" s="97" t="s">
        <v>3198</v>
      </c>
      <c r="E775" s="97" t="s">
        <v>19</v>
      </c>
      <c r="F775" s="97">
        <v>101</v>
      </c>
      <c r="G775" s="97">
        <v>31</v>
      </c>
      <c r="H775" s="97">
        <v>481</v>
      </c>
      <c r="I775" s="97">
        <v>56</v>
      </c>
      <c r="J775" s="97">
        <v>43</v>
      </c>
      <c r="K775" s="97">
        <v>755</v>
      </c>
      <c r="L775" s="97">
        <v>75.5</v>
      </c>
      <c r="M775" s="97">
        <v>46</v>
      </c>
      <c r="N775" s="97">
        <v>763</v>
      </c>
      <c r="O775" s="97">
        <v>54</v>
      </c>
      <c r="P775" s="97">
        <v>42</v>
      </c>
      <c r="Q775" s="97">
        <v>718</v>
      </c>
      <c r="R775" s="97">
        <v>51</v>
      </c>
      <c r="S775" s="97">
        <v>29</v>
      </c>
      <c r="T775" s="97">
        <v>571</v>
      </c>
      <c r="U775" s="97">
        <v>63</v>
      </c>
      <c r="V775" s="97">
        <v>42</v>
      </c>
      <c r="W775" s="97">
        <v>692</v>
      </c>
      <c r="X775" s="97">
        <v>71</v>
      </c>
      <c r="Y775" s="97">
        <v>21</v>
      </c>
      <c r="Z775" s="97">
        <v>439</v>
      </c>
      <c r="AA775" s="97">
        <v>57</v>
      </c>
      <c r="AB775" s="97">
        <v>18</v>
      </c>
      <c r="AC775" s="97">
        <v>306</v>
      </c>
      <c r="AD775" s="97">
        <v>73</v>
      </c>
      <c r="AE775" s="97">
        <v>11</v>
      </c>
      <c r="AF775" s="97">
        <v>216</v>
      </c>
      <c r="AG775" s="97">
        <v>400.5</v>
      </c>
      <c r="AH775" s="97">
        <v>46</v>
      </c>
      <c r="AI775" s="97">
        <v>769</v>
      </c>
    </row>
    <row r="776" spans="1:35" ht="15" customHeight="1">
      <c r="A776" s="97" t="s">
        <v>859</v>
      </c>
      <c r="B776" s="97" t="s">
        <v>859</v>
      </c>
      <c r="C776" s="97" t="s">
        <v>860</v>
      </c>
      <c r="D776" s="97" t="s">
        <v>3198</v>
      </c>
      <c r="E776" s="97" t="s">
        <v>117</v>
      </c>
      <c r="F776" s="97">
        <v>102</v>
      </c>
      <c r="G776" s="97">
        <v>23</v>
      </c>
      <c r="H776" s="97">
        <v>442</v>
      </c>
      <c r="I776" s="97">
        <v>34</v>
      </c>
      <c r="J776" s="97">
        <v>54</v>
      </c>
      <c r="K776" s="97">
        <v>914</v>
      </c>
      <c r="L776" s="97">
        <v>80</v>
      </c>
      <c r="M776" s="97">
        <v>40</v>
      </c>
      <c r="N776" s="97">
        <v>693</v>
      </c>
      <c r="O776" s="97">
        <v>60</v>
      </c>
      <c r="P776" s="97">
        <v>34</v>
      </c>
      <c r="Q776" s="97">
        <v>607</v>
      </c>
      <c r="R776" s="97">
        <v>50</v>
      </c>
      <c r="S776" s="97">
        <v>35</v>
      </c>
      <c r="T776" s="97">
        <v>599</v>
      </c>
      <c r="U776" s="97">
        <v>74</v>
      </c>
      <c r="V776" s="97">
        <v>14</v>
      </c>
      <c r="W776" s="97">
        <v>366</v>
      </c>
      <c r="X776" s="97">
        <v>55</v>
      </c>
      <c r="Y776" s="97">
        <v>51</v>
      </c>
      <c r="Z776" s="97">
        <v>868</v>
      </c>
      <c r="AA776" s="97">
        <v>48</v>
      </c>
      <c r="AB776" s="97">
        <v>39</v>
      </c>
      <c r="AC776" s="97">
        <v>671</v>
      </c>
      <c r="AD776" s="97">
        <v>53</v>
      </c>
      <c r="AE776" s="97">
        <v>50</v>
      </c>
      <c r="AF776" s="97">
        <v>869</v>
      </c>
      <c r="AG776" s="97">
        <v>400</v>
      </c>
      <c r="AH776" s="97">
        <v>45</v>
      </c>
      <c r="AI776" s="97">
        <v>773</v>
      </c>
    </row>
    <row r="777" spans="1:35" ht="15" customHeight="1">
      <c r="A777" s="97" t="s">
        <v>911</v>
      </c>
      <c r="B777" s="97" t="s">
        <v>911</v>
      </c>
      <c r="C777" s="97" t="s">
        <v>912</v>
      </c>
      <c r="D777" s="97" t="s">
        <v>3198</v>
      </c>
      <c r="E777" s="97" t="s">
        <v>60</v>
      </c>
      <c r="F777" s="97">
        <v>96</v>
      </c>
      <c r="G777" s="97">
        <v>48</v>
      </c>
      <c r="H777" s="97">
        <v>676</v>
      </c>
      <c r="I777" s="97">
        <v>52</v>
      </c>
      <c r="J777" s="97">
        <v>47</v>
      </c>
      <c r="K777" s="97">
        <v>807</v>
      </c>
      <c r="L777" s="97">
        <v>92.5</v>
      </c>
      <c r="M777" s="97">
        <v>23</v>
      </c>
      <c r="N777" s="97">
        <v>414</v>
      </c>
      <c r="O777" s="97">
        <v>54</v>
      </c>
      <c r="P777" s="97">
        <v>37</v>
      </c>
      <c r="Q777" s="97">
        <v>718</v>
      </c>
      <c r="R777" s="97">
        <v>41</v>
      </c>
      <c r="S777" s="97">
        <v>48</v>
      </c>
      <c r="T777" s="97">
        <v>795</v>
      </c>
      <c r="U777" s="97">
        <v>64</v>
      </c>
      <c r="V777" s="97">
        <v>35</v>
      </c>
      <c r="W777" s="97">
        <v>667</v>
      </c>
      <c r="X777" s="97">
        <v>50</v>
      </c>
      <c r="Y777" s="97">
        <v>57</v>
      </c>
      <c r="Z777" s="97">
        <v>911</v>
      </c>
      <c r="AA777" s="97">
        <v>45</v>
      </c>
      <c r="AB777" s="97">
        <v>44</v>
      </c>
      <c r="AC777" s="97">
        <v>781</v>
      </c>
      <c r="AD777" s="97">
        <v>58</v>
      </c>
      <c r="AE777" s="97">
        <v>45</v>
      </c>
      <c r="AF777" s="97">
        <v>770</v>
      </c>
      <c r="AG777" s="97">
        <v>399.5</v>
      </c>
      <c r="AH777" s="97">
        <v>46</v>
      </c>
      <c r="AI777" s="97">
        <v>774</v>
      </c>
    </row>
    <row r="778" spans="1:35" ht="15" customHeight="1">
      <c r="A778" s="97" t="s">
        <v>2367</v>
      </c>
      <c r="B778" s="97" t="s">
        <v>2367</v>
      </c>
      <c r="C778" s="97" t="s">
        <v>2377</v>
      </c>
      <c r="D778" s="97" t="s">
        <v>3198</v>
      </c>
      <c r="E778" s="97" t="s">
        <v>7</v>
      </c>
      <c r="F778" s="97">
        <v>90</v>
      </c>
      <c r="G778" s="97">
        <v>45</v>
      </c>
      <c r="H778" s="97">
        <v>815</v>
      </c>
      <c r="I778" s="97">
        <v>53</v>
      </c>
      <c r="J778" s="97">
        <v>46</v>
      </c>
      <c r="K778" s="97">
        <v>792</v>
      </c>
      <c r="L778" s="97">
        <v>86.5</v>
      </c>
      <c r="M778" s="97">
        <v>32</v>
      </c>
      <c r="N778" s="97">
        <v>565</v>
      </c>
      <c r="O778" s="97">
        <v>62</v>
      </c>
      <c r="P778" s="97">
        <v>29</v>
      </c>
      <c r="Q778" s="97">
        <v>564</v>
      </c>
      <c r="R778" s="97">
        <v>43</v>
      </c>
      <c r="S778" s="97">
        <v>38</v>
      </c>
      <c r="T778" s="97">
        <v>757</v>
      </c>
      <c r="U778" s="97">
        <v>65</v>
      </c>
      <c r="V778" s="97">
        <v>39</v>
      </c>
      <c r="W778" s="97">
        <v>643</v>
      </c>
      <c r="X778" s="97">
        <v>85</v>
      </c>
      <c r="Y778" s="97">
        <v>7</v>
      </c>
      <c r="Z778" s="97">
        <v>45</v>
      </c>
      <c r="AA778" s="97">
        <v>46</v>
      </c>
      <c r="AB778" s="97">
        <v>49</v>
      </c>
      <c r="AC778" s="97">
        <v>755</v>
      </c>
      <c r="AD778" s="97">
        <v>64</v>
      </c>
      <c r="AE778" s="97">
        <v>32</v>
      </c>
      <c r="AF778" s="97">
        <v>586</v>
      </c>
      <c r="AG778" s="97">
        <v>399.5</v>
      </c>
      <c r="AH778" s="97">
        <v>44</v>
      </c>
      <c r="AI778" s="97">
        <v>774</v>
      </c>
    </row>
    <row r="779" spans="1:35" ht="15" customHeight="1">
      <c r="A779" s="97" t="s">
        <v>1993</v>
      </c>
      <c r="B779" s="97" t="s">
        <v>1993</v>
      </c>
      <c r="C779" s="97" t="s">
        <v>1994</v>
      </c>
      <c r="D779" s="97" t="s">
        <v>3198</v>
      </c>
      <c r="E779" s="97" t="s">
        <v>109</v>
      </c>
      <c r="F779" s="97">
        <v>97</v>
      </c>
      <c r="G779" s="97">
        <v>39</v>
      </c>
      <c r="H779" s="97">
        <v>645</v>
      </c>
      <c r="I779" s="97">
        <v>41</v>
      </c>
      <c r="J779" s="97">
        <v>53</v>
      </c>
      <c r="K779" s="97">
        <v>894</v>
      </c>
      <c r="L779" s="97">
        <v>84.5</v>
      </c>
      <c r="M779" s="97">
        <v>36</v>
      </c>
      <c r="N779" s="97">
        <v>606</v>
      </c>
      <c r="O779" s="97">
        <v>55</v>
      </c>
      <c r="P779" s="97">
        <v>40</v>
      </c>
      <c r="Q779" s="97">
        <v>694</v>
      </c>
      <c r="R779" s="97">
        <v>46</v>
      </c>
      <c r="S779" s="97">
        <v>42</v>
      </c>
      <c r="T779" s="97">
        <v>702</v>
      </c>
      <c r="U779" s="97">
        <v>76</v>
      </c>
      <c r="V779" s="97">
        <v>15</v>
      </c>
      <c r="W779" s="97">
        <v>308</v>
      </c>
      <c r="X779" s="97">
        <v>55</v>
      </c>
      <c r="Y779" s="97">
        <v>49</v>
      </c>
      <c r="Z779" s="97">
        <v>868</v>
      </c>
      <c r="AA779" s="97">
        <v>43</v>
      </c>
      <c r="AB779" s="97">
        <v>48</v>
      </c>
      <c r="AC779" s="97">
        <v>824</v>
      </c>
      <c r="AD779" s="97">
        <v>78</v>
      </c>
      <c r="AE779" s="97">
        <v>6</v>
      </c>
      <c r="AF779" s="97">
        <v>86</v>
      </c>
      <c r="AG779" s="97">
        <v>399.5</v>
      </c>
      <c r="AH779" s="97">
        <v>45</v>
      </c>
      <c r="AI779" s="97">
        <v>774</v>
      </c>
    </row>
    <row r="780" spans="1:35" ht="15" customHeight="1">
      <c r="A780" s="97" t="s">
        <v>1234</v>
      </c>
      <c r="B780" s="97" t="s">
        <v>1234</v>
      </c>
      <c r="C780" s="97" t="s">
        <v>1235</v>
      </c>
      <c r="D780" s="97" t="s">
        <v>3198</v>
      </c>
      <c r="E780" s="97" t="s">
        <v>54</v>
      </c>
      <c r="F780" s="97">
        <v>95</v>
      </c>
      <c r="G780" s="97">
        <v>43</v>
      </c>
      <c r="H780" s="97">
        <v>710</v>
      </c>
      <c r="I780" s="97">
        <v>69</v>
      </c>
      <c r="J780" s="97">
        <v>30</v>
      </c>
      <c r="K780" s="97">
        <v>524</v>
      </c>
      <c r="L780" s="97">
        <v>101</v>
      </c>
      <c r="M780" s="97">
        <v>8</v>
      </c>
      <c r="N780" s="97">
        <v>234</v>
      </c>
      <c r="O780" s="97">
        <v>40</v>
      </c>
      <c r="P780" s="97">
        <v>52</v>
      </c>
      <c r="Q780" s="97">
        <v>879</v>
      </c>
      <c r="R780" s="97">
        <v>41</v>
      </c>
      <c r="S780" s="97">
        <v>49</v>
      </c>
      <c r="T780" s="97">
        <v>795</v>
      </c>
      <c r="U780" s="97">
        <v>53</v>
      </c>
      <c r="V780" s="97">
        <v>55</v>
      </c>
      <c r="W780" s="97">
        <v>858</v>
      </c>
      <c r="X780" s="97">
        <v>60</v>
      </c>
      <c r="Y780" s="97">
        <v>43</v>
      </c>
      <c r="Z780" s="97">
        <v>777</v>
      </c>
      <c r="AA780" s="97">
        <v>34</v>
      </c>
      <c r="AB780" s="97">
        <v>55</v>
      </c>
      <c r="AC780" s="97">
        <v>928</v>
      </c>
      <c r="AD780" s="97">
        <v>55</v>
      </c>
      <c r="AE780" s="97">
        <v>49</v>
      </c>
      <c r="AF780" s="97">
        <v>835</v>
      </c>
      <c r="AG780" s="97">
        <v>399</v>
      </c>
      <c r="AH780" s="97">
        <v>46</v>
      </c>
      <c r="AI780" s="97">
        <v>777</v>
      </c>
    </row>
    <row r="781" spans="1:35" ht="15" customHeight="1">
      <c r="A781" s="97" t="s">
        <v>1487</v>
      </c>
      <c r="B781" s="97" t="s">
        <v>1487</v>
      </c>
      <c r="C781" s="97" t="s">
        <v>1488</v>
      </c>
      <c r="D781" s="97" t="s">
        <v>3198</v>
      </c>
      <c r="E781" s="97" t="s">
        <v>56</v>
      </c>
      <c r="F781" s="97">
        <v>81</v>
      </c>
      <c r="G781" s="97">
        <v>51</v>
      </c>
      <c r="H781" s="97">
        <v>906</v>
      </c>
      <c r="I781" s="97">
        <v>69</v>
      </c>
      <c r="J781" s="97">
        <v>21</v>
      </c>
      <c r="K781" s="97">
        <v>524</v>
      </c>
      <c r="L781" s="97">
        <v>92</v>
      </c>
      <c r="M781" s="97">
        <v>20</v>
      </c>
      <c r="N781" s="97">
        <v>426</v>
      </c>
      <c r="O781" s="97">
        <v>61</v>
      </c>
      <c r="P781" s="97">
        <v>34</v>
      </c>
      <c r="Q781" s="97">
        <v>587</v>
      </c>
      <c r="R781" s="97">
        <v>44</v>
      </c>
      <c r="S781" s="97">
        <v>35</v>
      </c>
      <c r="T781" s="97">
        <v>736</v>
      </c>
      <c r="U781" s="97">
        <v>51</v>
      </c>
      <c r="V781" s="97">
        <v>52</v>
      </c>
      <c r="W781" s="97">
        <v>874</v>
      </c>
      <c r="X781" s="97">
        <v>71</v>
      </c>
      <c r="Y781" s="97">
        <v>28</v>
      </c>
      <c r="Z781" s="97">
        <v>439</v>
      </c>
      <c r="AA781" s="97">
        <v>47</v>
      </c>
      <c r="AB781" s="97">
        <v>36</v>
      </c>
      <c r="AC781" s="97">
        <v>719</v>
      </c>
      <c r="AD781" s="97">
        <v>59</v>
      </c>
      <c r="AE781" s="97">
        <v>45</v>
      </c>
      <c r="AF781" s="97">
        <v>746</v>
      </c>
      <c r="AG781" s="97">
        <v>398</v>
      </c>
      <c r="AH781" s="97">
        <v>42</v>
      </c>
      <c r="AI781" s="97">
        <v>778</v>
      </c>
    </row>
    <row r="782" spans="1:35" ht="15" customHeight="1">
      <c r="A782" s="97" t="s">
        <v>503</v>
      </c>
      <c r="B782" s="97" t="s">
        <v>503</v>
      </c>
      <c r="C782" s="97" t="s">
        <v>513</v>
      </c>
      <c r="D782" s="97" t="s">
        <v>3198</v>
      </c>
      <c r="E782" s="97" t="s">
        <v>19</v>
      </c>
      <c r="F782" s="97">
        <v>94</v>
      </c>
      <c r="G782" s="97">
        <v>44</v>
      </c>
      <c r="H782" s="97">
        <v>733</v>
      </c>
      <c r="I782" s="97">
        <v>82</v>
      </c>
      <c r="J782" s="97">
        <v>12</v>
      </c>
      <c r="K782" s="97">
        <v>290</v>
      </c>
      <c r="L782" s="97">
        <v>62.5</v>
      </c>
      <c r="M782" s="97">
        <v>55</v>
      </c>
      <c r="N782" s="97">
        <v>898</v>
      </c>
      <c r="O782" s="97">
        <v>57</v>
      </c>
      <c r="P782" s="97">
        <v>38</v>
      </c>
      <c r="Q782" s="97">
        <v>665</v>
      </c>
      <c r="R782" s="97">
        <v>50</v>
      </c>
      <c r="S782" s="97">
        <v>31</v>
      </c>
      <c r="T782" s="97">
        <v>599</v>
      </c>
      <c r="U782" s="97">
        <v>52</v>
      </c>
      <c r="V782" s="97">
        <v>53</v>
      </c>
      <c r="W782" s="97">
        <v>866</v>
      </c>
      <c r="X782" s="97">
        <v>68</v>
      </c>
      <c r="Y782" s="97">
        <v>28</v>
      </c>
      <c r="Z782" s="97">
        <v>541</v>
      </c>
      <c r="AA782" s="97">
        <v>69</v>
      </c>
      <c r="AB782" s="97">
        <v>2</v>
      </c>
      <c r="AC782" s="97">
        <v>43</v>
      </c>
      <c r="AD782" s="97">
        <v>66</v>
      </c>
      <c r="AE782" s="97">
        <v>26</v>
      </c>
      <c r="AF782" s="97">
        <v>511</v>
      </c>
      <c r="AG782" s="97">
        <v>397.5</v>
      </c>
      <c r="AH782" s="97">
        <v>47</v>
      </c>
      <c r="AI782" s="97">
        <v>779</v>
      </c>
    </row>
    <row r="783" spans="1:35" ht="15" customHeight="1">
      <c r="A783" s="97" t="s">
        <v>2453</v>
      </c>
      <c r="B783" s="97" t="s">
        <v>2453</v>
      </c>
      <c r="C783" s="97" t="s">
        <v>2454</v>
      </c>
      <c r="D783" s="97" t="s">
        <v>3198</v>
      </c>
      <c r="E783" s="97" t="s">
        <v>131</v>
      </c>
      <c r="F783" s="97">
        <v>87</v>
      </c>
      <c r="G783" s="97">
        <v>40</v>
      </c>
      <c r="H783" s="97">
        <v>857</v>
      </c>
      <c r="I783" s="97">
        <v>71</v>
      </c>
      <c r="J783" s="97">
        <v>29</v>
      </c>
      <c r="K783" s="97">
        <v>475</v>
      </c>
      <c r="L783" s="97">
        <v>73.5</v>
      </c>
      <c r="M783" s="97">
        <v>46</v>
      </c>
      <c r="N783" s="97">
        <v>797</v>
      </c>
      <c r="O783" s="97">
        <v>42</v>
      </c>
      <c r="P783" s="97">
        <v>51</v>
      </c>
      <c r="Q783" s="97">
        <v>863</v>
      </c>
      <c r="R783" s="97">
        <v>54</v>
      </c>
      <c r="S783" s="97">
        <v>25</v>
      </c>
      <c r="T783" s="97">
        <v>494</v>
      </c>
      <c r="U783" s="97">
        <v>70</v>
      </c>
      <c r="V783" s="97">
        <v>27</v>
      </c>
      <c r="W783" s="97">
        <v>485</v>
      </c>
      <c r="X783" s="97">
        <v>75</v>
      </c>
      <c r="Y783" s="97">
        <v>8</v>
      </c>
      <c r="Z783" s="97">
        <v>289</v>
      </c>
      <c r="AA783" s="97">
        <v>65</v>
      </c>
      <c r="AB783" s="97">
        <v>8</v>
      </c>
      <c r="AC783" s="97">
        <v>89</v>
      </c>
      <c r="AD783" s="97">
        <v>70</v>
      </c>
      <c r="AE783" s="97">
        <v>22</v>
      </c>
      <c r="AF783" s="97">
        <v>327</v>
      </c>
      <c r="AG783" s="97">
        <v>397.5</v>
      </c>
      <c r="AH783" s="97">
        <v>45</v>
      </c>
      <c r="AI783" s="97">
        <v>779</v>
      </c>
    </row>
    <row r="784" spans="1:35" ht="15" customHeight="1">
      <c r="A784" s="97" t="s">
        <v>2683</v>
      </c>
      <c r="B784" s="97" t="s">
        <v>2683</v>
      </c>
      <c r="C784" s="97" t="s">
        <v>3000</v>
      </c>
      <c r="D784" s="97" t="s">
        <v>3198</v>
      </c>
      <c r="E784" s="97" t="s">
        <v>49</v>
      </c>
      <c r="F784" s="97">
        <v>102</v>
      </c>
      <c r="G784" s="97">
        <v>21</v>
      </c>
      <c r="H784" s="97">
        <v>442</v>
      </c>
      <c r="I784" s="97">
        <v>46</v>
      </c>
      <c r="J784" s="97">
        <v>49</v>
      </c>
      <c r="K784" s="97">
        <v>862</v>
      </c>
      <c r="L784" s="97">
        <v>91</v>
      </c>
      <c r="M784" s="97">
        <v>32</v>
      </c>
      <c r="N784" s="97">
        <v>458</v>
      </c>
      <c r="O784" s="97">
        <v>54</v>
      </c>
      <c r="P784" s="97">
        <v>43</v>
      </c>
      <c r="Q784" s="97">
        <v>718</v>
      </c>
      <c r="R784" s="97">
        <v>46</v>
      </c>
      <c r="S784" s="97">
        <v>39</v>
      </c>
      <c r="T784" s="97">
        <v>702</v>
      </c>
      <c r="U784" s="97">
        <v>58</v>
      </c>
      <c r="V784" s="97">
        <v>42</v>
      </c>
      <c r="W784" s="97">
        <v>786</v>
      </c>
      <c r="X784" s="97">
        <v>63</v>
      </c>
      <c r="Y784" s="97">
        <v>33</v>
      </c>
      <c r="Z784" s="97">
        <v>712</v>
      </c>
      <c r="AA784" s="97">
        <v>68</v>
      </c>
      <c r="AB784" s="97">
        <v>2</v>
      </c>
      <c r="AC784" s="97">
        <v>54</v>
      </c>
      <c r="AD784" s="97">
        <v>73</v>
      </c>
      <c r="AE784" s="97">
        <v>5</v>
      </c>
      <c r="AF784" s="97">
        <v>216</v>
      </c>
      <c r="AG784" s="97">
        <v>397</v>
      </c>
      <c r="AH784" s="97">
        <v>43</v>
      </c>
      <c r="AI784" s="97">
        <v>781</v>
      </c>
    </row>
    <row r="785" spans="1:35" ht="15" customHeight="1">
      <c r="A785" s="97" t="s">
        <v>763</v>
      </c>
      <c r="B785" s="97" t="s">
        <v>763</v>
      </c>
      <c r="C785" s="97" t="s">
        <v>764</v>
      </c>
      <c r="D785" s="97" t="s">
        <v>3198</v>
      </c>
      <c r="E785" s="97" t="s">
        <v>117</v>
      </c>
      <c r="F785" s="97">
        <v>80</v>
      </c>
      <c r="G785" s="97">
        <v>53</v>
      </c>
      <c r="H785" s="97">
        <v>909</v>
      </c>
      <c r="I785" s="97">
        <v>78</v>
      </c>
      <c r="J785" s="97">
        <v>20</v>
      </c>
      <c r="K785" s="97">
        <v>353</v>
      </c>
      <c r="L785" s="97">
        <v>61</v>
      </c>
      <c r="M785" s="97">
        <v>51</v>
      </c>
      <c r="N785" s="97">
        <v>908</v>
      </c>
      <c r="O785" s="97">
        <v>66</v>
      </c>
      <c r="P785" s="97">
        <v>27</v>
      </c>
      <c r="Q785" s="97">
        <v>484</v>
      </c>
      <c r="R785" s="97">
        <v>56</v>
      </c>
      <c r="S785" s="97">
        <v>21</v>
      </c>
      <c r="T785" s="97">
        <v>433</v>
      </c>
      <c r="U785" s="97">
        <v>56</v>
      </c>
      <c r="V785" s="97">
        <v>48</v>
      </c>
      <c r="W785" s="97">
        <v>816</v>
      </c>
      <c r="X785" s="97">
        <v>68</v>
      </c>
      <c r="Y785" s="97">
        <v>36</v>
      </c>
      <c r="Z785" s="97">
        <v>541</v>
      </c>
      <c r="AA785" s="97">
        <v>52</v>
      </c>
      <c r="AB785" s="97">
        <v>29</v>
      </c>
      <c r="AC785" s="97">
        <v>509</v>
      </c>
      <c r="AD785" s="97">
        <v>61</v>
      </c>
      <c r="AE785" s="97">
        <v>40</v>
      </c>
      <c r="AF785" s="97">
        <v>703</v>
      </c>
      <c r="AG785" s="97">
        <v>397</v>
      </c>
      <c r="AH785" s="97">
        <v>46</v>
      </c>
      <c r="AI785" s="97">
        <v>781</v>
      </c>
    </row>
    <row r="786" spans="1:35" ht="15" customHeight="1">
      <c r="A786" s="97" t="s">
        <v>634</v>
      </c>
      <c r="B786" s="97" t="s">
        <v>634</v>
      </c>
      <c r="C786" s="97" t="s">
        <v>635</v>
      </c>
      <c r="D786" s="97" t="s">
        <v>3198</v>
      </c>
      <c r="E786" s="97" t="s">
        <v>17</v>
      </c>
      <c r="F786" s="97">
        <v>111</v>
      </c>
      <c r="G786" s="97">
        <v>12</v>
      </c>
      <c r="H786" s="97">
        <v>136</v>
      </c>
      <c r="I786" s="97">
        <v>52</v>
      </c>
      <c r="J786" s="97">
        <v>51</v>
      </c>
      <c r="K786" s="97">
        <v>807</v>
      </c>
      <c r="L786" s="97">
        <v>100</v>
      </c>
      <c r="M786" s="97">
        <v>14</v>
      </c>
      <c r="N786" s="97">
        <v>258</v>
      </c>
      <c r="O786" s="97">
        <v>39</v>
      </c>
      <c r="P786" s="97">
        <v>57</v>
      </c>
      <c r="Q786" s="97">
        <v>888</v>
      </c>
      <c r="R786" s="97">
        <v>32</v>
      </c>
      <c r="S786" s="97">
        <v>54</v>
      </c>
      <c r="T786" s="97">
        <v>889</v>
      </c>
      <c r="U786" s="97">
        <v>63</v>
      </c>
      <c r="V786" s="97">
        <v>44</v>
      </c>
      <c r="W786" s="97">
        <v>692</v>
      </c>
      <c r="X786" s="97">
        <v>85</v>
      </c>
      <c r="Y786" s="97">
        <v>3</v>
      </c>
      <c r="Z786" s="97">
        <v>45</v>
      </c>
      <c r="AA786" s="97">
        <v>64</v>
      </c>
      <c r="AB786" s="97">
        <v>6</v>
      </c>
      <c r="AC786" s="97">
        <v>103</v>
      </c>
      <c r="AD786" s="97">
        <v>78</v>
      </c>
      <c r="AE786" s="97">
        <v>3</v>
      </c>
      <c r="AF786" s="97">
        <v>86</v>
      </c>
      <c r="AG786" s="97">
        <v>397</v>
      </c>
      <c r="AH786" s="97">
        <v>51</v>
      </c>
      <c r="AI786" s="97">
        <v>781</v>
      </c>
    </row>
    <row r="787" spans="1:35" ht="15" customHeight="1">
      <c r="A787" s="97" t="s">
        <v>709</v>
      </c>
      <c r="B787" s="97" t="s">
        <v>709</v>
      </c>
      <c r="C787" s="97" t="s">
        <v>710</v>
      </c>
      <c r="D787" s="97" t="s">
        <v>3198</v>
      </c>
      <c r="E787" s="97" t="s">
        <v>117</v>
      </c>
      <c r="F787" s="97">
        <v>116</v>
      </c>
      <c r="G787" s="97">
        <v>2</v>
      </c>
      <c r="H787" s="97">
        <v>47</v>
      </c>
      <c r="I787" s="97">
        <v>51</v>
      </c>
      <c r="J787" s="97">
        <v>51</v>
      </c>
      <c r="K787" s="97">
        <v>817</v>
      </c>
      <c r="L787" s="97">
        <v>78</v>
      </c>
      <c r="M787" s="97">
        <v>44</v>
      </c>
      <c r="N787" s="97">
        <v>722</v>
      </c>
      <c r="O787" s="97">
        <v>47</v>
      </c>
      <c r="P787" s="97">
        <v>49</v>
      </c>
      <c r="Q787" s="97">
        <v>825</v>
      </c>
      <c r="R787" s="97">
        <v>43</v>
      </c>
      <c r="S787" s="97">
        <v>46</v>
      </c>
      <c r="T787" s="97">
        <v>757</v>
      </c>
      <c r="U787" s="97">
        <v>62</v>
      </c>
      <c r="V787" s="97">
        <v>40</v>
      </c>
      <c r="W787" s="97">
        <v>716</v>
      </c>
      <c r="X787" s="97">
        <v>71</v>
      </c>
      <c r="Y787" s="97">
        <v>32</v>
      </c>
      <c r="Z787" s="97">
        <v>439</v>
      </c>
      <c r="AA787" s="97">
        <v>56</v>
      </c>
      <c r="AB787" s="97">
        <v>19</v>
      </c>
      <c r="AC787" s="97">
        <v>352</v>
      </c>
      <c r="AD787" s="97">
        <v>80</v>
      </c>
      <c r="AE787" s="97">
        <v>4</v>
      </c>
      <c r="AF787" s="97">
        <v>54</v>
      </c>
      <c r="AG787" s="97">
        <v>397</v>
      </c>
      <c r="AH787" s="97">
        <v>46</v>
      </c>
      <c r="AI787" s="97">
        <v>781</v>
      </c>
    </row>
    <row r="788" spans="1:35" ht="15" customHeight="1">
      <c r="A788" s="97" t="s">
        <v>1074</v>
      </c>
      <c r="B788" s="97" t="s">
        <v>1074</v>
      </c>
      <c r="C788" s="97" t="s">
        <v>1075</v>
      </c>
      <c r="D788" s="97" t="s">
        <v>3198</v>
      </c>
      <c r="E788" s="97" t="s">
        <v>68</v>
      </c>
      <c r="F788" s="97">
        <v>94</v>
      </c>
      <c r="G788" s="97">
        <v>44</v>
      </c>
      <c r="H788" s="97">
        <v>733</v>
      </c>
      <c r="I788" s="97">
        <v>45</v>
      </c>
      <c r="J788" s="97">
        <v>52</v>
      </c>
      <c r="K788" s="97">
        <v>871</v>
      </c>
      <c r="L788" s="97">
        <v>85</v>
      </c>
      <c r="M788" s="97">
        <v>26</v>
      </c>
      <c r="N788" s="97">
        <v>592</v>
      </c>
      <c r="O788" s="97">
        <v>61</v>
      </c>
      <c r="P788" s="97">
        <v>34</v>
      </c>
      <c r="Q788" s="97">
        <v>587</v>
      </c>
      <c r="R788" s="97">
        <v>41</v>
      </c>
      <c r="S788" s="97">
        <v>48</v>
      </c>
      <c r="T788" s="97">
        <v>795</v>
      </c>
      <c r="U788" s="97">
        <v>71</v>
      </c>
      <c r="V788" s="97">
        <v>28</v>
      </c>
      <c r="W788" s="97">
        <v>462</v>
      </c>
      <c r="X788" s="97">
        <v>75</v>
      </c>
      <c r="Y788" s="97">
        <v>15</v>
      </c>
      <c r="Z788" s="97">
        <v>289</v>
      </c>
      <c r="AA788" s="97">
        <v>52</v>
      </c>
      <c r="AB788" s="97">
        <v>22</v>
      </c>
      <c r="AC788" s="97">
        <v>509</v>
      </c>
      <c r="AD788" s="97">
        <v>74</v>
      </c>
      <c r="AE788" s="97">
        <v>9</v>
      </c>
      <c r="AF788" s="97">
        <v>174</v>
      </c>
      <c r="AG788" s="97">
        <v>397</v>
      </c>
      <c r="AH788" s="97">
        <v>48</v>
      </c>
      <c r="AI788" s="97">
        <v>781</v>
      </c>
    </row>
    <row r="789" spans="1:35" ht="15" customHeight="1">
      <c r="A789" s="97" t="s">
        <v>1372</v>
      </c>
      <c r="B789" s="97" t="s">
        <v>1372</v>
      </c>
      <c r="C789" s="97" t="s">
        <v>1373</v>
      </c>
      <c r="D789" s="97" t="s">
        <v>3198</v>
      </c>
      <c r="E789" s="97" t="s">
        <v>56</v>
      </c>
      <c r="F789" s="97">
        <v>99</v>
      </c>
      <c r="G789" s="97">
        <v>29</v>
      </c>
      <c r="H789" s="97">
        <v>571</v>
      </c>
      <c r="I789" s="97">
        <v>41</v>
      </c>
      <c r="J789" s="97">
        <v>53</v>
      </c>
      <c r="K789" s="97">
        <v>894</v>
      </c>
      <c r="L789" s="97">
        <v>76.5</v>
      </c>
      <c r="M789" s="97">
        <v>44</v>
      </c>
      <c r="N789" s="97">
        <v>750</v>
      </c>
      <c r="O789" s="97">
        <v>52</v>
      </c>
      <c r="P789" s="97">
        <v>44</v>
      </c>
      <c r="Q789" s="97">
        <v>757</v>
      </c>
      <c r="R789" s="97">
        <v>43</v>
      </c>
      <c r="S789" s="97">
        <v>36</v>
      </c>
      <c r="T789" s="97">
        <v>757</v>
      </c>
      <c r="U789" s="97">
        <v>85</v>
      </c>
      <c r="V789" s="97">
        <v>7</v>
      </c>
      <c r="W789" s="97">
        <v>96</v>
      </c>
      <c r="X789" s="97">
        <v>66</v>
      </c>
      <c r="Y789" s="97">
        <v>40</v>
      </c>
      <c r="Z789" s="97">
        <v>604</v>
      </c>
      <c r="AA789" s="97">
        <v>58</v>
      </c>
      <c r="AB789" s="97">
        <v>7</v>
      </c>
      <c r="AC789" s="97">
        <v>278</v>
      </c>
      <c r="AD789" s="97">
        <v>76</v>
      </c>
      <c r="AE789" s="97">
        <v>9</v>
      </c>
      <c r="AF789" s="97">
        <v>125</v>
      </c>
      <c r="AG789" s="97">
        <v>396.5</v>
      </c>
      <c r="AH789" s="97">
        <v>43</v>
      </c>
      <c r="AI789" s="97">
        <v>786</v>
      </c>
    </row>
    <row r="790" spans="1:35" ht="15" customHeight="1">
      <c r="A790" s="97" t="s">
        <v>1466</v>
      </c>
      <c r="B790" s="97" t="s">
        <v>1466</v>
      </c>
      <c r="C790" s="97" t="s">
        <v>1467</v>
      </c>
      <c r="D790" s="97" t="s">
        <v>3198</v>
      </c>
      <c r="E790" s="97" t="s">
        <v>56</v>
      </c>
      <c r="F790" s="97">
        <v>113</v>
      </c>
      <c r="G790" s="97">
        <v>4</v>
      </c>
      <c r="H790" s="97">
        <v>95</v>
      </c>
      <c r="I790" s="97">
        <v>49</v>
      </c>
      <c r="J790" s="97">
        <v>46</v>
      </c>
      <c r="K790" s="97">
        <v>839</v>
      </c>
      <c r="L790" s="97">
        <v>85.5</v>
      </c>
      <c r="M790" s="97">
        <v>32</v>
      </c>
      <c r="N790" s="97">
        <v>585</v>
      </c>
      <c r="O790" s="97">
        <v>57</v>
      </c>
      <c r="P790" s="97">
        <v>41</v>
      </c>
      <c r="Q790" s="97">
        <v>665</v>
      </c>
      <c r="R790" s="97">
        <v>36</v>
      </c>
      <c r="S790" s="97">
        <v>43</v>
      </c>
      <c r="T790" s="97">
        <v>856</v>
      </c>
      <c r="U790" s="97">
        <v>55</v>
      </c>
      <c r="V790" s="97">
        <v>51</v>
      </c>
      <c r="W790" s="97">
        <v>831</v>
      </c>
      <c r="X790" s="97">
        <v>72</v>
      </c>
      <c r="Y790" s="97">
        <v>23</v>
      </c>
      <c r="Z790" s="97">
        <v>396</v>
      </c>
      <c r="AA790" s="97">
        <v>56</v>
      </c>
      <c r="AB790" s="97">
        <v>10</v>
      </c>
      <c r="AC790" s="97">
        <v>352</v>
      </c>
      <c r="AD790" s="97">
        <v>68</v>
      </c>
      <c r="AE790" s="97">
        <v>23</v>
      </c>
      <c r="AF790" s="97">
        <v>412</v>
      </c>
      <c r="AG790" s="97">
        <v>395.5</v>
      </c>
      <c r="AH790" s="97">
        <v>44</v>
      </c>
      <c r="AI790" s="97">
        <v>787</v>
      </c>
    </row>
    <row r="791" spans="1:35" ht="15" customHeight="1">
      <c r="A791" s="97" t="s">
        <v>1277</v>
      </c>
      <c r="B791" s="97" t="s">
        <v>1277</v>
      </c>
      <c r="C791" s="97" t="s">
        <v>1278</v>
      </c>
      <c r="D791" s="97" t="s">
        <v>3198</v>
      </c>
      <c r="E791" s="97" t="s">
        <v>54</v>
      </c>
      <c r="F791" s="97">
        <v>105</v>
      </c>
      <c r="G791" s="97">
        <v>23</v>
      </c>
      <c r="H791" s="97">
        <v>325</v>
      </c>
      <c r="I791" s="97">
        <v>47</v>
      </c>
      <c r="J791" s="97">
        <v>50</v>
      </c>
      <c r="K791" s="97">
        <v>857</v>
      </c>
      <c r="L791" s="97">
        <v>82</v>
      </c>
      <c r="M791" s="97">
        <v>33</v>
      </c>
      <c r="N791" s="97">
        <v>667</v>
      </c>
      <c r="O791" s="97">
        <v>42</v>
      </c>
      <c r="P791" s="97">
        <v>51</v>
      </c>
      <c r="Q791" s="97">
        <v>863</v>
      </c>
      <c r="R791" s="97">
        <v>48</v>
      </c>
      <c r="S791" s="97">
        <v>41</v>
      </c>
      <c r="T791" s="97">
        <v>649</v>
      </c>
      <c r="U791" s="97">
        <v>71</v>
      </c>
      <c r="V791" s="97">
        <v>28</v>
      </c>
      <c r="W791" s="97">
        <v>462</v>
      </c>
      <c r="X791" s="97">
        <v>67</v>
      </c>
      <c r="Y791" s="97">
        <v>28</v>
      </c>
      <c r="Z791" s="97">
        <v>570</v>
      </c>
      <c r="AA791" s="97">
        <v>59</v>
      </c>
      <c r="AB791" s="97">
        <v>7</v>
      </c>
      <c r="AC791" s="97">
        <v>233</v>
      </c>
      <c r="AD791" s="97">
        <v>58</v>
      </c>
      <c r="AE791" s="97">
        <v>45</v>
      </c>
      <c r="AF791" s="97">
        <v>770</v>
      </c>
      <c r="AG791" s="97">
        <v>395</v>
      </c>
      <c r="AH791" s="97">
        <v>47</v>
      </c>
      <c r="AI791" s="97">
        <v>788</v>
      </c>
    </row>
    <row r="792" spans="1:35" ht="15" customHeight="1">
      <c r="A792" s="97" t="s">
        <v>1948</v>
      </c>
      <c r="B792" s="97" t="s">
        <v>1948</v>
      </c>
      <c r="C792" s="97" t="s">
        <v>1949</v>
      </c>
      <c r="D792" s="97" t="s">
        <v>3198</v>
      </c>
      <c r="E792" s="97" t="s">
        <v>109</v>
      </c>
      <c r="F792" s="97">
        <v>100</v>
      </c>
      <c r="G792" s="97">
        <v>32</v>
      </c>
      <c r="H792" s="97">
        <v>528</v>
      </c>
      <c r="I792" s="97">
        <v>72</v>
      </c>
      <c r="J792" s="97">
        <v>21</v>
      </c>
      <c r="K792" s="97">
        <v>458</v>
      </c>
      <c r="L792" s="97">
        <v>107</v>
      </c>
      <c r="M792" s="97">
        <v>9</v>
      </c>
      <c r="N792" s="97">
        <v>148</v>
      </c>
      <c r="O792" s="97">
        <v>40</v>
      </c>
      <c r="P792" s="97">
        <v>53</v>
      </c>
      <c r="Q792" s="97">
        <v>879</v>
      </c>
      <c r="R792" s="97">
        <v>22</v>
      </c>
      <c r="S792" s="97">
        <v>57</v>
      </c>
      <c r="T792" s="97">
        <v>929</v>
      </c>
      <c r="U792" s="97">
        <v>54</v>
      </c>
      <c r="V792" s="97">
        <v>51</v>
      </c>
      <c r="W792" s="97">
        <v>845</v>
      </c>
      <c r="X792" s="97">
        <v>65</v>
      </c>
      <c r="Y792" s="97">
        <v>35</v>
      </c>
      <c r="Z792" s="97">
        <v>651</v>
      </c>
      <c r="AA792" s="97">
        <v>47</v>
      </c>
      <c r="AB792" s="97">
        <v>38</v>
      </c>
      <c r="AC792" s="97">
        <v>719</v>
      </c>
      <c r="AD792" s="97">
        <v>64</v>
      </c>
      <c r="AE792" s="97">
        <v>33</v>
      </c>
      <c r="AF792" s="97">
        <v>586</v>
      </c>
      <c r="AG792" s="97">
        <v>395</v>
      </c>
      <c r="AH792" s="97">
        <v>46</v>
      </c>
      <c r="AI792" s="97">
        <v>788</v>
      </c>
    </row>
    <row r="793" spans="1:35" ht="15" customHeight="1">
      <c r="A793" s="97" t="s">
        <v>1867</v>
      </c>
      <c r="B793" s="97" t="s">
        <v>1867</v>
      </c>
      <c r="C793" s="97" t="s">
        <v>1868</v>
      </c>
      <c r="D793" s="97" t="s">
        <v>3198</v>
      </c>
      <c r="E793" s="97" t="s">
        <v>34</v>
      </c>
      <c r="F793" s="97">
        <v>91</v>
      </c>
      <c r="G793" s="97">
        <v>52</v>
      </c>
      <c r="H793" s="97">
        <v>799</v>
      </c>
      <c r="I793" s="97">
        <v>80</v>
      </c>
      <c r="J793" s="97">
        <v>14</v>
      </c>
      <c r="K793" s="97">
        <v>325</v>
      </c>
      <c r="L793" s="97">
        <v>73</v>
      </c>
      <c r="M793" s="97">
        <v>47</v>
      </c>
      <c r="N793" s="97">
        <v>808</v>
      </c>
      <c r="O793" s="97">
        <v>49</v>
      </c>
      <c r="P793" s="97">
        <v>48</v>
      </c>
      <c r="Q793" s="97">
        <v>803</v>
      </c>
      <c r="R793" s="97">
        <v>42</v>
      </c>
      <c r="S793" s="97">
        <v>45</v>
      </c>
      <c r="T793" s="97">
        <v>774</v>
      </c>
      <c r="U793" s="97">
        <v>59</v>
      </c>
      <c r="V793" s="97">
        <v>41</v>
      </c>
      <c r="W793" s="97">
        <v>762</v>
      </c>
      <c r="X793" s="97">
        <v>87</v>
      </c>
      <c r="Y793" s="97">
        <v>2</v>
      </c>
      <c r="Z793" s="97">
        <v>25</v>
      </c>
      <c r="AA793" s="97">
        <v>57</v>
      </c>
      <c r="AB793" s="97">
        <v>16</v>
      </c>
      <c r="AC793" s="97">
        <v>306</v>
      </c>
      <c r="AD793" s="97">
        <v>56</v>
      </c>
      <c r="AE793" s="97">
        <v>52</v>
      </c>
      <c r="AF793" s="97">
        <v>817</v>
      </c>
      <c r="AG793" s="97">
        <v>394</v>
      </c>
      <c r="AH793" s="97">
        <v>49</v>
      </c>
      <c r="AI793" s="97">
        <v>790</v>
      </c>
    </row>
    <row r="794" spans="1:35" ht="15" customHeight="1">
      <c r="A794" s="97" t="s">
        <v>212</v>
      </c>
      <c r="B794" s="97" t="s">
        <v>212</v>
      </c>
      <c r="C794" s="97" t="s">
        <v>213</v>
      </c>
      <c r="D794" s="97" t="s">
        <v>3198</v>
      </c>
      <c r="E794" s="97" t="s">
        <v>28</v>
      </c>
      <c r="F794" s="97">
        <v>101</v>
      </c>
      <c r="G794" s="97">
        <v>27</v>
      </c>
      <c r="H794" s="97">
        <v>481</v>
      </c>
      <c r="I794" s="97">
        <v>63</v>
      </c>
      <c r="J794" s="97">
        <v>36</v>
      </c>
      <c r="K794" s="97">
        <v>642</v>
      </c>
      <c r="L794" s="97">
        <v>91</v>
      </c>
      <c r="M794" s="97">
        <v>28</v>
      </c>
      <c r="N794" s="97">
        <v>458</v>
      </c>
      <c r="O794" s="97">
        <v>51</v>
      </c>
      <c r="P794" s="97">
        <v>44</v>
      </c>
      <c r="Q794" s="97">
        <v>771</v>
      </c>
      <c r="R794" s="97">
        <v>39</v>
      </c>
      <c r="S794" s="97">
        <v>47</v>
      </c>
      <c r="T794" s="97">
        <v>825</v>
      </c>
      <c r="U794" s="97">
        <v>49</v>
      </c>
      <c r="V794" s="97">
        <v>50</v>
      </c>
      <c r="W794" s="97">
        <v>888</v>
      </c>
      <c r="X794" s="97">
        <v>78</v>
      </c>
      <c r="Y794" s="97">
        <v>9</v>
      </c>
      <c r="Z794" s="97">
        <v>209</v>
      </c>
      <c r="AA794" s="97">
        <v>40</v>
      </c>
      <c r="AB794" s="97">
        <v>54</v>
      </c>
      <c r="AC794" s="97">
        <v>881</v>
      </c>
      <c r="AD794" s="97">
        <v>68</v>
      </c>
      <c r="AE794" s="97">
        <v>24</v>
      </c>
      <c r="AF794" s="97">
        <v>412</v>
      </c>
      <c r="AG794" s="97">
        <v>394</v>
      </c>
      <c r="AH794" s="97">
        <v>45</v>
      </c>
      <c r="AI794" s="97">
        <v>790</v>
      </c>
    </row>
    <row r="795" spans="1:35" ht="15" customHeight="1">
      <c r="A795" s="97" t="s">
        <v>2806</v>
      </c>
      <c r="B795" s="97" t="s">
        <v>2806</v>
      </c>
      <c r="C795" s="97" t="s">
        <v>2807</v>
      </c>
      <c r="D795" s="97" t="s">
        <v>3198</v>
      </c>
      <c r="E795" s="97" t="s">
        <v>38</v>
      </c>
      <c r="F795" s="97">
        <v>113</v>
      </c>
      <c r="G795" s="97">
        <v>4</v>
      </c>
      <c r="H795" s="97">
        <v>95</v>
      </c>
      <c r="I795" s="97">
        <v>42</v>
      </c>
      <c r="J795" s="97">
        <v>52</v>
      </c>
      <c r="K795" s="97">
        <v>887</v>
      </c>
      <c r="L795" s="97">
        <v>83.5</v>
      </c>
      <c r="M795" s="97">
        <v>38</v>
      </c>
      <c r="N795" s="97">
        <v>632</v>
      </c>
      <c r="O795" s="97">
        <v>63</v>
      </c>
      <c r="P795" s="97">
        <v>27</v>
      </c>
      <c r="Q795" s="97">
        <v>540</v>
      </c>
      <c r="R795" s="97">
        <v>38</v>
      </c>
      <c r="S795" s="97">
        <v>49</v>
      </c>
      <c r="T795" s="97">
        <v>840</v>
      </c>
      <c r="U795" s="97">
        <v>54</v>
      </c>
      <c r="V795" s="97">
        <v>52</v>
      </c>
      <c r="W795" s="97">
        <v>845</v>
      </c>
      <c r="X795" s="97">
        <v>67</v>
      </c>
      <c r="Y795" s="97">
        <v>32</v>
      </c>
      <c r="Z795" s="97">
        <v>570</v>
      </c>
      <c r="AA795" s="97">
        <v>56</v>
      </c>
      <c r="AB795" s="97">
        <v>18</v>
      </c>
      <c r="AC795" s="97">
        <v>352</v>
      </c>
      <c r="AD795" s="97">
        <v>83</v>
      </c>
      <c r="AE795" s="97">
        <v>2</v>
      </c>
      <c r="AF795" s="97">
        <v>22</v>
      </c>
      <c r="AG795" s="97">
        <v>393.5</v>
      </c>
      <c r="AH795" s="97">
        <v>47</v>
      </c>
      <c r="AI795" s="97">
        <v>792</v>
      </c>
    </row>
    <row r="796" spans="1:35" ht="15" customHeight="1">
      <c r="A796" s="97" t="s">
        <v>1326</v>
      </c>
      <c r="B796" s="97" t="s">
        <v>1326</v>
      </c>
      <c r="C796" s="97" t="s">
        <v>1327</v>
      </c>
      <c r="D796" s="97" t="s">
        <v>3198</v>
      </c>
      <c r="E796" s="97" t="s">
        <v>54</v>
      </c>
      <c r="F796" s="97">
        <v>92</v>
      </c>
      <c r="G796" s="97">
        <v>47</v>
      </c>
      <c r="H796" s="97">
        <v>779</v>
      </c>
      <c r="I796" s="97">
        <v>66</v>
      </c>
      <c r="J796" s="97">
        <v>32</v>
      </c>
      <c r="K796" s="97">
        <v>584</v>
      </c>
      <c r="L796" s="97">
        <v>75</v>
      </c>
      <c r="M796" s="97">
        <v>45</v>
      </c>
      <c r="N796" s="97">
        <v>776</v>
      </c>
      <c r="O796" s="97">
        <v>55</v>
      </c>
      <c r="P796" s="97">
        <v>35</v>
      </c>
      <c r="Q796" s="97">
        <v>694</v>
      </c>
      <c r="R796" s="97">
        <v>49</v>
      </c>
      <c r="S796" s="97">
        <v>40</v>
      </c>
      <c r="T796" s="97">
        <v>624</v>
      </c>
      <c r="U796" s="97">
        <v>56</v>
      </c>
      <c r="V796" s="97">
        <v>51</v>
      </c>
      <c r="W796" s="97">
        <v>816</v>
      </c>
      <c r="X796" s="97">
        <v>62</v>
      </c>
      <c r="Y796" s="97">
        <v>38</v>
      </c>
      <c r="Z796" s="97">
        <v>729</v>
      </c>
      <c r="AA796" s="97">
        <v>44</v>
      </c>
      <c r="AB796" s="97">
        <v>47</v>
      </c>
      <c r="AC796" s="97">
        <v>804</v>
      </c>
      <c r="AD796" s="97">
        <v>54</v>
      </c>
      <c r="AE796" s="97">
        <v>51</v>
      </c>
      <c r="AF796" s="97">
        <v>855</v>
      </c>
      <c r="AG796" s="97">
        <v>393</v>
      </c>
      <c r="AH796" s="97">
        <v>48</v>
      </c>
      <c r="AI796" s="97">
        <v>793</v>
      </c>
    </row>
    <row r="797" spans="1:35" ht="15" customHeight="1">
      <c r="A797" s="97" t="s">
        <v>399</v>
      </c>
      <c r="B797" s="97" t="s">
        <v>399</v>
      </c>
      <c r="C797" s="97" t="s">
        <v>400</v>
      </c>
      <c r="D797" s="97" t="s">
        <v>3198</v>
      </c>
      <c r="E797" s="97" t="s">
        <v>19</v>
      </c>
      <c r="F797" s="97">
        <v>94</v>
      </c>
      <c r="G797" s="97">
        <v>44</v>
      </c>
      <c r="H797" s="97">
        <v>733</v>
      </c>
      <c r="I797" s="97">
        <v>51</v>
      </c>
      <c r="J797" s="97">
        <v>48</v>
      </c>
      <c r="K797" s="97">
        <v>817</v>
      </c>
      <c r="L797" s="97">
        <v>97.5</v>
      </c>
      <c r="M797" s="97">
        <v>15</v>
      </c>
      <c r="N797" s="97">
        <v>310</v>
      </c>
      <c r="O797" s="97">
        <v>50</v>
      </c>
      <c r="P797" s="97">
        <v>46</v>
      </c>
      <c r="Q797" s="97">
        <v>788</v>
      </c>
      <c r="R797" s="97">
        <v>41</v>
      </c>
      <c r="S797" s="97">
        <v>45</v>
      </c>
      <c r="T797" s="97">
        <v>795</v>
      </c>
      <c r="U797" s="97">
        <v>59</v>
      </c>
      <c r="V797" s="97">
        <v>45</v>
      </c>
      <c r="W797" s="97">
        <v>762</v>
      </c>
      <c r="X797" s="97">
        <v>57</v>
      </c>
      <c r="Y797" s="97">
        <v>48</v>
      </c>
      <c r="Z797" s="97">
        <v>838</v>
      </c>
      <c r="AA797" s="97">
        <v>50</v>
      </c>
      <c r="AB797" s="97">
        <v>38</v>
      </c>
      <c r="AC797" s="97">
        <v>591</v>
      </c>
      <c r="AD797" s="97">
        <v>49</v>
      </c>
      <c r="AE797" s="97">
        <v>53</v>
      </c>
      <c r="AF797" s="97">
        <v>904</v>
      </c>
      <c r="AG797" s="97">
        <v>392.5</v>
      </c>
      <c r="AH797" s="97">
        <v>48</v>
      </c>
      <c r="AI797" s="97">
        <v>794</v>
      </c>
    </row>
    <row r="798" spans="1:35" ht="15" customHeight="1">
      <c r="A798" s="97" t="s">
        <v>2701</v>
      </c>
      <c r="B798" s="97" t="s">
        <v>2701</v>
      </c>
      <c r="C798" s="97" t="s">
        <v>2699</v>
      </c>
      <c r="D798" s="97" t="s">
        <v>3198</v>
      </c>
      <c r="E798" s="97" t="s">
        <v>49</v>
      </c>
      <c r="F798" s="97">
        <v>100</v>
      </c>
      <c r="G798" s="97">
        <v>28</v>
      </c>
      <c r="H798" s="97">
        <v>528</v>
      </c>
      <c r="I798" s="97">
        <v>55</v>
      </c>
      <c r="J798" s="97">
        <v>43</v>
      </c>
      <c r="K798" s="97">
        <v>766</v>
      </c>
      <c r="L798" s="97">
        <v>78</v>
      </c>
      <c r="M798" s="97">
        <v>44</v>
      </c>
      <c r="N798" s="97">
        <v>722</v>
      </c>
      <c r="O798" s="97">
        <v>55</v>
      </c>
      <c r="P798" s="97">
        <v>41</v>
      </c>
      <c r="Q798" s="97">
        <v>694</v>
      </c>
      <c r="R798" s="97">
        <v>47</v>
      </c>
      <c r="S798" s="97">
        <v>38</v>
      </c>
      <c r="T798" s="97">
        <v>673</v>
      </c>
      <c r="U798" s="97">
        <v>57</v>
      </c>
      <c r="V798" s="97">
        <v>43</v>
      </c>
      <c r="W798" s="97">
        <v>801</v>
      </c>
      <c r="X798" s="97">
        <v>65</v>
      </c>
      <c r="Y798" s="97">
        <v>24</v>
      </c>
      <c r="Z798" s="97">
        <v>651</v>
      </c>
      <c r="AA798" s="97">
        <v>52</v>
      </c>
      <c r="AB798" s="97">
        <v>20</v>
      </c>
      <c r="AC798" s="97">
        <v>509</v>
      </c>
      <c r="AD798" s="97">
        <v>68</v>
      </c>
      <c r="AE798" s="97">
        <v>15</v>
      </c>
      <c r="AF798" s="97">
        <v>412</v>
      </c>
      <c r="AG798" s="97">
        <v>392</v>
      </c>
      <c r="AH798" s="97">
        <v>44</v>
      </c>
      <c r="AI798" s="97">
        <v>795</v>
      </c>
    </row>
    <row r="799" spans="1:35" ht="15" customHeight="1">
      <c r="A799" s="97" t="s">
        <v>2812</v>
      </c>
      <c r="B799" s="97" t="s">
        <v>2812</v>
      </c>
      <c r="C799" s="97" t="s">
        <v>2813</v>
      </c>
      <c r="D799" s="97" t="s">
        <v>3198</v>
      </c>
      <c r="E799" s="97" t="s">
        <v>38</v>
      </c>
      <c r="F799" s="97">
        <v>83</v>
      </c>
      <c r="G799" s="97">
        <v>51</v>
      </c>
      <c r="H799" s="97">
        <v>897</v>
      </c>
      <c r="I799" s="97">
        <v>51</v>
      </c>
      <c r="J799" s="97">
        <v>46</v>
      </c>
      <c r="K799" s="97">
        <v>817</v>
      </c>
      <c r="L799" s="97">
        <v>90</v>
      </c>
      <c r="M799" s="97">
        <v>28</v>
      </c>
      <c r="N799" s="97">
        <v>481</v>
      </c>
      <c r="O799" s="97">
        <v>49</v>
      </c>
      <c r="P799" s="97">
        <v>48</v>
      </c>
      <c r="Q799" s="97">
        <v>803</v>
      </c>
      <c r="R799" s="97">
        <v>54</v>
      </c>
      <c r="S799" s="97">
        <v>20</v>
      </c>
      <c r="T799" s="97">
        <v>494</v>
      </c>
      <c r="U799" s="97">
        <v>64</v>
      </c>
      <c r="V799" s="97">
        <v>36</v>
      </c>
      <c r="W799" s="97">
        <v>667</v>
      </c>
      <c r="X799" s="97">
        <v>69</v>
      </c>
      <c r="Y799" s="97">
        <v>24</v>
      </c>
      <c r="Z799" s="97">
        <v>504</v>
      </c>
      <c r="AA799" s="97">
        <v>50</v>
      </c>
      <c r="AB799" s="97">
        <v>32</v>
      </c>
      <c r="AC799" s="97">
        <v>591</v>
      </c>
      <c r="AD799" s="97">
        <v>55</v>
      </c>
      <c r="AE799" s="97">
        <v>49</v>
      </c>
      <c r="AF799" s="97">
        <v>835</v>
      </c>
      <c r="AG799" s="97">
        <v>391</v>
      </c>
      <c r="AH799" s="97">
        <v>48</v>
      </c>
      <c r="AI799" s="97">
        <v>796</v>
      </c>
    </row>
    <row r="800" spans="1:35" ht="15" customHeight="1">
      <c r="A800" s="97" t="s">
        <v>512</v>
      </c>
      <c r="B800" s="97" t="s">
        <v>512</v>
      </c>
      <c r="C800" s="97" t="s">
        <v>522</v>
      </c>
      <c r="D800" s="97" t="s">
        <v>3198</v>
      </c>
      <c r="E800" s="97" t="s">
        <v>19</v>
      </c>
      <c r="F800" s="97">
        <v>104</v>
      </c>
      <c r="G800" s="97">
        <v>21</v>
      </c>
      <c r="H800" s="97">
        <v>357</v>
      </c>
      <c r="I800" s="97">
        <v>39</v>
      </c>
      <c r="J800" s="97">
        <v>53</v>
      </c>
      <c r="K800" s="97">
        <v>902</v>
      </c>
      <c r="L800" s="97">
        <v>97</v>
      </c>
      <c r="M800" s="97">
        <v>16</v>
      </c>
      <c r="N800" s="97">
        <v>327</v>
      </c>
      <c r="O800" s="97">
        <v>49</v>
      </c>
      <c r="P800" s="97">
        <v>47</v>
      </c>
      <c r="Q800" s="97">
        <v>803</v>
      </c>
      <c r="R800" s="97">
        <v>35</v>
      </c>
      <c r="S800" s="97">
        <v>54</v>
      </c>
      <c r="T800" s="97">
        <v>870</v>
      </c>
      <c r="U800" s="97">
        <v>67</v>
      </c>
      <c r="V800" s="97">
        <v>34</v>
      </c>
      <c r="W800" s="97">
        <v>587</v>
      </c>
      <c r="X800" s="97">
        <v>59</v>
      </c>
      <c r="Y800" s="97">
        <v>44</v>
      </c>
      <c r="Z800" s="97">
        <v>799</v>
      </c>
      <c r="AA800" s="97">
        <v>60</v>
      </c>
      <c r="AB800" s="97">
        <v>13</v>
      </c>
      <c r="AC800" s="97">
        <v>203</v>
      </c>
      <c r="AD800" s="97">
        <v>59</v>
      </c>
      <c r="AE800" s="97">
        <v>43</v>
      </c>
      <c r="AF800" s="97">
        <v>746</v>
      </c>
      <c r="AG800" s="97">
        <v>391</v>
      </c>
      <c r="AH800" s="97">
        <v>49</v>
      </c>
      <c r="AI800" s="97">
        <v>796</v>
      </c>
    </row>
    <row r="801" spans="1:35" ht="15" customHeight="1">
      <c r="A801" s="97" t="s">
        <v>841</v>
      </c>
      <c r="B801" s="97" t="s">
        <v>841</v>
      </c>
      <c r="C801" s="97" t="s">
        <v>842</v>
      </c>
      <c r="D801" s="97" t="s">
        <v>3198</v>
      </c>
      <c r="E801" s="97" t="s">
        <v>117</v>
      </c>
      <c r="F801" s="97">
        <v>93</v>
      </c>
      <c r="G801" s="97">
        <v>42</v>
      </c>
      <c r="H801" s="97">
        <v>755</v>
      </c>
      <c r="I801" s="97">
        <v>43</v>
      </c>
      <c r="J801" s="97">
        <v>53</v>
      </c>
      <c r="K801" s="97">
        <v>881</v>
      </c>
      <c r="L801" s="97">
        <v>59</v>
      </c>
      <c r="M801" s="97">
        <v>53</v>
      </c>
      <c r="N801" s="97">
        <v>915</v>
      </c>
      <c r="O801" s="97">
        <v>68</v>
      </c>
      <c r="P801" s="97">
        <v>24</v>
      </c>
      <c r="Q801" s="97">
        <v>453</v>
      </c>
      <c r="R801" s="97">
        <v>65</v>
      </c>
      <c r="S801" s="97">
        <v>9</v>
      </c>
      <c r="T801" s="97">
        <v>223</v>
      </c>
      <c r="U801" s="97">
        <v>63</v>
      </c>
      <c r="V801" s="97">
        <v>38</v>
      </c>
      <c r="W801" s="97">
        <v>692</v>
      </c>
      <c r="X801" s="97">
        <v>44</v>
      </c>
      <c r="Y801" s="97">
        <v>54</v>
      </c>
      <c r="Z801" s="97">
        <v>932</v>
      </c>
      <c r="AA801" s="97">
        <v>43</v>
      </c>
      <c r="AB801" s="97">
        <v>49</v>
      </c>
      <c r="AC801" s="97">
        <v>824</v>
      </c>
      <c r="AD801" s="97">
        <v>53</v>
      </c>
      <c r="AE801" s="97">
        <v>50</v>
      </c>
      <c r="AF801" s="97">
        <v>869</v>
      </c>
      <c r="AG801" s="97">
        <v>391</v>
      </c>
      <c r="AH801" s="97">
        <v>48</v>
      </c>
      <c r="AI801" s="97">
        <v>796</v>
      </c>
    </row>
    <row r="802" spans="1:35" ht="15" customHeight="1">
      <c r="A802" s="97" t="s">
        <v>1840</v>
      </c>
      <c r="B802" s="97" t="s">
        <v>1840</v>
      </c>
      <c r="C802" s="97" t="s">
        <v>1841</v>
      </c>
      <c r="D802" s="97" t="s">
        <v>3198</v>
      </c>
      <c r="E802" s="97" t="s">
        <v>34</v>
      </c>
      <c r="F802" s="97">
        <v>96</v>
      </c>
      <c r="G802" s="97">
        <v>45</v>
      </c>
      <c r="H802" s="97">
        <v>676</v>
      </c>
      <c r="I802" s="97">
        <v>62</v>
      </c>
      <c r="J802" s="97">
        <v>42</v>
      </c>
      <c r="K802" s="97">
        <v>665</v>
      </c>
      <c r="L802" s="97">
        <v>91</v>
      </c>
      <c r="M802" s="97">
        <v>25</v>
      </c>
      <c r="N802" s="97">
        <v>458</v>
      </c>
      <c r="O802" s="97">
        <v>49</v>
      </c>
      <c r="P802" s="97">
        <v>48</v>
      </c>
      <c r="Q802" s="97">
        <v>803</v>
      </c>
      <c r="R802" s="97">
        <v>29</v>
      </c>
      <c r="S802" s="97">
        <v>54</v>
      </c>
      <c r="T802" s="97">
        <v>908</v>
      </c>
      <c r="U802" s="97">
        <v>64</v>
      </c>
      <c r="V802" s="97">
        <v>34</v>
      </c>
      <c r="W802" s="97">
        <v>667</v>
      </c>
      <c r="X802" s="97">
        <v>71</v>
      </c>
      <c r="Y802" s="97">
        <v>30</v>
      </c>
      <c r="Z802" s="97">
        <v>439</v>
      </c>
      <c r="AA802" s="97">
        <v>39</v>
      </c>
      <c r="AB802" s="97">
        <v>53</v>
      </c>
      <c r="AC802" s="97">
        <v>895</v>
      </c>
      <c r="AD802" s="97">
        <v>68</v>
      </c>
      <c r="AE802" s="97">
        <v>19</v>
      </c>
      <c r="AF802" s="97">
        <v>412</v>
      </c>
      <c r="AG802" s="97">
        <v>391</v>
      </c>
      <c r="AH802" s="97">
        <v>50</v>
      </c>
      <c r="AI802" s="97">
        <v>796</v>
      </c>
    </row>
    <row r="803" spans="1:35" ht="15" customHeight="1">
      <c r="A803" s="97" t="s">
        <v>718</v>
      </c>
      <c r="B803" s="97" t="s">
        <v>718</v>
      </c>
      <c r="C803" s="97" t="s">
        <v>719</v>
      </c>
      <c r="D803" s="97" t="s">
        <v>3198</v>
      </c>
      <c r="E803" s="97" t="s">
        <v>117</v>
      </c>
      <c r="F803" s="97">
        <v>92</v>
      </c>
      <c r="G803" s="97">
        <v>44</v>
      </c>
      <c r="H803" s="97">
        <v>779</v>
      </c>
      <c r="I803" s="97">
        <v>71</v>
      </c>
      <c r="J803" s="97">
        <v>28</v>
      </c>
      <c r="K803" s="97">
        <v>475</v>
      </c>
      <c r="L803" s="97">
        <v>89.5</v>
      </c>
      <c r="M803" s="97">
        <v>28</v>
      </c>
      <c r="N803" s="97">
        <v>493</v>
      </c>
      <c r="O803" s="97">
        <v>51</v>
      </c>
      <c r="P803" s="97">
        <v>47</v>
      </c>
      <c r="Q803" s="97">
        <v>771</v>
      </c>
      <c r="R803" s="97">
        <v>29</v>
      </c>
      <c r="S803" s="97">
        <v>54</v>
      </c>
      <c r="T803" s="97">
        <v>908</v>
      </c>
      <c r="U803" s="97">
        <v>58</v>
      </c>
      <c r="V803" s="97">
        <v>46</v>
      </c>
      <c r="W803" s="97">
        <v>786</v>
      </c>
      <c r="X803" s="97">
        <v>68</v>
      </c>
      <c r="Y803" s="97">
        <v>36</v>
      </c>
      <c r="Z803" s="97">
        <v>541</v>
      </c>
      <c r="AA803" s="97">
        <v>49</v>
      </c>
      <c r="AB803" s="97">
        <v>37</v>
      </c>
      <c r="AC803" s="97">
        <v>633</v>
      </c>
      <c r="AD803" s="97">
        <v>71</v>
      </c>
      <c r="AE803" s="97">
        <v>20</v>
      </c>
      <c r="AF803" s="97">
        <v>290</v>
      </c>
      <c r="AG803" s="97">
        <v>390.5</v>
      </c>
      <c r="AH803" s="97">
        <v>49</v>
      </c>
      <c r="AI803" s="97">
        <v>800</v>
      </c>
    </row>
    <row r="804" spans="1:35" ht="15" customHeight="1">
      <c r="A804" s="97" t="s">
        <v>578</v>
      </c>
      <c r="B804" s="97" t="s">
        <v>578</v>
      </c>
      <c r="C804" s="97" t="s">
        <v>579</v>
      </c>
      <c r="D804" s="97" t="s">
        <v>3198</v>
      </c>
      <c r="E804" s="97" t="s">
        <v>17</v>
      </c>
      <c r="F804" s="97">
        <v>87</v>
      </c>
      <c r="G804" s="97">
        <v>55</v>
      </c>
      <c r="H804" s="97">
        <v>857</v>
      </c>
      <c r="I804" s="97">
        <v>63</v>
      </c>
      <c r="J804" s="97">
        <v>38</v>
      </c>
      <c r="K804" s="97">
        <v>642</v>
      </c>
      <c r="L804" s="97">
        <v>65</v>
      </c>
      <c r="M804" s="97">
        <v>52</v>
      </c>
      <c r="N804" s="97">
        <v>881</v>
      </c>
      <c r="O804" s="97">
        <v>59</v>
      </c>
      <c r="P804" s="97">
        <v>40</v>
      </c>
      <c r="Q804" s="97">
        <v>626</v>
      </c>
      <c r="R804" s="97">
        <v>51</v>
      </c>
      <c r="S804" s="97">
        <v>34</v>
      </c>
      <c r="T804" s="97">
        <v>571</v>
      </c>
      <c r="U804" s="97">
        <v>65</v>
      </c>
      <c r="V804" s="97">
        <v>41</v>
      </c>
      <c r="W804" s="97">
        <v>643</v>
      </c>
      <c r="X804" s="97">
        <v>66</v>
      </c>
      <c r="Y804" s="97">
        <v>40</v>
      </c>
      <c r="Z804" s="97">
        <v>604</v>
      </c>
      <c r="AA804" s="97">
        <v>57</v>
      </c>
      <c r="AB804" s="97">
        <v>20</v>
      </c>
      <c r="AC804" s="97">
        <v>306</v>
      </c>
      <c r="AD804" s="97">
        <v>67</v>
      </c>
      <c r="AE804" s="97">
        <v>34</v>
      </c>
      <c r="AF804" s="97">
        <v>471</v>
      </c>
      <c r="AG804" s="97">
        <v>390</v>
      </c>
      <c r="AH804" s="97">
        <v>52</v>
      </c>
      <c r="AI804" s="97">
        <v>801</v>
      </c>
    </row>
    <row r="805" spans="1:35" ht="15" customHeight="1">
      <c r="A805" s="97" t="s">
        <v>2896</v>
      </c>
      <c r="B805" s="97" t="s">
        <v>2896</v>
      </c>
      <c r="C805" s="97" t="s">
        <v>2897</v>
      </c>
      <c r="D805" s="97" t="s">
        <v>3198</v>
      </c>
      <c r="E805" s="97" t="s">
        <v>38</v>
      </c>
      <c r="F805" s="97">
        <v>108</v>
      </c>
      <c r="G805" s="97">
        <v>10</v>
      </c>
      <c r="H805" s="97">
        <v>212</v>
      </c>
      <c r="I805" s="97">
        <v>51</v>
      </c>
      <c r="J805" s="97">
        <v>46</v>
      </c>
      <c r="K805" s="97">
        <v>817</v>
      </c>
      <c r="L805" s="97">
        <v>95</v>
      </c>
      <c r="M805" s="97">
        <v>21</v>
      </c>
      <c r="N805" s="97">
        <v>364</v>
      </c>
      <c r="O805" s="97">
        <v>44</v>
      </c>
      <c r="P805" s="97">
        <v>51</v>
      </c>
      <c r="Q805" s="97">
        <v>849</v>
      </c>
      <c r="R805" s="97">
        <v>31</v>
      </c>
      <c r="S805" s="97">
        <v>52</v>
      </c>
      <c r="T805" s="97">
        <v>893</v>
      </c>
      <c r="U805" s="97">
        <v>61</v>
      </c>
      <c r="V805" s="97">
        <v>45</v>
      </c>
      <c r="W805" s="97">
        <v>734</v>
      </c>
      <c r="X805" s="97">
        <v>63</v>
      </c>
      <c r="Y805" s="97">
        <v>40</v>
      </c>
      <c r="Z805" s="97">
        <v>712</v>
      </c>
      <c r="AA805" s="97">
        <v>44</v>
      </c>
      <c r="AB805" s="97">
        <v>45</v>
      </c>
      <c r="AC805" s="97">
        <v>804</v>
      </c>
      <c r="AD805" s="97">
        <v>56</v>
      </c>
      <c r="AE805" s="97">
        <v>47</v>
      </c>
      <c r="AF805" s="97">
        <v>817</v>
      </c>
      <c r="AG805" s="97">
        <v>390</v>
      </c>
      <c r="AH805" s="97">
        <v>49</v>
      </c>
      <c r="AI805" s="97">
        <v>801</v>
      </c>
    </row>
    <row r="806" spans="1:35" ht="15" customHeight="1">
      <c r="A806" s="97" t="s">
        <v>2022</v>
      </c>
      <c r="B806" s="97" t="s">
        <v>2022</v>
      </c>
      <c r="C806" s="97" t="s">
        <v>2023</v>
      </c>
      <c r="D806" s="97" t="s">
        <v>3198</v>
      </c>
      <c r="E806" s="97" t="s">
        <v>109</v>
      </c>
      <c r="F806" s="97">
        <v>108</v>
      </c>
      <c r="G806" s="97">
        <v>14</v>
      </c>
      <c r="H806" s="97">
        <v>212</v>
      </c>
      <c r="I806" s="97">
        <v>69</v>
      </c>
      <c r="J806" s="97">
        <v>25</v>
      </c>
      <c r="K806" s="97">
        <v>524</v>
      </c>
      <c r="L806" s="97">
        <v>78</v>
      </c>
      <c r="M806" s="97">
        <v>47</v>
      </c>
      <c r="N806" s="97">
        <v>722</v>
      </c>
      <c r="O806" s="97">
        <v>52</v>
      </c>
      <c r="P806" s="97">
        <v>45</v>
      </c>
      <c r="Q806" s="97">
        <v>757</v>
      </c>
      <c r="R806" s="97">
        <v>36</v>
      </c>
      <c r="S806" s="97">
        <v>52</v>
      </c>
      <c r="T806" s="97">
        <v>856</v>
      </c>
      <c r="U806" s="97">
        <v>47</v>
      </c>
      <c r="V806" s="97">
        <v>54</v>
      </c>
      <c r="W806" s="97">
        <v>895</v>
      </c>
      <c r="X806" s="97">
        <v>70</v>
      </c>
      <c r="Y806" s="97">
        <v>25</v>
      </c>
      <c r="Z806" s="97">
        <v>473</v>
      </c>
      <c r="AA806" s="97">
        <v>43</v>
      </c>
      <c r="AB806" s="97">
        <v>48</v>
      </c>
      <c r="AC806" s="97">
        <v>824</v>
      </c>
      <c r="AD806" s="97">
        <v>62</v>
      </c>
      <c r="AE806" s="97">
        <v>36</v>
      </c>
      <c r="AF806" s="97">
        <v>672</v>
      </c>
      <c r="AG806" s="97">
        <v>390</v>
      </c>
      <c r="AH806" s="97">
        <v>47</v>
      </c>
      <c r="AI806" s="97">
        <v>801</v>
      </c>
    </row>
    <row r="807" spans="1:35" ht="15" customHeight="1">
      <c r="A807" s="97" t="s">
        <v>2001</v>
      </c>
      <c r="B807" s="97" t="s">
        <v>2001</v>
      </c>
      <c r="C807" s="97" t="s">
        <v>2002</v>
      </c>
      <c r="D807" s="97" t="s">
        <v>3198</v>
      </c>
      <c r="E807" s="97" t="s">
        <v>109</v>
      </c>
      <c r="F807" s="97">
        <v>110</v>
      </c>
      <c r="G807" s="97">
        <v>10</v>
      </c>
      <c r="H807" s="97">
        <v>159</v>
      </c>
      <c r="I807" s="97">
        <v>49</v>
      </c>
      <c r="J807" s="97">
        <v>49</v>
      </c>
      <c r="K807" s="97">
        <v>839</v>
      </c>
      <c r="L807" s="97">
        <v>63</v>
      </c>
      <c r="M807" s="97">
        <v>54</v>
      </c>
      <c r="N807" s="97">
        <v>895</v>
      </c>
      <c r="O807" s="97">
        <v>63</v>
      </c>
      <c r="P807" s="97">
        <v>27</v>
      </c>
      <c r="Q807" s="97">
        <v>540</v>
      </c>
      <c r="R807" s="97">
        <v>35</v>
      </c>
      <c r="S807" s="97">
        <v>54</v>
      </c>
      <c r="T807" s="97">
        <v>870</v>
      </c>
      <c r="U807" s="97">
        <v>69</v>
      </c>
      <c r="V807" s="97">
        <v>32</v>
      </c>
      <c r="W807" s="97">
        <v>523</v>
      </c>
      <c r="X807" s="97">
        <v>61</v>
      </c>
      <c r="Y807" s="97">
        <v>43</v>
      </c>
      <c r="Z807" s="97">
        <v>754</v>
      </c>
      <c r="AA807" s="97">
        <v>48</v>
      </c>
      <c r="AB807" s="97">
        <v>34</v>
      </c>
      <c r="AC807" s="97">
        <v>671</v>
      </c>
      <c r="AD807" s="97">
        <v>70</v>
      </c>
      <c r="AE807" s="97">
        <v>17</v>
      </c>
      <c r="AF807" s="97">
        <v>327</v>
      </c>
      <c r="AG807" s="97">
        <v>389</v>
      </c>
      <c r="AH807" s="97">
        <v>48</v>
      </c>
      <c r="AI807" s="97">
        <v>804</v>
      </c>
    </row>
    <row r="808" spans="1:35" ht="15" customHeight="1">
      <c r="A808" s="97" t="s">
        <v>2340</v>
      </c>
      <c r="B808" s="97" t="s">
        <v>2340</v>
      </c>
      <c r="C808" s="97" t="s">
        <v>2347</v>
      </c>
      <c r="D808" s="97" t="s">
        <v>3198</v>
      </c>
      <c r="E808" s="97" t="s">
        <v>7</v>
      </c>
      <c r="F808" s="97">
        <v>87</v>
      </c>
      <c r="G808" s="97">
        <v>49</v>
      </c>
      <c r="H808" s="97">
        <v>857</v>
      </c>
      <c r="I808" s="97">
        <v>56</v>
      </c>
      <c r="J808" s="97">
        <v>42</v>
      </c>
      <c r="K808" s="97">
        <v>755</v>
      </c>
      <c r="L808" s="97">
        <v>91</v>
      </c>
      <c r="M808" s="97">
        <v>20</v>
      </c>
      <c r="N808" s="97">
        <v>458</v>
      </c>
      <c r="O808" s="97">
        <v>53</v>
      </c>
      <c r="P808" s="97">
        <v>45</v>
      </c>
      <c r="Q808" s="97">
        <v>739</v>
      </c>
      <c r="R808" s="97">
        <v>43</v>
      </c>
      <c r="S808" s="97">
        <v>38</v>
      </c>
      <c r="T808" s="97">
        <v>757</v>
      </c>
      <c r="U808" s="97">
        <v>59</v>
      </c>
      <c r="V808" s="97">
        <v>46</v>
      </c>
      <c r="W808" s="97">
        <v>762</v>
      </c>
      <c r="X808" s="97">
        <v>83</v>
      </c>
      <c r="Y808" s="97">
        <v>11</v>
      </c>
      <c r="Z808" s="97">
        <v>79</v>
      </c>
      <c r="AA808" s="97">
        <v>40</v>
      </c>
      <c r="AB808" s="97">
        <v>54</v>
      </c>
      <c r="AC808" s="97">
        <v>881</v>
      </c>
      <c r="AD808" s="97">
        <v>69</v>
      </c>
      <c r="AE808" s="97">
        <v>17</v>
      </c>
      <c r="AF808" s="97">
        <v>367</v>
      </c>
      <c r="AG808" s="97">
        <v>389</v>
      </c>
      <c r="AH808" s="97">
        <v>45</v>
      </c>
      <c r="AI808" s="97">
        <v>804</v>
      </c>
    </row>
    <row r="809" spans="1:35" ht="15" customHeight="1">
      <c r="A809" s="97" t="s">
        <v>2376</v>
      </c>
      <c r="B809" s="97" t="s">
        <v>2376</v>
      </c>
      <c r="C809" s="97" t="s">
        <v>2386</v>
      </c>
      <c r="D809" s="97" t="s">
        <v>3198</v>
      </c>
      <c r="E809" s="97" t="s">
        <v>7</v>
      </c>
      <c r="F809" s="97">
        <v>97</v>
      </c>
      <c r="G809" s="97">
        <v>34</v>
      </c>
      <c r="H809" s="97">
        <v>645</v>
      </c>
      <c r="I809" s="97">
        <v>56</v>
      </c>
      <c r="J809" s="97">
        <v>42</v>
      </c>
      <c r="K809" s="97">
        <v>755</v>
      </c>
      <c r="L809" s="97">
        <v>109.5</v>
      </c>
      <c r="M809" s="97">
        <v>2</v>
      </c>
      <c r="N809" s="97">
        <v>113</v>
      </c>
      <c r="O809" s="97">
        <v>57</v>
      </c>
      <c r="P809" s="97">
        <v>39</v>
      </c>
      <c r="Q809" s="97">
        <v>665</v>
      </c>
      <c r="R809" s="97">
        <v>32</v>
      </c>
      <c r="S809" s="97">
        <v>51</v>
      </c>
      <c r="T809" s="97">
        <v>889</v>
      </c>
      <c r="U809" s="97">
        <v>37</v>
      </c>
      <c r="V809" s="97">
        <v>54</v>
      </c>
      <c r="W809" s="97">
        <v>929</v>
      </c>
      <c r="X809" s="97">
        <v>86</v>
      </c>
      <c r="Y809" s="97">
        <v>5</v>
      </c>
      <c r="Z809" s="97">
        <v>34</v>
      </c>
      <c r="AA809" s="97">
        <v>44</v>
      </c>
      <c r="AB809" s="97">
        <v>51</v>
      </c>
      <c r="AC809" s="97">
        <v>804</v>
      </c>
      <c r="AD809" s="97">
        <v>68</v>
      </c>
      <c r="AE809" s="97">
        <v>22</v>
      </c>
      <c r="AF809" s="97">
        <v>412</v>
      </c>
      <c r="AG809" s="97">
        <v>388.5</v>
      </c>
      <c r="AH809" s="97">
        <v>46</v>
      </c>
      <c r="AI809" s="97">
        <v>806</v>
      </c>
    </row>
    <row r="810" spans="1:35" ht="15" customHeight="1">
      <c r="A810" s="97" t="s">
        <v>1904</v>
      </c>
      <c r="B810" s="97" t="s">
        <v>1904</v>
      </c>
      <c r="C810" s="97" t="s">
        <v>1905</v>
      </c>
      <c r="D810" s="97" t="s">
        <v>3198</v>
      </c>
      <c r="E810" s="97" t="s">
        <v>34</v>
      </c>
      <c r="F810" s="97">
        <v>106</v>
      </c>
      <c r="G810" s="97">
        <v>19</v>
      </c>
      <c r="H810" s="97">
        <v>287</v>
      </c>
      <c r="I810" s="97">
        <v>47</v>
      </c>
      <c r="J810" s="97">
        <v>53</v>
      </c>
      <c r="K810" s="97">
        <v>857</v>
      </c>
      <c r="L810" s="97">
        <v>84.5</v>
      </c>
      <c r="M810" s="97">
        <v>39</v>
      </c>
      <c r="N810" s="97">
        <v>606</v>
      </c>
      <c r="O810" s="97">
        <v>55</v>
      </c>
      <c r="P810" s="97">
        <v>43</v>
      </c>
      <c r="Q810" s="97">
        <v>694</v>
      </c>
      <c r="R810" s="97">
        <v>47</v>
      </c>
      <c r="S810" s="97">
        <v>41</v>
      </c>
      <c r="T810" s="97">
        <v>673</v>
      </c>
      <c r="U810" s="97">
        <v>49</v>
      </c>
      <c r="V810" s="97">
        <v>52</v>
      </c>
      <c r="W810" s="97">
        <v>888</v>
      </c>
      <c r="X810" s="97">
        <v>72</v>
      </c>
      <c r="Y810" s="97">
        <v>28</v>
      </c>
      <c r="Z810" s="97">
        <v>396</v>
      </c>
      <c r="AA810" s="97">
        <v>46</v>
      </c>
      <c r="AB810" s="97">
        <v>43</v>
      </c>
      <c r="AC810" s="97">
        <v>755</v>
      </c>
      <c r="AD810" s="97">
        <v>67</v>
      </c>
      <c r="AE810" s="97">
        <v>22</v>
      </c>
      <c r="AF810" s="97">
        <v>471</v>
      </c>
      <c r="AG810" s="97">
        <v>388.5</v>
      </c>
      <c r="AH810" s="97">
        <v>51</v>
      </c>
      <c r="AI810" s="97">
        <v>806</v>
      </c>
    </row>
    <row r="811" spans="1:35" ht="15" customHeight="1">
      <c r="A811" s="97" t="s">
        <v>932</v>
      </c>
      <c r="B811" s="97" t="s">
        <v>932</v>
      </c>
      <c r="C811" s="97" t="s">
        <v>933</v>
      </c>
      <c r="D811" s="97" t="s">
        <v>3198</v>
      </c>
      <c r="E811" s="97" t="s">
        <v>60</v>
      </c>
      <c r="F811" s="97">
        <v>104</v>
      </c>
      <c r="G811" s="97">
        <v>26</v>
      </c>
      <c r="H811" s="97">
        <v>357</v>
      </c>
      <c r="I811" s="97">
        <v>46</v>
      </c>
      <c r="J811" s="97">
        <v>52</v>
      </c>
      <c r="K811" s="97">
        <v>862</v>
      </c>
      <c r="L811" s="97">
        <v>67.5</v>
      </c>
      <c r="M811" s="97">
        <v>47</v>
      </c>
      <c r="N811" s="97">
        <v>868</v>
      </c>
      <c r="O811" s="97">
        <v>54</v>
      </c>
      <c r="P811" s="97">
        <v>37</v>
      </c>
      <c r="Q811" s="97">
        <v>718</v>
      </c>
      <c r="R811" s="97">
        <v>58</v>
      </c>
      <c r="S811" s="97">
        <v>24</v>
      </c>
      <c r="T811" s="97">
        <v>377</v>
      </c>
      <c r="U811" s="97">
        <v>59</v>
      </c>
      <c r="V811" s="97">
        <v>46</v>
      </c>
      <c r="W811" s="97">
        <v>762</v>
      </c>
      <c r="X811" s="97">
        <v>65</v>
      </c>
      <c r="Y811" s="97">
        <v>38</v>
      </c>
      <c r="Z811" s="97">
        <v>651</v>
      </c>
      <c r="AA811" s="97">
        <v>45</v>
      </c>
      <c r="AB811" s="97">
        <v>44</v>
      </c>
      <c r="AC811" s="97">
        <v>781</v>
      </c>
      <c r="AD811" s="97">
        <v>70</v>
      </c>
      <c r="AE811" s="97">
        <v>16</v>
      </c>
      <c r="AF811" s="97">
        <v>327</v>
      </c>
      <c r="AG811" s="97">
        <v>388.5</v>
      </c>
      <c r="AH811" s="97">
        <v>47</v>
      </c>
      <c r="AI811" s="97">
        <v>806</v>
      </c>
    </row>
    <row r="812" spans="1:35" ht="15" customHeight="1">
      <c r="A812" s="97" t="s">
        <v>2489</v>
      </c>
      <c r="B812" s="97" t="s">
        <v>2489</v>
      </c>
      <c r="C812" s="97" t="s">
        <v>2490</v>
      </c>
      <c r="D812" s="97" t="s">
        <v>3198</v>
      </c>
      <c r="E812" s="97" t="s">
        <v>131</v>
      </c>
      <c r="F812" s="97">
        <v>86</v>
      </c>
      <c r="G812" s="97">
        <v>41</v>
      </c>
      <c r="H812" s="97">
        <v>867</v>
      </c>
      <c r="I812" s="97">
        <v>65</v>
      </c>
      <c r="J812" s="97">
        <v>42</v>
      </c>
      <c r="K812" s="97">
        <v>604</v>
      </c>
      <c r="L812" s="97">
        <v>72</v>
      </c>
      <c r="M812" s="97">
        <v>48</v>
      </c>
      <c r="N812" s="97">
        <v>821</v>
      </c>
      <c r="O812" s="97">
        <v>62</v>
      </c>
      <c r="P812" s="97">
        <v>34</v>
      </c>
      <c r="Q812" s="97">
        <v>564</v>
      </c>
      <c r="R812" s="97">
        <v>49</v>
      </c>
      <c r="S812" s="97">
        <v>37</v>
      </c>
      <c r="T812" s="97">
        <v>624</v>
      </c>
      <c r="U812" s="97">
        <v>54</v>
      </c>
      <c r="V812" s="97">
        <v>47</v>
      </c>
      <c r="W812" s="97">
        <v>845</v>
      </c>
      <c r="X812" s="97">
        <v>64</v>
      </c>
      <c r="Y812" s="97">
        <v>34</v>
      </c>
      <c r="Z812" s="97">
        <v>680</v>
      </c>
      <c r="AA812" s="97">
        <v>52</v>
      </c>
      <c r="AB812" s="97">
        <v>37</v>
      </c>
      <c r="AC812" s="97">
        <v>509</v>
      </c>
      <c r="AD812" s="97">
        <v>66</v>
      </c>
      <c r="AE812" s="97">
        <v>35</v>
      </c>
      <c r="AF812" s="97">
        <v>511</v>
      </c>
      <c r="AG812" s="97">
        <v>388</v>
      </c>
      <c r="AH812" s="97">
        <v>46</v>
      </c>
      <c r="AI812" s="97">
        <v>809</v>
      </c>
    </row>
    <row r="813" spans="1:35" ht="15" customHeight="1">
      <c r="A813" s="97" t="s">
        <v>1990</v>
      </c>
      <c r="B813" s="97" t="s">
        <v>1990</v>
      </c>
      <c r="C813" s="97" t="s">
        <v>1991</v>
      </c>
      <c r="D813" s="97" t="s">
        <v>3198</v>
      </c>
      <c r="E813" s="97" t="s">
        <v>109</v>
      </c>
      <c r="F813" s="97">
        <v>103</v>
      </c>
      <c r="G813" s="97">
        <v>27</v>
      </c>
      <c r="H813" s="97">
        <v>400</v>
      </c>
      <c r="I813" s="97">
        <v>57</v>
      </c>
      <c r="J813" s="97">
        <v>45</v>
      </c>
      <c r="K813" s="97">
        <v>744</v>
      </c>
      <c r="L813" s="97">
        <v>61.5</v>
      </c>
      <c r="M813" s="97">
        <v>56</v>
      </c>
      <c r="N813" s="97">
        <v>905</v>
      </c>
      <c r="O813" s="97">
        <v>51</v>
      </c>
      <c r="P813" s="97">
        <v>46</v>
      </c>
      <c r="Q813" s="97">
        <v>771</v>
      </c>
      <c r="R813" s="97">
        <v>45</v>
      </c>
      <c r="S813" s="97">
        <v>44</v>
      </c>
      <c r="T813" s="97">
        <v>720</v>
      </c>
      <c r="U813" s="97">
        <v>70</v>
      </c>
      <c r="V813" s="97">
        <v>28</v>
      </c>
      <c r="W813" s="97">
        <v>485</v>
      </c>
      <c r="X813" s="97">
        <v>73</v>
      </c>
      <c r="Y813" s="97">
        <v>19</v>
      </c>
      <c r="Z813" s="97">
        <v>359</v>
      </c>
      <c r="AA813" s="97">
        <v>47</v>
      </c>
      <c r="AB813" s="97">
        <v>38</v>
      </c>
      <c r="AC813" s="97">
        <v>719</v>
      </c>
      <c r="AD813" s="97">
        <v>59</v>
      </c>
      <c r="AE813" s="97">
        <v>39</v>
      </c>
      <c r="AF813" s="97">
        <v>746</v>
      </c>
      <c r="AG813" s="97">
        <v>387.5</v>
      </c>
      <c r="AH813" s="97">
        <v>49</v>
      </c>
      <c r="AI813" s="97">
        <v>810</v>
      </c>
    </row>
    <row r="814" spans="1:35" ht="15" customHeight="1">
      <c r="A814" s="97" t="s">
        <v>500</v>
      </c>
      <c r="B814" s="97" t="s">
        <v>500</v>
      </c>
      <c r="C814" s="97" t="s">
        <v>510</v>
      </c>
      <c r="D814" s="97" t="s">
        <v>3198</v>
      </c>
      <c r="E814" s="97" t="s">
        <v>19</v>
      </c>
      <c r="F814" s="97">
        <v>90</v>
      </c>
      <c r="G814" s="97">
        <v>50</v>
      </c>
      <c r="H814" s="97">
        <v>815</v>
      </c>
      <c r="I814" s="97">
        <v>60</v>
      </c>
      <c r="J814" s="97">
        <v>38</v>
      </c>
      <c r="K814" s="97">
        <v>696</v>
      </c>
      <c r="L814" s="97">
        <v>78.5</v>
      </c>
      <c r="M814" s="97">
        <v>39</v>
      </c>
      <c r="N814" s="97">
        <v>711</v>
      </c>
      <c r="O814" s="97">
        <v>64</v>
      </c>
      <c r="P814" s="97">
        <v>24</v>
      </c>
      <c r="Q814" s="97">
        <v>517</v>
      </c>
      <c r="R814" s="97">
        <v>40</v>
      </c>
      <c r="S814" s="97">
        <v>48</v>
      </c>
      <c r="T814" s="97">
        <v>811</v>
      </c>
      <c r="U814" s="97">
        <v>55</v>
      </c>
      <c r="V814" s="97">
        <v>50</v>
      </c>
      <c r="W814" s="97">
        <v>831</v>
      </c>
      <c r="X814" s="97">
        <v>64</v>
      </c>
      <c r="Y814" s="97">
        <v>36</v>
      </c>
      <c r="Z814" s="97">
        <v>680</v>
      </c>
      <c r="AA814" s="97">
        <v>69</v>
      </c>
      <c r="AB814" s="97">
        <v>2</v>
      </c>
      <c r="AC814" s="97">
        <v>43</v>
      </c>
      <c r="AD814" s="97">
        <v>61</v>
      </c>
      <c r="AE814" s="97">
        <v>39</v>
      </c>
      <c r="AF814" s="97">
        <v>703</v>
      </c>
      <c r="AG814" s="97">
        <v>387.5</v>
      </c>
      <c r="AH814" s="97">
        <v>50</v>
      </c>
      <c r="AI814" s="97">
        <v>810</v>
      </c>
    </row>
    <row r="815" spans="1:35" ht="15" customHeight="1">
      <c r="A815" s="97" t="s">
        <v>739</v>
      </c>
      <c r="B815" s="97" t="s">
        <v>739</v>
      </c>
      <c r="C815" s="97" t="s">
        <v>740</v>
      </c>
      <c r="D815" s="97" t="s">
        <v>3198</v>
      </c>
      <c r="E815" s="97" t="s">
        <v>117</v>
      </c>
      <c r="F815" s="97">
        <v>95</v>
      </c>
      <c r="G815" s="97">
        <v>39</v>
      </c>
      <c r="H815" s="97">
        <v>710</v>
      </c>
      <c r="I815" s="97">
        <v>62</v>
      </c>
      <c r="J815" s="97">
        <v>40</v>
      </c>
      <c r="K815" s="97">
        <v>665</v>
      </c>
      <c r="L815" s="97">
        <v>73</v>
      </c>
      <c r="M815" s="97">
        <v>46</v>
      </c>
      <c r="N815" s="97">
        <v>808</v>
      </c>
      <c r="O815" s="97">
        <v>28</v>
      </c>
      <c r="P815" s="97">
        <v>54</v>
      </c>
      <c r="Q815" s="97">
        <v>927</v>
      </c>
      <c r="R815" s="97">
        <v>42</v>
      </c>
      <c r="S815" s="97">
        <v>48</v>
      </c>
      <c r="T815" s="97">
        <v>774</v>
      </c>
      <c r="U815" s="97">
        <v>87</v>
      </c>
      <c r="V815" s="97">
        <v>3</v>
      </c>
      <c r="W815" s="97">
        <v>57</v>
      </c>
      <c r="X815" s="97">
        <v>83</v>
      </c>
      <c r="Y815" s="97">
        <v>8</v>
      </c>
      <c r="Z815" s="97">
        <v>79</v>
      </c>
      <c r="AA815" s="97">
        <v>62</v>
      </c>
      <c r="AB815" s="97">
        <v>6</v>
      </c>
      <c r="AC815" s="97">
        <v>146</v>
      </c>
      <c r="AD815" s="97">
        <v>80</v>
      </c>
      <c r="AE815" s="97">
        <v>4</v>
      </c>
      <c r="AF815" s="97">
        <v>54</v>
      </c>
      <c r="AG815" s="97">
        <v>387</v>
      </c>
      <c r="AH815" s="97">
        <v>50</v>
      </c>
      <c r="AI815" s="97">
        <v>812</v>
      </c>
    </row>
    <row r="816" spans="1:35" ht="15" customHeight="1">
      <c r="A816" s="97" t="s">
        <v>1951</v>
      </c>
      <c r="B816" s="97" t="s">
        <v>1951</v>
      </c>
      <c r="C816" s="97" t="s">
        <v>1952</v>
      </c>
      <c r="D816" s="97" t="s">
        <v>3198</v>
      </c>
      <c r="E816" s="97" t="s">
        <v>109</v>
      </c>
      <c r="F816" s="97">
        <v>96</v>
      </c>
      <c r="G816" s="97">
        <v>42</v>
      </c>
      <c r="H816" s="97">
        <v>676</v>
      </c>
      <c r="I816" s="97">
        <v>59</v>
      </c>
      <c r="J816" s="97">
        <v>43</v>
      </c>
      <c r="K816" s="97">
        <v>721</v>
      </c>
      <c r="L816" s="97">
        <v>84</v>
      </c>
      <c r="M816" s="97">
        <v>40</v>
      </c>
      <c r="N816" s="97">
        <v>622</v>
      </c>
      <c r="O816" s="97">
        <v>53</v>
      </c>
      <c r="P816" s="97">
        <v>44</v>
      </c>
      <c r="Q816" s="97">
        <v>739</v>
      </c>
      <c r="R816" s="97">
        <v>34</v>
      </c>
      <c r="S816" s="97">
        <v>55</v>
      </c>
      <c r="T816" s="97">
        <v>882</v>
      </c>
      <c r="U816" s="97">
        <v>61</v>
      </c>
      <c r="V816" s="97">
        <v>45</v>
      </c>
      <c r="W816" s="97">
        <v>734</v>
      </c>
      <c r="X816" s="97">
        <v>64</v>
      </c>
      <c r="Y816" s="97">
        <v>36</v>
      </c>
      <c r="Z816" s="97">
        <v>680</v>
      </c>
      <c r="AA816" s="97">
        <v>54</v>
      </c>
      <c r="AB816" s="97">
        <v>20</v>
      </c>
      <c r="AC816" s="97">
        <v>428</v>
      </c>
      <c r="AD816" s="97">
        <v>52</v>
      </c>
      <c r="AE816" s="97">
        <v>53</v>
      </c>
      <c r="AF816" s="97">
        <v>879</v>
      </c>
      <c r="AG816" s="97">
        <v>387</v>
      </c>
      <c r="AH816" s="97">
        <v>50</v>
      </c>
      <c r="AI816" s="97">
        <v>812</v>
      </c>
    </row>
    <row r="817" spans="1:35" ht="15" customHeight="1">
      <c r="A817" s="97" t="s">
        <v>1141</v>
      </c>
      <c r="B817" s="97" t="s">
        <v>1141</v>
      </c>
      <c r="C817" s="97" t="s">
        <v>1142</v>
      </c>
      <c r="D817" s="97" t="s">
        <v>3198</v>
      </c>
      <c r="E817" s="97" t="s">
        <v>68</v>
      </c>
      <c r="F817" s="97">
        <v>92</v>
      </c>
      <c r="G817" s="97">
        <v>48</v>
      </c>
      <c r="H817" s="97">
        <v>779</v>
      </c>
      <c r="I817" s="97">
        <v>73</v>
      </c>
      <c r="J817" s="97">
        <v>31</v>
      </c>
      <c r="K817" s="97">
        <v>438</v>
      </c>
      <c r="L817" s="97">
        <v>66.5</v>
      </c>
      <c r="M817" s="97">
        <v>51</v>
      </c>
      <c r="N817" s="97">
        <v>875</v>
      </c>
      <c r="O817" s="97">
        <v>48</v>
      </c>
      <c r="P817" s="97">
        <v>48</v>
      </c>
      <c r="Q817" s="97">
        <v>820</v>
      </c>
      <c r="R817" s="97">
        <v>60</v>
      </c>
      <c r="S817" s="97">
        <v>17</v>
      </c>
      <c r="T817" s="97">
        <v>322</v>
      </c>
      <c r="U817" s="97">
        <v>47</v>
      </c>
      <c r="V817" s="97">
        <v>54</v>
      </c>
      <c r="W817" s="97">
        <v>895</v>
      </c>
      <c r="X817" s="97">
        <v>66</v>
      </c>
      <c r="Y817" s="97">
        <v>34</v>
      </c>
      <c r="Z817" s="97">
        <v>604</v>
      </c>
      <c r="AA817" s="97">
        <v>48</v>
      </c>
      <c r="AB817" s="97">
        <v>36</v>
      </c>
      <c r="AC817" s="97">
        <v>671</v>
      </c>
      <c r="AD817" s="97">
        <v>57</v>
      </c>
      <c r="AE817" s="97">
        <v>46</v>
      </c>
      <c r="AF817" s="97">
        <v>798</v>
      </c>
      <c r="AG817" s="97">
        <v>386.5</v>
      </c>
      <c r="AH817" s="97">
        <v>49</v>
      </c>
      <c r="AI817" s="97">
        <v>814</v>
      </c>
    </row>
    <row r="818" spans="1:35" ht="15" customHeight="1">
      <c r="A818" s="97" t="s">
        <v>1443</v>
      </c>
      <c r="B818" s="97" t="s">
        <v>1443</v>
      </c>
      <c r="C818" s="97" t="s">
        <v>1444</v>
      </c>
      <c r="D818" s="97" t="s">
        <v>3198</v>
      </c>
      <c r="E818" s="97" t="s">
        <v>56</v>
      </c>
      <c r="F818" s="97">
        <v>92</v>
      </c>
      <c r="G818" s="97">
        <v>42</v>
      </c>
      <c r="H818" s="97">
        <v>779</v>
      </c>
      <c r="I818" s="97">
        <v>58</v>
      </c>
      <c r="J818" s="97">
        <v>34</v>
      </c>
      <c r="K818" s="97">
        <v>734</v>
      </c>
      <c r="L818" s="97">
        <v>80</v>
      </c>
      <c r="M818" s="97">
        <v>41</v>
      </c>
      <c r="N818" s="97">
        <v>693</v>
      </c>
      <c r="O818" s="97">
        <v>66</v>
      </c>
      <c r="P818" s="97">
        <v>26</v>
      </c>
      <c r="Q818" s="97">
        <v>484</v>
      </c>
      <c r="R818" s="97">
        <v>29</v>
      </c>
      <c r="S818" s="97">
        <v>47</v>
      </c>
      <c r="T818" s="97">
        <v>908</v>
      </c>
      <c r="U818" s="97">
        <v>61</v>
      </c>
      <c r="V818" s="97">
        <v>47</v>
      </c>
      <c r="W818" s="97">
        <v>734</v>
      </c>
      <c r="X818" s="97">
        <v>83</v>
      </c>
      <c r="Y818" s="97">
        <v>5</v>
      </c>
      <c r="Z818" s="97">
        <v>79</v>
      </c>
      <c r="AA818" s="97">
        <v>40</v>
      </c>
      <c r="AB818" s="97">
        <v>50</v>
      </c>
      <c r="AC818" s="97">
        <v>881</v>
      </c>
      <c r="AD818" s="97">
        <v>50</v>
      </c>
      <c r="AE818" s="97">
        <v>51</v>
      </c>
      <c r="AF818" s="97">
        <v>896</v>
      </c>
      <c r="AG818" s="97">
        <v>386</v>
      </c>
      <c r="AH818" s="97">
        <v>45</v>
      </c>
      <c r="AI818" s="97">
        <v>815</v>
      </c>
    </row>
    <row r="819" spans="1:35" ht="15" customHeight="1">
      <c r="A819" s="97" t="s">
        <v>1449</v>
      </c>
      <c r="B819" s="97" t="s">
        <v>1449</v>
      </c>
      <c r="C819" s="97" t="s">
        <v>1450</v>
      </c>
      <c r="D819" s="97" t="s">
        <v>3198</v>
      </c>
      <c r="E819" s="97" t="s">
        <v>56</v>
      </c>
      <c r="F819" s="97">
        <v>115</v>
      </c>
      <c r="G819" s="97">
        <v>1</v>
      </c>
      <c r="H819" s="97">
        <v>65</v>
      </c>
      <c r="I819" s="97">
        <v>46</v>
      </c>
      <c r="J819" s="97">
        <v>50</v>
      </c>
      <c r="K819" s="97">
        <v>862</v>
      </c>
      <c r="L819" s="97">
        <v>101</v>
      </c>
      <c r="M819" s="97">
        <v>9</v>
      </c>
      <c r="N819" s="97">
        <v>234</v>
      </c>
      <c r="O819" s="97">
        <v>48</v>
      </c>
      <c r="P819" s="97">
        <v>49</v>
      </c>
      <c r="Q819" s="97">
        <v>820</v>
      </c>
      <c r="R819" s="97">
        <v>31</v>
      </c>
      <c r="S819" s="97">
        <v>46</v>
      </c>
      <c r="T819" s="97">
        <v>893</v>
      </c>
      <c r="U819" s="97">
        <v>45</v>
      </c>
      <c r="V819" s="97">
        <v>53</v>
      </c>
      <c r="W819" s="97">
        <v>911</v>
      </c>
      <c r="X819" s="97">
        <v>71</v>
      </c>
      <c r="Y819" s="97">
        <v>28</v>
      </c>
      <c r="Z819" s="97">
        <v>439</v>
      </c>
      <c r="AA819" s="97">
        <v>47</v>
      </c>
      <c r="AB819" s="97">
        <v>36</v>
      </c>
      <c r="AC819" s="97">
        <v>719</v>
      </c>
      <c r="AD819" s="97">
        <v>69</v>
      </c>
      <c r="AE819" s="97">
        <v>21</v>
      </c>
      <c r="AF819" s="97">
        <v>367</v>
      </c>
      <c r="AG819" s="97">
        <v>386</v>
      </c>
      <c r="AH819" s="97">
        <v>45</v>
      </c>
      <c r="AI819" s="97">
        <v>815</v>
      </c>
    </row>
    <row r="820" spans="1:35" ht="15" customHeight="1">
      <c r="A820" s="97" t="s">
        <v>2115</v>
      </c>
      <c r="B820" s="97" t="s">
        <v>2115</v>
      </c>
      <c r="C820" s="97" t="s">
        <v>2116</v>
      </c>
      <c r="D820" s="97" t="s">
        <v>3198</v>
      </c>
      <c r="E820" s="97" t="s">
        <v>73</v>
      </c>
      <c r="F820" s="97">
        <v>100</v>
      </c>
      <c r="G820" s="97">
        <v>30</v>
      </c>
      <c r="H820" s="97">
        <v>528</v>
      </c>
      <c r="I820" s="97">
        <v>53</v>
      </c>
      <c r="J820" s="97">
        <v>43</v>
      </c>
      <c r="K820" s="97">
        <v>792</v>
      </c>
      <c r="L820" s="97">
        <v>63</v>
      </c>
      <c r="M820" s="97">
        <v>54</v>
      </c>
      <c r="N820" s="97">
        <v>895</v>
      </c>
      <c r="O820" s="97">
        <v>55</v>
      </c>
      <c r="P820" s="97">
        <v>34</v>
      </c>
      <c r="Q820" s="97">
        <v>694</v>
      </c>
      <c r="R820" s="97">
        <v>50</v>
      </c>
      <c r="S820" s="97">
        <v>36</v>
      </c>
      <c r="T820" s="97">
        <v>599</v>
      </c>
      <c r="U820" s="97">
        <v>65</v>
      </c>
      <c r="V820" s="97">
        <v>37</v>
      </c>
      <c r="W820" s="97">
        <v>643</v>
      </c>
      <c r="X820" s="97">
        <v>73</v>
      </c>
      <c r="Y820" s="97">
        <v>16</v>
      </c>
      <c r="Z820" s="97">
        <v>359</v>
      </c>
      <c r="AA820" s="97">
        <v>53</v>
      </c>
      <c r="AB820" s="97">
        <v>34</v>
      </c>
      <c r="AC820" s="97">
        <v>470</v>
      </c>
      <c r="AD820" s="97">
        <v>66</v>
      </c>
      <c r="AE820" s="97">
        <v>36</v>
      </c>
      <c r="AF820" s="97">
        <v>511</v>
      </c>
      <c r="AG820" s="97">
        <v>386</v>
      </c>
      <c r="AH820" s="97">
        <v>42</v>
      </c>
      <c r="AI820" s="97">
        <v>815</v>
      </c>
    </row>
    <row r="821" spans="1:35" ht="15" customHeight="1">
      <c r="A821" s="97" t="s">
        <v>2279</v>
      </c>
      <c r="B821" s="97" t="s">
        <v>2279</v>
      </c>
      <c r="C821" s="97" t="s">
        <v>3240</v>
      </c>
      <c r="D821" s="97" t="s">
        <v>3198</v>
      </c>
      <c r="E821" s="97" t="s">
        <v>7</v>
      </c>
      <c r="F821" s="97">
        <v>100</v>
      </c>
      <c r="G821" s="97">
        <v>30</v>
      </c>
      <c r="H821" s="97">
        <v>528</v>
      </c>
      <c r="I821" s="97">
        <v>53</v>
      </c>
      <c r="J821" s="97">
        <v>46</v>
      </c>
      <c r="K821" s="97">
        <v>792</v>
      </c>
      <c r="L821" s="97">
        <v>72.5</v>
      </c>
      <c r="M821" s="97">
        <v>48</v>
      </c>
      <c r="N821" s="97">
        <v>813</v>
      </c>
      <c r="O821" s="97">
        <v>64</v>
      </c>
      <c r="P821" s="97">
        <v>26</v>
      </c>
      <c r="Q821" s="97">
        <v>517</v>
      </c>
      <c r="R821" s="97">
        <v>30</v>
      </c>
      <c r="S821" s="97">
        <v>53</v>
      </c>
      <c r="T821" s="97">
        <v>902</v>
      </c>
      <c r="U821" s="97">
        <v>66</v>
      </c>
      <c r="V821" s="97">
        <v>36</v>
      </c>
      <c r="W821" s="97">
        <v>611</v>
      </c>
      <c r="X821" s="97">
        <v>45</v>
      </c>
      <c r="Y821" s="97">
        <v>55</v>
      </c>
      <c r="Z821" s="97">
        <v>929</v>
      </c>
      <c r="AA821" s="97">
        <v>49</v>
      </c>
      <c r="AB821" s="97">
        <v>43</v>
      </c>
      <c r="AC821" s="97">
        <v>633</v>
      </c>
      <c r="AD821" s="97">
        <v>48</v>
      </c>
      <c r="AE821" s="97">
        <v>52</v>
      </c>
      <c r="AF821" s="97">
        <v>912</v>
      </c>
      <c r="AG821" s="97">
        <v>385.5</v>
      </c>
      <c r="AH821" s="97">
        <v>47</v>
      </c>
      <c r="AI821" s="97">
        <v>818</v>
      </c>
    </row>
    <row r="822" spans="1:35" ht="15" customHeight="1">
      <c r="A822" s="97" t="s">
        <v>1253</v>
      </c>
      <c r="B822" s="97" t="s">
        <v>1253</v>
      </c>
      <c r="C822" s="97" t="s">
        <v>1254</v>
      </c>
      <c r="D822" s="97" t="s">
        <v>3198</v>
      </c>
      <c r="E822" s="97" t="s">
        <v>54</v>
      </c>
      <c r="F822" s="97">
        <v>96</v>
      </c>
      <c r="G822" s="97">
        <v>38</v>
      </c>
      <c r="H822" s="97">
        <v>676</v>
      </c>
      <c r="I822" s="97">
        <v>70</v>
      </c>
      <c r="J822" s="97">
        <v>28</v>
      </c>
      <c r="K822" s="97">
        <v>505</v>
      </c>
      <c r="L822" s="97"/>
      <c r="M822" s="97" t="s">
        <v>3291</v>
      </c>
      <c r="N822" s="97" t="s">
        <v>3291</v>
      </c>
      <c r="O822" s="97">
        <v>76</v>
      </c>
      <c r="P822" s="97">
        <v>16</v>
      </c>
      <c r="Q822" s="97">
        <v>287</v>
      </c>
      <c r="R822" s="97">
        <v>69</v>
      </c>
      <c r="S822" s="97">
        <v>4</v>
      </c>
      <c r="T822" s="97">
        <v>152</v>
      </c>
      <c r="U822" s="97">
        <v>73</v>
      </c>
      <c r="V822" s="97">
        <v>25</v>
      </c>
      <c r="W822" s="97">
        <v>393</v>
      </c>
      <c r="X822" s="97">
        <v>75</v>
      </c>
      <c r="Y822" s="97">
        <v>13</v>
      </c>
      <c r="Z822" s="97">
        <v>289</v>
      </c>
      <c r="AA822" s="97">
        <v>69</v>
      </c>
      <c r="AB822" s="97">
        <v>2</v>
      </c>
      <c r="AC822" s="97">
        <v>43</v>
      </c>
      <c r="AD822" s="97">
        <v>86</v>
      </c>
      <c r="AE822" s="97">
        <v>1</v>
      </c>
      <c r="AF822" s="97">
        <v>9</v>
      </c>
      <c r="AG822" s="97">
        <v>384</v>
      </c>
      <c r="AH822" s="97">
        <v>49</v>
      </c>
      <c r="AI822" s="97">
        <v>819</v>
      </c>
    </row>
    <row r="823" spans="1:35" ht="15" customHeight="1">
      <c r="A823" s="97" t="s">
        <v>917</v>
      </c>
      <c r="B823" s="97" t="s">
        <v>917</v>
      </c>
      <c r="C823" s="97" t="s">
        <v>918</v>
      </c>
      <c r="D823" s="97" t="s">
        <v>3198</v>
      </c>
      <c r="E823" s="97" t="s">
        <v>60</v>
      </c>
      <c r="F823" s="97">
        <v>110</v>
      </c>
      <c r="G823" s="97">
        <v>8</v>
      </c>
      <c r="H823" s="97">
        <v>159</v>
      </c>
      <c r="I823" s="97">
        <v>46</v>
      </c>
      <c r="J823" s="97">
        <v>52</v>
      </c>
      <c r="K823" s="97">
        <v>862</v>
      </c>
      <c r="L823" s="97">
        <v>96.5</v>
      </c>
      <c r="M823" s="97">
        <v>17</v>
      </c>
      <c r="N823" s="97">
        <v>337</v>
      </c>
      <c r="O823" s="97">
        <v>39</v>
      </c>
      <c r="P823" s="97">
        <v>52</v>
      </c>
      <c r="Q823" s="97">
        <v>888</v>
      </c>
      <c r="R823" s="97">
        <v>35</v>
      </c>
      <c r="S823" s="97">
        <v>53</v>
      </c>
      <c r="T823" s="97">
        <v>870</v>
      </c>
      <c r="U823" s="97">
        <v>57</v>
      </c>
      <c r="V823" s="97">
        <v>49</v>
      </c>
      <c r="W823" s="97">
        <v>801</v>
      </c>
      <c r="X823" s="97">
        <v>68</v>
      </c>
      <c r="Y823" s="97">
        <v>31</v>
      </c>
      <c r="Z823" s="97">
        <v>541</v>
      </c>
      <c r="AA823" s="97">
        <v>57</v>
      </c>
      <c r="AB823" s="97">
        <v>10</v>
      </c>
      <c r="AC823" s="97">
        <v>306</v>
      </c>
      <c r="AD823" s="97">
        <v>75</v>
      </c>
      <c r="AE823" s="97">
        <v>6</v>
      </c>
      <c r="AF823" s="97">
        <v>146</v>
      </c>
      <c r="AG823" s="97">
        <v>383.5</v>
      </c>
      <c r="AH823" s="97">
        <v>48</v>
      </c>
      <c r="AI823" s="97">
        <v>820</v>
      </c>
    </row>
    <row r="824" spans="1:35" ht="15" customHeight="1">
      <c r="A824" s="97" t="s">
        <v>2223</v>
      </c>
      <c r="B824" s="97" t="s">
        <v>2223</v>
      </c>
      <c r="C824" s="97" t="s">
        <v>2224</v>
      </c>
      <c r="D824" s="97" t="s">
        <v>3198</v>
      </c>
      <c r="E824" s="97" t="s">
        <v>73</v>
      </c>
      <c r="F824" s="97">
        <v>113</v>
      </c>
      <c r="G824" s="97">
        <v>4</v>
      </c>
      <c r="H824" s="97">
        <v>95</v>
      </c>
      <c r="I824" s="97">
        <v>42</v>
      </c>
      <c r="J824" s="97">
        <v>52</v>
      </c>
      <c r="K824" s="97">
        <v>887</v>
      </c>
      <c r="L824" s="97">
        <v>81.5</v>
      </c>
      <c r="M824" s="97">
        <v>40</v>
      </c>
      <c r="N824" s="97">
        <v>673</v>
      </c>
      <c r="O824" s="97">
        <v>54</v>
      </c>
      <c r="P824" s="97">
        <v>36</v>
      </c>
      <c r="Q824" s="97">
        <v>718</v>
      </c>
      <c r="R824" s="97">
        <v>31</v>
      </c>
      <c r="S824" s="97">
        <v>56</v>
      </c>
      <c r="T824" s="97">
        <v>893</v>
      </c>
      <c r="U824" s="97">
        <v>62</v>
      </c>
      <c r="V824" s="97">
        <v>38</v>
      </c>
      <c r="W824" s="97">
        <v>716</v>
      </c>
      <c r="X824" s="97">
        <v>71</v>
      </c>
      <c r="Y824" s="97">
        <v>22</v>
      </c>
      <c r="Z824" s="97">
        <v>439</v>
      </c>
      <c r="AA824" s="97">
        <v>48</v>
      </c>
      <c r="AB824" s="97">
        <v>41</v>
      </c>
      <c r="AC824" s="97">
        <v>671</v>
      </c>
      <c r="AD824" s="97">
        <v>74</v>
      </c>
      <c r="AE824" s="97">
        <v>8</v>
      </c>
      <c r="AF824" s="97">
        <v>174</v>
      </c>
      <c r="AG824" s="97">
        <v>383.5</v>
      </c>
      <c r="AH824" s="97">
        <v>43</v>
      </c>
      <c r="AI824" s="97">
        <v>820</v>
      </c>
    </row>
    <row r="825" spans="1:35" ht="15" customHeight="1">
      <c r="A825" s="97" t="s">
        <v>2141</v>
      </c>
      <c r="B825" s="97" t="s">
        <v>2141</v>
      </c>
      <c r="C825" s="97" t="s">
        <v>2142</v>
      </c>
      <c r="D825" s="97" t="s">
        <v>3198</v>
      </c>
      <c r="E825" s="97" t="s">
        <v>73</v>
      </c>
      <c r="F825" s="97">
        <v>99</v>
      </c>
      <c r="G825" s="97">
        <v>36</v>
      </c>
      <c r="H825" s="97">
        <v>571</v>
      </c>
      <c r="I825" s="97">
        <v>49</v>
      </c>
      <c r="J825" s="97">
        <v>46</v>
      </c>
      <c r="K825" s="97">
        <v>839</v>
      </c>
      <c r="L825" s="97">
        <v>57.5</v>
      </c>
      <c r="M825" s="97">
        <v>55</v>
      </c>
      <c r="N825" s="97">
        <v>920</v>
      </c>
      <c r="O825" s="97">
        <v>69</v>
      </c>
      <c r="P825" s="97">
        <v>22</v>
      </c>
      <c r="Q825" s="97">
        <v>428</v>
      </c>
      <c r="R825" s="97">
        <v>40</v>
      </c>
      <c r="S825" s="97">
        <v>48</v>
      </c>
      <c r="T825" s="97">
        <v>811</v>
      </c>
      <c r="U825" s="97">
        <v>69</v>
      </c>
      <c r="V825" s="97">
        <v>24</v>
      </c>
      <c r="W825" s="97">
        <v>523</v>
      </c>
      <c r="X825" s="97">
        <v>78</v>
      </c>
      <c r="Y825" s="97">
        <v>7</v>
      </c>
      <c r="Z825" s="97">
        <v>209</v>
      </c>
      <c r="AA825" s="97">
        <v>55</v>
      </c>
      <c r="AB825" s="97">
        <v>23</v>
      </c>
      <c r="AC825" s="97">
        <v>392</v>
      </c>
      <c r="AD825" s="97">
        <v>69</v>
      </c>
      <c r="AE825" s="97">
        <v>23</v>
      </c>
      <c r="AF825" s="97">
        <v>367</v>
      </c>
      <c r="AG825" s="97">
        <v>383.5</v>
      </c>
      <c r="AH825" s="97">
        <v>43</v>
      </c>
      <c r="AI825" s="97">
        <v>820</v>
      </c>
    </row>
    <row r="826" spans="1:35" ht="15" customHeight="1">
      <c r="A826" s="97" t="s">
        <v>2188</v>
      </c>
      <c r="B826" s="97" t="s">
        <v>2188</v>
      </c>
      <c r="C826" s="97" t="s">
        <v>2189</v>
      </c>
      <c r="D826" s="97" t="s">
        <v>3198</v>
      </c>
      <c r="E826" s="97" t="s">
        <v>73</v>
      </c>
      <c r="F826" s="97">
        <v>96</v>
      </c>
      <c r="G826" s="97">
        <v>43</v>
      </c>
      <c r="H826" s="97">
        <v>676</v>
      </c>
      <c r="I826" s="97">
        <v>52</v>
      </c>
      <c r="J826" s="97">
        <v>45</v>
      </c>
      <c r="K826" s="97">
        <v>807</v>
      </c>
      <c r="L826" s="97">
        <v>78</v>
      </c>
      <c r="M826" s="97">
        <v>45</v>
      </c>
      <c r="N826" s="97">
        <v>722</v>
      </c>
      <c r="O826" s="97">
        <v>53</v>
      </c>
      <c r="P826" s="97">
        <v>39</v>
      </c>
      <c r="Q826" s="97">
        <v>739</v>
      </c>
      <c r="R826" s="97">
        <v>45</v>
      </c>
      <c r="S826" s="97">
        <v>44</v>
      </c>
      <c r="T826" s="97">
        <v>720</v>
      </c>
      <c r="U826" s="97">
        <v>58</v>
      </c>
      <c r="V826" s="97">
        <v>44</v>
      </c>
      <c r="W826" s="97">
        <v>786</v>
      </c>
      <c r="X826" s="97">
        <v>55</v>
      </c>
      <c r="Y826" s="97">
        <v>54</v>
      </c>
      <c r="Z826" s="97">
        <v>868</v>
      </c>
      <c r="AA826" s="97">
        <v>38</v>
      </c>
      <c r="AB826" s="97">
        <v>53</v>
      </c>
      <c r="AC826" s="97">
        <v>905</v>
      </c>
      <c r="AD826" s="97">
        <v>48</v>
      </c>
      <c r="AE826" s="97">
        <v>55</v>
      </c>
      <c r="AF826" s="97">
        <v>912</v>
      </c>
      <c r="AG826" s="97">
        <v>382</v>
      </c>
      <c r="AH826" s="97">
        <v>45</v>
      </c>
      <c r="AI826" s="97">
        <v>823</v>
      </c>
    </row>
    <row r="827" spans="1:35" ht="15" customHeight="1">
      <c r="A827" s="97" t="s">
        <v>978</v>
      </c>
      <c r="B827" s="97" t="s">
        <v>978</v>
      </c>
      <c r="C827" s="97" t="s">
        <v>979</v>
      </c>
      <c r="D827" s="97" t="s">
        <v>3198</v>
      </c>
      <c r="E827" s="97" t="s">
        <v>60</v>
      </c>
      <c r="F827" s="97">
        <v>104</v>
      </c>
      <c r="G827" s="97">
        <v>26</v>
      </c>
      <c r="H827" s="97">
        <v>357</v>
      </c>
      <c r="I827" s="97">
        <v>49</v>
      </c>
      <c r="J827" s="97">
        <v>50</v>
      </c>
      <c r="K827" s="97">
        <v>839</v>
      </c>
      <c r="L827" s="97">
        <v>58</v>
      </c>
      <c r="M827" s="97">
        <v>54</v>
      </c>
      <c r="N827" s="97">
        <v>917</v>
      </c>
      <c r="O827" s="97">
        <v>63</v>
      </c>
      <c r="P827" s="97">
        <v>28</v>
      </c>
      <c r="Q827" s="97">
        <v>540</v>
      </c>
      <c r="R827" s="97">
        <v>54</v>
      </c>
      <c r="S827" s="97">
        <v>32</v>
      </c>
      <c r="T827" s="97">
        <v>494</v>
      </c>
      <c r="U827" s="97">
        <v>54</v>
      </c>
      <c r="V827" s="97">
        <v>52</v>
      </c>
      <c r="W827" s="97">
        <v>845</v>
      </c>
      <c r="X827" s="97">
        <v>52</v>
      </c>
      <c r="Y827" s="97">
        <v>54</v>
      </c>
      <c r="Z827" s="97">
        <v>897</v>
      </c>
      <c r="AA827" s="97">
        <v>53</v>
      </c>
      <c r="AB827" s="97">
        <v>21</v>
      </c>
      <c r="AC827" s="97">
        <v>470</v>
      </c>
      <c r="AD827" s="97">
        <v>55</v>
      </c>
      <c r="AE827" s="97">
        <v>54</v>
      </c>
      <c r="AF827" s="97">
        <v>835</v>
      </c>
      <c r="AG827" s="97">
        <v>382</v>
      </c>
      <c r="AH827" s="97">
        <v>49</v>
      </c>
      <c r="AI827" s="97">
        <v>823</v>
      </c>
    </row>
    <row r="828" spans="1:35" ht="15" customHeight="1">
      <c r="A828" s="97" t="s">
        <v>923</v>
      </c>
      <c r="B828" s="97" t="s">
        <v>923</v>
      </c>
      <c r="C828" s="97" t="s">
        <v>924</v>
      </c>
      <c r="D828" s="97" t="s">
        <v>3198</v>
      </c>
      <c r="E828" s="97" t="s">
        <v>60</v>
      </c>
      <c r="F828" s="97">
        <v>102</v>
      </c>
      <c r="G828" s="97">
        <v>33</v>
      </c>
      <c r="H828" s="97">
        <v>442</v>
      </c>
      <c r="I828" s="97">
        <v>58</v>
      </c>
      <c r="J828" s="97">
        <v>42</v>
      </c>
      <c r="K828" s="97">
        <v>734</v>
      </c>
      <c r="L828" s="97">
        <v>73.5</v>
      </c>
      <c r="M828" s="97">
        <v>38</v>
      </c>
      <c r="N828" s="97">
        <v>797</v>
      </c>
      <c r="O828" s="97">
        <v>39</v>
      </c>
      <c r="P828" s="97">
        <v>52</v>
      </c>
      <c r="Q828" s="97">
        <v>888</v>
      </c>
      <c r="R828" s="97">
        <v>43</v>
      </c>
      <c r="S828" s="97">
        <v>47</v>
      </c>
      <c r="T828" s="97">
        <v>757</v>
      </c>
      <c r="U828" s="97">
        <v>66</v>
      </c>
      <c r="V828" s="97">
        <v>30</v>
      </c>
      <c r="W828" s="97">
        <v>611</v>
      </c>
      <c r="X828" s="97">
        <v>80</v>
      </c>
      <c r="Y828" s="97">
        <v>5</v>
      </c>
      <c r="Z828" s="97">
        <v>151</v>
      </c>
      <c r="AA828" s="97">
        <v>52</v>
      </c>
      <c r="AB828" s="97">
        <v>25</v>
      </c>
      <c r="AC828" s="97">
        <v>509</v>
      </c>
      <c r="AD828" s="97">
        <v>73</v>
      </c>
      <c r="AE828" s="97">
        <v>9</v>
      </c>
      <c r="AF828" s="97">
        <v>216</v>
      </c>
      <c r="AG828" s="97">
        <v>381.5</v>
      </c>
      <c r="AH828" s="97">
        <v>50</v>
      </c>
      <c r="AI828" s="97">
        <v>825</v>
      </c>
    </row>
    <row r="829" spans="1:35" ht="15" customHeight="1">
      <c r="A829" s="97" t="s">
        <v>2150</v>
      </c>
      <c r="B829" s="97" t="s">
        <v>2150</v>
      </c>
      <c r="C829" s="97" t="s">
        <v>2151</v>
      </c>
      <c r="D829" s="97" t="s">
        <v>3198</v>
      </c>
      <c r="E829" s="97" t="s">
        <v>73</v>
      </c>
      <c r="F829" s="97">
        <v>105</v>
      </c>
      <c r="G829" s="97">
        <v>16</v>
      </c>
      <c r="H829" s="97">
        <v>325</v>
      </c>
      <c r="I829" s="97">
        <v>59</v>
      </c>
      <c r="J829" s="97">
        <v>39</v>
      </c>
      <c r="K829" s="97">
        <v>721</v>
      </c>
      <c r="L829" s="97">
        <v>82.5</v>
      </c>
      <c r="M829" s="97">
        <v>39</v>
      </c>
      <c r="N829" s="97">
        <v>657</v>
      </c>
      <c r="O829" s="97">
        <v>42</v>
      </c>
      <c r="P829" s="97">
        <v>46</v>
      </c>
      <c r="Q829" s="97">
        <v>863</v>
      </c>
      <c r="R829" s="97">
        <v>51</v>
      </c>
      <c r="S829" s="97">
        <v>31</v>
      </c>
      <c r="T829" s="97">
        <v>571</v>
      </c>
      <c r="U829" s="97">
        <v>42</v>
      </c>
      <c r="V829" s="97">
        <v>54</v>
      </c>
      <c r="W829" s="97">
        <v>921</v>
      </c>
      <c r="X829" s="97">
        <v>75</v>
      </c>
      <c r="Y829" s="97">
        <v>10</v>
      </c>
      <c r="Z829" s="97">
        <v>289</v>
      </c>
      <c r="AA829" s="97">
        <v>45</v>
      </c>
      <c r="AB829" s="97">
        <v>46</v>
      </c>
      <c r="AC829" s="97">
        <v>781</v>
      </c>
      <c r="AD829" s="97">
        <v>67</v>
      </c>
      <c r="AE829" s="97">
        <v>33</v>
      </c>
      <c r="AF829" s="97">
        <v>471</v>
      </c>
      <c r="AG829" s="97">
        <v>381.5</v>
      </c>
      <c r="AH829" s="97">
        <v>46</v>
      </c>
      <c r="AI829" s="97">
        <v>825</v>
      </c>
    </row>
    <row r="830" spans="1:35" ht="15" customHeight="1">
      <c r="A830" s="97" t="s">
        <v>1945</v>
      </c>
      <c r="B830" s="97" t="s">
        <v>1945</v>
      </c>
      <c r="C830" s="97" t="s">
        <v>1946</v>
      </c>
      <c r="D830" s="97" t="s">
        <v>3198</v>
      </c>
      <c r="E830" s="97" t="s">
        <v>109</v>
      </c>
      <c r="F830" s="97">
        <v>98</v>
      </c>
      <c r="G830" s="97">
        <v>36</v>
      </c>
      <c r="H830" s="97">
        <v>611</v>
      </c>
      <c r="I830" s="97">
        <v>64</v>
      </c>
      <c r="J830" s="97">
        <v>39</v>
      </c>
      <c r="K830" s="97">
        <v>627</v>
      </c>
      <c r="L830" s="97">
        <v>84</v>
      </c>
      <c r="M830" s="97">
        <v>40</v>
      </c>
      <c r="N830" s="97">
        <v>622</v>
      </c>
      <c r="O830" s="97">
        <v>35</v>
      </c>
      <c r="P830" s="97">
        <v>55</v>
      </c>
      <c r="Q830" s="97">
        <v>912</v>
      </c>
      <c r="R830" s="97">
        <v>44</v>
      </c>
      <c r="S830" s="97">
        <v>46</v>
      </c>
      <c r="T830" s="97">
        <v>736</v>
      </c>
      <c r="U830" s="97">
        <v>56</v>
      </c>
      <c r="V830" s="97">
        <v>49</v>
      </c>
      <c r="W830" s="97">
        <v>816</v>
      </c>
      <c r="X830" s="97">
        <v>82</v>
      </c>
      <c r="Y830" s="97">
        <v>6</v>
      </c>
      <c r="Z830" s="97">
        <v>100</v>
      </c>
      <c r="AA830" s="97">
        <v>50</v>
      </c>
      <c r="AB830" s="97">
        <v>29</v>
      </c>
      <c r="AC830" s="97">
        <v>591</v>
      </c>
      <c r="AD830" s="97">
        <v>62</v>
      </c>
      <c r="AE830" s="97">
        <v>36</v>
      </c>
      <c r="AF830" s="97">
        <v>672</v>
      </c>
      <c r="AG830" s="97">
        <v>381</v>
      </c>
      <c r="AH830" s="97">
        <v>51</v>
      </c>
      <c r="AI830" s="97">
        <v>827</v>
      </c>
    </row>
    <row r="831" spans="1:35" ht="15" customHeight="1">
      <c r="A831" s="97" t="s">
        <v>1478</v>
      </c>
      <c r="B831" s="97" t="s">
        <v>1478</v>
      </c>
      <c r="C831" s="97" t="s">
        <v>1479</v>
      </c>
      <c r="D831" s="97" t="s">
        <v>3198</v>
      </c>
      <c r="E831" s="97" t="s">
        <v>56</v>
      </c>
      <c r="F831" s="97">
        <v>109</v>
      </c>
      <c r="G831" s="97">
        <v>7</v>
      </c>
      <c r="H831" s="97">
        <v>185</v>
      </c>
      <c r="I831" s="97">
        <v>56</v>
      </c>
      <c r="J831" s="97">
        <v>39</v>
      </c>
      <c r="K831" s="97">
        <v>755</v>
      </c>
      <c r="L831" s="97">
        <v>84</v>
      </c>
      <c r="M831" s="97">
        <v>36</v>
      </c>
      <c r="N831" s="97">
        <v>622</v>
      </c>
      <c r="O831" s="97">
        <v>49</v>
      </c>
      <c r="P831" s="97">
        <v>48</v>
      </c>
      <c r="Q831" s="97">
        <v>803</v>
      </c>
      <c r="R831" s="97">
        <v>26</v>
      </c>
      <c r="S831" s="97">
        <v>50</v>
      </c>
      <c r="T831" s="97">
        <v>918</v>
      </c>
      <c r="U831" s="97">
        <v>57</v>
      </c>
      <c r="V831" s="97">
        <v>50</v>
      </c>
      <c r="W831" s="97">
        <v>801</v>
      </c>
      <c r="X831" s="97">
        <v>66</v>
      </c>
      <c r="Y831" s="97">
        <v>40</v>
      </c>
      <c r="Z831" s="97">
        <v>604</v>
      </c>
      <c r="AA831" s="97">
        <v>52</v>
      </c>
      <c r="AB831" s="97">
        <v>20</v>
      </c>
      <c r="AC831" s="97">
        <v>509</v>
      </c>
      <c r="AD831" s="97">
        <v>78</v>
      </c>
      <c r="AE831" s="97">
        <v>4</v>
      </c>
      <c r="AF831" s="97">
        <v>86</v>
      </c>
      <c r="AG831" s="97">
        <v>381</v>
      </c>
      <c r="AH831" s="97">
        <v>47</v>
      </c>
      <c r="AI831" s="97">
        <v>827</v>
      </c>
    </row>
    <row r="832" spans="1:35" ht="15" customHeight="1">
      <c r="A832" s="97" t="s">
        <v>1268</v>
      </c>
      <c r="B832" s="97" t="s">
        <v>1268</v>
      </c>
      <c r="C832" s="97" t="s">
        <v>1269</v>
      </c>
      <c r="D832" s="97" t="s">
        <v>3198</v>
      </c>
      <c r="E832" s="97" t="s">
        <v>54</v>
      </c>
      <c r="F832" s="97">
        <v>111</v>
      </c>
      <c r="G832" s="97">
        <v>13</v>
      </c>
      <c r="H832" s="97">
        <v>136</v>
      </c>
      <c r="I832" s="97">
        <v>50</v>
      </c>
      <c r="J832" s="97">
        <v>48</v>
      </c>
      <c r="K832" s="97">
        <v>831</v>
      </c>
      <c r="L832" s="97">
        <v>69</v>
      </c>
      <c r="M832" s="97">
        <v>50</v>
      </c>
      <c r="N832" s="97">
        <v>851</v>
      </c>
      <c r="O832" s="97">
        <v>49</v>
      </c>
      <c r="P832" s="97">
        <v>46</v>
      </c>
      <c r="Q832" s="97">
        <v>803</v>
      </c>
      <c r="R832" s="97">
        <v>48</v>
      </c>
      <c r="S832" s="97">
        <v>41</v>
      </c>
      <c r="T832" s="97">
        <v>649</v>
      </c>
      <c r="U832" s="97">
        <v>54</v>
      </c>
      <c r="V832" s="97">
        <v>54</v>
      </c>
      <c r="W832" s="97">
        <v>845</v>
      </c>
      <c r="X832" s="97">
        <v>61</v>
      </c>
      <c r="Y832" s="97">
        <v>40</v>
      </c>
      <c r="Z832" s="97">
        <v>754</v>
      </c>
      <c r="AA832" s="97">
        <v>46</v>
      </c>
      <c r="AB832" s="97">
        <v>41</v>
      </c>
      <c r="AC832" s="97">
        <v>755</v>
      </c>
      <c r="AD832" s="97">
        <v>64</v>
      </c>
      <c r="AE832" s="97">
        <v>33</v>
      </c>
      <c r="AF832" s="97">
        <v>586</v>
      </c>
      <c r="AG832" s="97">
        <v>381</v>
      </c>
      <c r="AH832" s="97">
        <v>50</v>
      </c>
      <c r="AI832" s="97">
        <v>827</v>
      </c>
    </row>
    <row r="833" spans="1:35" ht="15" customHeight="1">
      <c r="A833" s="97" t="s">
        <v>783</v>
      </c>
      <c r="B833" s="97" t="s">
        <v>783</v>
      </c>
      <c r="C833" s="97" t="s">
        <v>784</v>
      </c>
      <c r="D833" s="97" t="s">
        <v>3198</v>
      </c>
      <c r="E833" s="97" t="s">
        <v>117</v>
      </c>
      <c r="F833" s="97">
        <v>104</v>
      </c>
      <c r="G833" s="97">
        <v>16</v>
      </c>
      <c r="H833" s="97">
        <v>357</v>
      </c>
      <c r="I833" s="97">
        <v>62</v>
      </c>
      <c r="J833" s="97">
        <v>40</v>
      </c>
      <c r="K833" s="97">
        <v>665</v>
      </c>
      <c r="L833" s="97">
        <v>68.5</v>
      </c>
      <c r="M833" s="97">
        <v>47</v>
      </c>
      <c r="N833" s="97">
        <v>857</v>
      </c>
      <c r="O833" s="97">
        <v>49</v>
      </c>
      <c r="P833" s="97">
        <v>48</v>
      </c>
      <c r="Q833" s="97">
        <v>803</v>
      </c>
      <c r="R833" s="97">
        <v>37</v>
      </c>
      <c r="S833" s="97">
        <v>53</v>
      </c>
      <c r="T833" s="97">
        <v>850</v>
      </c>
      <c r="U833" s="97">
        <v>60</v>
      </c>
      <c r="V833" s="97">
        <v>43</v>
      </c>
      <c r="W833" s="97">
        <v>748</v>
      </c>
      <c r="X833" s="97">
        <v>58</v>
      </c>
      <c r="Y833" s="97">
        <v>48</v>
      </c>
      <c r="Z833" s="97">
        <v>820</v>
      </c>
      <c r="AA833" s="97">
        <v>40</v>
      </c>
      <c r="AB833" s="97">
        <v>52</v>
      </c>
      <c r="AC833" s="97">
        <v>881</v>
      </c>
      <c r="AD833" s="97">
        <v>63</v>
      </c>
      <c r="AE833" s="97">
        <v>37</v>
      </c>
      <c r="AF833" s="97">
        <v>633</v>
      </c>
      <c r="AG833" s="97">
        <v>380.5</v>
      </c>
      <c r="AH833" s="97">
        <v>51</v>
      </c>
      <c r="AI833" s="97">
        <v>830</v>
      </c>
    </row>
    <row r="834" spans="1:35" ht="15" customHeight="1">
      <c r="A834" s="97" t="s">
        <v>420</v>
      </c>
      <c r="B834" s="97" t="s">
        <v>420</v>
      </c>
      <c r="C834" s="97" t="s">
        <v>3245</v>
      </c>
      <c r="D834" s="97" t="s">
        <v>3198</v>
      </c>
      <c r="E834" s="97" t="s">
        <v>19</v>
      </c>
      <c r="F834" s="97">
        <v>89</v>
      </c>
      <c r="G834" s="97">
        <v>51</v>
      </c>
      <c r="H834" s="97">
        <v>835</v>
      </c>
      <c r="I834" s="97">
        <v>53</v>
      </c>
      <c r="J834" s="97">
        <v>47</v>
      </c>
      <c r="K834" s="97">
        <v>792</v>
      </c>
      <c r="L834" s="97">
        <v>70.5</v>
      </c>
      <c r="M834" s="97">
        <v>50</v>
      </c>
      <c r="N834" s="97">
        <v>834</v>
      </c>
      <c r="O834" s="97">
        <v>62</v>
      </c>
      <c r="P834" s="97">
        <v>29</v>
      </c>
      <c r="Q834" s="97">
        <v>564</v>
      </c>
      <c r="R834" s="97">
        <v>42</v>
      </c>
      <c r="S834" s="97">
        <v>42</v>
      </c>
      <c r="T834" s="97">
        <v>774</v>
      </c>
      <c r="U834" s="97">
        <v>64</v>
      </c>
      <c r="V834" s="97">
        <v>39</v>
      </c>
      <c r="W834" s="97">
        <v>667</v>
      </c>
      <c r="X834" s="97">
        <v>65</v>
      </c>
      <c r="Y834" s="97">
        <v>35</v>
      </c>
      <c r="Z834" s="97">
        <v>651</v>
      </c>
      <c r="AA834" s="97">
        <v>50</v>
      </c>
      <c r="AB834" s="97">
        <v>38</v>
      </c>
      <c r="AC834" s="97">
        <v>591</v>
      </c>
      <c r="AD834" s="97">
        <v>72</v>
      </c>
      <c r="AE834" s="97">
        <v>14</v>
      </c>
      <c r="AF834" s="97">
        <v>256</v>
      </c>
      <c r="AG834" s="97">
        <v>380.5</v>
      </c>
      <c r="AH834" s="97">
        <v>51</v>
      </c>
      <c r="AI834" s="97">
        <v>830</v>
      </c>
    </row>
    <row r="835" spans="1:35" ht="15" customHeight="1">
      <c r="A835" s="97" t="s">
        <v>1002</v>
      </c>
      <c r="B835" s="97" t="s">
        <v>1002</v>
      </c>
      <c r="C835" s="97" t="s">
        <v>1003</v>
      </c>
      <c r="D835" s="97" t="s">
        <v>3198</v>
      </c>
      <c r="E835" s="97" t="s">
        <v>60</v>
      </c>
      <c r="F835" s="97">
        <v>95</v>
      </c>
      <c r="G835" s="97">
        <v>50</v>
      </c>
      <c r="H835" s="97">
        <v>710</v>
      </c>
      <c r="I835" s="97">
        <v>56</v>
      </c>
      <c r="J835" s="97">
        <v>43</v>
      </c>
      <c r="K835" s="97">
        <v>755</v>
      </c>
      <c r="L835" s="97">
        <v>84.5</v>
      </c>
      <c r="M835" s="97">
        <v>33</v>
      </c>
      <c r="N835" s="97">
        <v>606</v>
      </c>
      <c r="O835" s="97">
        <v>42</v>
      </c>
      <c r="P835" s="97">
        <v>50</v>
      </c>
      <c r="Q835" s="97">
        <v>863</v>
      </c>
      <c r="R835" s="97">
        <v>41</v>
      </c>
      <c r="S835" s="97">
        <v>48</v>
      </c>
      <c r="T835" s="97">
        <v>795</v>
      </c>
      <c r="U835" s="97">
        <v>60</v>
      </c>
      <c r="V835" s="97">
        <v>43</v>
      </c>
      <c r="W835" s="97">
        <v>748</v>
      </c>
      <c r="X835" s="97">
        <v>58</v>
      </c>
      <c r="Y835" s="97">
        <v>51</v>
      </c>
      <c r="Z835" s="97">
        <v>820</v>
      </c>
      <c r="AA835" s="97">
        <v>45</v>
      </c>
      <c r="AB835" s="97">
        <v>44</v>
      </c>
      <c r="AC835" s="97">
        <v>781</v>
      </c>
      <c r="AD835" s="97">
        <v>56</v>
      </c>
      <c r="AE835" s="97">
        <v>49</v>
      </c>
      <c r="AF835" s="97">
        <v>817</v>
      </c>
      <c r="AG835" s="97">
        <v>378.5</v>
      </c>
      <c r="AH835" s="97">
        <v>51</v>
      </c>
      <c r="AI835" s="97">
        <v>832</v>
      </c>
    </row>
    <row r="836" spans="1:35" ht="15" customHeight="1">
      <c r="A836" s="97" t="s">
        <v>2450</v>
      </c>
      <c r="B836" s="97" t="s">
        <v>2450</v>
      </c>
      <c r="C836" s="97" t="s">
        <v>2451</v>
      </c>
      <c r="D836" s="97" t="s">
        <v>3198</v>
      </c>
      <c r="E836" s="97" t="s">
        <v>131</v>
      </c>
      <c r="F836" s="97">
        <v>95</v>
      </c>
      <c r="G836" s="97">
        <v>30</v>
      </c>
      <c r="H836" s="97">
        <v>710</v>
      </c>
      <c r="I836" s="97">
        <v>49</v>
      </c>
      <c r="J836" s="97">
        <v>51</v>
      </c>
      <c r="K836" s="97">
        <v>839</v>
      </c>
      <c r="L836" s="97">
        <v>87</v>
      </c>
      <c r="M836" s="97">
        <v>29</v>
      </c>
      <c r="N836" s="97">
        <v>553</v>
      </c>
      <c r="O836" s="97">
        <v>44</v>
      </c>
      <c r="P836" s="97">
        <v>48</v>
      </c>
      <c r="Q836" s="97">
        <v>849</v>
      </c>
      <c r="R836" s="97">
        <v>39</v>
      </c>
      <c r="S836" s="97">
        <v>52</v>
      </c>
      <c r="T836" s="97">
        <v>825</v>
      </c>
      <c r="U836" s="97">
        <v>64</v>
      </c>
      <c r="V836" s="97">
        <v>36</v>
      </c>
      <c r="W836" s="97">
        <v>667</v>
      </c>
      <c r="X836" s="97">
        <v>64</v>
      </c>
      <c r="Y836" s="97">
        <v>34</v>
      </c>
      <c r="Z836" s="97">
        <v>680</v>
      </c>
      <c r="AA836" s="97">
        <v>46</v>
      </c>
      <c r="AB836" s="97">
        <v>47</v>
      </c>
      <c r="AC836" s="97">
        <v>755</v>
      </c>
      <c r="AD836" s="97">
        <v>58</v>
      </c>
      <c r="AE836" s="97">
        <v>52</v>
      </c>
      <c r="AF836" s="97">
        <v>770</v>
      </c>
      <c r="AG836" s="97">
        <v>378</v>
      </c>
      <c r="AH836" s="97">
        <v>47</v>
      </c>
      <c r="AI836" s="97">
        <v>833</v>
      </c>
    </row>
    <row r="837" spans="1:35" ht="15" customHeight="1">
      <c r="A837" s="97" t="s">
        <v>256</v>
      </c>
      <c r="B837" s="97" t="s">
        <v>256</v>
      </c>
      <c r="C837" s="97" t="s">
        <v>257</v>
      </c>
      <c r="D837" s="97" t="s">
        <v>3198</v>
      </c>
      <c r="E837" s="97" t="s">
        <v>28</v>
      </c>
      <c r="F837" s="97">
        <v>80</v>
      </c>
      <c r="G837" s="97">
        <v>50</v>
      </c>
      <c r="H837" s="97">
        <v>909</v>
      </c>
      <c r="I837" s="97">
        <v>45</v>
      </c>
      <c r="J837" s="97">
        <v>52</v>
      </c>
      <c r="K837" s="97">
        <v>871</v>
      </c>
      <c r="L837" s="97">
        <v>83.5</v>
      </c>
      <c r="M837" s="97">
        <v>37</v>
      </c>
      <c r="N837" s="97">
        <v>632</v>
      </c>
      <c r="O837" s="97">
        <v>64</v>
      </c>
      <c r="P837" s="97">
        <v>31</v>
      </c>
      <c r="Q837" s="97">
        <v>517</v>
      </c>
      <c r="R837" s="97">
        <v>46</v>
      </c>
      <c r="S837" s="97">
        <v>39</v>
      </c>
      <c r="T837" s="97">
        <v>702</v>
      </c>
      <c r="U837" s="97">
        <v>59</v>
      </c>
      <c r="V837" s="97">
        <v>42</v>
      </c>
      <c r="W837" s="97">
        <v>762</v>
      </c>
      <c r="X837" s="97">
        <v>63</v>
      </c>
      <c r="Y837" s="97">
        <v>43</v>
      </c>
      <c r="Z837" s="97">
        <v>712</v>
      </c>
      <c r="AA837" s="97">
        <v>52</v>
      </c>
      <c r="AB837" s="97">
        <v>35</v>
      </c>
      <c r="AC837" s="97">
        <v>509</v>
      </c>
      <c r="AD837" s="97">
        <v>59</v>
      </c>
      <c r="AE837" s="97">
        <v>48</v>
      </c>
      <c r="AF837" s="97">
        <v>746</v>
      </c>
      <c r="AG837" s="97">
        <v>377.5</v>
      </c>
      <c r="AH837" s="97">
        <v>46</v>
      </c>
      <c r="AI837" s="97">
        <v>834</v>
      </c>
    </row>
    <row r="838" spans="1:35" ht="15" customHeight="1">
      <c r="A838" s="97" t="s">
        <v>1303</v>
      </c>
      <c r="B838" s="97" t="s">
        <v>1303</v>
      </c>
      <c r="C838" s="97" t="s">
        <v>1304</v>
      </c>
      <c r="D838" s="97" t="s">
        <v>3198</v>
      </c>
      <c r="E838" s="97" t="s">
        <v>54</v>
      </c>
      <c r="F838" s="97">
        <v>92</v>
      </c>
      <c r="G838" s="97">
        <v>47</v>
      </c>
      <c r="H838" s="97">
        <v>779</v>
      </c>
      <c r="I838" s="97">
        <v>55</v>
      </c>
      <c r="J838" s="97">
        <v>44</v>
      </c>
      <c r="K838" s="97">
        <v>766</v>
      </c>
      <c r="L838" s="97">
        <v>75</v>
      </c>
      <c r="M838" s="97">
        <v>45</v>
      </c>
      <c r="N838" s="97">
        <v>776</v>
      </c>
      <c r="O838" s="97">
        <v>45</v>
      </c>
      <c r="P838" s="97">
        <v>50</v>
      </c>
      <c r="Q838" s="97">
        <v>840</v>
      </c>
      <c r="R838" s="97">
        <v>42</v>
      </c>
      <c r="S838" s="97">
        <v>48</v>
      </c>
      <c r="T838" s="97">
        <v>774</v>
      </c>
      <c r="U838" s="97">
        <v>68</v>
      </c>
      <c r="V838" s="97">
        <v>38</v>
      </c>
      <c r="W838" s="97">
        <v>555</v>
      </c>
      <c r="X838" s="97">
        <v>61</v>
      </c>
      <c r="Y838" s="97">
        <v>40</v>
      </c>
      <c r="Z838" s="97">
        <v>754</v>
      </c>
      <c r="AA838" s="97">
        <v>47</v>
      </c>
      <c r="AB838" s="97">
        <v>37</v>
      </c>
      <c r="AC838" s="97">
        <v>719</v>
      </c>
      <c r="AD838" s="97">
        <v>73</v>
      </c>
      <c r="AE838" s="97">
        <v>14</v>
      </c>
      <c r="AF838" s="97">
        <v>216</v>
      </c>
      <c r="AG838" s="97">
        <v>377</v>
      </c>
      <c r="AH838" s="97">
        <v>51</v>
      </c>
      <c r="AI838" s="97">
        <v>835</v>
      </c>
    </row>
    <row r="839" spans="1:35" ht="15" customHeight="1">
      <c r="A839" s="97" t="s">
        <v>2426</v>
      </c>
      <c r="B839" s="97" t="s">
        <v>2426</v>
      </c>
      <c r="C839" s="97" t="s">
        <v>2427</v>
      </c>
      <c r="D839" s="97" t="s">
        <v>3198</v>
      </c>
      <c r="E839" s="97" t="s">
        <v>131</v>
      </c>
      <c r="F839" s="97">
        <v>86</v>
      </c>
      <c r="G839" s="97">
        <v>41</v>
      </c>
      <c r="H839" s="97">
        <v>867</v>
      </c>
      <c r="I839" s="97">
        <v>67</v>
      </c>
      <c r="J839" s="97">
        <v>38</v>
      </c>
      <c r="K839" s="97">
        <v>565</v>
      </c>
      <c r="L839" s="97">
        <v>71</v>
      </c>
      <c r="M839" s="97">
        <v>50</v>
      </c>
      <c r="N839" s="97">
        <v>829</v>
      </c>
      <c r="O839" s="97">
        <v>59</v>
      </c>
      <c r="P839" s="97">
        <v>39</v>
      </c>
      <c r="Q839" s="97">
        <v>626</v>
      </c>
      <c r="R839" s="97">
        <v>43</v>
      </c>
      <c r="S839" s="97">
        <v>47</v>
      </c>
      <c r="T839" s="97">
        <v>757</v>
      </c>
      <c r="U839" s="97">
        <v>51</v>
      </c>
      <c r="V839" s="97">
        <v>50</v>
      </c>
      <c r="W839" s="97">
        <v>874</v>
      </c>
      <c r="X839" s="97">
        <v>67</v>
      </c>
      <c r="Y839" s="97">
        <v>28</v>
      </c>
      <c r="Z839" s="97">
        <v>570</v>
      </c>
      <c r="AA839" s="97">
        <v>59</v>
      </c>
      <c r="AB839" s="97">
        <v>24</v>
      </c>
      <c r="AC839" s="97">
        <v>233</v>
      </c>
      <c r="AD839" s="97">
        <v>64</v>
      </c>
      <c r="AE839" s="97">
        <v>39</v>
      </c>
      <c r="AF839" s="97">
        <v>586</v>
      </c>
      <c r="AG839" s="97">
        <v>377</v>
      </c>
      <c r="AH839" s="97">
        <v>48</v>
      </c>
      <c r="AI839" s="97">
        <v>835</v>
      </c>
    </row>
    <row r="840" spans="1:35" ht="15" customHeight="1">
      <c r="A840" s="97" t="s">
        <v>1434</v>
      </c>
      <c r="B840" s="97" t="s">
        <v>1434</v>
      </c>
      <c r="C840" s="97" t="s">
        <v>1435</v>
      </c>
      <c r="D840" s="97" t="s">
        <v>3198</v>
      </c>
      <c r="E840" s="97" t="s">
        <v>56</v>
      </c>
      <c r="F840" s="97">
        <v>73</v>
      </c>
      <c r="G840" s="97">
        <v>52</v>
      </c>
      <c r="H840" s="97">
        <v>927</v>
      </c>
      <c r="I840" s="97">
        <v>47</v>
      </c>
      <c r="J840" s="97">
        <v>48</v>
      </c>
      <c r="K840" s="97">
        <v>857</v>
      </c>
      <c r="L840" s="97">
        <v>96.5</v>
      </c>
      <c r="M840" s="97">
        <v>15</v>
      </c>
      <c r="N840" s="97">
        <v>337</v>
      </c>
      <c r="O840" s="97">
        <v>55</v>
      </c>
      <c r="P840" s="97">
        <v>42</v>
      </c>
      <c r="Q840" s="97">
        <v>694</v>
      </c>
      <c r="R840" s="97">
        <v>36</v>
      </c>
      <c r="S840" s="97">
        <v>43</v>
      </c>
      <c r="T840" s="97">
        <v>856</v>
      </c>
      <c r="U840" s="97">
        <v>69</v>
      </c>
      <c r="V840" s="97">
        <v>37</v>
      </c>
      <c r="W840" s="97">
        <v>523</v>
      </c>
      <c r="X840" s="97">
        <v>83</v>
      </c>
      <c r="Y840" s="97">
        <v>5</v>
      </c>
      <c r="Z840" s="97">
        <v>79</v>
      </c>
      <c r="AA840" s="97">
        <v>55</v>
      </c>
      <c r="AB840" s="97">
        <v>14</v>
      </c>
      <c r="AC840" s="97">
        <v>392</v>
      </c>
      <c r="AD840" s="97">
        <v>79</v>
      </c>
      <c r="AE840" s="97">
        <v>3</v>
      </c>
      <c r="AF840" s="97">
        <v>73</v>
      </c>
      <c r="AG840" s="97">
        <v>376.5</v>
      </c>
      <c r="AH840" s="97">
        <v>48</v>
      </c>
      <c r="AI840" s="97">
        <v>837</v>
      </c>
    </row>
    <row r="841" spans="1:35" ht="15" customHeight="1">
      <c r="A841" s="97" t="s">
        <v>311</v>
      </c>
      <c r="B841" s="97" t="s">
        <v>311</v>
      </c>
      <c r="C841" s="97" t="s">
        <v>312</v>
      </c>
      <c r="D841" s="97" t="s">
        <v>3198</v>
      </c>
      <c r="E841" s="97" t="s">
        <v>28</v>
      </c>
      <c r="F841" s="97">
        <v>94</v>
      </c>
      <c r="G841" s="97">
        <v>44</v>
      </c>
      <c r="H841" s="97">
        <v>733</v>
      </c>
      <c r="I841" s="97">
        <v>57</v>
      </c>
      <c r="J841" s="97">
        <v>40</v>
      </c>
      <c r="K841" s="97">
        <v>744</v>
      </c>
      <c r="L841" s="97">
        <v>86.5</v>
      </c>
      <c r="M841" s="97">
        <v>33</v>
      </c>
      <c r="N841" s="97">
        <v>565</v>
      </c>
      <c r="O841" s="97">
        <v>40</v>
      </c>
      <c r="P841" s="97">
        <v>52</v>
      </c>
      <c r="Q841" s="97">
        <v>879</v>
      </c>
      <c r="R841" s="97">
        <v>30</v>
      </c>
      <c r="S841" s="97">
        <v>52</v>
      </c>
      <c r="T841" s="97">
        <v>902</v>
      </c>
      <c r="U841" s="97">
        <v>69</v>
      </c>
      <c r="V841" s="97">
        <v>28</v>
      </c>
      <c r="W841" s="97">
        <v>523</v>
      </c>
      <c r="X841" s="97">
        <v>67</v>
      </c>
      <c r="Y841" s="97">
        <v>32</v>
      </c>
      <c r="Z841" s="97">
        <v>570</v>
      </c>
      <c r="AA841" s="97">
        <v>51</v>
      </c>
      <c r="AB841" s="97">
        <v>39</v>
      </c>
      <c r="AC841" s="97">
        <v>555</v>
      </c>
      <c r="AD841" s="97">
        <v>59</v>
      </c>
      <c r="AE841" s="97">
        <v>48</v>
      </c>
      <c r="AF841" s="97">
        <v>746</v>
      </c>
      <c r="AG841" s="97">
        <v>376.5</v>
      </c>
      <c r="AH841" s="97">
        <v>47</v>
      </c>
      <c r="AI841" s="97">
        <v>837</v>
      </c>
    </row>
    <row r="842" spans="1:35" ht="15" customHeight="1">
      <c r="A842" s="97" t="s">
        <v>2441</v>
      </c>
      <c r="B842" s="97" t="s">
        <v>2441</v>
      </c>
      <c r="C842" s="97" t="s">
        <v>2442</v>
      </c>
      <c r="D842" s="97" t="s">
        <v>3198</v>
      </c>
      <c r="E842" s="97" t="s">
        <v>131</v>
      </c>
      <c r="F842" s="97">
        <v>83</v>
      </c>
      <c r="G842" s="97">
        <v>48</v>
      </c>
      <c r="H842" s="97">
        <v>897</v>
      </c>
      <c r="I842" s="97">
        <v>71</v>
      </c>
      <c r="J842" s="97">
        <v>29</v>
      </c>
      <c r="K842" s="97">
        <v>475</v>
      </c>
      <c r="L842" s="97">
        <v>72</v>
      </c>
      <c r="M842" s="97">
        <v>48</v>
      </c>
      <c r="N842" s="97">
        <v>821</v>
      </c>
      <c r="O842" s="97">
        <v>53</v>
      </c>
      <c r="P842" s="97">
        <v>44</v>
      </c>
      <c r="Q842" s="97">
        <v>739</v>
      </c>
      <c r="R842" s="97">
        <v>44</v>
      </c>
      <c r="S842" s="97">
        <v>41</v>
      </c>
      <c r="T842" s="97">
        <v>736</v>
      </c>
      <c r="U842" s="97">
        <v>53</v>
      </c>
      <c r="V842" s="97">
        <v>49</v>
      </c>
      <c r="W842" s="97">
        <v>858</v>
      </c>
      <c r="X842" s="97">
        <v>56</v>
      </c>
      <c r="Y842" s="97">
        <v>52</v>
      </c>
      <c r="Z842" s="97">
        <v>849</v>
      </c>
      <c r="AA842" s="97">
        <v>50</v>
      </c>
      <c r="AB842" s="97">
        <v>41</v>
      </c>
      <c r="AC842" s="97">
        <v>591</v>
      </c>
      <c r="AD842" s="97">
        <v>73</v>
      </c>
      <c r="AE842" s="97">
        <v>12</v>
      </c>
      <c r="AF842" s="97">
        <v>216</v>
      </c>
      <c r="AG842" s="97">
        <v>376</v>
      </c>
      <c r="AH842" s="97">
        <v>49</v>
      </c>
      <c r="AI842" s="97">
        <v>839</v>
      </c>
    </row>
    <row r="843" spans="1:35" ht="15" customHeight="1">
      <c r="A843" s="97" t="s">
        <v>2605</v>
      </c>
      <c r="B843" s="97" t="s">
        <v>2605</v>
      </c>
      <c r="C843" s="97" t="s">
        <v>2609</v>
      </c>
      <c r="D843" s="97" t="s">
        <v>3198</v>
      </c>
      <c r="E843" s="97" t="s">
        <v>49</v>
      </c>
      <c r="F843" s="97">
        <v>99</v>
      </c>
      <c r="G843" s="97">
        <v>30</v>
      </c>
      <c r="H843" s="97">
        <v>571</v>
      </c>
      <c r="I843" s="97">
        <v>57</v>
      </c>
      <c r="J843" s="97">
        <v>41</v>
      </c>
      <c r="K843" s="97">
        <v>744</v>
      </c>
      <c r="L843" s="97">
        <v>101.5</v>
      </c>
      <c r="M843" s="97">
        <v>13</v>
      </c>
      <c r="N843" s="97">
        <v>225</v>
      </c>
      <c r="O843" s="97">
        <v>40</v>
      </c>
      <c r="P843" s="97">
        <v>54</v>
      </c>
      <c r="Q843" s="97">
        <v>879</v>
      </c>
      <c r="R843" s="97">
        <v>31</v>
      </c>
      <c r="S843" s="97">
        <v>53</v>
      </c>
      <c r="T843" s="97">
        <v>893</v>
      </c>
      <c r="U843" s="97">
        <v>47</v>
      </c>
      <c r="V843" s="97">
        <v>52</v>
      </c>
      <c r="W843" s="97">
        <v>895</v>
      </c>
      <c r="X843" s="97">
        <v>62</v>
      </c>
      <c r="Y843" s="97">
        <v>35</v>
      </c>
      <c r="Z843" s="97">
        <v>729</v>
      </c>
      <c r="AA843" s="97">
        <v>56</v>
      </c>
      <c r="AB843" s="97">
        <v>14</v>
      </c>
      <c r="AC843" s="97">
        <v>352</v>
      </c>
      <c r="AD843" s="97">
        <v>47</v>
      </c>
      <c r="AE843" s="97">
        <v>50</v>
      </c>
      <c r="AF843" s="97">
        <v>916</v>
      </c>
      <c r="AG843" s="97">
        <v>375.5</v>
      </c>
      <c r="AH843" s="97">
        <v>45</v>
      </c>
      <c r="AI843" s="97">
        <v>840</v>
      </c>
    </row>
    <row r="844" spans="1:35" ht="15" customHeight="1">
      <c r="A844" s="97" t="s">
        <v>2296</v>
      </c>
      <c r="B844" s="97" t="s">
        <v>2296</v>
      </c>
      <c r="C844" s="97" t="s">
        <v>2294</v>
      </c>
      <c r="D844" s="97" t="s">
        <v>3198</v>
      </c>
      <c r="E844" s="97" t="s">
        <v>7</v>
      </c>
      <c r="F844" s="97">
        <v>68</v>
      </c>
      <c r="G844" s="97">
        <v>55</v>
      </c>
      <c r="H844" s="97">
        <v>931</v>
      </c>
      <c r="I844" s="97">
        <v>63</v>
      </c>
      <c r="J844" s="97">
        <v>28</v>
      </c>
      <c r="K844" s="97">
        <v>642</v>
      </c>
      <c r="L844" s="97">
        <v>87</v>
      </c>
      <c r="M844" s="97">
        <v>30</v>
      </c>
      <c r="N844" s="97">
        <v>553</v>
      </c>
      <c r="O844" s="97">
        <v>70</v>
      </c>
      <c r="P844" s="97">
        <v>16</v>
      </c>
      <c r="Q844" s="97">
        <v>400</v>
      </c>
      <c r="R844" s="97">
        <v>39</v>
      </c>
      <c r="S844" s="97">
        <v>45</v>
      </c>
      <c r="T844" s="97">
        <v>825</v>
      </c>
      <c r="U844" s="97">
        <v>48</v>
      </c>
      <c r="V844" s="97">
        <v>50</v>
      </c>
      <c r="W844" s="97">
        <v>892</v>
      </c>
      <c r="X844" s="97">
        <v>76</v>
      </c>
      <c r="Y844" s="97">
        <v>28</v>
      </c>
      <c r="Z844" s="97">
        <v>260</v>
      </c>
      <c r="AA844" s="97">
        <v>59</v>
      </c>
      <c r="AB844" s="97">
        <v>12</v>
      </c>
      <c r="AC844" s="97">
        <v>233</v>
      </c>
      <c r="AD844" s="97">
        <v>63</v>
      </c>
      <c r="AE844" s="97">
        <v>36</v>
      </c>
      <c r="AF844" s="97">
        <v>633</v>
      </c>
      <c r="AG844" s="97">
        <v>375</v>
      </c>
      <c r="AH844" s="97">
        <v>48</v>
      </c>
      <c r="AI844" s="97">
        <v>841</v>
      </c>
    </row>
    <row r="845" spans="1:35" ht="15" customHeight="1">
      <c r="A845" s="97" t="s">
        <v>2864</v>
      </c>
      <c r="B845" s="97" t="s">
        <v>2864</v>
      </c>
      <c r="C845" s="97" t="s">
        <v>2865</v>
      </c>
      <c r="D845" s="97" t="s">
        <v>3198</v>
      </c>
      <c r="E845" s="97" t="s">
        <v>38</v>
      </c>
      <c r="F845" s="97">
        <v>100</v>
      </c>
      <c r="G845" s="97">
        <v>28</v>
      </c>
      <c r="H845" s="97">
        <v>528</v>
      </c>
      <c r="I845" s="97">
        <v>61</v>
      </c>
      <c r="J845" s="97">
        <v>37</v>
      </c>
      <c r="K845" s="97">
        <v>678</v>
      </c>
      <c r="L845" s="97">
        <v>83</v>
      </c>
      <c r="M845" s="97">
        <v>39</v>
      </c>
      <c r="N845" s="97">
        <v>642</v>
      </c>
      <c r="O845" s="97">
        <v>36</v>
      </c>
      <c r="P845" s="97">
        <v>53</v>
      </c>
      <c r="Q845" s="97">
        <v>905</v>
      </c>
      <c r="R845" s="97">
        <v>31</v>
      </c>
      <c r="S845" s="97">
        <v>52</v>
      </c>
      <c r="T845" s="97">
        <v>893</v>
      </c>
      <c r="U845" s="97">
        <v>64</v>
      </c>
      <c r="V845" s="97">
        <v>36</v>
      </c>
      <c r="W845" s="97">
        <v>667</v>
      </c>
      <c r="X845" s="97">
        <v>69</v>
      </c>
      <c r="Y845" s="97">
        <v>24</v>
      </c>
      <c r="Z845" s="97">
        <v>504</v>
      </c>
      <c r="AA845" s="97">
        <v>57</v>
      </c>
      <c r="AB845" s="97">
        <v>15</v>
      </c>
      <c r="AC845" s="97">
        <v>306</v>
      </c>
      <c r="AD845" s="97">
        <v>63</v>
      </c>
      <c r="AE845" s="97">
        <v>30</v>
      </c>
      <c r="AF845" s="97">
        <v>633</v>
      </c>
      <c r="AG845" s="97">
        <v>375</v>
      </c>
      <c r="AH845" s="97">
        <v>50</v>
      </c>
      <c r="AI845" s="97">
        <v>841</v>
      </c>
    </row>
    <row r="846" spans="1:35" ht="15" customHeight="1">
      <c r="A846" s="97" t="s">
        <v>299</v>
      </c>
      <c r="B846" s="97" t="s">
        <v>299</v>
      </c>
      <c r="C846" s="97" t="s">
        <v>300</v>
      </c>
      <c r="D846" s="97" t="s">
        <v>3198</v>
      </c>
      <c r="E846" s="97" t="s">
        <v>28</v>
      </c>
      <c r="F846" s="97">
        <v>95</v>
      </c>
      <c r="G846" s="97">
        <v>43</v>
      </c>
      <c r="H846" s="97">
        <v>710</v>
      </c>
      <c r="I846" s="97">
        <v>57</v>
      </c>
      <c r="J846" s="97">
        <v>40</v>
      </c>
      <c r="K846" s="97">
        <v>744</v>
      </c>
      <c r="L846" s="97">
        <v>77</v>
      </c>
      <c r="M846" s="97">
        <v>42</v>
      </c>
      <c r="N846" s="97">
        <v>740</v>
      </c>
      <c r="O846" s="97">
        <v>45</v>
      </c>
      <c r="P846" s="97">
        <v>49</v>
      </c>
      <c r="Q846" s="97">
        <v>840</v>
      </c>
      <c r="R846" s="97">
        <v>42</v>
      </c>
      <c r="S846" s="97">
        <v>42</v>
      </c>
      <c r="T846" s="97">
        <v>774</v>
      </c>
      <c r="U846" s="97">
        <v>59</v>
      </c>
      <c r="V846" s="97">
        <v>42</v>
      </c>
      <c r="W846" s="97">
        <v>762</v>
      </c>
      <c r="X846" s="97">
        <v>56</v>
      </c>
      <c r="Y846" s="97">
        <v>51</v>
      </c>
      <c r="Z846" s="97">
        <v>849</v>
      </c>
      <c r="AA846" s="97">
        <v>42</v>
      </c>
      <c r="AB846" s="97">
        <v>52</v>
      </c>
      <c r="AC846" s="97">
        <v>845</v>
      </c>
      <c r="AD846" s="97">
        <v>67</v>
      </c>
      <c r="AE846" s="97">
        <v>30</v>
      </c>
      <c r="AF846" s="97">
        <v>471</v>
      </c>
      <c r="AG846" s="97">
        <v>375</v>
      </c>
      <c r="AH846" s="97">
        <v>48</v>
      </c>
      <c r="AI846" s="97">
        <v>841</v>
      </c>
    </row>
    <row r="847" spans="1:35" ht="15" customHeight="1">
      <c r="A847" s="97" t="s">
        <v>733</v>
      </c>
      <c r="B847" s="97" t="s">
        <v>733</v>
      </c>
      <c r="C847" s="97" t="s">
        <v>734</v>
      </c>
      <c r="D847" s="97" t="s">
        <v>3198</v>
      </c>
      <c r="E847" s="97" t="s">
        <v>117</v>
      </c>
      <c r="F847" s="97">
        <v>79</v>
      </c>
      <c r="G847" s="97">
        <v>54</v>
      </c>
      <c r="H847" s="97">
        <v>915</v>
      </c>
      <c r="I847" s="97">
        <v>68</v>
      </c>
      <c r="J847" s="97">
        <v>33</v>
      </c>
      <c r="K847" s="97">
        <v>540</v>
      </c>
      <c r="L847" s="97">
        <v>64.5</v>
      </c>
      <c r="M847" s="97">
        <v>48</v>
      </c>
      <c r="N847" s="97">
        <v>884</v>
      </c>
      <c r="O847" s="97">
        <v>61</v>
      </c>
      <c r="P847" s="97">
        <v>33</v>
      </c>
      <c r="Q847" s="97">
        <v>587</v>
      </c>
      <c r="R847" s="97">
        <v>51</v>
      </c>
      <c r="S847" s="97">
        <v>33</v>
      </c>
      <c r="T847" s="97">
        <v>571</v>
      </c>
      <c r="U847" s="97">
        <v>51</v>
      </c>
      <c r="V847" s="97">
        <v>52</v>
      </c>
      <c r="W847" s="97">
        <v>874</v>
      </c>
      <c r="X847" s="97">
        <v>70</v>
      </c>
      <c r="Y847" s="97">
        <v>34</v>
      </c>
      <c r="Z847" s="97">
        <v>473</v>
      </c>
      <c r="AA847" s="97">
        <v>47</v>
      </c>
      <c r="AB847" s="97">
        <v>42</v>
      </c>
      <c r="AC847" s="97">
        <v>719</v>
      </c>
      <c r="AD847" s="97">
        <v>52</v>
      </c>
      <c r="AE847" s="97">
        <v>52</v>
      </c>
      <c r="AF847" s="97">
        <v>879</v>
      </c>
      <c r="AG847" s="97">
        <v>374.5</v>
      </c>
      <c r="AH847" s="97">
        <v>52</v>
      </c>
      <c r="AI847" s="97">
        <v>844</v>
      </c>
    </row>
    <row r="848" spans="1:35" ht="15" customHeight="1">
      <c r="A848" s="97" t="s">
        <v>1475</v>
      </c>
      <c r="B848" s="97" t="s">
        <v>1475</v>
      </c>
      <c r="C848" s="97" t="s">
        <v>1476</v>
      </c>
      <c r="D848" s="97" t="s">
        <v>3198</v>
      </c>
      <c r="E848" s="97" t="s">
        <v>56</v>
      </c>
      <c r="F848" s="97">
        <v>113</v>
      </c>
      <c r="G848" s="97">
        <v>4</v>
      </c>
      <c r="H848" s="97">
        <v>95</v>
      </c>
      <c r="I848" s="97">
        <v>48</v>
      </c>
      <c r="J848" s="97">
        <v>47</v>
      </c>
      <c r="K848" s="97">
        <v>848</v>
      </c>
      <c r="L848" s="97">
        <v>92.5</v>
      </c>
      <c r="M848" s="97">
        <v>19</v>
      </c>
      <c r="N848" s="97">
        <v>414</v>
      </c>
      <c r="O848" s="97">
        <v>28</v>
      </c>
      <c r="P848" s="97">
        <v>53</v>
      </c>
      <c r="Q848" s="97">
        <v>927</v>
      </c>
      <c r="R848" s="97">
        <v>26</v>
      </c>
      <c r="S848" s="97">
        <v>50</v>
      </c>
      <c r="T848" s="97">
        <v>918</v>
      </c>
      <c r="U848" s="97">
        <v>67</v>
      </c>
      <c r="V848" s="97">
        <v>42</v>
      </c>
      <c r="W848" s="97">
        <v>587</v>
      </c>
      <c r="X848" s="97">
        <v>80</v>
      </c>
      <c r="Y848" s="97">
        <v>10</v>
      </c>
      <c r="Z848" s="97">
        <v>151</v>
      </c>
      <c r="AA848" s="97">
        <v>56</v>
      </c>
      <c r="AB848" s="97">
        <v>10</v>
      </c>
      <c r="AC848" s="97">
        <v>352</v>
      </c>
      <c r="AD848" s="97">
        <v>77</v>
      </c>
      <c r="AE848" s="97">
        <v>8</v>
      </c>
      <c r="AF848" s="97">
        <v>102</v>
      </c>
      <c r="AG848" s="97">
        <v>374.5</v>
      </c>
      <c r="AH848" s="97">
        <v>49</v>
      </c>
      <c r="AI848" s="97">
        <v>844</v>
      </c>
    </row>
    <row r="849" spans="1:35" ht="15" customHeight="1">
      <c r="A849" s="97" t="s">
        <v>1158</v>
      </c>
      <c r="B849" s="97" t="s">
        <v>1158</v>
      </c>
      <c r="C849" s="97" t="s">
        <v>1159</v>
      </c>
      <c r="D849" s="97" t="s">
        <v>3198</v>
      </c>
      <c r="E849" s="97" t="s">
        <v>68</v>
      </c>
      <c r="F849" s="97">
        <v>86</v>
      </c>
      <c r="G849" s="97">
        <v>55</v>
      </c>
      <c r="H849" s="97">
        <v>867</v>
      </c>
      <c r="I849" s="97">
        <v>75</v>
      </c>
      <c r="J849" s="97">
        <v>29</v>
      </c>
      <c r="K849" s="97">
        <v>409</v>
      </c>
      <c r="L849" s="97">
        <v>68.5</v>
      </c>
      <c r="M849" s="97">
        <v>47</v>
      </c>
      <c r="N849" s="97">
        <v>857</v>
      </c>
      <c r="O849" s="97">
        <v>40</v>
      </c>
      <c r="P849" s="97">
        <v>51</v>
      </c>
      <c r="Q849" s="97">
        <v>879</v>
      </c>
      <c r="R849" s="97">
        <v>39</v>
      </c>
      <c r="S849" s="97">
        <v>51</v>
      </c>
      <c r="T849" s="97">
        <v>825</v>
      </c>
      <c r="U849" s="97">
        <v>66</v>
      </c>
      <c r="V849" s="97">
        <v>35</v>
      </c>
      <c r="W849" s="97">
        <v>611</v>
      </c>
      <c r="X849" s="97">
        <v>62</v>
      </c>
      <c r="Y849" s="97">
        <v>43</v>
      </c>
      <c r="Z849" s="97">
        <v>729</v>
      </c>
      <c r="AA849" s="97">
        <v>61</v>
      </c>
      <c r="AB849" s="97">
        <v>4</v>
      </c>
      <c r="AC849" s="97">
        <v>172</v>
      </c>
      <c r="AD849" s="97">
        <v>63</v>
      </c>
      <c r="AE849" s="97">
        <v>34</v>
      </c>
      <c r="AF849" s="97">
        <v>633</v>
      </c>
      <c r="AG849" s="97">
        <v>374.5</v>
      </c>
      <c r="AH849" s="97">
        <v>50</v>
      </c>
      <c r="AI849" s="97">
        <v>844</v>
      </c>
    </row>
    <row r="850" spans="1:35" ht="15" customHeight="1">
      <c r="A850" s="97" t="s">
        <v>2797</v>
      </c>
      <c r="B850" s="97" t="s">
        <v>2797</v>
      </c>
      <c r="C850" s="97" t="s">
        <v>2798</v>
      </c>
      <c r="D850" s="97" t="s">
        <v>3198</v>
      </c>
      <c r="E850" s="97" t="s">
        <v>38</v>
      </c>
      <c r="F850" s="97">
        <v>102</v>
      </c>
      <c r="G850" s="97">
        <v>23</v>
      </c>
      <c r="H850" s="97">
        <v>442</v>
      </c>
      <c r="I850" s="97">
        <v>50</v>
      </c>
      <c r="J850" s="97">
        <v>49</v>
      </c>
      <c r="K850" s="97">
        <v>831</v>
      </c>
      <c r="L850" s="97">
        <v>70.5</v>
      </c>
      <c r="M850" s="97">
        <v>52</v>
      </c>
      <c r="N850" s="97">
        <v>834</v>
      </c>
      <c r="O850" s="97">
        <v>59</v>
      </c>
      <c r="P850" s="97">
        <v>36</v>
      </c>
      <c r="Q850" s="97">
        <v>626</v>
      </c>
      <c r="R850" s="97">
        <v>35</v>
      </c>
      <c r="S850" s="97">
        <v>51</v>
      </c>
      <c r="T850" s="97">
        <v>870</v>
      </c>
      <c r="U850" s="97">
        <v>58</v>
      </c>
      <c r="V850" s="97">
        <v>47</v>
      </c>
      <c r="W850" s="97">
        <v>786</v>
      </c>
      <c r="X850" s="97">
        <v>70</v>
      </c>
      <c r="Y850" s="97">
        <v>22</v>
      </c>
      <c r="Z850" s="97">
        <v>473</v>
      </c>
      <c r="AA850" s="97">
        <v>51</v>
      </c>
      <c r="AB850" s="97">
        <v>29</v>
      </c>
      <c r="AC850" s="97">
        <v>555</v>
      </c>
      <c r="AD850" s="97">
        <v>61</v>
      </c>
      <c r="AE850" s="97">
        <v>38</v>
      </c>
      <c r="AF850" s="97">
        <v>703</v>
      </c>
      <c r="AG850" s="97">
        <v>374.5</v>
      </c>
      <c r="AH850" s="97">
        <v>51</v>
      </c>
      <c r="AI850" s="97">
        <v>844</v>
      </c>
    </row>
    <row r="851" spans="1:35" ht="15" customHeight="1">
      <c r="A851" s="97" t="s">
        <v>2843</v>
      </c>
      <c r="B851" s="97" t="s">
        <v>2843</v>
      </c>
      <c r="C851" s="97" t="s">
        <v>2844</v>
      </c>
      <c r="D851" s="97" t="s">
        <v>3198</v>
      </c>
      <c r="E851" s="97" t="s">
        <v>38</v>
      </c>
      <c r="F851" s="97">
        <v>95</v>
      </c>
      <c r="G851" s="97">
        <v>39</v>
      </c>
      <c r="H851" s="97">
        <v>710</v>
      </c>
      <c r="I851" s="97">
        <v>49</v>
      </c>
      <c r="J851" s="97">
        <v>50</v>
      </c>
      <c r="K851" s="97">
        <v>839</v>
      </c>
      <c r="L851" s="97">
        <v>78.5</v>
      </c>
      <c r="M851" s="97">
        <v>45</v>
      </c>
      <c r="N851" s="97">
        <v>711</v>
      </c>
      <c r="O851" s="97">
        <v>46</v>
      </c>
      <c r="P851" s="97">
        <v>50</v>
      </c>
      <c r="Q851" s="97">
        <v>833</v>
      </c>
      <c r="R851" s="97">
        <v>47</v>
      </c>
      <c r="S851" s="97">
        <v>34</v>
      </c>
      <c r="T851" s="97">
        <v>673</v>
      </c>
      <c r="U851" s="97">
        <v>59</v>
      </c>
      <c r="V851" s="97">
        <v>46</v>
      </c>
      <c r="W851" s="97">
        <v>762</v>
      </c>
      <c r="X851" s="97">
        <v>78</v>
      </c>
      <c r="Y851" s="97">
        <v>2</v>
      </c>
      <c r="Z851" s="97">
        <v>209</v>
      </c>
      <c r="AA851" s="97">
        <v>49</v>
      </c>
      <c r="AB851" s="97">
        <v>35</v>
      </c>
      <c r="AC851" s="97">
        <v>633</v>
      </c>
      <c r="AD851" s="97">
        <v>68</v>
      </c>
      <c r="AE851" s="97">
        <v>21</v>
      </c>
      <c r="AF851" s="97">
        <v>412</v>
      </c>
      <c r="AG851" s="97">
        <v>374.5</v>
      </c>
      <c r="AH851" s="97">
        <v>51</v>
      </c>
      <c r="AI851" s="97">
        <v>844</v>
      </c>
    </row>
    <row r="852" spans="1:35" ht="15" customHeight="1">
      <c r="A852" s="97" t="s">
        <v>2737</v>
      </c>
      <c r="B852" s="97" t="s">
        <v>2737</v>
      </c>
      <c r="C852" s="97" t="s">
        <v>2738</v>
      </c>
      <c r="D852" s="97" t="s">
        <v>3198</v>
      </c>
      <c r="E852" s="97" t="s">
        <v>49</v>
      </c>
      <c r="F852" s="97">
        <v>94</v>
      </c>
      <c r="G852" s="97">
        <v>38</v>
      </c>
      <c r="H852" s="97">
        <v>733</v>
      </c>
      <c r="I852" s="97">
        <v>51</v>
      </c>
      <c r="J852" s="97">
        <v>46</v>
      </c>
      <c r="K852" s="97">
        <v>817</v>
      </c>
      <c r="L852" s="97">
        <v>85.5</v>
      </c>
      <c r="M852" s="97">
        <v>40</v>
      </c>
      <c r="N852" s="97">
        <v>585</v>
      </c>
      <c r="O852" s="97">
        <v>44</v>
      </c>
      <c r="P852" s="97">
        <v>52</v>
      </c>
      <c r="Q852" s="97">
        <v>849</v>
      </c>
      <c r="R852" s="97">
        <v>37</v>
      </c>
      <c r="S852" s="97">
        <v>50</v>
      </c>
      <c r="T852" s="97">
        <v>850</v>
      </c>
      <c r="U852" s="97">
        <v>63</v>
      </c>
      <c r="V852" s="97">
        <v>37</v>
      </c>
      <c r="W852" s="97">
        <v>692</v>
      </c>
      <c r="X852" s="97">
        <v>71</v>
      </c>
      <c r="Y852" s="97">
        <v>11</v>
      </c>
      <c r="Z852" s="97">
        <v>439</v>
      </c>
      <c r="AA852" s="97">
        <v>51</v>
      </c>
      <c r="AB852" s="97">
        <v>23</v>
      </c>
      <c r="AC852" s="97">
        <v>555</v>
      </c>
      <c r="AD852" s="97">
        <v>60</v>
      </c>
      <c r="AE852" s="97">
        <v>31</v>
      </c>
      <c r="AF852" s="97">
        <v>727</v>
      </c>
      <c r="AG852" s="97">
        <v>374.5</v>
      </c>
      <c r="AH852" s="97">
        <v>46</v>
      </c>
      <c r="AI852" s="97">
        <v>844</v>
      </c>
    </row>
    <row r="853" spans="1:35" ht="15" customHeight="1">
      <c r="A853" s="97" t="s">
        <v>1786</v>
      </c>
      <c r="B853" s="97" t="s">
        <v>1786</v>
      </c>
      <c r="C853" s="97" t="s">
        <v>1787</v>
      </c>
      <c r="D853" s="97" t="s">
        <v>3198</v>
      </c>
      <c r="E853" s="97" t="s">
        <v>34</v>
      </c>
      <c r="F853" s="97">
        <v>99</v>
      </c>
      <c r="G853" s="97">
        <v>37</v>
      </c>
      <c r="H853" s="97">
        <v>571</v>
      </c>
      <c r="I853" s="97">
        <v>60</v>
      </c>
      <c r="J853" s="97">
        <v>46</v>
      </c>
      <c r="K853" s="97">
        <v>696</v>
      </c>
      <c r="L853" s="97">
        <v>58</v>
      </c>
      <c r="M853" s="97">
        <v>54</v>
      </c>
      <c r="N853" s="97">
        <v>917</v>
      </c>
      <c r="O853" s="97">
        <v>51</v>
      </c>
      <c r="P853" s="97">
        <v>46</v>
      </c>
      <c r="Q853" s="97">
        <v>771</v>
      </c>
      <c r="R853" s="97">
        <v>49</v>
      </c>
      <c r="S853" s="97">
        <v>37</v>
      </c>
      <c r="T853" s="97">
        <v>624</v>
      </c>
      <c r="U853" s="97">
        <v>57</v>
      </c>
      <c r="V853" s="97">
        <v>44</v>
      </c>
      <c r="W853" s="97">
        <v>801</v>
      </c>
      <c r="X853" s="97">
        <v>71</v>
      </c>
      <c r="Y853" s="97">
        <v>30</v>
      </c>
      <c r="Z853" s="97">
        <v>439</v>
      </c>
      <c r="AA853" s="97">
        <v>49</v>
      </c>
      <c r="AB853" s="97">
        <v>35</v>
      </c>
      <c r="AC853" s="97">
        <v>633</v>
      </c>
      <c r="AD853" s="97">
        <v>74</v>
      </c>
      <c r="AE853" s="97">
        <v>6</v>
      </c>
      <c r="AF853" s="97">
        <v>174</v>
      </c>
      <c r="AG853" s="97">
        <v>374</v>
      </c>
      <c r="AH853" s="97">
        <v>52</v>
      </c>
      <c r="AI853" s="97">
        <v>850</v>
      </c>
    </row>
    <row r="854" spans="1:35" ht="15" customHeight="1">
      <c r="A854" s="97" t="s">
        <v>613</v>
      </c>
      <c r="B854" s="97" t="s">
        <v>613</v>
      </c>
      <c r="C854" s="97" t="s">
        <v>614</v>
      </c>
      <c r="D854" s="97" t="s">
        <v>3198</v>
      </c>
      <c r="E854" s="97" t="s">
        <v>17</v>
      </c>
      <c r="F854" s="97">
        <v>90</v>
      </c>
      <c r="G854" s="97">
        <v>52</v>
      </c>
      <c r="H854" s="97">
        <v>815</v>
      </c>
      <c r="I854" s="97">
        <v>72</v>
      </c>
      <c r="J854" s="97">
        <v>30</v>
      </c>
      <c r="K854" s="97">
        <v>458</v>
      </c>
      <c r="L854" s="97">
        <v>72.5</v>
      </c>
      <c r="M854" s="97">
        <v>50</v>
      </c>
      <c r="N854" s="97">
        <v>813</v>
      </c>
      <c r="O854" s="97">
        <v>52</v>
      </c>
      <c r="P854" s="97">
        <v>48</v>
      </c>
      <c r="Q854" s="97">
        <v>757</v>
      </c>
      <c r="R854" s="97">
        <v>35</v>
      </c>
      <c r="S854" s="97">
        <v>53</v>
      </c>
      <c r="T854" s="97">
        <v>870</v>
      </c>
      <c r="U854" s="97">
        <v>52</v>
      </c>
      <c r="V854" s="97">
        <v>53</v>
      </c>
      <c r="W854" s="97">
        <v>866</v>
      </c>
      <c r="X854" s="97">
        <v>66</v>
      </c>
      <c r="Y854" s="97">
        <v>40</v>
      </c>
      <c r="Z854" s="97">
        <v>604</v>
      </c>
      <c r="AA854" s="97">
        <v>62</v>
      </c>
      <c r="AB854" s="97">
        <v>7</v>
      </c>
      <c r="AC854" s="97">
        <v>146</v>
      </c>
      <c r="AD854" s="97">
        <v>74</v>
      </c>
      <c r="AE854" s="97">
        <v>10</v>
      </c>
      <c r="AF854" s="97">
        <v>174</v>
      </c>
      <c r="AG854" s="97">
        <v>373.5</v>
      </c>
      <c r="AH854" s="97">
        <v>53</v>
      </c>
      <c r="AI854" s="97">
        <v>851</v>
      </c>
    </row>
    <row r="855" spans="1:35" ht="15" customHeight="1">
      <c r="A855" s="97" t="s">
        <v>2597</v>
      </c>
      <c r="B855" s="97" t="s">
        <v>2597</v>
      </c>
      <c r="C855" s="97" t="s">
        <v>2598</v>
      </c>
      <c r="D855" s="97" t="s">
        <v>3198</v>
      </c>
      <c r="E855" s="97" t="s">
        <v>49</v>
      </c>
      <c r="F855" s="97">
        <v>76</v>
      </c>
      <c r="G855" s="97">
        <v>56</v>
      </c>
      <c r="H855" s="97">
        <v>924</v>
      </c>
      <c r="I855" s="97">
        <v>59</v>
      </c>
      <c r="J855" s="97">
        <v>40</v>
      </c>
      <c r="K855" s="97">
        <v>721</v>
      </c>
      <c r="L855" s="97">
        <v>76.5</v>
      </c>
      <c r="M855" s="97">
        <v>46</v>
      </c>
      <c r="N855" s="97">
        <v>750</v>
      </c>
      <c r="O855" s="97">
        <v>61</v>
      </c>
      <c r="P855" s="97">
        <v>37</v>
      </c>
      <c r="Q855" s="97">
        <v>587</v>
      </c>
      <c r="R855" s="97">
        <v>57</v>
      </c>
      <c r="S855" s="97">
        <v>22</v>
      </c>
      <c r="T855" s="97">
        <v>409</v>
      </c>
      <c r="U855" s="97">
        <v>44</v>
      </c>
      <c r="V855" s="97">
        <v>55</v>
      </c>
      <c r="W855" s="97">
        <v>914</v>
      </c>
      <c r="X855" s="97">
        <v>63</v>
      </c>
      <c r="Y855" s="97">
        <v>33</v>
      </c>
      <c r="Z855" s="97">
        <v>712</v>
      </c>
      <c r="AA855" s="97">
        <v>36</v>
      </c>
      <c r="AB855" s="97">
        <v>53</v>
      </c>
      <c r="AC855" s="97">
        <v>918</v>
      </c>
      <c r="AD855" s="97">
        <v>55</v>
      </c>
      <c r="AE855" s="97">
        <v>42</v>
      </c>
      <c r="AF855" s="97">
        <v>835</v>
      </c>
      <c r="AG855" s="97">
        <v>373.5</v>
      </c>
      <c r="AH855" s="97">
        <v>47</v>
      </c>
      <c r="AI855" s="97">
        <v>851</v>
      </c>
    </row>
    <row r="856" spans="1:35" ht="15" customHeight="1">
      <c r="A856" s="97" t="s">
        <v>2174</v>
      </c>
      <c r="B856" s="97" t="s">
        <v>2174</v>
      </c>
      <c r="C856" s="97" t="s">
        <v>2175</v>
      </c>
      <c r="D856" s="97" t="s">
        <v>3198</v>
      </c>
      <c r="E856" s="97" t="s">
        <v>73</v>
      </c>
      <c r="F856" s="97">
        <v>98</v>
      </c>
      <c r="G856" s="97">
        <v>39</v>
      </c>
      <c r="H856" s="97">
        <v>611</v>
      </c>
      <c r="I856" s="97">
        <v>59</v>
      </c>
      <c r="J856" s="97">
        <v>39</v>
      </c>
      <c r="K856" s="97">
        <v>721</v>
      </c>
      <c r="L856" s="97">
        <v>75.5</v>
      </c>
      <c r="M856" s="97">
        <v>48</v>
      </c>
      <c r="N856" s="97">
        <v>763</v>
      </c>
      <c r="O856" s="97">
        <v>44</v>
      </c>
      <c r="P856" s="97">
        <v>45</v>
      </c>
      <c r="Q856" s="97">
        <v>849</v>
      </c>
      <c r="R856" s="97">
        <v>36</v>
      </c>
      <c r="S856" s="97">
        <v>51</v>
      </c>
      <c r="T856" s="97">
        <v>856</v>
      </c>
      <c r="U856" s="97">
        <v>61</v>
      </c>
      <c r="V856" s="97">
        <v>40</v>
      </c>
      <c r="W856" s="97">
        <v>734</v>
      </c>
      <c r="X856" s="97">
        <v>65</v>
      </c>
      <c r="Y856" s="97">
        <v>33</v>
      </c>
      <c r="Z856" s="97">
        <v>651</v>
      </c>
      <c r="AA856" s="97">
        <v>28</v>
      </c>
      <c r="AB856" s="97">
        <v>56</v>
      </c>
      <c r="AC856" s="97">
        <v>933</v>
      </c>
      <c r="AD856" s="97">
        <v>54</v>
      </c>
      <c r="AE856" s="97">
        <v>53</v>
      </c>
      <c r="AF856" s="97">
        <v>855</v>
      </c>
      <c r="AG856" s="97">
        <v>373.5</v>
      </c>
      <c r="AH856" s="97">
        <v>47</v>
      </c>
      <c r="AI856" s="97">
        <v>851</v>
      </c>
    </row>
    <row r="857" spans="1:35" ht="15" customHeight="1">
      <c r="A857" s="97" t="s">
        <v>1426</v>
      </c>
      <c r="B857" s="97" t="s">
        <v>1426</v>
      </c>
      <c r="C857" s="97" t="s">
        <v>1427</v>
      </c>
      <c r="D857" s="97" t="s">
        <v>3198</v>
      </c>
      <c r="E857" s="97" t="s">
        <v>56</v>
      </c>
      <c r="F857" s="97">
        <v>94</v>
      </c>
      <c r="G857" s="97">
        <v>37</v>
      </c>
      <c r="H857" s="97">
        <v>733</v>
      </c>
      <c r="I857" s="97">
        <v>50</v>
      </c>
      <c r="J857" s="97">
        <v>45</v>
      </c>
      <c r="K857" s="97">
        <v>831</v>
      </c>
      <c r="L857" s="97">
        <v>71.5</v>
      </c>
      <c r="M857" s="97">
        <v>50</v>
      </c>
      <c r="N857" s="97">
        <v>826</v>
      </c>
      <c r="O857" s="97">
        <v>58</v>
      </c>
      <c r="P857" s="97">
        <v>39</v>
      </c>
      <c r="Q857" s="97">
        <v>649</v>
      </c>
      <c r="R857" s="97">
        <v>26</v>
      </c>
      <c r="S857" s="97">
        <v>50</v>
      </c>
      <c r="T857" s="97">
        <v>918</v>
      </c>
      <c r="U857" s="97">
        <v>73</v>
      </c>
      <c r="V857" s="97">
        <v>33</v>
      </c>
      <c r="W857" s="97">
        <v>393</v>
      </c>
      <c r="X857" s="97">
        <v>67</v>
      </c>
      <c r="Y857" s="97">
        <v>38</v>
      </c>
      <c r="Z857" s="97">
        <v>570</v>
      </c>
      <c r="AA857" s="97">
        <v>53</v>
      </c>
      <c r="AB857" s="97">
        <v>17</v>
      </c>
      <c r="AC857" s="97">
        <v>470</v>
      </c>
      <c r="AD857" s="97">
        <v>59</v>
      </c>
      <c r="AE857" s="97">
        <v>45</v>
      </c>
      <c r="AF857" s="97">
        <v>746</v>
      </c>
      <c r="AG857" s="97">
        <v>372.5</v>
      </c>
      <c r="AH857" s="97">
        <v>50</v>
      </c>
      <c r="AI857" s="97">
        <v>854</v>
      </c>
    </row>
    <row r="858" spans="1:35" ht="15" customHeight="1">
      <c r="A858" s="97" t="s">
        <v>1884</v>
      </c>
      <c r="B858" s="97" t="s">
        <v>1884</v>
      </c>
      <c r="C858" s="97" t="s">
        <v>1885</v>
      </c>
      <c r="D858" s="97" t="s">
        <v>3198</v>
      </c>
      <c r="E858" s="97" t="s">
        <v>34</v>
      </c>
      <c r="F858" s="97">
        <v>101</v>
      </c>
      <c r="G858" s="97">
        <v>30</v>
      </c>
      <c r="H858" s="97">
        <v>481</v>
      </c>
      <c r="I858" s="97">
        <v>26</v>
      </c>
      <c r="J858" s="97">
        <v>55</v>
      </c>
      <c r="K858" s="97">
        <v>927</v>
      </c>
      <c r="L858" s="97">
        <v>93</v>
      </c>
      <c r="M858" s="97">
        <v>23</v>
      </c>
      <c r="N858" s="97">
        <v>405</v>
      </c>
      <c r="O858" s="97">
        <v>58</v>
      </c>
      <c r="P858" s="97">
        <v>38</v>
      </c>
      <c r="Q858" s="97">
        <v>649</v>
      </c>
      <c r="R858" s="97">
        <v>40</v>
      </c>
      <c r="S858" s="97">
        <v>48</v>
      </c>
      <c r="T858" s="97">
        <v>811</v>
      </c>
      <c r="U858" s="97">
        <v>54</v>
      </c>
      <c r="V858" s="97">
        <v>47</v>
      </c>
      <c r="W858" s="97">
        <v>845</v>
      </c>
      <c r="X858" s="97">
        <v>67</v>
      </c>
      <c r="Y858" s="97">
        <v>40</v>
      </c>
      <c r="Z858" s="97">
        <v>570</v>
      </c>
      <c r="AA858" s="97">
        <v>48</v>
      </c>
      <c r="AB858" s="97">
        <v>36</v>
      </c>
      <c r="AC858" s="97">
        <v>671</v>
      </c>
      <c r="AD858" s="97">
        <v>73</v>
      </c>
      <c r="AE858" s="97">
        <v>11</v>
      </c>
      <c r="AF858" s="97">
        <v>216</v>
      </c>
      <c r="AG858" s="97">
        <v>372</v>
      </c>
      <c r="AH858" s="97">
        <v>53</v>
      </c>
      <c r="AI858" s="97">
        <v>855</v>
      </c>
    </row>
    <row r="859" spans="1:35" ht="15" customHeight="1">
      <c r="A859" s="97" t="s">
        <v>351</v>
      </c>
      <c r="B859" s="97" t="s">
        <v>351</v>
      </c>
      <c r="C859" s="97" t="s">
        <v>352</v>
      </c>
      <c r="D859" s="97" t="s">
        <v>3198</v>
      </c>
      <c r="E859" s="97" t="s">
        <v>28</v>
      </c>
      <c r="F859" s="97">
        <v>80</v>
      </c>
      <c r="G859" s="97">
        <v>50</v>
      </c>
      <c r="H859" s="97">
        <v>909</v>
      </c>
      <c r="I859" s="97">
        <v>51</v>
      </c>
      <c r="J859" s="97">
        <v>48</v>
      </c>
      <c r="K859" s="97">
        <v>817</v>
      </c>
      <c r="L859" s="97">
        <v>91.5</v>
      </c>
      <c r="M859" s="97">
        <v>27</v>
      </c>
      <c r="N859" s="97">
        <v>443</v>
      </c>
      <c r="O859" s="97">
        <v>45</v>
      </c>
      <c r="P859" s="97">
        <v>49</v>
      </c>
      <c r="Q859" s="97">
        <v>840</v>
      </c>
      <c r="R859" s="97">
        <v>49</v>
      </c>
      <c r="S859" s="97">
        <v>32</v>
      </c>
      <c r="T859" s="97">
        <v>624</v>
      </c>
      <c r="U859" s="97">
        <v>55</v>
      </c>
      <c r="V859" s="97">
        <v>47</v>
      </c>
      <c r="W859" s="97">
        <v>831</v>
      </c>
      <c r="X859" s="97">
        <v>74</v>
      </c>
      <c r="Y859" s="97">
        <v>18</v>
      </c>
      <c r="Z859" s="97">
        <v>326</v>
      </c>
      <c r="AA859" s="97">
        <v>50</v>
      </c>
      <c r="AB859" s="97">
        <v>43</v>
      </c>
      <c r="AC859" s="97">
        <v>591</v>
      </c>
      <c r="AD859" s="97">
        <v>59</v>
      </c>
      <c r="AE859" s="97">
        <v>48</v>
      </c>
      <c r="AF859" s="97">
        <v>746</v>
      </c>
      <c r="AG859" s="97">
        <v>371.5</v>
      </c>
      <c r="AH859" s="97">
        <v>49</v>
      </c>
      <c r="AI859" s="97">
        <v>856</v>
      </c>
    </row>
    <row r="860" spans="1:35" ht="15" customHeight="1">
      <c r="A860" s="97" t="s">
        <v>1132</v>
      </c>
      <c r="B860" s="97" t="s">
        <v>1132</v>
      </c>
      <c r="C860" s="97" t="s">
        <v>1133</v>
      </c>
      <c r="D860" s="97" t="s">
        <v>3198</v>
      </c>
      <c r="E860" s="97" t="s">
        <v>68</v>
      </c>
      <c r="F860" s="97">
        <v>87</v>
      </c>
      <c r="G860" s="97">
        <v>53</v>
      </c>
      <c r="H860" s="97">
        <v>857</v>
      </c>
      <c r="I860" s="97">
        <v>67</v>
      </c>
      <c r="J860" s="97">
        <v>39</v>
      </c>
      <c r="K860" s="97">
        <v>565</v>
      </c>
      <c r="L860" s="97">
        <v>68</v>
      </c>
      <c r="M860" s="97">
        <v>48</v>
      </c>
      <c r="N860" s="97">
        <v>862</v>
      </c>
      <c r="O860" s="97">
        <v>63</v>
      </c>
      <c r="P860" s="97">
        <v>30</v>
      </c>
      <c r="Q860" s="97">
        <v>540</v>
      </c>
      <c r="R860" s="97">
        <v>35</v>
      </c>
      <c r="S860" s="97">
        <v>54</v>
      </c>
      <c r="T860" s="97">
        <v>870</v>
      </c>
      <c r="U860" s="97">
        <v>51</v>
      </c>
      <c r="V860" s="97">
        <v>52</v>
      </c>
      <c r="W860" s="97">
        <v>874</v>
      </c>
      <c r="X860" s="97">
        <v>44</v>
      </c>
      <c r="Y860" s="97">
        <v>55</v>
      </c>
      <c r="Z860" s="97">
        <v>932</v>
      </c>
      <c r="AA860" s="97">
        <v>50</v>
      </c>
      <c r="AB860" s="97">
        <v>28</v>
      </c>
      <c r="AC860" s="97">
        <v>591</v>
      </c>
      <c r="AD860" s="97">
        <v>54</v>
      </c>
      <c r="AE860" s="97">
        <v>52</v>
      </c>
      <c r="AF860" s="97">
        <v>855</v>
      </c>
      <c r="AG860" s="97">
        <v>371</v>
      </c>
      <c r="AH860" s="97">
        <v>51</v>
      </c>
      <c r="AI860" s="97">
        <v>857</v>
      </c>
    </row>
    <row r="861" spans="1:35" ht="15" customHeight="1">
      <c r="A861" s="97" t="s">
        <v>2147</v>
      </c>
      <c r="B861" s="97" t="s">
        <v>2147</v>
      </c>
      <c r="C861" s="97" t="s">
        <v>2148</v>
      </c>
      <c r="D861" s="97" t="s">
        <v>3198</v>
      </c>
      <c r="E861" s="97" t="s">
        <v>73</v>
      </c>
      <c r="F861" s="97">
        <v>100</v>
      </c>
      <c r="G861" s="97">
        <v>30</v>
      </c>
      <c r="H861" s="97">
        <v>528</v>
      </c>
      <c r="I861" s="97">
        <v>47</v>
      </c>
      <c r="J861" s="97">
        <v>50</v>
      </c>
      <c r="K861" s="97">
        <v>857</v>
      </c>
      <c r="L861" s="97">
        <v>65</v>
      </c>
      <c r="M861" s="97">
        <v>53</v>
      </c>
      <c r="N861" s="97">
        <v>881</v>
      </c>
      <c r="O861" s="97">
        <v>59</v>
      </c>
      <c r="P861" s="97">
        <v>32</v>
      </c>
      <c r="Q861" s="97">
        <v>626</v>
      </c>
      <c r="R861" s="97">
        <v>42</v>
      </c>
      <c r="S861" s="97">
        <v>46</v>
      </c>
      <c r="T861" s="97">
        <v>774</v>
      </c>
      <c r="U861" s="97">
        <v>58</v>
      </c>
      <c r="V861" s="97">
        <v>44</v>
      </c>
      <c r="W861" s="97">
        <v>786</v>
      </c>
      <c r="X861" s="97">
        <v>72</v>
      </c>
      <c r="Y861" s="97">
        <v>18</v>
      </c>
      <c r="Z861" s="97">
        <v>396</v>
      </c>
      <c r="AA861" s="97">
        <v>61</v>
      </c>
      <c r="AB861" s="97">
        <v>6</v>
      </c>
      <c r="AC861" s="97">
        <v>172</v>
      </c>
      <c r="AD861" s="97">
        <v>77</v>
      </c>
      <c r="AE861" s="97">
        <v>3</v>
      </c>
      <c r="AF861" s="97">
        <v>102</v>
      </c>
      <c r="AG861" s="97">
        <v>371</v>
      </c>
      <c r="AH861" s="97">
        <v>48</v>
      </c>
      <c r="AI861" s="97">
        <v>857</v>
      </c>
    </row>
    <row r="862" spans="1:35" ht="15" customHeight="1">
      <c r="A862" s="97" t="s">
        <v>2626</v>
      </c>
      <c r="B862" s="97" t="s">
        <v>2626</v>
      </c>
      <c r="C862" s="97" t="s">
        <v>2629</v>
      </c>
      <c r="D862" s="97" t="s">
        <v>3198</v>
      </c>
      <c r="E862" s="97" t="s">
        <v>49</v>
      </c>
      <c r="F862" s="97">
        <v>90</v>
      </c>
      <c r="G862" s="97">
        <v>46</v>
      </c>
      <c r="H862" s="97">
        <v>815</v>
      </c>
      <c r="I862" s="97">
        <v>57</v>
      </c>
      <c r="J862" s="97">
        <v>41</v>
      </c>
      <c r="K862" s="97">
        <v>744</v>
      </c>
      <c r="L862" s="97">
        <v>87</v>
      </c>
      <c r="M862" s="97">
        <v>38</v>
      </c>
      <c r="N862" s="97">
        <v>553</v>
      </c>
      <c r="O862" s="97">
        <v>50</v>
      </c>
      <c r="P862" s="97">
        <v>47</v>
      </c>
      <c r="Q862" s="97">
        <v>788</v>
      </c>
      <c r="R862" s="97">
        <v>36</v>
      </c>
      <c r="S862" s="97">
        <v>51</v>
      </c>
      <c r="T862" s="97">
        <v>856</v>
      </c>
      <c r="U862" s="97">
        <v>50</v>
      </c>
      <c r="V862" s="97">
        <v>51</v>
      </c>
      <c r="W862" s="97">
        <v>883</v>
      </c>
      <c r="X862" s="97">
        <v>55</v>
      </c>
      <c r="Y862" s="97">
        <v>49</v>
      </c>
      <c r="Z862" s="97">
        <v>868</v>
      </c>
      <c r="AA862" s="97">
        <v>40</v>
      </c>
      <c r="AB862" s="97">
        <v>48</v>
      </c>
      <c r="AC862" s="97">
        <v>881</v>
      </c>
      <c r="AD862" s="97">
        <v>59</v>
      </c>
      <c r="AE862" s="97">
        <v>36</v>
      </c>
      <c r="AF862" s="97">
        <v>746</v>
      </c>
      <c r="AG862" s="97">
        <v>370</v>
      </c>
      <c r="AH862" s="97">
        <v>48</v>
      </c>
      <c r="AI862" s="97">
        <v>859</v>
      </c>
    </row>
    <row r="863" spans="1:35" ht="15" customHeight="1">
      <c r="A863" s="97" t="s">
        <v>1502</v>
      </c>
      <c r="B863" s="97" t="s">
        <v>1502</v>
      </c>
      <c r="C863" s="97" t="s">
        <v>1503</v>
      </c>
      <c r="D863" s="97" t="s">
        <v>3198</v>
      </c>
      <c r="E863" s="97" t="s">
        <v>56</v>
      </c>
      <c r="F863" s="97">
        <v>91</v>
      </c>
      <c r="G863" s="97">
        <v>46</v>
      </c>
      <c r="H863" s="97">
        <v>799</v>
      </c>
      <c r="I863" s="97">
        <v>60</v>
      </c>
      <c r="J863" s="97">
        <v>31</v>
      </c>
      <c r="K863" s="97">
        <v>696</v>
      </c>
      <c r="L863" s="97">
        <v>85</v>
      </c>
      <c r="M863" s="97">
        <v>34</v>
      </c>
      <c r="N863" s="97">
        <v>592</v>
      </c>
      <c r="O863" s="97">
        <v>38</v>
      </c>
      <c r="P863" s="97">
        <v>50</v>
      </c>
      <c r="Q863" s="97">
        <v>895</v>
      </c>
      <c r="R863" s="97">
        <v>27</v>
      </c>
      <c r="S863" s="97">
        <v>48</v>
      </c>
      <c r="T863" s="97">
        <v>914</v>
      </c>
      <c r="U863" s="97">
        <v>68</v>
      </c>
      <c r="V863" s="97">
        <v>40</v>
      </c>
      <c r="W863" s="97">
        <v>555</v>
      </c>
      <c r="X863" s="97">
        <v>79</v>
      </c>
      <c r="Y863" s="97">
        <v>13</v>
      </c>
      <c r="Z863" s="97">
        <v>175</v>
      </c>
      <c r="AA863" s="97">
        <v>40</v>
      </c>
      <c r="AB863" s="97">
        <v>50</v>
      </c>
      <c r="AC863" s="97">
        <v>881</v>
      </c>
      <c r="AD863" s="97">
        <v>78</v>
      </c>
      <c r="AE863" s="97">
        <v>4</v>
      </c>
      <c r="AF863" s="97">
        <v>86</v>
      </c>
      <c r="AG863" s="97">
        <v>369</v>
      </c>
      <c r="AH863" s="97">
        <v>51</v>
      </c>
      <c r="AI863" s="97">
        <v>860</v>
      </c>
    </row>
    <row r="864" spans="1:35" ht="15" customHeight="1">
      <c r="A864" s="97" t="s">
        <v>492</v>
      </c>
      <c r="B864" s="97" t="s">
        <v>492</v>
      </c>
      <c r="C864" s="97" t="s">
        <v>501</v>
      </c>
      <c r="D864" s="97" t="s">
        <v>3198</v>
      </c>
      <c r="E864" s="97" t="s">
        <v>19</v>
      </c>
      <c r="F864" s="97">
        <v>101</v>
      </c>
      <c r="G864" s="97">
        <v>31</v>
      </c>
      <c r="H864" s="97">
        <v>481</v>
      </c>
      <c r="I864" s="97">
        <v>68</v>
      </c>
      <c r="J864" s="97">
        <v>28</v>
      </c>
      <c r="K864" s="97">
        <v>540</v>
      </c>
      <c r="L864" s="97">
        <v>76</v>
      </c>
      <c r="M864" s="97">
        <v>45</v>
      </c>
      <c r="N864" s="97">
        <v>759</v>
      </c>
      <c r="O864" s="97">
        <v>35</v>
      </c>
      <c r="P864" s="97">
        <v>55</v>
      </c>
      <c r="Q864" s="97">
        <v>912</v>
      </c>
      <c r="R864" s="97">
        <v>36</v>
      </c>
      <c r="S864" s="97">
        <v>53</v>
      </c>
      <c r="T864" s="97">
        <v>856</v>
      </c>
      <c r="U864" s="97">
        <v>53</v>
      </c>
      <c r="V864" s="97">
        <v>52</v>
      </c>
      <c r="W864" s="97">
        <v>858</v>
      </c>
      <c r="X864" s="97">
        <v>56</v>
      </c>
      <c r="Y864" s="97">
        <v>50</v>
      </c>
      <c r="Z864" s="97">
        <v>849</v>
      </c>
      <c r="AA864" s="97">
        <v>65</v>
      </c>
      <c r="AB864" s="97">
        <v>5</v>
      </c>
      <c r="AC864" s="97">
        <v>89</v>
      </c>
      <c r="AD864" s="97">
        <v>65</v>
      </c>
      <c r="AE864" s="97">
        <v>28</v>
      </c>
      <c r="AF864" s="97">
        <v>548</v>
      </c>
      <c r="AG864" s="97">
        <v>369</v>
      </c>
      <c r="AH864" s="97">
        <v>52</v>
      </c>
      <c r="AI864" s="97">
        <v>860</v>
      </c>
    </row>
    <row r="865" spans="1:35" ht="15" customHeight="1">
      <c r="A865" s="97" t="s">
        <v>712</v>
      </c>
      <c r="B865" s="97" t="s">
        <v>712</v>
      </c>
      <c r="C865" s="97" t="s">
        <v>713</v>
      </c>
      <c r="D865" s="97" t="s">
        <v>3198</v>
      </c>
      <c r="E865" s="97" t="s">
        <v>117</v>
      </c>
      <c r="F865" s="97">
        <v>99</v>
      </c>
      <c r="G865" s="97">
        <v>31</v>
      </c>
      <c r="H865" s="97">
        <v>571</v>
      </c>
      <c r="I865" s="97">
        <v>45</v>
      </c>
      <c r="J865" s="97">
        <v>52</v>
      </c>
      <c r="K865" s="97">
        <v>871</v>
      </c>
      <c r="L865" s="97">
        <v>82.5</v>
      </c>
      <c r="M865" s="97">
        <v>37</v>
      </c>
      <c r="N865" s="97">
        <v>657</v>
      </c>
      <c r="O865" s="97">
        <v>54</v>
      </c>
      <c r="P865" s="97">
        <v>42</v>
      </c>
      <c r="Q865" s="97">
        <v>718</v>
      </c>
      <c r="R865" s="97">
        <v>39</v>
      </c>
      <c r="S865" s="97">
        <v>51</v>
      </c>
      <c r="T865" s="97">
        <v>825</v>
      </c>
      <c r="U865" s="97">
        <v>49</v>
      </c>
      <c r="V865" s="97">
        <v>54</v>
      </c>
      <c r="W865" s="97">
        <v>888</v>
      </c>
      <c r="X865" s="97">
        <v>65</v>
      </c>
      <c r="Y865" s="97">
        <v>42</v>
      </c>
      <c r="Z865" s="97">
        <v>651</v>
      </c>
      <c r="AA865" s="97">
        <v>41</v>
      </c>
      <c r="AB865" s="97">
        <v>51</v>
      </c>
      <c r="AC865" s="97">
        <v>866</v>
      </c>
      <c r="AD865" s="97">
        <v>63</v>
      </c>
      <c r="AE865" s="97">
        <v>37</v>
      </c>
      <c r="AF865" s="97">
        <v>633</v>
      </c>
      <c r="AG865" s="97">
        <v>368.5</v>
      </c>
      <c r="AH865" s="97">
        <v>53</v>
      </c>
      <c r="AI865" s="97">
        <v>862</v>
      </c>
    </row>
    <row r="866" spans="1:35" ht="15" customHeight="1">
      <c r="A866" s="97" t="s">
        <v>684</v>
      </c>
      <c r="B866" s="97" t="s">
        <v>684</v>
      </c>
      <c r="C866" s="97" t="s">
        <v>685</v>
      </c>
      <c r="D866" s="97" t="s">
        <v>3198</v>
      </c>
      <c r="E866" s="97" t="s">
        <v>17</v>
      </c>
      <c r="F866" s="97">
        <v>95</v>
      </c>
      <c r="G866" s="97">
        <v>44</v>
      </c>
      <c r="H866" s="97">
        <v>710</v>
      </c>
      <c r="I866" s="97">
        <v>38</v>
      </c>
      <c r="J866" s="97">
        <v>56</v>
      </c>
      <c r="K866" s="97">
        <v>904</v>
      </c>
      <c r="L866" s="97">
        <v>91.5</v>
      </c>
      <c r="M866" s="97">
        <v>27</v>
      </c>
      <c r="N866" s="97">
        <v>443</v>
      </c>
      <c r="O866" s="97">
        <v>46</v>
      </c>
      <c r="P866" s="97">
        <v>53</v>
      </c>
      <c r="Q866" s="97">
        <v>833</v>
      </c>
      <c r="R866" s="97">
        <v>42</v>
      </c>
      <c r="S866" s="97">
        <v>50</v>
      </c>
      <c r="T866" s="97">
        <v>774</v>
      </c>
      <c r="U866" s="97">
        <v>56</v>
      </c>
      <c r="V866" s="97">
        <v>50</v>
      </c>
      <c r="W866" s="97">
        <v>816</v>
      </c>
      <c r="X866" s="97">
        <v>74</v>
      </c>
      <c r="Y866" s="97">
        <v>24</v>
      </c>
      <c r="Z866" s="97">
        <v>326</v>
      </c>
      <c r="AA866" s="97">
        <v>47</v>
      </c>
      <c r="AB866" s="97">
        <v>44</v>
      </c>
      <c r="AC866" s="97">
        <v>719</v>
      </c>
      <c r="AD866" s="97">
        <v>61</v>
      </c>
      <c r="AE866" s="97">
        <v>46</v>
      </c>
      <c r="AF866" s="97">
        <v>703</v>
      </c>
      <c r="AG866" s="97">
        <v>368.5</v>
      </c>
      <c r="AH866" s="97">
        <v>54</v>
      </c>
      <c r="AI866" s="97">
        <v>862</v>
      </c>
    </row>
    <row r="867" spans="1:35" ht="15" customHeight="1">
      <c r="A867" s="97" t="s">
        <v>1179</v>
      </c>
      <c r="B867" s="97" t="s">
        <v>1179</v>
      </c>
      <c r="C867" s="97" t="s">
        <v>1180</v>
      </c>
      <c r="D867" s="97" t="s">
        <v>3198</v>
      </c>
      <c r="E867" s="97" t="s">
        <v>68</v>
      </c>
      <c r="F867" s="97">
        <v>102</v>
      </c>
      <c r="G867" s="97">
        <v>28</v>
      </c>
      <c r="H867" s="97">
        <v>442</v>
      </c>
      <c r="I867" s="97">
        <v>64</v>
      </c>
      <c r="J867" s="97">
        <v>43</v>
      </c>
      <c r="K867" s="97">
        <v>627</v>
      </c>
      <c r="L867" s="97">
        <v>72.5</v>
      </c>
      <c r="M867" s="97">
        <v>45</v>
      </c>
      <c r="N867" s="97">
        <v>813</v>
      </c>
      <c r="O867" s="97">
        <v>41</v>
      </c>
      <c r="P867" s="97">
        <v>50</v>
      </c>
      <c r="Q867" s="97">
        <v>871</v>
      </c>
      <c r="R867" s="97">
        <v>39</v>
      </c>
      <c r="S867" s="97">
        <v>51</v>
      </c>
      <c r="T867" s="97">
        <v>825</v>
      </c>
      <c r="U867" s="97">
        <v>50</v>
      </c>
      <c r="V867" s="97">
        <v>53</v>
      </c>
      <c r="W867" s="97">
        <v>883</v>
      </c>
      <c r="X867" s="97">
        <v>56</v>
      </c>
      <c r="Y867" s="97">
        <v>49</v>
      </c>
      <c r="Z867" s="97">
        <v>849</v>
      </c>
      <c r="AA867" s="97">
        <v>42</v>
      </c>
      <c r="AB867" s="97">
        <v>50</v>
      </c>
      <c r="AC867" s="97">
        <v>845</v>
      </c>
      <c r="AD867" s="97">
        <v>45</v>
      </c>
      <c r="AE867" s="97">
        <v>56</v>
      </c>
      <c r="AF867" s="97">
        <v>923</v>
      </c>
      <c r="AG867" s="97">
        <v>368.5</v>
      </c>
      <c r="AH867" s="97">
        <v>52</v>
      </c>
      <c r="AI867" s="97">
        <v>862</v>
      </c>
    </row>
    <row r="868" spans="1:35" ht="15" customHeight="1">
      <c r="A868" s="97" t="s">
        <v>2158</v>
      </c>
      <c r="B868" s="97" t="s">
        <v>2158</v>
      </c>
      <c r="C868" s="97" t="s">
        <v>2159</v>
      </c>
      <c r="D868" s="97" t="s">
        <v>3198</v>
      </c>
      <c r="E868" s="97" t="s">
        <v>73</v>
      </c>
      <c r="F868" s="97">
        <v>98</v>
      </c>
      <c r="G868" s="97">
        <v>39</v>
      </c>
      <c r="H868" s="97">
        <v>611</v>
      </c>
      <c r="I868" s="97">
        <v>48</v>
      </c>
      <c r="J868" s="97">
        <v>48</v>
      </c>
      <c r="K868" s="97">
        <v>848</v>
      </c>
      <c r="L868" s="97">
        <v>81</v>
      </c>
      <c r="M868" s="97">
        <v>41</v>
      </c>
      <c r="N868" s="97">
        <v>679</v>
      </c>
      <c r="O868" s="97">
        <v>38</v>
      </c>
      <c r="P868" s="97">
        <v>52</v>
      </c>
      <c r="Q868" s="97">
        <v>895</v>
      </c>
      <c r="R868" s="97">
        <v>43</v>
      </c>
      <c r="S868" s="97">
        <v>45</v>
      </c>
      <c r="T868" s="97">
        <v>757</v>
      </c>
      <c r="U868" s="97">
        <v>60</v>
      </c>
      <c r="V868" s="97">
        <v>41</v>
      </c>
      <c r="W868" s="97">
        <v>748</v>
      </c>
      <c r="X868" s="97">
        <v>62</v>
      </c>
      <c r="Y868" s="97">
        <v>39</v>
      </c>
      <c r="Z868" s="97">
        <v>729</v>
      </c>
      <c r="AA868" s="97">
        <v>57</v>
      </c>
      <c r="AB868" s="97">
        <v>19</v>
      </c>
      <c r="AC868" s="97">
        <v>306</v>
      </c>
      <c r="AD868" s="97">
        <v>69</v>
      </c>
      <c r="AE868" s="97">
        <v>23</v>
      </c>
      <c r="AF868" s="97">
        <v>367</v>
      </c>
      <c r="AG868" s="97">
        <v>368</v>
      </c>
      <c r="AH868" s="97">
        <v>49</v>
      </c>
      <c r="AI868" s="97">
        <v>865</v>
      </c>
    </row>
    <row r="869" spans="1:35" ht="15" customHeight="1">
      <c r="A869" s="97" t="s">
        <v>2761</v>
      </c>
      <c r="B869" s="97" t="s">
        <v>2761</v>
      </c>
      <c r="C869" s="97" t="s">
        <v>2762</v>
      </c>
      <c r="D869" s="97" t="s">
        <v>3198</v>
      </c>
      <c r="E869" s="97" t="s">
        <v>38</v>
      </c>
      <c r="F869" s="97">
        <v>103</v>
      </c>
      <c r="G869" s="97">
        <v>19</v>
      </c>
      <c r="H869" s="97">
        <v>400</v>
      </c>
      <c r="I869" s="97">
        <v>42</v>
      </c>
      <c r="J869" s="97">
        <v>52</v>
      </c>
      <c r="K869" s="97">
        <v>887</v>
      </c>
      <c r="L869" s="97">
        <v>92</v>
      </c>
      <c r="M869" s="97">
        <v>26</v>
      </c>
      <c r="N869" s="97">
        <v>426</v>
      </c>
      <c r="O869" s="97">
        <v>30</v>
      </c>
      <c r="P869" s="97">
        <v>55</v>
      </c>
      <c r="Q869" s="97">
        <v>924</v>
      </c>
      <c r="R869" s="97">
        <v>36</v>
      </c>
      <c r="S869" s="97">
        <v>50</v>
      </c>
      <c r="T869" s="97">
        <v>856</v>
      </c>
      <c r="U869" s="97">
        <v>64</v>
      </c>
      <c r="V869" s="97">
        <v>36</v>
      </c>
      <c r="W869" s="97">
        <v>667</v>
      </c>
      <c r="X869" s="97">
        <v>60</v>
      </c>
      <c r="Y869" s="97">
        <v>45</v>
      </c>
      <c r="Z869" s="97">
        <v>777</v>
      </c>
      <c r="AA869" s="97">
        <v>39</v>
      </c>
      <c r="AB869" s="97">
        <v>52</v>
      </c>
      <c r="AC869" s="97">
        <v>895</v>
      </c>
      <c r="AD869" s="97">
        <v>59</v>
      </c>
      <c r="AE869" s="97">
        <v>41</v>
      </c>
      <c r="AF869" s="97">
        <v>746</v>
      </c>
      <c r="AG869" s="97">
        <v>367</v>
      </c>
      <c r="AH869" s="97">
        <v>53</v>
      </c>
      <c r="AI869" s="97">
        <v>866</v>
      </c>
    </row>
    <row r="870" spans="1:35" ht="15" customHeight="1">
      <c r="A870" s="97" t="s">
        <v>2127</v>
      </c>
      <c r="B870" s="97" t="s">
        <v>2127</v>
      </c>
      <c r="C870" s="97" t="s">
        <v>2128</v>
      </c>
      <c r="D870" s="97" t="s">
        <v>3198</v>
      </c>
      <c r="E870" s="97" t="s">
        <v>73</v>
      </c>
      <c r="F870" s="97">
        <v>95</v>
      </c>
      <c r="G870" s="97">
        <v>45</v>
      </c>
      <c r="H870" s="97">
        <v>710</v>
      </c>
      <c r="I870" s="97">
        <v>46</v>
      </c>
      <c r="J870" s="97">
        <v>51</v>
      </c>
      <c r="K870" s="97">
        <v>862</v>
      </c>
      <c r="L870" s="97">
        <v>90.5</v>
      </c>
      <c r="M870" s="97">
        <v>28</v>
      </c>
      <c r="N870" s="97">
        <v>470</v>
      </c>
      <c r="O870" s="97">
        <v>52</v>
      </c>
      <c r="P870" s="97">
        <v>42</v>
      </c>
      <c r="Q870" s="97">
        <v>757</v>
      </c>
      <c r="R870" s="97">
        <v>37</v>
      </c>
      <c r="S870" s="97">
        <v>49</v>
      </c>
      <c r="T870" s="97">
        <v>850</v>
      </c>
      <c r="U870" s="97">
        <v>46</v>
      </c>
      <c r="V870" s="97">
        <v>53</v>
      </c>
      <c r="W870" s="97">
        <v>901</v>
      </c>
      <c r="X870" s="97">
        <v>62</v>
      </c>
      <c r="Y870" s="97">
        <v>39</v>
      </c>
      <c r="Z870" s="97">
        <v>729</v>
      </c>
      <c r="AA870" s="97">
        <v>50</v>
      </c>
      <c r="AB870" s="97">
        <v>38</v>
      </c>
      <c r="AC870" s="97">
        <v>591</v>
      </c>
      <c r="AD870" s="97">
        <v>77</v>
      </c>
      <c r="AE870" s="97">
        <v>3</v>
      </c>
      <c r="AF870" s="97">
        <v>102</v>
      </c>
      <c r="AG870" s="97">
        <v>366.5</v>
      </c>
      <c r="AH870" s="97">
        <v>50</v>
      </c>
      <c r="AI870" s="97">
        <v>867</v>
      </c>
    </row>
    <row r="871" spans="1:35" ht="15" customHeight="1">
      <c r="A871" s="97" t="s">
        <v>2677</v>
      </c>
      <c r="B871" s="97" t="s">
        <v>2677</v>
      </c>
      <c r="C871" s="97" t="s">
        <v>2678</v>
      </c>
      <c r="D871" s="97" t="s">
        <v>3198</v>
      </c>
      <c r="E871" s="97" t="s">
        <v>49</v>
      </c>
      <c r="F871" s="97">
        <v>91</v>
      </c>
      <c r="G871" s="97">
        <v>43</v>
      </c>
      <c r="H871" s="97">
        <v>799</v>
      </c>
      <c r="I871" s="97">
        <v>53</v>
      </c>
      <c r="J871" s="97">
        <v>44</v>
      </c>
      <c r="K871" s="97">
        <v>792</v>
      </c>
      <c r="L871" s="97">
        <v>75.5</v>
      </c>
      <c r="M871" s="97">
        <v>47</v>
      </c>
      <c r="N871" s="97">
        <v>763</v>
      </c>
      <c r="O871" s="97">
        <v>50</v>
      </c>
      <c r="P871" s="97">
        <v>47</v>
      </c>
      <c r="Q871" s="97">
        <v>788</v>
      </c>
      <c r="R871" s="97">
        <v>42</v>
      </c>
      <c r="S871" s="97">
        <v>44</v>
      </c>
      <c r="T871" s="97">
        <v>774</v>
      </c>
      <c r="U871" s="97">
        <v>55</v>
      </c>
      <c r="V871" s="97">
        <v>46</v>
      </c>
      <c r="W871" s="97">
        <v>831</v>
      </c>
      <c r="X871" s="97">
        <v>64</v>
      </c>
      <c r="Y871" s="97">
        <v>32</v>
      </c>
      <c r="Z871" s="97">
        <v>680</v>
      </c>
      <c r="AA871" s="97">
        <v>38</v>
      </c>
      <c r="AB871" s="97">
        <v>52</v>
      </c>
      <c r="AC871" s="97">
        <v>905</v>
      </c>
      <c r="AD871" s="97">
        <v>62</v>
      </c>
      <c r="AE871" s="97">
        <v>28</v>
      </c>
      <c r="AF871" s="97">
        <v>672</v>
      </c>
      <c r="AG871" s="97">
        <v>366.5</v>
      </c>
      <c r="AH871" s="97">
        <v>49</v>
      </c>
      <c r="AI871" s="97">
        <v>867</v>
      </c>
    </row>
    <row r="872" spans="1:35" ht="15" customHeight="1">
      <c r="A872" s="97" t="s">
        <v>2334</v>
      </c>
      <c r="B872" s="97" t="s">
        <v>2334</v>
      </c>
      <c r="C872" s="97" t="s">
        <v>2341</v>
      </c>
      <c r="D872" s="97" t="s">
        <v>3198</v>
      </c>
      <c r="E872" s="97" t="s">
        <v>7</v>
      </c>
      <c r="F872" s="97">
        <v>96</v>
      </c>
      <c r="G872" s="97">
        <v>36</v>
      </c>
      <c r="H872" s="97">
        <v>676</v>
      </c>
      <c r="I872" s="97">
        <v>45</v>
      </c>
      <c r="J872" s="97">
        <v>51</v>
      </c>
      <c r="K872" s="97">
        <v>871</v>
      </c>
      <c r="L872" s="97">
        <v>76.5</v>
      </c>
      <c r="M872" s="97">
        <v>43</v>
      </c>
      <c r="N872" s="97">
        <v>750</v>
      </c>
      <c r="O872" s="97">
        <v>51</v>
      </c>
      <c r="P872" s="97">
        <v>47</v>
      </c>
      <c r="Q872" s="97">
        <v>771</v>
      </c>
      <c r="R872" s="97">
        <v>36</v>
      </c>
      <c r="S872" s="97">
        <v>48</v>
      </c>
      <c r="T872" s="97">
        <v>856</v>
      </c>
      <c r="U872" s="97">
        <v>62</v>
      </c>
      <c r="V872" s="97">
        <v>45</v>
      </c>
      <c r="W872" s="97">
        <v>716</v>
      </c>
      <c r="X872" s="97">
        <v>82</v>
      </c>
      <c r="Y872" s="97">
        <v>13</v>
      </c>
      <c r="Z872" s="97">
        <v>100</v>
      </c>
      <c r="AA872" s="97">
        <v>57</v>
      </c>
      <c r="AB872" s="97">
        <v>20</v>
      </c>
      <c r="AC872" s="97">
        <v>306</v>
      </c>
      <c r="AD872" s="97">
        <v>70</v>
      </c>
      <c r="AE872" s="97">
        <v>13</v>
      </c>
      <c r="AF872" s="97">
        <v>327</v>
      </c>
      <c r="AG872" s="97">
        <v>366.5</v>
      </c>
      <c r="AH872" s="97">
        <v>49</v>
      </c>
      <c r="AI872" s="97">
        <v>867</v>
      </c>
    </row>
    <row r="873" spans="1:35" ht="15" customHeight="1">
      <c r="A873" s="97" t="s">
        <v>1292</v>
      </c>
      <c r="B873" s="97" t="s">
        <v>1292</v>
      </c>
      <c r="C873" s="97" t="s">
        <v>1293</v>
      </c>
      <c r="D873" s="97" t="s">
        <v>3198</v>
      </c>
      <c r="E873" s="97" t="s">
        <v>54</v>
      </c>
      <c r="F873" s="97">
        <v>96</v>
      </c>
      <c r="G873" s="97">
        <v>38</v>
      </c>
      <c r="H873" s="97">
        <v>676</v>
      </c>
      <c r="I873" s="97">
        <v>52</v>
      </c>
      <c r="J873" s="97">
        <v>47</v>
      </c>
      <c r="K873" s="97">
        <v>807</v>
      </c>
      <c r="L873" s="97">
        <v>78</v>
      </c>
      <c r="M873" s="97">
        <v>40</v>
      </c>
      <c r="N873" s="97">
        <v>722</v>
      </c>
      <c r="O873" s="97">
        <v>46</v>
      </c>
      <c r="P873" s="97">
        <v>49</v>
      </c>
      <c r="Q873" s="97">
        <v>833</v>
      </c>
      <c r="R873" s="97">
        <v>27</v>
      </c>
      <c r="S873" s="97">
        <v>54</v>
      </c>
      <c r="T873" s="97">
        <v>914</v>
      </c>
      <c r="U873" s="97">
        <v>66</v>
      </c>
      <c r="V873" s="97">
        <v>40</v>
      </c>
      <c r="W873" s="97">
        <v>611</v>
      </c>
      <c r="X873" s="97">
        <v>56</v>
      </c>
      <c r="Y873" s="97">
        <v>49</v>
      </c>
      <c r="Z873" s="97">
        <v>849</v>
      </c>
      <c r="AA873" s="97">
        <v>40</v>
      </c>
      <c r="AB873" s="97">
        <v>53</v>
      </c>
      <c r="AC873" s="97">
        <v>881</v>
      </c>
      <c r="AD873" s="97">
        <v>59</v>
      </c>
      <c r="AE873" s="97">
        <v>44</v>
      </c>
      <c r="AF873" s="97">
        <v>746</v>
      </c>
      <c r="AG873" s="97">
        <v>365</v>
      </c>
      <c r="AH873" s="97">
        <v>52</v>
      </c>
      <c r="AI873" s="97">
        <v>870</v>
      </c>
    </row>
    <row r="874" spans="1:35" ht="15" customHeight="1">
      <c r="A874" s="97" t="s">
        <v>897</v>
      </c>
      <c r="B874" s="97" t="s">
        <v>897</v>
      </c>
      <c r="C874" s="97" t="s">
        <v>898</v>
      </c>
      <c r="D874" s="97" t="s">
        <v>3198</v>
      </c>
      <c r="E874" s="97" t="s">
        <v>60</v>
      </c>
      <c r="F874" s="97">
        <v>98</v>
      </c>
      <c r="G874" s="97">
        <v>43</v>
      </c>
      <c r="H874" s="97">
        <v>611</v>
      </c>
      <c r="I874" s="97">
        <v>66</v>
      </c>
      <c r="J874" s="97">
        <v>33</v>
      </c>
      <c r="K874" s="97">
        <v>584</v>
      </c>
      <c r="L874" s="97">
        <v>72</v>
      </c>
      <c r="M874" s="97">
        <v>42</v>
      </c>
      <c r="N874" s="97">
        <v>821</v>
      </c>
      <c r="O874" s="97">
        <v>35</v>
      </c>
      <c r="P874" s="97">
        <v>57</v>
      </c>
      <c r="Q874" s="97">
        <v>912</v>
      </c>
      <c r="R874" s="97">
        <v>40</v>
      </c>
      <c r="S874" s="97">
        <v>51</v>
      </c>
      <c r="T874" s="97">
        <v>811</v>
      </c>
      <c r="U874" s="97">
        <v>53</v>
      </c>
      <c r="V874" s="97">
        <v>54</v>
      </c>
      <c r="W874" s="97">
        <v>858</v>
      </c>
      <c r="X874" s="97">
        <v>57</v>
      </c>
      <c r="Y874" s="97">
        <v>52</v>
      </c>
      <c r="Z874" s="97">
        <v>838</v>
      </c>
      <c r="AA874" s="97">
        <v>37</v>
      </c>
      <c r="AB874" s="97">
        <v>53</v>
      </c>
      <c r="AC874" s="97">
        <v>912</v>
      </c>
      <c r="AD874" s="97">
        <v>56</v>
      </c>
      <c r="AE874" s="97">
        <v>49</v>
      </c>
      <c r="AF874" s="97">
        <v>817</v>
      </c>
      <c r="AG874" s="97">
        <v>364</v>
      </c>
      <c r="AH874" s="97">
        <v>52</v>
      </c>
      <c r="AI874" s="97">
        <v>871</v>
      </c>
    </row>
    <row r="875" spans="1:35" ht="15" customHeight="1">
      <c r="A875" s="97" t="s">
        <v>2707</v>
      </c>
      <c r="B875" s="97" t="s">
        <v>2707</v>
      </c>
      <c r="C875" s="97" t="s">
        <v>2705</v>
      </c>
      <c r="D875" s="97" t="s">
        <v>3198</v>
      </c>
      <c r="E875" s="97" t="s">
        <v>49</v>
      </c>
      <c r="F875" s="97">
        <v>98</v>
      </c>
      <c r="G875" s="97">
        <v>32</v>
      </c>
      <c r="H875" s="97">
        <v>611</v>
      </c>
      <c r="I875" s="97">
        <v>43</v>
      </c>
      <c r="J875" s="97">
        <v>50</v>
      </c>
      <c r="K875" s="97">
        <v>881</v>
      </c>
      <c r="L875" s="97">
        <v>69</v>
      </c>
      <c r="M875" s="97">
        <v>54</v>
      </c>
      <c r="N875" s="97">
        <v>851</v>
      </c>
      <c r="O875" s="97">
        <v>57</v>
      </c>
      <c r="P875" s="97">
        <v>40</v>
      </c>
      <c r="Q875" s="97">
        <v>665</v>
      </c>
      <c r="R875" s="97">
        <v>42</v>
      </c>
      <c r="S875" s="97">
        <v>44</v>
      </c>
      <c r="T875" s="97">
        <v>774</v>
      </c>
      <c r="U875" s="97">
        <v>55</v>
      </c>
      <c r="V875" s="97">
        <v>46</v>
      </c>
      <c r="W875" s="97">
        <v>831</v>
      </c>
      <c r="X875" s="97">
        <v>56</v>
      </c>
      <c r="Y875" s="97">
        <v>46</v>
      </c>
      <c r="Z875" s="97">
        <v>849</v>
      </c>
      <c r="AA875" s="97">
        <v>36</v>
      </c>
      <c r="AB875" s="97">
        <v>53</v>
      </c>
      <c r="AC875" s="97">
        <v>918</v>
      </c>
      <c r="AD875" s="97">
        <v>53</v>
      </c>
      <c r="AE875" s="97">
        <v>45</v>
      </c>
      <c r="AF875" s="97">
        <v>869</v>
      </c>
      <c r="AG875" s="97">
        <v>364</v>
      </c>
      <c r="AH875" s="97">
        <v>50</v>
      </c>
      <c r="AI875" s="97">
        <v>871</v>
      </c>
    </row>
    <row r="876" spans="1:35" ht="15" customHeight="1">
      <c r="A876" s="97" t="s">
        <v>2447</v>
      </c>
      <c r="B876" s="97" t="s">
        <v>2447</v>
      </c>
      <c r="C876" s="97" t="s">
        <v>2448</v>
      </c>
      <c r="D876" s="97" t="s">
        <v>3198</v>
      </c>
      <c r="E876" s="97" t="s">
        <v>131</v>
      </c>
      <c r="F876" s="97">
        <v>90</v>
      </c>
      <c r="G876" s="97">
        <v>39</v>
      </c>
      <c r="H876" s="97">
        <v>815</v>
      </c>
      <c r="I876" s="97">
        <v>46</v>
      </c>
      <c r="J876" s="97">
        <v>53</v>
      </c>
      <c r="K876" s="97">
        <v>862</v>
      </c>
      <c r="L876" s="97">
        <v>78.5</v>
      </c>
      <c r="M876" s="97">
        <v>37</v>
      </c>
      <c r="N876" s="97">
        <v>711</v>
      </c>
      <c r="O876" s="97">
        <v>46</v>
      </c>
      <c r="P876" s="97">
        <v>47</v>
      </c>
      <c r="Q876" s="97">
        <v>833</v>
      </c>
      <c r="R876" s="97">
        <v>43</v>
      </c>
      <c r="S876" s="97">
        <v>47</v>
      </c>
      <c r="T876" s="97">
        <v>757</v>
      </c>
      <c r="U876" s="97">
        <v>60</v>
      </c>
      <c r="V876" s="97">
        <v>40</v>
      </c>
      <c r="W876" s="97">
        <v>748</v>
      </c>
      <c r="X876" s="97">
        <v>74</v>
      </c>
      <c r="Y876" s="97">
        <v>10</v>
      </c>
      <c r="Z876" s="97">
        <v>326</v>
      </c>
      <c r="AA876" s="97">
        <v>41</v>
      </c>
      <c r="AB876" s="97">
        <v>51</v>
      </c>
      <c r="AC876" s="97">
        <v>866</v>
      </c>
      <c r="AD876" s="97">
        <v>57</v>
      </c>
      <c r="AE876" s="97">
        <v>53</v>
      </c>
      <c r="AF876" s="97">
        <v>798</v>
      </c>
      <c r="AG876" s="97">
        <v>363.5</v>
      </c>
      <c r="AH876" s="97">
        <v>50</v>
      </c>
      <c r="AI876" s="97">
        <v>873</v>
      </c>
    </row>
    <row r="877" spans="1:35" ht="15" customHeight="1">
      <c r="A877" s="97" t="s">
        <v>342</v>
      </c>
      <c r="B877" s="97" t="s">
        <v>342</v>
      </c>
      <c r="C877" s="97" t="s">
        <v>343</v>
      </c>
      <c r="D877" s="97" t="s">
        <v>3198</v>
      </c>
      <c r="E877" s="97" t="s">
        <v>28</v>
      </c>
      <c r="F877" s="97">
        <v>90</v>
      </c>
      <c r="G877" s="97">
        <v>45</v>
      </c>
      <c r="H877" s="97">
        <v>815</v>
      </c>
      <c r="I877" s="97">
        <v>71</v>
      </c>
      <c r="J877" s="97">
        <v>27</v>
      </c>
      <c r="K877" s="97">
        <v>475</v>
      </c>
      <c r="L877" s="97">
        <v>58.5</v>
      </c>
      <c r="M877" s="97">
        <v>53</v>
      </c>
      <c r="N877" s="97">
        <v>916</v>
      </c>
      <c r="O877" s="97">
        <v>40</v>
      </c>
      <c r="P877" s="97">
        <v>52</v>
      </c>
      <c r="Q877" s="97">
        <v>879</v>
      </c>
      <c r="R877" s="97">
        <v>38</v>
      </c>
      <c r="S877" s="97">
        <v>48</v>
      </c>
      <c r="T877" s="97">
        <v>840</v>
      </c>
      <c r="U877" s="97">
        <v>66</v>
      </c>
      <c r="V877" s="97">
        <v>34</v>
      </c>
      <c r="W877" s="97">
        <v>611</v>
      </c>
      <c r="X877" s="97">
        <v>63</v>
      </c>
      <c r="Y877" s="97">
        <v>43</v>
      </c>
      <c r="Z877" s="97">
        <v>712</v>
      </c>
      <c r="AA877" s="97">
        <v>56</v>
      </c>
      <c r="AB877" s="97">
        <v>28</v>
      </c>
      <c r="AC877" s="97">
        <v>352</v>
      </c>
      <c r="AD877" s="97">
        <v>64</v>
      </c>
      <c r="AE877" s="97">
        <v>38</v>
      </c>
      <c r="AF877" s="97">
        <v>586</v>
      </c>
      <c r="AG877" s="97">
        <v>363.5</v>
      </c>
      <c r="AH877" s="97">
        <v>50</v>
      </c>
      <c r="AI877" s="97">
        <v>873</v>
      </c>
    </row>
    <row r="878" spans="1:35" ht="15" customHeight="1">
      <c r="A878" s="97" t="s">
        <v>1176</v>
      </c>
      <c r="B878" s="97" t="s">
        <v>1176</v>
      </c>
      <c r="C878" s="97" t="s">
        <v>1177</v>
      </c>
      <c r="D878" s="97" t="s">
        <v>3198</v>
      </c>
      <c r="E878" s="97" t="s">
        <v>68</v>
      </c>
      <c r="F878" s="97">
        <v>87</v>
      </c>
      <c r="G878" s="97">
        <v>53</v>
      </c>
      <c r="H878" s="97">
        <v>857</v>
      </c>
      <c r="I878" s="97">
        <v>43</v>
      </c>
      <c r="J878" s="97">
        <v>53</v>
      </c>
      <c r="K878" s="97">
        <v>881</v>
      </c>
      <c r="L878" s="97">
        <v>62</v>
      </c>
      <c r="M878" s="97">
        <v>56</v>
      </c>
      <c r="N878" s="97">
        <v>903</v>
      </c>
      <c r="O878" s="97">
        <v>56</v>
      </c>
      <c r="P878" s="97">
        <v>38</v>
      </c>
      <c r="Q878" s="97">
        <v>682</v>
      </c>
      <c r="R878" s="97">
        <v>54</v>
      </c>
      <c r="S878" s="97">
        <v>31</v>
      </c>
      <c r="T878" s="97">
        <v>494</v>
      </c>
      <c r="U878" s="97">
        <v>61</v>
      </c>
      <c r="V878" s="97">
        <v>43</v>
      </c>
      <c r="W878" s="97">
        <v>734</v>
      </c>
      <c r="X878" s="97">
        <v>61</v>
      </c>
      <c r="Y878" s="97">
        <v>44</v>
      </c>
      <c r="Z878" s="97">
        <v>754</v>
      </c>
      <c r="AA878" s="97">
        <v>44</v>
      </c>
      <c r="AB878" s="97">
        <v>46</v>
      </c>
      <c r="AC878" s="97">
        <v>804</v>
      </c>
      <c r="AD878" s="97">
        <v>41</v>
      </c>
      <c r="AE878" s="97">
        <v>57</v>
      </c>
      <c r="AF878" s="97">
        <v>930</v>
      </c>
      <c r="AG878" s="97">
        <v>363</v>
      </c>
      <c r="AH878" s="97">
        <v>53</v>
      </c>
      <c r="AI878" s="97">
        <v>875</v>
      </c>
    </row>
    <row r="879" spans="1:35" ht="15" customHeight="1">
      <c r="A879" s="97" t="s">
        <v>602</v>
      </c>
      <c r="B879" s="97" t="s">
        <v>602</v>
      </c>
      <c r="C879" s="97" t="s">
        <v>603</v>
      </c>
      <c r="D879" s="97" t="s">
        <v>3198</v>
      </c>
      <c r="E879" s="97" t="s">
        <v>17</v>
      </c>
      <c r="F879" s="97">
        <v>99</v>
      </c>
      <c r="G879" s="97">
        <v>33</v>
      </c>
      <c r="H879" s="97">
        <v>571</v>
      </c>
      <c r="I879" s="97">
        <v>37</v>
      </c>
      <c r="J879" s="97">
        <v>57</v>
      </c>
      <c r="K879" s="97">
        <v>907</v>
      </c>
      <c r="L879" s="97">
        <v>92.5</v>
      </c>
      <c r="M879" s="97">
        <v>25</v>
      </c>
      <c r="N879" s="97">
        <v>414</v>
      </c>
      <c r="O879" s="97">
        <v>55</v>
      </c>
      <c r="P879" s="97">
        <v>44</v>
      </c>
      <c r="Q879" s="97">
        <v>694</v>
      </c>
      <c r="R879" s="97">
        <v>24</v>
      </c>
      <c r="S879" s="97">
        <v>56</v>
      </c>
      <c r="T879" s="97">
        <v>923</v>
      </c>
      <c r="U879" s="97">
        <v>55</v>
      </c>
      <c r="V879" s="97">
        <v>51</v>
      </c>
      <c r="W879" s="97">
        <v>831</v>
      </c>
      <c r="X879" s="97">
        <v>54</v>
      </c>
      <c r="Y879" s="97">
        <v>53</v>
      </c>
      <c r="Z879" s="97">
        <v>880</v>
      </c>
      <c r="AA879" s="97">
        <v>41</v>
      </c>
      <c r="AB879" s="97">
        <v>56</v>
      </c>
      <c r="AC879" s="97">
        <v>866</v>
      </c>
      <c r="AD879" s="97">
        <v>50</v>
      </c>
      <c r="AE879" s="97">
        <v>56</v>
      </c>
      <c r="AF879" s="97">
        <v>896</v>
      </c>
      <c r="AG879" s="97">
        <v>362.5</v>
      </c>
      <c r="AH879" s="97">
        <v>55</v>
      </c>
      <c r="AI879" s="97">
        <v>876</v>
      </c>
    </row>
    <row r="880" spans="1:35" ht="15" customHeight="1">
      <c r="A880" s="97" t="s">
        <v>914</v>
      </c>
      <c r="B880" s="97" t="s">
        <v>914</v>
      </c>
      <c r="C880" s="97" t="s">
        <v>915</v>
      </c>
      <c r="D880" s="97" t="s">
        <v>3198</v>
      </c>
      <c r="E880" s="97" t="s">
        <v>60</v>
      </c>
      <c r="F880" s="97">
        <v>95</v>
      </c>
      <c r="G880" s="97">
        <v>50</v>
      </c>
      <c r="H880" s="97">
        <v>710</v>
      </c>
      <c r="I880" s="97">
        <v>52</v>
      </c>
      <c r="J880" s="97">
        <v>47</v>
      </c>
      <c r="K880" s="97">
        <v>807</v>
      </c>
      <c r="L880" s="97">
        <v>61.5</v>
      </c>
      <c r="M880" s="97">
        <v>53</v>
      </c>
      <c r="N880" s="97">
        <v>905</v>
      </c>
      <c r="O880" s="97">
        <v>62</v>
      </c>
      <c r="P880" s="97">
        <v>30</v>
      </c>
      <c r="Q880" s="97">
        <v>564</v>
      </c>
      <c r="R880" s="97">
        <v>38</v>
      </c>
      <c r="S880" s="97">
        <v>52</v>
      </c>
      <c r="T880" s="97">
        <v>840</v>
      </c>
      <c r="U880" s="97">
        <v>54</v>
      </c>
      <c r="V880" s="97">
        <v>52</v>
      </c>
      <c r="W880" s="97">
        <v>845</v>
      </c>
      <c r="X880" s="97">
        <v>79</v>
      </c>
      <c r="Y880" s="97">
        <v>6</v>
      </c>
      <c r="Z880" s="97">
        <v>175</v>
      </c>
      <c r="AA880" s="97">
        <v>52</v>
      </c>
      <c r="AB880" s="97">
        <v>25</v>
      </c>
      <c r="AC880" s="97">
        <v>509</v>
      </c>
      <c r="AD880" s="97">
        <v>60</v>
      </c>
      <c r="AE880" s="97">
        <v>41</v>
      </c>
      <c r="AF880" s="97">
        <v>727</v>
      </c>
      <c r="AG880" s="97">
        <v>362.5</v>
      </c>
      <c r="AH880" s="97">
        <v>53</v>
      </c>
      <c r="AI880" s="97">
        <v>876</v>
      </c>
    </row>
    <row r="881" spans="1:35" ht="15" customHeight="1">
      <c r="A881" s="97" t="s">
        <v>2177</v>
      </c>
      <c r="B881" s="97" t="s">
        <v>2177</v>
      </c>
      <c r="C881" s="97" t="s">
        <v>2178</v>
      </c>
      <c r="D881" s="97" t="s">
        <v>3198</v>
      </c>
      <c r="E881" s="97" t="s">
        <v>73</v>
      </c>
      <c r="F881" s="97">
        <v>97</v>
      </c>
      <c r="G881" s="97">
        <v>41</v>
      </c>
      <c r="H881" s="97">
        <v>645</v>
      </c>
      <c r="I881" s="97">
        <v>48</v>
      </c>
      <c r="J881" s="97">
        <v>48</v>
      </c>
      <c r="K881" s="97">
        <v>848</v>
      </c>
      <c r="L881" s="97">
        <v>89</v>
      </c>
      <c r="M881" s="97">
        <v>29</v>
      </c>
      <c r="N881" s="97">
        <v>509</v>
      </c>
      <c r="O881" s="97">
        <v>32</v>
      </c>
      <c r="P881" s="97">
        <v>54</v>
      </c>
      <c r="Q881" s="97">
        <v>922</v>
      </c>
      <c r="R881" s="97">
        <v>37</v>
      </c>
      <c r="S881" s="97">
        <v>49</v>
      </c>
      <c r="T881" s="97">
        <v>850</v>
      </c>
      <c r="U881" s="97">
        <v>59</v>
      </c>
      <c r="V881" s="97">
        <v>43</v>
      </c>
      <c r="W881" s="97">
        <v>762</v>
      </c>
      <c r="X881" s="97">
        <v>79</v>
      </c>
      <c r="Y881" s="97">
        <v>5</v>
      </c>
      <c r="Z881" s="97">
        <v>175</v>
      </c>
      <c r="AA881" s="97">
        <v>36</v>
      </c>
      <c r="AB881" s="97">
        <v>55</v>
      </c>
      <c r="AC881" s="97">
        <v>918</v>
      </c>
      <c r="AD881" s="97">
        <v>68</v>
      </c>
      <c r="AE881" s="97">
        <v>30</v>
      </c>
      <c r="AF881" s="97">
        <v>412</v>
      </c>
      <c r="AG881" s="97">
        <v>362</v>
      </c>
      <c r="AH881" s="97">
        <v>51</v>
      </c>
      <c r="AI881" s="97">
        <v>878</v>
      </c>
    </row>
    <row r="882" spans="1:35" ht="15" customHeight="1">
      <c r="A882" s="97" t="s">
        <v>2388</v>
      </c>
      <c r="B882" s="97" t="s">
        <v>2388</v>
      </c>
      <c r="C882" s="97" t="s">
        <v>2398</v>
      </c>
      <c r="D882" s="97" t="s">
        <v>3198</v>
      </c>
      <c r="E882" s="97" t="s">
        <v>7</v>
      </c>
      <c r="F882" s="97">
        <v>105</v>
      </c>
      <c r="G882" s="97">
        <v>17</v>
      </c>
      <c r="H882" s="97">
        <v>325</v>
      </c>
      <c r="I882" s="97">
        <v>42</v>
      </c>
      <c r="J882" s="97">
        <v>52</v>
      </c>
      <c r="K882" s="97">
        <v>887</v>
      </c>
      <c r="L882" s="97">
        <v>83.5</v>
      </c>
      <c r="M882" s="97">
        <v>35</v>
      </c>
      <c r="N882" s="97">
        <v>632</v>
      </c>
      <c r="O882" s="97">
        <v>44</v>
      </c>
      <c r="P882" s="97">
        <v>51</v>
      </c>
      <c r="Q882" s="97">
        <v>849</v>
      </c>
      <c r="R882" s="97">
        <v>40</v>
      </c>
      <c r="S882" s="97">
        <v>42</v>
      </c>
      <c r="T882" s="97">
        <v>811</v>
      </c>
      <c r="U882" s="97">
        <v>46</v>
      </c>
      <c r="V882" s="97">
        <v>51</v>
      </c>
      <c r="W882" s="97">
        <v>901</v>
      </c>
      <c r="X882" s="97">
        <v>73</v>
      </c>
      <c r="Y882" s="97">
        <v>36</v>
      </c>
      <c r="Z882" s="97">
        <v>359</v>
      </c>
      <c r="AA882" s="97">
        <v>52</v>
      </c>
      <c r="AB882" s="97">
        <v>37</v>
      </c>
      <c r="AC882" s="97">
        <v>509</v>
      </c>
      <c r="AD882" s="97">
        <v>69</v>
      </c>
      <c r="AE882" s="97">
        <v>17</v>
      </c>
      <c r="AF882" s="97">
        <v>367</v>
      </c>
      <c r="AG882" s="97">
        <v>360.5</v>
      </c>
      <c r="AH882" s="97">
        <v>50</v>
      </c>
      <c r="AI882" s="97">
        <v>879</v>
      </c>
    </row>
    <row r="883" spans="1:35" ht="15" customHeight="1">
      <c r="A883" s="97" t="s">
        <v>748</v>
      </c>
      <c r="B883" s="97" t="s">
        <v>748</v>
      </c>
      <c r="C883" s="97" t="s">
        <v>749</v>
      </c>
      <c r="D883" s="97" t="s">
        <v>3198</v>
      </c>
      <c r="E883" s="97" t="s">
        <v>117</v>
      </c>
      <c r="F883" s="97">
        <v>95</v>
      </c>
      <c r="G883" s="97">
        <v>39</v>
      </c>
      <c r="H883" s="97">
        <v>710</v>
      </c>
      <c r="I883" s="97">
        <v>53</v>
      </c>
      <c r="J883" s="97">
        <v>48</v>
      </c>
      <c r="K883" s="97">
        <v>792</v>
      </c>
      <c r="L883" s="97">
        <v>57.5</v>
      </c>
      <c r="M883" s="97">
        <v>54</v>
      </c>
      <c r="N883" s="97">
        <v>920</v>
      </c>
      <c r="O883" s="97">
        <v>45</v>
      </c>
      <c r="P883" s="97">
        <v>51</v>
      </c>
      <c r="Q883" s="97">
        <v>840</v>
      </c>
      <c r="R883" s="97">
        <v>42</v>
      </c>
      <c r="S883" s="97">
        <v>48</v>
      </c>
      <c r="T883" s="97">
        <v>774</v>
      </c>
      <c r="U883" s="97">
        <v>66</v>
      </c>
      <c r="V883" s="97">
        <v>32</v>
      </c>
      <c r="W883" s="97">
        <v>611</v>
      </c>
      <c r="X883" s="97">
        <v>82</v>
      </c>
      <c r="Y883" s="97">
        <v>9</v>
      </c>
      <c r="Z883" s="97">
        <v>100</v>
      </c>
      <c r="AA883" s="97">
        <v>66</v>
      </c>
      <c r="AB883" s="97">
        <v>1</v>
      </c>
      <c r="AC883" s="97">
        <v>80</v>
      </c>
      <c r="AD883" s="97">
        <v>74</v>
      </c>
      <c r="AE883" s="97">
        <v>14</v>
      </c>
      <c r="AF883" s="97">
        <v>174</v>
      </c>
      <c r="AG883" s="97">
        <v>358.5</v>
      </c>
      <c r="AH883" s="97">
        <v>54</v>
      </c>
      <c r="AI883" s="97">
        <v>880</v>
      </c>
    </row>
    <row r="884" spans="1:35" ht="15" customHeight="1">
      <c r="A884" s="97" t="s">
        <v>2647</v>
      </c>
      <c r="B884" s="97" t="s">
        <v>2647</v>
      </c>
      <c r="C884" s="97" t="s">
        <v>2651</v>
      </c>
      <c r="D884" s="97" t="s">
        <v>3198</v>
      </c>
      <c r="E884" s="97" t="s">
        <v>49</v>
      </c>
      <c r="F884" s="97">
        <v>102</v>
      </c>
      <c r="G884" s="97">
        <v>21</v>
      </c>
      <c r="H884" s="97">
        <v>442</v>
      </c>
      <c r="I884" s="97">
        <v>40</v>
      </c>
      <c r="J884" s="97">
        <v>52</v>
      </c>
      <c r="K884" s="97">
        <v>897</v>
      </c>
      <c r="L884" s="97">
        <v>71</v>
      </c>
      <c r="M884" s="97">
        <v>51</v>
      </c>
      <c r="N884" s="97">
        <v>829</v>
      </c>
      <c r="O884" s="97">
        <v>41</v>
      </c>
      <c r="P884" s="97">
        <v>53</v>
      </c>
      <c r="Q884" s="97">
        <v>871</v>
      </c>
      <c r="R884" s="97">
        <v>45</v>
      </c>
      <c r="S884" s="97">
        <v>40</v>
      </c>
      <c r="T884" s="97">
        <v>720</v>
      </c>
      <c r="U884" s="97">
        <v>59</v>
      </c>
      <c r="V884" s="97">
        <v>40</v>
      </c>
      <c r="W884" s="97">
        <v>762</v>
      </c>
      <c r="X884" s="97">
        <v>77</v>
      </c>
      <c r="Y884" s="97">
        <v>5</v>
      </c>
      <c r="Z884" s="97">
        <v>240</v>
      </c>
      <c r="AA884" s="97">
        <v>48</v>
      </c>
      <c r="AB884" s="97">
        <v>31</v>
      </c>
      <c r="AC884" s="97">
        <v>671</v>
      </c>
      <c r="AD884" s="97">
        <v>45</v>
      </c>
      <c r="AE884" s="97">
        <v>53</v>
      </c>
      <c r="AF884" s="97">
        <v>923</v>
      </c>
      <c r="AG884" s="97">
        <v>358</v>
      </c>
      <c r="AH884" s="97">
        <v>51</v>
      </c>
      <c r="AI884" s="97">
        <v>881</v>
      </c>
    </row>
    <row r="885" spans="1:35" ht="15" customHeight="1">
      <c r="A885" s="97" t="s">
        <v>2273</v>
      </c>
      <c r="B885" s="97" t="s">
        <v>2273</v>
      </c>
      <c r="C885" s="97" t="s">
        <v>2277</v>
      </c>
      <c r="D885" s="97" t="s">
        <v>3198</v>
      </c>
      <c r="E885" s="97" t="s">
        <v>7</v>
      </c>
      <c r="F885" s="97">
        <v>86</v>
      </c>
      <c r="G885" s="97">
        <v>50</v>
      </c>
      <c r="H885" s="97">
        <v>867</v>
      </c>
      <c r="I885" s="97">
        <v>61</v>
      </c>
      <c r="J885" s="97">
        <v>32</v>
      </c>
      <c r="K885" s="97">
        <v>678</v>
      </c>
      <c r="L885" s="97">
        <v>67.5</v>
      </c>
      <c r="M885" s="97">
        <v>52</v>
      </c>
      <c r="N885" s="97">
        <v>868</v>
      </c>
      <c r="O885" s="97">
        <v>41</v>
      </c>
      <c r="P885" s="97">
        <v>54</v>
      </c>
      <c r="Q885" s="97">
        <v>871</v>
      </c>
      <c r="R885" s="97">
        <v>39</v>
      </c>
      <c r="S885" s="97">
        <v>45</v>
      </c>
      <c r="T885" s="97">
        <v>825</v>
      </c>
      <c r="U885" s="97">
        <v>63</v>
      </c>
      <c r="V885" s="97">
        <v>43</v>
      </c>
      <c r="W885" s="97">
        <v>692</v>
      </c>
      <c r="X885" s="97">
        <v>73</v>
      </c>
      <c r="Y885" s="97">
        <v>36</v>
      </c>
      <c r="Z885" s="97">
        <v>359</v>
      </c>
      <c r="AA885" s="97">
        <v>53</v>
      </c>
      <c r="AB885" s="97">
        <v>35</v>
      </c>
      <c r="AC885" s="97">
        <v>470</v>
      </c>
      <c r="AD885" s="97">
        <v>44</v>
      </c>
      <c r="AE885" s="97">
        <v>55</v>
      </c>
      <c r="AF885" s="97">
        <v>927</v>
      </c>
      <c r="AG885" s="97">
        <v>357.5</v>
      </c>
      <c r="AH885" s="97">
        <v>51</v>
      </c>
      <c r="AI885" s="97">
        <v>882</v>
      </c>
    </row>
    <row r="886" spans="1:35" ht="15" customHeight="1">
      <c r="A886" s="97" t="s">
        <v>969</v>
      </c>
      <c r="B886" s="97" t="s">
        <v>969</v>
      </c>
      <c r="C886" s="97" t="s">
        <v>970</v>
      </c>
      <c r="D886" s="97" t="s">
        <v>3198</v>
      </c>
      <c r="E886" s="97" t="s">
        <v>60</v>
      </c>
      <c r="F886" s="97">
        <v>107</v>
      </c>
      <c r="G886" s="97">
        <v>15</v>
      </c>
      <c r="H886" s="97">
        <v>242</v>
      </c>
      <c r="I886" s="97">
        <v>53</v>
      </c>
      <c r="J886" s="97">
        <v>46</v>
      </c>
      <c r="K886" s="97">
        <v>792</v>
      </c>
      <c r="L886" s="97">
        <v>67</v>
      </c>
      <c r="M886" s="97">
        <v>49</v>
      </c>
      <c r="N886" s="97">
        <v>873</v>
      </c>
      <c r="O886" s="97">
        <v>43</v>
      </c>
      <c r="P886" s="97">
        <v>48</v>
      </c>
      <c r="Q886" s="97">
        <v>860</v>
      </c>
      <c r="R886" s="97">
        <v>41</v>
      </c>
      <c r="S886" s="97">
        <v>48</v>
      </c>
      <c r="T886" s="97">
        <v>795</v>
      </c>
      <c r="U886" s="97">
        <v>46</v>
      </c>
      <c r="V886" s="97">
        <v>56</v>
      </c>
      <c r="W886" s="97">
        <v>901</v>
      </c>
      <c r="X886" s="97">
        <v>78</v>
      </c>
      <c r="Y886" s="97">
        <v>10</v>
      </c>
      <c r="Z886" s="97">
        <v>209</v>
      </c>
      <c r="AA886" s="97">
        <v>35</v>
      </c>
      <c r="AB886" s="97">
        <v>56</v>
      </c>
      <c r="AC886" s="97">
        <v>924</v>
      </c>
      <c r="AD886" s="97">
        <v>69</v>
      </c>
      <c r="AE886" s="97">
        <v>17</v>
      </c>
      <c r="AF886" s="97">
        <v>367</v>
      </c>
      <c r="AG886" s="97">
        <v>357</v>
      </c>
      <c r="AH886" s="97">
        <v>54</v>
      </c>
      <c r="AI886" s="97">
        <v>883</v>
      </c>
    </row>
    <row r="887" spans="1:35" ht="15" customHeight="1">
      <c r="A887" s="97" t="s">
        <v>1982</v>
      </c>
      <c r="B887" s="97" t="s">
        <v>1982</v>
      </c>
      <c r="C887" s="97" t="s">
        <v>1983</v>
      </c>
      <c r="D887" s="97" t="s">
        <v>3198</v>
      </c>
      <c r="E887" s="97" t="s">
        <v>109</v>
      </c>
      <c r="F887" s="97">
        <v>97</v>
      </c>
      <c r="G887" s="97">
        <v>39</v>
      </c>
      <c r="H887" s="97">
        <v>645</v>
      </c>
      <c r="I887" s="97">
        <v>57</v>
      </c>
      <c r="J887" s="97">
        <v>45</v>
      </c>
      <c r="K887" s="97">
        <v>744</v>
      </c>
      <c r="L887" s="97">
        <v>62.5</v>
      </c>
      <c r="M887" s="97">
        <v>55</v>
      </c>
      <c r="N887" s="97">
        <v>898</v>
      </c>
      <c r="O887" s="97">
        <v>45</v>
      </c>
      <c r="P887" s="97">
        <v>52</v>
      </c>
      <c r="Q887" s="97">
        <v>840</v>
      </c>
      <c r="R887" s="97">
        <v>48</v>
      </c>
      <c r="S887" s="97">
        <v>38</v>
      </c>
      <c r="T887" s="97">
        <v>649</v>
      </c>
      <c r="U887" s="97">
        <v>47</v>
      </c>
      <c r="V887" s="97">
        <v>54</v>
      </c>
      <c r="W887" s="97">
        <v>895</v>
      </c>
      <c r="X887" s="97">
        <v>64</v>
      </c>
      <c r="Y887" s="97">
        <v>36</v>
      </c>
      <c r="Z887" s="97">
        <v>680</v>
      </c>
      <c r="AA887" s="97">
        <v>44</v>
      </c>
      <c r="AB887" s="97">
        <v>45</v>
      </c>
      <c r="AC887" s="97">
        <v>804</v>
      </c>
      <c r="AD887" s="97">
        <v>55</v>
      </c>
      <c r="AE887" s="97">
        <v>47</v>
      </c>
      <c r="AF887" s="97">
        <v>835</v>
      </c>
      <c r="AG887" s="97">
        <v>356.5</v>
      </c>
      <c r="AH887" s="97">
        <v>52</v>
      </c>
      <c r="AI887" s="97">
        <v>884</v>
      </c>
    </row>
    <row r="888" spans="1:35" ht="15" customHeight="1">
      <c r="A888" s="97" t="s">
        <v>2007</v>
      </c>
      <c r="B888" s="97" t="s">
        <v>2007</v>
      </c>
      <c r="C888" s="97" t="s">
        <v>2008</v>
      </c>
      <c r="D888" s="97" t="s">
        <v>3198</v>
      </c>
      <c r="E888" s="97" t="s">
        <v>109</v>
      </c>
      <c r="F888" s="97">
        <v>84</v>
      </c>
      <c r="G888" s="97">
        <v>57</v>
      </c>
      <c r="H888" s="97">
        <v>891</v>
      </c>
      <c r="I888" s="97">
        <v>34</v>
      </c>
      <c r="J888" s="97">
        <v>55</v>
      </c>
      <c r="K888" s="97">
        <v>914</v>
      </c>
      <c r="L888" s="97">
        <v>55.5</v>
      </c>
      <c r="M888" s="97">
        <v>57</v>
      </c>
      <c r="N888" s="97">
        <v>924</v>
      </c>
      <c r="O888" s="97">
        <v>83</v>
      </c>
      <c r="P888" s="97">
        <v>9</v>
      </c>
      <c r="Q888" s="97">
        <v>163</v>
      </c>
      <c r="R888" s="97">
        <v>49</v>
      </c>
      <c r="S888" s="97">
        <v>37</v>
      </c>
      <c r="T888" s="97">
        <v>624</v>
      </c>
      <c r="U888" s="97">
        <v>50</v>
      </c>
      <c r="V888" s="97">
        <v>53</v>
      </c>
      <c r="W888" s="97">
        <v>883</v>
      </c>
      <c r="X888" s="97">
        <v>59</v>
      </c>
      <c r="Y888" s="97">
        <v>44</v>
      </c>
      <c r="Z888" s="97">
        <v>799</v>
      </c>
      <c r="AA888" s="97">
        <v>51</v>
      </c>
      <c r="AB888" s="97">
        <v>27</v>
      </c>
      <c r="AC888" s="97">
        <v>555</v>
      </c>
      <c r="AD888" s="97">
        <v>53</v>
      </c>
      <c r="AE888" s="97">
        <v>52</v>
      </c>
      <c r="AF888" s="97">
        <v>869</v>
      </c>
      <c r="AG888" s="97">
        <v>355.5</v>
      </c>
      <c r="AH888" s="97">
        <v>53</v>
      </c>
      <c r="AI888" s="97">
        <v>885</v>
      </c>
    </row>
    <row r="889" spans="1:35" ht="15" customHeight="1">
      <c r="A889" s="97" t="s">
        <v>418</v>
      </c>
      <c r="B889" s="97" t="s">
        <v>418</v>
      </c>
      <c r="C889" s="97" t="s">
        <v>419</v>
      </c>
      <c r="D889" s="97" t="s">
        <v>3198</v>
      </c>
      <c r="E889" s="97" t="s">
        <v>19</v>
      </c>
      <c r="F889" s="97">
        <v>89</v>
      </c>
      <c r="G889" s="97">
        <v>51</v>
      </c>
      <c r="H889" s="97">
        <v>835</v>
      </c>
      <c r="I889" s="97">
        <v>46</v>
      </c>
      <c r="J889" s="97">
        <v>50</v>
      </c>
      <c r="K889" s="97">
        <v>862</v>
      </c>
      <c r="L889" s="97">
        <v>79.5</v>
      </c>
      <c r="M889" s="97">
        <v>36</v>
      </c>
      <c r="N889" s="97">
        <v>698</v>
      </c>
      <c r="O889" s="97">
        <v>36</v>
      </c>
      <c r="P889" s="97">
        <v>54</v>
      </c>
      <c r="Q889" s="97">
        <v>905</v>
      </c>
      <c r="R889" s="97">
        <v>47</v>
      </c>
      <c r="S889" s="97">
        <v>36</v>
      </c>
      <c r="T889" s="97">
        <v>673</v>
      </c>
      <c r="U889" s="97">
        <v>58</v>
      </c>
      <c r="V889" s="97">
        <v>46</v>
      </c>
      <c r="W889" s="97">
        <v>786</v>
      </c>
      <c r="X889" s="97">
        <v>79</v>
      </c>
      <c r="Y889" s="97">
        <v>8</v>
      </c>
      <c r="Z889" s="97">
        <v>175</v>
      </c>
      <c r="AA889" s="97">
        <v>66</v>
      </c>
      <c r="AB889" s="97">
        <v>4</v>
      </c>
      <c r="AC889" s="97">
        <v>80</v>
      </c>
      <c r="AD889" s="97">
        <v>71</v>
      </c>
      <c r="AE889" s="97">
        <v>18</v>
      </c>
      <c r="AF889" s="97">
        <v>290</v>
      </c>
      <c r="AG889" s="97">
        <v>355.5</v>
      </c>
      <c r="AH889" s="97">
        <v>53</v>
      </c>
      <c r="AI889" s="97">
        <v>885</v>
      </c>
    </row>
    <row r="890" spans="1:35" ht="15" customHeight="1">
      <c r="A890" s="97" t="s">
        <v>2051</v>
      </c>
      <c r="B890" s="97" t="s">
        <v>2051</v>
      </c>
      <c r="C890" s="97" t="s">
        <v>2052</v>
      </c>
      <c r="D890" s="97" t="s">
        <v>3198</v>
      </c>
      <c r="E890" s="97" t="s">
        <v>109</v>
      </c>
      <c r="F890" s="97">
        <v>90</v>
      </c>
      <c r="G890" s="97">
        <v>53</v>
      </c>
      <c r="H890" s="97">
        <v>815</v>
      </c>
      <c r="I890" s="97">
        <v>41</v>
      </c>
      <c r="J890" s="97">
        <v>53</v>
      </c>
      <c r="K890" s="97">
        <v>894</v>
      </c>
      <c r="L890" s="97">
        <v>87</v>
      </c>
      <c r="M890" s="97">
        <v>32</v>
      </c>
      <c r="N890" s="97">
        <v>553</v>
      </c>
      <c r="O890" s="97">
        <v>30</v>
      </c>
      <c r="P890" s="97">
        <v>56</v>
      </c>
      <c r="Q890" s="97">
        <v>924</v>
      </c>
      <c r="R890" s="97">
        <v>43</v>
      </c>
      <c r="S890" s="97">
        <v>48</v>
      </c>
      <c r="T890" s="97">
        <v>757</v>
      </c>
      <c r="U890" s="97">
        <v>64</v>
      </c>
      <c r="V890" s="97">
        <v>40</v>
      </c>
      <c r="W890" s="97">
        <v>667</v>
      </c>
      <c r="X890" s="97">
        <v>85</v>
      </c>
      <c r="Y890" s="97">
        <v>1</v>
      </c>
      <c r="Z890" s="97">
        <v>45</v>
      </c>
      <c r="AA890" s="97">
        <v>65</v>
      </c>
      <c r="AB890" s="97">
        <v>4</v>
      </c>
      <c r="AC890" s="97">
        <v>89</v>
      </c>
      <c r="AD890" s="97">
        <v>68</v>
      </c>
      <c r="AE890" s="97">
        <v>21</v>
      </c>
      <c r="AF890" s="97">
        <v>412</v>
      </c>
      <c r="AG890" s="97">
        <v>355</v>
      </c>
      <c r="AH890" s="97">
        <v>54</v>
      </c>
      <c r="AI890" s="97">
        <v>887</v>
      </c>
    </row>
    <row r="891" spans="1:35" ht="15" customHeight="1">
      <c r="A891" s="97" t="s">
        <v>996</v>
      </c>
      <c r="B891" s="97" t="s">
        <v>996</v>
      </c>
      <c r="C891" s="97" t="s">
        <v>997</v>
      </c>
      <c r="D891" s="97" t="s">
        <v>3198</v>
      </c>
      <c r="E891" s="97" t="s">
        <v>60</v>
      </c>
      <c r="F891" s="97">
        <v>68</v>
      </c>
      <c r="G891" s="97">
        <v>57</v>
      </c>
      <c r="H891" s="97">
        <v>931</v>
      </c>
      <c r="I891" s="97">
        <v>65</v>
      </c>
      <c r="J891" s="97">
        <v>36</v>
      </c>
      <c r="K891" s="97">
        <v>604</v>
      </c>
      <c r="L891" s="97">
        <v>73.5</v>
      </c>
      <c r="M891" s="97">
        <v>38</v>
      </c>
      <c r="N891" s="97">
        <v>797</v>
      </c>
      <c r="O891" s="97">
        <v>53</v>
      </c>
      <c r="P891" s="97">
        <v>41</v>
      </c>
      <c r="Q891" s="97">
        <v>739</v>
      </c>
      <c r="R891" s="97">
        <v>34</v>
      </c>
      <c r="S891" s="97">
        <v>56</v>
      </c>
      <c r="T891" s="97">
        <v>882</v>
      </c>
      <c r="U891" s="97">
        <v>61</v>
      </c>
      <c r="V891" s="97">
        <v>41</v>
      </c>
      <c r="W891" s="97">
        <v>734</v>
      </c>
      <c r="X891" s="97">
        <v>64</v>
      </c>
      <c r="Y891" s="97">
        <v>41</v>
      </c>
      <c r="Z891" s="97">
        <v>680</v>
      </c>
      <c r="AA891" s="97">
        <v>43</v>
      </c>
      <c r="AB891" s="97">
        <v>48</v>
      </c>
      <c r="AC891" s="97">
        <v>824</v>
      </c>
      <c r="AD891" s="97">
        <v>71</v>
      </c>
      <c r="AE891" s="97">
        <v>14</v>
      </c>
      <c r="AF891" s="97">
        <v>290</v>
      </c>
      <c r="AG891" s="97">
        <v>354.5</v>
      </c>
      <c r="AH891" s="97">
        <v>55</v>
      </c>
      <c r="AI891" s="97">
        <v>888</v>
      </c>
    </row>
    <row r="892" spans="1:35" ht="15" customHeight="1">
      <c r="A892" s="97" t="s">
        <v>2400</v>
      </c>
      <c r="B892" s="97" t="s">
        <v>2400</v>
      </c>
      <c r="C892" s="97" t="s">
        <v>2406</v>
      </c>
      <c r="D892" s="97" t="s">
        <v>3198</v>
      </c>
      <c r="E892" s="97" t="s">
        <v>7</v>
      </c>
      <c r="F892" s="97">
        <v>97</v>
      </c>
      <c r="G892" s="97">
        <v>34</v>
      </c>
      <c r="H892" s="97">
        <v>645</v>
      </c>
      <c r="I892" s="97">
        <v>46</v>
      </c>
      <c r="J892" s="97">
        <v>50</v>
      </c>
      <c r="K892" s="97">
        <v>862</v>
      </c>
      <c r="L892" s="97">
        <v>91.5</v>
      </c>
      <c r="M892" s="97">
        <v>19</v>
      </c>
      <c r="N892" s="97">
        <v>443</v>
      </c>
      <c r="O892" s="97">
        <v>45</v>
      </c>
      <c r="P892" s="97">
        <v>50</v>
      </c>
      <c r="Q892" s="97">
        <v>840</v>
      </c>
      <c r="R892" s="97">
        <v>30</v>
      </c>
      <c r="S892" s="97">
        <v>53</v>
      </c>
      <c r="T892" s="97">
        <v>902</v>
      </c>
      <c r="U892" s="97">
        <v>44</v>
      </c>
      <c r="V892" s="97">
        <v>52</v>
      </c>
      <c r="W892" s="97">
        <v>914</v>
      </c>
      <c r="X892" s="97">
        <v>74</v>
      </c>
      <c r="Y892" s="97">
        <v>34</v>
      </c>
      <c r="Z892" s="97">
        <v>326</v>
      </c>
      <c r="AA892" s="97">
        <v>38</v>
      </c>
      <c r="AB892" s="97">
        <v>55</v>
      </c>
      <c r="AC892" s="97">
        <v>905</v>
      </c>
      <c r="AD892" s="97">
        <v>55</v>
      </c>
      <c r="AE892" s="97">
        <v>46</v>
      </c>
      <c r="AF892" s="97">
        <v>835</v>
      </c>
      <c r="AG892" s="97">
        <v>353.5</v>
      </c>
      <c r="AH892" s="97">
        <v>52</v>
      </c>
      <c r="AI892" s="97">
        <v>889</v>
      </c>
    </row>
    <row r="893" spans="1:35" ht="15" customHeight="1">
      <c r="A893" s="97" t="s">
        <v>1262</v>
      </c>
      <c r="B893" s="97" t="s">
        <v>1262</v>
      </c>
      <c r="C893" s="97" t="s">
        <v>1263</v>
      </c>
      <c r="D893" s="97" t="s">
        <v>3198</v>
      </c>
      <c r="E893" s="97" t="s">
        <v>54</v>
      </c>
      <c r="F893" s="97">
        <v>96</v>
      </c>
      <c r="G893" s="97">
        <v>38</v>
      </c>
      <c r="H893" s="97">
        <v>676</v>
      </c>
      <c r="I893" s="97">
        <v>35</v>
      </c>
      <c r="J893" s="97">
        <v>53</v>
      </c>
      <c r="K893" s="97">
        <v>911</v>
      </c>
      <c r="L893" s="97">
        <v>75.5</v>
      </c>
      <c r="M893" s="97">
        <v>42</v>
      </c>
      <c r="N893" s="97">
        <v>763</v>
      </c>
      <c r="O893" s="97">
        <v>28</v>
      </c>
      <c r="P893" s="97">
        <v>54</v>
      </c>
      <c r="Q893" s="97">
        <v>927</v>
      </c>
      <c r="R893" s="97">
        <v>59</v>
      </c>
      <c r="S893" s="97">
        <v>25</v>
      </c>
      <c r="T893" s="97">
        <v>348</v>
      </c>
      <c r="U893" s="97">
        <v>59</v>
      </c>
      <c r="V893" s="97">
        <v>48</v>
      </c>
      <c r="W893" s="97">
        <v>762</v>
      </c>
      <c r="X893" s="97">
        <v>63</v>
      </c>
      <c r="Y893" s="97">
        <v>37</v>
      </c>
      <c r="Z893" s="97">
        <v>712</v>
      </c>
      <c r="AA893" s="97">
        <v>45</v>
      </c>
      <c r="AB893" s="97">
        <v>43</v>
      </c>
      <c r="AC893" s="97">
        <v>781</v>
      </c>
      <c r="AD893" s="97">
        <v>70</v>
      </c>
      <c r="AE893" s="97">
        <v>21</v>
      </c>
      <c r="AF893" s="97">
        <v>327</v>
      </c>
      <c r="AG893" s="97">
        <v>352.5</v>
      </c>
      <c r="AH893" s="97">
        <v>53</v>
      </c>
      <c r="AI893" s="97">
        <v>890</v>
      </c>
    </row>
    <row r="894" spans="1:35" ht="15" customHeight="1">
      <c r="A894" s="97" t="s">
        <v>1846</v>
      </c>
      <c r="B894" s="97" t="s">
        <v>1846</v>
      </c>
      <c r="C894" s="97" t="s">
        <v>1847</v>
      </c>
      <c r="D894" s="97" t="s">
        <v>3198</v>
      </c>
      <c r="E894" s="97" t="s">
        <v>34</v>
      </c>
      <c r="F894" s="97">
        <v>88</v>
      </c>
      <c r="G894" s="97">
        <v>53</v>
      </c>
      <c r="H894" s="97">
        <v>851</v>
      </c>
      <c r="I894" s="97">
        <v>53</v>
      </c>
      <c r="J894" s="97">
        <v>50</v>
      </c>
      <c r="K894" s="97">
        <v>792</v>
      </c>
      <c r="L894" s="97">
        <v>69</v>
      </c>
      <c r="M894" s="97">
        <v>50</v>
      </c>
      <c r="N894" s="97">
        <v>851</v>
      </c>
      <c r="O894" s="97">
        <v>61</v>
      </c>
      <c r="P894" s="97">
        <v>33</v>
      </c>
      <c r="Q894" s="97">
        <v>587</v>
      </c>
      <c r="R894" s="97">
        <v>39</v>
      </c>
      <c r="S894" s="97">
        <v>50</v>
      </c>
      <c r="T894" s="97">
        <v>825</v>
      </c>
      <c r="U894" s="97">
        <v>42</v>
      </c>
      <c r="V894" s="97">
        <v>55</v>
      </c>
      <c r="W894" s="97">
        <v>921</v>
      </c>
      <c r="X894" s="97">
        <v>82</v>
      </c>
      <c r="Y894" s="97">
        <v>12</v>
      </c>
      <c r="Z894" s="97">
        <v>100</v>
      </c>
      <c r="AA894" s="97">
        <v>61</v>
      </c>
      <c r="AB894" s="97">
        <v>7</v>
      </c>
      <c r="AC894" s="97">
        <v>172</v>
      </c>
      <c r="AD894" s="97">
        <v>63</v>
      </c>
      <c r="AE894" s="97">
        <v>38</v>
      </c>
      <c r="AF894" s="97">
        <v>633</v>
      </c>
      <c r="AG894" s="97">
        <v>352</v>
      </c>
      <c r="AH894" s="97">
        <v>54</v>
      </c>
      <c r="AI894" s="97">
        <v>891</v>
      </c>
    </row>
    <row r="895" spans="1:35" ht="15" customHeight="1">
      <c r="A895" s="97" t="s">
        <v>2773</v>
      </c>
      <c r="B895" s="97" t="s">
        <v>2773</v>
      </c>
      <c r="C895" s="97" t="s">
        <v>2774</v>
      </c>
      <c r="D895" s="97" t="s">
        <v>3198</v>
      </c>
      <c r="E895" s="97" t="s">
        <v>38</v>
      </c>
      <c r="F895" s="97">
        <v>85</v>
      </c>
      <c r="G895" s="97">
        <v>48</v>
      </c>
      <c r="H895" s="97">
        <v>885</v>
      </c>
      <c r="I895" s="97">
        <v>42</v>
      </c>
      <c r="J895" s="97">
        <v>52</v>
      </c>
      <c r="K895" s="97">
        <v>887</v>
      </c>
      <c r="L895" s="97">
        <v>64</v>
      </c>
      <c r="M895" s="97">
        <v>55</v>
      </c>
      <c r="N895" s="97">
        <v>886</v>
      </c>
      <c r="O895" s="97">
        <v>62</v>
      </c>
      <c r="P895" s="97">
        <v>30</v>
      </c>
      <c r="Q895" s="97">
        <v>564</v>
      </c>
      <c r="R895" s="97">
        <v>53</v>
      </c>
      <c r="S895" s="97">
        <v>22</v>
      </c>
      <c r="T895" s="97">
        <v>526</v>
      </c>
      <c r="U895" s="97">
        <v>46</v>
      </c>
      <c r="V895" s="97">
        <v>55</v>
      </c>
      <c r="W895" s="97">
        <v>901</v>
      </c>
      <c r="X895" s="97">
        <v>64</v>
      </c>
      <c r="Y895" s="97">
        <v>37</v>
      </c>
      <c r="Z895" s="97">
        <v>680</v>
      </c>
      <c r="AA895" s="97">
        <v>59</v>
      </c>
      <c r="AB895" s="97">
        <v>11</v>
      </c>
      <c r="AC895" s="97">
        <v>233</v>
      </c>
      <c r="AD895" s="97">
        <v>50</v>
      </c>
      <c r="AE895" s="97">
        <v>54</v>
      </c>
      <c r="AF895" s="97">
        <v>896</v>
      </c>
      <c r="AG895" s="97">
        <v>352</v>
      </c>
      <c r="AH895" s="97">
        <v>54</v>
      </c>
      <c r="AI895" s="97">
        <v>891</v>
      </c>
    </row>
    <row r="896" spans="1:35" ht="15" customHeight="1">
      <c r="A896" s="97" t="s">
        <v>3232</v>
      </c>
      <c r="B896" s="97" t="s">
        <v>3232</v>
      </c>
      <c r="C896" s="97" t="s">
        <v>3197</v>
      </c>
      <c r="D896" s="97" t="s">
        <v>3198</v>
      </c>
      <c r="E896" s="97" t="s">
        <v>109</v>
      </c>
      <c r="F896" s="97">
        <v>96</v>
      </c>
      <c r="G896" s="97">
        <v>42</v>
      </c>
      <c r="H896" s="97">
        <v>676</v>
      </c>
      <c r="I896" s="97">
        <v>29</v>
      </c>
      <c r="J896" s="97">
        <v>57</v>
      </c>
      <c r="K896" s="97">
        <v>922</v>
      </c>
      <c r="L896" s="97">
        <v>93.5</v>
      </c>
      <c r="M896" s="97">
        <v>27</v>
      </c>
      <c r="N896" s="97">
        <v>393</v>
      </c>
      <c r="O896" s="97">
        <v>47</v>
      </c>
      <c r="P896" s="97">
        <v>50</v>
      </c>
      <c r="Q896" s="97">
        <v>825</v>
      </c>
      <c r="R896" s="97">
        <v>39</v>
      </c>
      <c r="S896" s="97">
        <v>51</v>
      </c>
      <c r="T896" s="97">
        <v>825</v>
      </c>
      <c r="U896" s="97">
        <v>46</v>
      </c>
      <c r="V896" s="97">
        <v>56</v>
      </c>
      <c r="W896" s="97">
        <v>901</v>
      </c>
      <c r="X896" s="97">
        <v>64</v>
      </c>
      <c r="Y896" s="97">
        <v>36</v>
      </c>
      <c r="Z896" s="97">
        <v>680</v>
      </c>
      <c r="AA896" s="97">
        <v>51</v>
      </c>
      <c r="AB896" s="97">
        <v>27</v>
      </c>
      <c r="AC896" s="97">
        <v>555</v>
      </c>
      <c r="AD896" s="97">
        <v>65</v>
      </c>
      <c r="AE896" s="97">
        <v>29</v>
      </c>
      <c r="AF896" s="97">
        <v>548</v>
      </c>
      <c r="AG896" s="97">
        <v>350.5</v>
      </c>
      <c r="AH896" s="97">
        <v>55</v>
      </c>
      <c r="AI896" s="97">
        <v>893</v>
      </c>
    </row>
    <row r="897" spans="1:35" ht="15" customHeight="1">
      <c r="A897" s="97" t="s">
        <v>646</v>
      </c>
      <c r="B897" s="97" t="s">
        <v>646</v>
      </c>
      <c r="C897" s="97" t="s">
        <v>647</v>
      </c>
      <c r="D897" s="97" t="s">
        <v>3198</v>
      </c>
      <c r="E897" s="97" t="s">
        <v>17</v>
      </c>
      <c r="F897" s="97">
        <v>99</v>
      </c>
      <c r="G897" s="97">
        <v>33</v>
      </c>
      <c r="H897" s="97">
        <v>571</v>
      </c>
      <c r="I897" s="97">
        <v>48</v>
      </c>
      <c r="J897" s="97">
        <v>54</v>
      </c>
      <c r="K897" s="97">
        <v>848</v>
      </c>
      <c r="L897" s="97">
        <v>91</v>
      </c>
      <c r="M897" s="97">
        <v>28</v>
      </c>
      <c r="N897" s="97">
        <v>458</v>
      </c>
      <c r="O897" s="97">
        <v>49</v>
      </c>
      <c r="P897" s="97">
        <v>52</v>
      </c>
      <c r="Q897" s="97">
        <v>803</v>
      </c>
      <c r="R897" s="97">
        <v>24</v>
      </c>
      <c r="S897" s="97">
        <v>56</v>
      </c>
      <c r="T897" s="97">
        <v>923</v>
      </c>
      <c r="U897" s="97">
        <v>39</v>
      </c>
      <c r="V897" s="97">
        <v>57</v>
      </c>
      <c r="W897" s="97">
        <v>927</v>
      </c>
      <c r="X897" s="97">
        <v>50</v>
      </c>
      <c r="Y897" s="97">
        <v>56</v>
      </c>
      <c r="Z897" s="97">
        <v>911</v>
      </c>
      <c r="AA897" s="97">
        <v>49</v>
      </c>
      <c r="AB897" s="97">
        <v>41</v>
      </c>
      <c r="AC897" s="97">
        <v>633</v>
      </c>
      <c r="AD897" s="97">
        <v>73</v>
      </c>
      <c r="AE897" s="97">
        <v>12</v>
      </c>
      <c r="AF897" s="97">
        <v>216</v>
      </c>
      <c r="AG897" s="97">
        <v>350</v>
      </c>
      <c r="AH897" s="97">
        <v>56</v>
      </c>
      <c r="AI897" s="97">
        <v>894</v>
      </c>
    </row>
    <row r="898" spans="1:35" ht="15" customHeight="1">
      <c r="A898" s="97" t="s">
        <v>441</v>
      </c>
      <c r="B898" s="97" t="s">
        <v>441</v>
      </c>
      <c r="C898" s="97" t="s">
        <v>442</v>
      </c>
      <c r="D898" s="97" t="s">
        <v>3198</v>
      </c>
      <c r="E898" s="97" t="s">
        <v>19</v>
      </c>
      <c r="F898" s="97">
        <v>100</v>
      </c>
      <c r="G898" s="97">
        <v>35</v>
      </c>
      <c r="H898" s="97">
        <v>528</v>
      </c>
      <c r="I898" s="97">
        <v>38</v>
      </c>
      <c r="J898" s="97">
        <v>55</v>
      </c>
      <c r="K898" s="97">
        <v>904</v>
      </c>
      <c r="L898" s="97">
        <v>64</v>
      </c>
      <c r="M898" s="97">
        <v>54</v>
      </c>
      <c r="N898" s="97">
        <v>886</v>
      </c>
      <c r="O898" s="97">
        <v>46</v>
      </c>
      <c r="P898" s="97">
        <v>51</v>
      </c>
      <c r="Q898" s="97">
        <v>833</v>
      </c>
      <c r="R898" s="97">
        <v>42</v>
      </c>
      <c r="S898" s="97">
        <v>42</v>
      </c>
      <c r="T898" s="97">
        <v>774</v>
      </c>
      <c r="U898" s="97">
        <v>58</v>
      </c>
      <c r="V898" s="97">
        <v>46</v>
      </c>
      <c r="W898" s="97">
        <v>786</v>
      </c>
      <c r="X898" s="97">
        <v>60</v>
      </c>
      <c r="Y898" s="97">
        <v>43</v>
      </c>
      <c r="Z898" s="97">
        <v>777</v>
      </c>
      <c r="AA898" s="97">
        <v>56</v>
      </c>
      <c r="AB898" s="97">
        <v>22</v>
      </c>
      <c r="AC898" s="97">
        <v>352</v>
      </c>
      <c r="AD898" s="97">
        <v>68</v>
      </c>
      <c r="AE898" s="97">
        <v>21</v>
      </c>
      <c r="AF898" s="97">
        <v>412</v>
      </c>
      <c r="AG898" s="97">
        <v>348</v>
      </c>
      <c r="AH898" s="97">
        <v>54</v>
      </c>
      <c r="AI898" s="97">
        <v>895</v>
      </c>
    </row>
    <row r="899" spans="1:35" ht="15" customHeight="1">
      <c r="A899" s="97" t="s">
        <v>250</v>
      </c>
      <c r="B899" s="97" t="s">
        <v>250</v>
      </c>
      <c r="C899" s="97" t="s">
        <v>251</v>
      </c>
      <c r="D899" s="97" t="s">
        <v>3198</v>
      </c>
      <c r="E899" s="97" t="s">
        <v>28</v>
      </c>
      <c r="F899" s="97">
        <v>77</v>
      </c>
      <c r="G899" s="97">
        <v>54</v>
      </c>
      <c r="H899" s="97">
        <v>922</v>
      </c>
      <c r="I899" s="97">
        <v>24</v>
      </c>
      <c r="J899" s="97">
        <v>55</v>
      </c>
      <c r="K899" s="97">
        <v>931</v>
      </c>
      <c r="L899" s="97">
        <v>90.5</v>
      </c>
      <c r="M899" s="97">
        <v>29</v>
      </c>
      <c r="N899" s="97">
        <v>470</v>
      </c>
      <c r="O899" s="97">
        <v>68</v>
      </c>
      <c r="P899" s="97">
        <v>29</v>
      </c>
      <c r="Q899" s="97">
        <v>453</v>
      </c>
      <c r="R899" s="97">
        <v>42</v>
      </c>
      <c r="S899" s="97">
        <v>42</v>
      </c>
      <c r="T899" s="97">
        <v>774</v>
      </c>
      <c r="U899" s="97">
        <v>46</v>
      </c>
      <c r="V899" s="97">
        <v>51</v>
      </c>
      <c r="W899" s="97">
        <v>901</v>
      </c>
      <c r="X899" s="97">
        <v>54</v>
      </c>
      <c r="Y899" s="97">
        <v>52</v>
      </c>
      <c r="Z899" s="97">
        <v>880</v>
      </c>
      <c r="AA899" s="97">
        <v>51</v>
      </c>
      <c r="AB899" s="97">
        <v>39</v>
      </c>
      <c r="AC899" s="97">
        <v>555</v>
      </c>
      <c r="AD899" s="97">
        <v>68</v>
      </c>
      <c r="AE899" s="97">
        <v>24</v>
      </c>
      <c r="AF899" s="97">
        <v>412</v>
      </c>
      <c r="AG899" s="97">
        <v>347.5</v>
      </c>
      <c r="AH899" s="97">
        <v>51</v>
      </c>
      <c r="AI899" s="97">
        <v>896</v>
      </c>
    </row>
    <row r="900" spans="1:35" ht="15" customHeight="1">
      <c r="A900" s="97" t="s">
        <v>229</v>
      </c>
      <c r="B900" s="97" t="s">
        <v>229</v>
      </c>
      <c r="C900" s="97" t="s">
        <v>230</v>
      </c>
      <c r="D900" s="97" t="s">
        <v>3198</v>
      </c>
      <c r="E900" s="97" t="s">
        <v>28</v>
      </c>
      <c r="F900" s="97">
        <v>100</v>
      </c>
      <c r="G900" s="97">
        <v>32</v>
      </c>
      <c r="H900" s="97">
        <v>528</v>
      </c>
      <c r="I900" s="97">
        <v>50</v>
      </c>
      <c r="J900" s="97">
        <v>49</v>
      </c>
      <c r="K900" s="97">
        <v>831</v>
      </c>
      <c r="L900" s="97">
        <v>51.5</v>
      </c>
      <c r="M900" s="97">
        <v>55</v>
      </c>
      <c r="N900" s="97">
        <v>927</v>
      </c>
      <c r="O900" s="97">
        <v>58</v>
      </c>
      <c r="P900" s="97">
        <v>38</v>
      </c>
      <c r="Q900" s="97">
        <v>649</v>
      </c>
      <c r="R900" s="97">
        <v>30</v>
      </c>
      <c r="S900" s="97">
        <v>52</v>
      </c>
      <c r="T900" s="97">
        <v>902</v>
      </c>
      <c r="U900" s="97">
        <v>57</v>
      </c>
      <c r="V900" s="97">
        <v>46</v>
      </c>
      <c r="W900" s="97">
        <v>801</v>
      </c>
      <c r="X900" s="97">
        <v>73</v>
      </c>
      <c r="Y900" s="97">
        <v>19</v>
      </c>
      <c r="Z900" s="97">
        <v>359</v>
      </c>
      <c r="AA900" s="97">
        <v>54</v>
      </c>
      <c r="AB900" s="97">
        <v>32</v>
      </c>
      <c r="AC900" s="97">
        <v>428</v>
      </c>
      <c r="AD900" s="97">
        <v>73</v>
      </c>
      <c r="AE900" s="97">
        <v>10</v>
      </c>
      <c r="AF900" s="97">
        <v>216</v>
      </c>
      <c r="AG900" s="97">
        <v>346.5</v>
      </c>
      <c r="AH900" s="97">
        <v>52</v>
      </c>
      <c r="AI900" s="97">
        <v>897</v>
      </c>
    </row>
    <row r="901" spans="1:35" ht="15" customHeight="1">
      <c r="A901" s="97" t="s">
        <v>2565</v>
      </c>
      <c r="B901" s="97" t="s">
        <v>2565</v>
      </c>
      <c r="C901" s="97" t="s">
        <v>2566</v>
      </c>
      <c r="D901" s="97" t="s">
        <v>3198</v>
      </c>
      <c r="E901" s="97" t="s">
        <v>131</v>
      </c>
      <c r="F901" s="97">
        <v>100</v>
      </c>
      <c r="G901" s="97">
        <v>19</v>
      </c>
      <c r="H901" s="97">
        <v>528</v>
      </c>
      <c r="I901" s="97">
        <v>51</v>
      </c>
      <c r="J901" s="97">
        <v>50</v>
      </c>
      <c r="K901" s="97">
        <v>817</v>
      </c>
      <c r="L901" s="97">
        <v>62.5</v>
      </c>
      <c r="M901" s="97">
        <v>54</v>
      </c>
      <c r="N901" s="97">
        <v>898</v>
      </c>
      <c r="O901" s="97">
        <v>47</v>
      </c>
      <c r="P901" s="97">
        <v>46</v>
      </c>
      <c r="Q901" s="97">
        <v>825</v>
      </c>
      <c r="R901" s="97">
        <v>43</v>
      </c>
      <c r="S901" s="97">
        <v>47</v>
      </c>
      <c r="T901" s="97">
        <v>757</v>
      </c>
      <c r="U901" s="97">
        <v>43</v>
      </c>
      <c r="V901" s="97">
        <v>54</v>
      </c>
      <c r="W901" s="97">
        <v>919</v>
      </c>
      <c r="X901" s="97">
        <v>61</v>
      </c>
      <c r="Y901" s="97">
        <v>45</v>
      </c>
      <c r="Z901" s="97">
        <v>754</v>
      </c>
      <c r="AA901" s="97">
        <v>57</v>
      </c>
      <c r="AB901" s="97">
        <v>27</v>
      </c>
      <c r="AC901" s="97">
        <v>306</v>
      </c>
      <c r="AD901" s="97">
        <v>66</v>
      </c>
      <c r="AE901" s="97">
        <v>35</v>
      </c>
      <c r="AF901" s="97">
        <v>511</v>
      </c>
      <c r="AG901" s="97">
        <v>346.5</v>
      </c>
      <c r="AH901" s="97">
        <v>51</v>
      </c>
      <c r="AI901" s="97">
        <v>897</v>
      </c>
    </row>
    <row r="902" spans="1:35" ht="15" customHeight="1">
      <c r="A902" s="97" t="s">
        <v>2617</v>
      </c>
      <c r="B902" s="97" t="s">
        <v>2617</v>
      </c>
      <c r="C902" s="97" t="s">
        <v>2618</v>
      </c>
      <c r="D902" s="97" t="s">
        <v>3198</v>
      </c>
      <c r="E902" s="97" t="s">
        <v>49</v>
      </c>
      <c r="F902" s="97">
        <v>86</v>
      </c>
      <c r="G902" s="97">
        <v>51</v>
      </c>
      <c r="H902" s="97">
        <v>867</v>
      </c>
      <c r="I902" s="97">
        <v>40</v>
      </c>
      <c r="J902" s="97">
        <v>52</v>
      </c>
      <c r="K902" s="97">
        <v>897</v>
      </c>
      <c r="L902" s="97">
        <v>83</v>
      </c>
      <c r="M902" s="97">
        <v>42</v>
      </c>
      <c r="N902" s="97">
        <v>642</v>
      </c>
      <c r="O902" s="97">
        <v>46</v>
      </c>
      <c r="P902" s="97">
        <v>51</v>
      </c>
      <c r="Q902" s="97">
        <v>833</v>
      </c>
      <c r="R902" s="97">
        <v>36</v>
      </c>
      <c r="S902" s="97">
        <v>51</v>
      </c>
      <c r="T902" s="97">
        <v>856</v>
      </c>
      <c r="U902" s="97">
        <v>55</v>
      </c>
      <c r="V902" s="97">
        <v>46</v>
      </c>
      <c r="W902" s="97">
        <v>831</v>
      </c>
      <c r="X902" s="97">
        <v>61</v>
      </c>
      <c r="Y902" s="97">
        <v>37</v>
      </c>
      <c r="Z902" s="97">
        <v>754</v>
      </c>
      <c r="AA902" s="97">
        <v>47</v>
      </c>
      <c r="AB902" s="97">
        <v>35</v>
      </c>
      <c r="AC902" s="97">
        <v>719</v>
      </c>
      <c r="AD902" s="97">
        <v>55</v>
      </c>
      <c r="AE902" s="97">
        <v>42</v>
      </c>
      <c r="AF902" s="97">
        <v>835</v>
      </c>
      <c r="AG902" s="97">
        <v>346</v>
      </c>
      <c r="AH902" s="97">
        <v>52</v>
      </c>
      <c r="AI902" s="97">
        <v>899</v>
      </c>
    </row>
    <row r="903" spans="1:35" ht="15" customHeight="1">
      <c r="A903" s="97" t="s">
        <v>393</v>
      </c>
      <c r="B903" s="97" t="s">
        <v>393</v>
      </c>
      <c r="C903" s="97" t="s">
        <v>394</v>
      </c>
      <c r="D903" s="97" t="s">
        <v>3198</v>
      </c>
      <c r="E903" s="97" t="s">
        <v>19</v>
      </c>
      <c r="F903" s="97">
        <v>92</v>
      </c>
      <c r="G903" s="97">
        <v>48</v>
      </c>
      <c r="H903" s="97">
        <v>779</v>
      </c>
      <c r="I903" s="97">
        <v>48</v>
      </c>
      <c r="J903" s="97">
        <v>49</v>
      </c>
      <c r="K903" s="97">
        <v>848</v>
      </c>
      <c r="L903" s="97">
        <v>68.5</v>
      </c>
      <c r="M903" s="97">
        <v>52</v>
      </c>
      <c r="N903" s="97">
        <v>857</v>
      </c>
      <c r="O903" s="97">
        <v>49</v>
      </c>
      <c r="P903" s="97">
        <v>47</v>
      </c>
      <c r="Q903" s="97">
        <v>803</v>
      </c>
      <c r="R903" s="97">
        <v>39</v>
      </c>
      <c r="S903" s="97">
        <v>50</v>
      </c>
      <c r="T903" s="97">
        <v>825</v>
      </c>
      <c r="U903" s="97">
        <v>48</v>
      </c>
      <c r="V903" s="97">
        <v>54</v>
      </c>
      <c r="W903" s="97">
        <v>892</v>
      </c>
      <c r="X903" s="97">
        <v>61</v>
      </c>
      <c r="Y903" s="97">
        <v>40</v>
      </c>
      <c r="Z903" s="97">
        <v>754</v>
      </c>
      <c r="AA903" s="97">
        <v>51</v>
      </c>
      <c r="AB903" s="97">
        <v>32</v>
      </c>
      <c r="AC903" s="97">
        <v>555</v>
      </c>
      <c r="AD903" s="97">
        <v>57</v>
      </c>
      <c r="AE903" s="97">
        <v>47</v>
      </c>
      <c r="AF903" s="97">
        <v>798</v>
      </c>
      <c r="AG903" s="97">
        <v>344.5</v>
      </c>
      <c r="AH903" s="97">
        <v>55</v>
      </c>
      <c r="AI903" s="97">
        <v>900</v>
      </c>
    </row>
    <row r="904" spans="1:35" ht="15" customHeight="1">
      <c r="A904" s="97" t="s">
        <v>1123</v>
      </c>
      <c r="B904" s="97" t="s">
        <v>1123</v>
      </c>
      <c r="C904" s="97" t="s">
        <v>1124</v>
      </c>
      <c r="D904" s="97" t="s">
        <v>3198</v>
      </c>
      <c r="E904" s="97" t="s">
        <v>68</v>
      </c>
      <c r="F904" s="97">
        <v>93</v>
      </c>
      <c r="G904" s="97">
        <v>45</v>
      </c>
      <c r="H904" s="97">
        <v>755</v>
      </c>
      <c r="I904" s="97">
        <v>55</v>
      </c>
      <c r="J904" s="97">
        <v>48</v>
      </c>
      <c r="K904" s="97">
        <v>766</v>
      </c>
      <c r="L904" s="97">
        <v>79.5</v>
      </c>
      <c r="M904" s="97">
        <v>35</v>
      </c>
      <c r="N904" s="97">
        <v>698</v>
      </c>
      <c r="O904" s="97">
        <v>38</v>
      </c>
      <c r="P904" s="97">
        <v>53</v>
      </c>
      <c r="Q904" s="97">
        <v>895</v>
      </c>
      <c r="R904" s="97">
        <v>33</v>
      </c>
      <c r="S904" s="97">
        <v>55</v>
      </c>
      <c r="T904" s="97">
        <v>885</v>
      </c>
      <c r="U904" s="97">
        <v>46</v>
      </c>
      <c r="V904" s="97">
        <v>56</v>
      </c>
      <c r="W904" s="97">
        <v>901</v>
      </c>
      <c r="X904" s="97">
        <v>67</v>
      </c>
      <c r="Y904" s="97">
        <v>32</v>
      </c>
      <c r="Z904" s="97">
        <v>570</v>
      </c>
      <c r="AA904" s="97">
        <v>44</v>
      </c>
      <c r="AB904" s="97">
        <v>46</v>
      </c>
      <c r="AC904" s="97">
        <v>804</v>
      </c>
      <c r="AD904" s="97">
        <v>63</v>
      </c>
      <c r="AE904" s="97">
        <v>34</v>
      </c>
      <c r="AF904" s="97">
        <v>633</v>
      </c>
      <c r="AG904" s="97">
        <v>344.5</v>
      </c>
      <c r="AH904" s="97">
        <v>54</v>
      </c>
      <c r="AI904" s="97">
        <v>900</v>
      </c>
    </row>
    <row r="905" spans="1:35" ht="15" customHeight="1">
      <c r="A905" s="97" t="s">
        <v>268</v>
      </c>
      <c r="B905" s="97" t="s">
        <v>268</v>
      </c>
      <c r="C905" s="97" t="s">
        <v>269</v>
      </c>
      <c r="D905" s="97" t="s">
        <v>3198</v>
      </c>
      <c r="E905" s="97" t="s">
        <v>28</v>
      </c>
      <c r="F905" s="97">
        <v>86</v>
      </c>
      <c r="G905" s="97">
        <v>48</v>
      </c>
      <c r="H905" s="97">
        <v>867</v>
      </c>
      <c r="I905" s="97">
        <v>32</v>
      </c>
      <c r="J905" s="97">
        <v>54</v>
      </c>
      <c r="K905" s="97">
        <v>918</v>
      </c>
      <c r="L905" s="97">
        <v>111</v>
      </c>
      <c r="M905" s="97">
        <v>3</v>
      </c>
      <c r="N905" s="97">
        <v>95</v>
      </c>
      <c r="O905" s="97">
        <v>45</v>
      </c>
      <c r="P905" s="97">
        <v>49</v>
      </c>
      <c r="Q905" s="97">
        <v>840</v>
      </c>
      <c r="R905" s="97">
        <v>28</v>
      </c>
      <c r="S905" s="97">
        <v>55</v>
      </c>
      <c r="T905" s="97">
        <v>912</v>
      </c>
      <c r="U905" s="97">
        <v>42</v>
      </c>
      <c r="V905" s="97">
        <v>53</v>
      </c>
      <c r="W905" s="97">
        <v>921</v>
      </c>
      <c r="X905" s="97">
        <v>59</v>
      </c>
      <c r="Y905" s="97">
        <v>49</v>
      </c>
      <c r="Z905" s="97">
        <v>799</v>
      </c>
      <c r="AA905" s="97">
        <v>62</v>
      </c>
      <c r="AB905" s="97">
        <v>12</v>
      </c>
      <c r="AC905" s="97">
        <v>146</v>
      </c>
      <c r="AD905" s="97">
        <v>63</v>
      </c>
      <c r="AE905" s="97">
        <v>40</v>
      </c>
      <c r="AF905" s="97">
        <v>633</v>
      </c>
      <c r="AG905" s="97">
        <v>344</v>
      </c>
      <c r="AH905" s="97">
        <v>53</v>
      </c>
      <c r="AI905" s="97">
        <v>902</v>
      </c>
    </row>
    <row r="906" spans="1:35" ht="15" customHeight="1">
      <c r="A906" s="97" t="s">
        <v>2698</v>
      </c>
      <c r="B906" s="97" t="s">
        <v>2698</v>
      </c>
      <c r="C906" s="97" t="s">
        <v>2696</v>
      </c>
      <c r="D906" s="97" t="s">
        <v>3198</v>
      </c>
      <c r="E906" s="97" t="s">
        <v>49</v>
      </c>
      <c r="F906" s="97">
        <v>90</v>
      </c>
      <c r="G906" s="97">
        <v>46</v>
      </c>
      <c r="H906" s="97">
        <v>815</v>
      </c>
      <c r="I906" s="97">
        <v>51</v>
      </c>
      <c r="J906" s="97">
        <v>46</v>
      </c>
      <c r="K906" s="97">
        <v>817</v>
      </c>
      <c r="L906" s="97">
        <v>70</v>
      </c>
      <c r="M906" s="97">
        <v>53</v>
      </c>
      <c r="N906" s="97">
        <v>841</v>
      </c>
      <c r="O906" s="97">
        <v>49</v>
      </c>
      <c r="P906" s="97">
        <v>49</v>
      </c>
      <c r="Q906" s="97">
        <v>803</v>
      </c>
      <c r="R906" s="97">
        <v>26</v>
      </c>
      <c r="S906" s="97">
        <v>54</v>
      </c>
      <c r="T906" s="97">
        <v>918</v>
      </c>
      <c r="U906" s="97">
        <v>57</v>
      </c>
      <c r="V906" s="97">
        <v>43</v>
      </c>
      <c r="W906" s="97">
        <v>801</v>
      </c>
      <c r="X906" s="97">
        <v>59</v>
      </c>
      <c r="Y906" s="97">
        <v>42</v>
      </c>
      <c r="Z906" s="97">
        <v>799</v>
      </c>
      <c r="AA906" s="97">
        <v>42</v>
      </c>
      <c r="AB906" s="97">
        <v>42</v>
      </c>
      <c r="AC906" s="97">
        <v>845</v>
      </c>
      <c r="AD906" s="97">
        <v>56</v>
      </c>
      <c r="AE906" s="97">
        <v>40</v>
      </c>
      <c r="AF906" s="97">
        <v>817</v>
      </c>
      <c r="AG906" s="97">
        <v>343</v>
      </c>
      <c r="AH906" s="97">
        <v>53</v>
      </c>
      <c r="AI906" s="97">
        <v>903</v>
      </c>
    </row>
    <row r="907" spans="1:35" ht="15" customHeight="1">
      <c r="A907" s="97" t="s">
        <v>2112</v>
      </c>
      <c r="B907" s="97" t="s">
        <v>2112</v>
      </c>
      <c r="C907" s="97" t="s">
        <v>2113</v>
      </c>
      <c r="D907" s="97" t="s">
        <v>3198</v>
      </c>
      <c r="E907" s="97" t="s">
        <v>73</v>
      </c>
      <c r="F907" s="97">
        <v>79</v>
      </c>
      <c r="G907" s="97">
        <v>56</v>
      </c>
      <c r="H907" s="97">
        <v>915</v>
      </c>
      <c r="I907" s="97">
        <v>38</v>
      </c>
      <c r="J907" s="97">
        <v>53</v>
      </c>
      <c r="K907" s="97">
        <v>904</v>
      </c>
      <c r="L907" s="97">
        <v>78.5</v>
      </c>
      <c r="M907" s="97">
        <v>44</v>
      </c>
      <c r="N907" s="97">
        <v>711</v>
      </c>
      <c r="O907" s="97">
        <v>41</v>
      </c>
      <c r="P907" s="97">
        <v>47</v>
      </c>
      <c r="Q907" s="97">
        <v>871</v>
      </c>
      <c r="R907" s="97">
        <v>47</v>
      </c>
      <c r="S907" s="97">
        <v>40</v>
      </c>
      <c r="T907" s="97">
        <v>673</v>
      </c>
      <c r="U907" s="97">
        <v>58</v>
      </c>
      <c r="V907" s="97">
        <v>44</v>
      </c>
      <c r="W907" s="97">
        <v>786</v>
      </c>
      <c r="X907" s="97">
        <v>60</v>
      </c>
      <c r="Y907" s="97">
        <v>44</v>
      </c>
      <c r="Z907" s="97">
        <v>777</v>
      </c>
      <c r="AA907" s="97">
        <v>54</v>
      </c>
      <c r="AB907" s="97">
        <v>26</v>
      </c>
      <c r="AC907" s="97">
        <v>428</v>
      </c>
      <c r="AD907" s="97">
        <v>63</v>
      </c>
      <c r="AE907" s="97">
        <v>44</v>
      </c>
      <c r="AF907" s="97">
        <v>633</v>
      </c>
      <c r="AG907" s="97">
        <v>341.5</v>
      </c>
      <c r="AH907" s="97">
        <v>52</v>
      </c>
      <c r="AI907" s="97">
        <v>904</v>
      </c>
    </row>
    <row r="908" spans="1:35" ht="15" customHeight="1">
      <c r="A908" s="97" t="s">
        <v>2471</v>
      </c>
      <c r="B908" s="97" t="s">
        <v>2471</v>
      </c>
      <c r="C908" s="97" t="s">
        <v>2472</v>
      </c>
      <c r="D908" s="97" t="s">
        <v>3198</v>
      </c>
      <c r="E908" s="97" t="s">
        <v>131</v>
      </c>
      <c r="F908" s="97">
        <v>71</v>
      </c>
      <c r="G908" s="97">
        <v>54</v>
      </c>
      <c r="H908" s="97">
        <v>928</v>
      </c>
      <c r="I908" s="97">
        <v>53</v>
      </c>
      <c r="J908" s="97">
        <v>49</v>
      </c>
      <c r="K908" s="97">
        <v>792</v>
      </c>
      <c r="L908" s="97">
        <v>90</v>
      </c>
      <c r="M908" s="97">
        <v>24</v>
      </c>
      <c r="N908" s="97">
        <v>481</v>
      </c>
      <c r="O908" s="97">
        <v>39</v>
      </c>
      <c r="P908" s="97">
        <v>53</v>
      </c>
      <c r="Q908" s="97">
        <v>888</v>
      </c>
      <c r="R908" s="97">
        <v>44</v>
      </c>
      <c r="S908" s="97">
        <v>41</v>
      </c>
      <c r="T908" s="97">
        <v>736</v>
      </c>
      <c r="U908" s="97">
        <v>44</v>
      </c>
      <c r="V908" s="97">
        <v>53</v>
      </c>
      <c r="W908" s="97">
        <v>914</v>
      </c>
      <c r="X908" s="97">
        <v>57</v>
      </c>
      <c r="Y908" s="97">
        <v>50</v>
      </c>
      <c r="Z908" s="97">
        <v>838</v>
      </c>
      <c r="AA908" s="97">
        <v>39</v>
      </c>
      <c r="AB908" s="97">
        <v>53</v>
      </c>
      <c r="AC908" s="97">
        <v>895</v>
      </c>
      <c r="AD908" s="97">
        <v>41</v>
      </c>
      <c r="AE908" s="97">
        <v>55</v>
      </c>
      <c r="AF908" s="97">
        <v>930</v>
      </c>
      <c r="AG908" s="97">
        <v>341</v>
      </c>
      <c r="AH908" s="97">
        <v>52</v>
      </c>
      <c r="AI908" s="97">
        <v>905</v>
      </c>
    </row>
    <row r="909" spans="1:35" ht="15" customHeight="1">
      <c r="A909" s="97" t="s">
        <v>2653</v>
      </c>
      <c r="B909" s="97" t="s">
        <v>2653</v>
      </c>
      <c r="C909" s="97" t="s">
        <v>2657</v>
      </c>
      <c r="D909" s="97" t="s">
        <v>3198</v>
      </c>
      <c r="E909" s="97" t="s">
        <v>49</v>
      </c>
      <c r="F909" s="97">
        <v>86</v>
      </c>
      <c r="G909" s="97">
        <v>51</v>
      </c>
      <c r="H909" s="97">
        <v>867</v>
      </c>
      <c r="I909" s="97">
        <v>40</v>
      </c>
      <c r="J909" s="97">
        <v>52</v>
      </c>
      <c r="K909" s="97">
        <v>897</v>
      </c>
      <c r="L909" s="97">
        <v>89.5</v>
      </c>
      <c r="M909" s="97">
        <v>34</v>
      </c>
      <c r="N909" s="97">
        <v>493</v>
      </c>
      <c r="O909" s="97">
        <v>34</v>
      </c>
      <c r="P909" s="97">
        <v>55</v>
      </c>
      <c r="Q909" s="97">
        <v>916</v>
      </c>
      <c r="R909" s="97">
        <v>45</v>
      </c>
      <c r="S909" s="97">
        <v>40</v>
      </c>
      <c r="T909" s="97">
        <v>720</v>
      </c>
      <c r="U909" s="97">
        <v>45</v>
      </c>
      <c r="V909" s="97">
        <v>53</v>
      </c>
      <c r="W909" s="97">
        <v>911</v>
      </c>
      <c r="X909" s="97">
        <v>47</v>
      </c>
      <c r="Y909" s="97">
        <v>55</v>
      </c>
      <c r="Z909" s="97">
        <v>925</v>
      </c>
      <c r="AA909" s="97">
        <v>41</v>
      </c>
      <c r="AB909" s="97">
        <v>46</v>
      </c>
      <c r="AC909" s="97">
        <v>866</v>
      </c>
      <c r="AD909" s="97">
        <v>53</v>
      </c>
      <c r="AE909" s="97">
        <v>45</v>
      </c>
      <c r="AF909" s="97">
        <v>869</v>
      </c>
      <c r="AG909" s="97">
        <v>339.5</v>
      </c>
      <c r="AH909" s="97">
        <v>54</v>
      </c>
      <c r="AI909" s="97">
        <v>906</v>
      </c>
    </row>
    <row r="910" spans="1:35" ht="15" customHeight="1">
      <c r="A910" s="97" t="s">
        <v>1402</v>
      </c>
      <c r="B910" s="97" t="s">
        <v>1402</v>
      </c>
      <c r="C910" s="97" t="s">
        <v>1403</v>
      </c>
      <c r="D910" s="97" t="s">
        <v>3198</v>
      </c>
      <c r="E910" s="97" t="s">
        <v>56</v>
      </c>
      <c r="F910" s="97">
        <v>71</v>
      </c>
      <c r="G910" s="97">
        <v>53</v>
      </c>
      <c r="H910" s="97">
        <v>928</v>
      </c>
      <c r="I910" s="97">
        <v>55</v>
      </c>
      <c r="J910" s="97">
        <v>40</v>
      </c>
      <c r="K910" s="97">
        <v>766</v>
      </c>
      <c r="L910" s="97">
        <v>67</v>
      </c>
      <c r="M910" s="97">
        <v>53</v>
      </c>
      <c r="N910" s="97">
        <v>873</v>
      </c>
      <c r="O910" s="97">
        <v>51</v>
      </c>
      <c r="P910" s="97">
        <v>45</v>
      </c>
      <c r="Q910" s="97">
        <v>771</v>
      </c>
      <c r="R910" s="97">
        <v>36</v>
      </c>
      <c r="S910" s="97">
        <v>43</v>
      </c>
      <c r="T910" s="97">
        <v>856</v>
      </c>
      <c r="U910" s="97">
        <v>59</v>
      </c>
      <c r="V910" s="97">
        <v>48</v>
      </c>
      <c r="W910" s="97">
        <v>762</v>
      </c>
      <c r="X910" s="97">
        <v>65</v>
      </c>
      <c r="Y910" s="97">
        <v>43</v>
      </c>
      <c r="Z910" s="97">
        <v>651</v>
      </c>
      <c r="AA910" s="97">
        <v>54</v>
      </c>
      <c r="AB910" s="97">
        <v>15</v>
      </c>
      <c r="AC910" s="97">
        <v>428</v>
      </c>
      <c r="AD910" s="97">
        <v>59</v>
      </c>
      <c r="AE910" s="97">
        <v>45</v>
      </c>
      <c r="AF910" s="97">
        <v>746</v>
      </c>
      <c r="AG910" s="97">
        <v>339</v>
      </c>
      <c r="AH910" s="97">
        <v>52</v>
      </c>
      <c r="AI910" s="97">
        <v>907</v>
      </c>
    </row>
    <row r="911" spans="1:35" ht="15" customHeight="1">
      <c r="A911" s="97" t="s">
        <v>1517</v>
      </c>
      <c r="B911" s="97" t="s">
        <v>1517</v>
      </c>
      <c r="C911" s="97" t="s">
        <v>1518</v>
      </c>
      <c r="D911" s="97" t="s">
        <v>3198</v>
      </c>
      <c r="E911" s="97" t="s">
        <v>56</v>
      </c>
      <c r="F911" s="97">
        <v>104</v>
      </c>
      <c r="G911" s="97">
        <v>16</v>
      </c>
      <c r="H911" s="97">
        <v>357</v>
      </c>
      <c r="I911" s="97">
        <v>44</v>
      </c>
      <c r="J911" s="97">
        <v>51</v>
      </c>
      <c r="K911" s="97">
        <v>877</v>
      </c>
      <c r="L911" s="97">
        <v>73.5</v>
      </c>
      <c r="M911" s="97">
        <v>49</v>
      </c>
      <c r="N911" s="97">
        <v>797</v>
      </c>
      <c r="O911" s="97">
        <v>37</v>
      </c>
      <c r="P911" s="97">
        <v>51</v>
      </c>
      <c r="Q911" s="97">
        <v>901</v>
      </c>
      <c r="R911" s="97">
        <v>21</v>
      </c>
      <c r="S911" s="97">
        <v>53</v>
      </c>
      <c r="T911" s="97">
        <v>931</v>
      </c>
      <c r="U911" s="97">
        <v>59</v>
      </c>
      <c r="V911" s="97">
        <v>48</v>
      </c>
      <c r="W911" s="97">
        <v>762</v>
      </c>
      <c r="X911" s="97">
        <v>67</v>
      </c>
      <c r="Y911" s="97">
        <v>38</v>
      </c>
      <c r="Z911" s="97">
        <v>570</v>
      </c>
      <c r="AA911" s="97">
        <v>53</v>
      </c>
      <c r="AB911" s="97">
        <v>17</v>
      </c>
      <c r="AC911" s="97">
        <v>470</v>
      </c>
      <c r="AD911" s="97">
        <v>68</v>
      </c>
      <c r="AE911" s="97">
        <v>23</v>
      </c>
      <c r="AF911" s="97">
        <v>412</v>
      </c>
      <c r="AG911" s="97">
        <v>338.5</v>
      </c>
      <c r="AH911" s="97">
        <v>53</v>
      </c>
      <c r="AI911" s="97">
        <v>908</v>
      </c>
    </row>
    <row r="912" spans="1:35" ht="15" customHeight="1">
      <c r="A912" s="97" t="s">
        <v>2246</v>
      </c>
      <c r="B912" s="97" t="s">
        <v>2246</v>
      </c>
      <c r="C912" s="97" t="s">
        <v>2247</v>
      </c>
      <c r="D912" s="97" t="s">
        <v>3198</v>
      </c>
      <c r="E912" s="97" t="s">
        <v>73</v>
      </c>
      <c r="F912" s="97">
        <v>86</v>
      </c>
      <c r="G912" s="97">
        <v>54</v>
      </c>
      <c r="H912" s="97">
        <v>867</v>
      </c>
      <c r="I912" s="97">
        <v>49</v>
      </c>
      <c r="J912" s="97">
        <v>46</v>
      </c>
      <c r="K912" s="97">
        <v>839</v>
      </c>
      <c r="L912" s="97">
        <v>77</v>
      </c>
      <c r="M912" s="97">
        <v>47</v>
      </c>
      <c r="N912" s="97">
        <v>740</v>
      </c>
      <c r="O912" s="97">
        <v>39</v>
      </c>
      <c r="P912" s="97">
        <v>50</v>
      </c>
      <c r="Q912" s="97">
        <v>888</v>
      </c>
      <c r="R912" s="97">
        <v>33</v>
      </c>
      <c r="S912" s="97">
        <v>53</v>
      </c>
      <c r="T912" s="97">
        <v>885</v>
      </c>
      <c r="U912" s="97">
        <v>54</v>
      </c>
      <c r="V912" s="97">
        <v>49</v>
      </c>
      <c r="W912" s="97">
        <v>845</v>
      </c>
      <c r="X912" s="97">
        <v>66</v>
      </c>
      <c r="Y912" s="97">
        <v>30</v>
      </c>
      <c r="Z912" s="97">
        <v>604</v>
      </c>
      <c r="AA912" s="97">
        <v>51</v>
      </c>
      <c r="AB912" s="97">
        <v>37</v>
      </c>
      <c r="AC912" s="97">
        <v>555</v>
      </c>
      <c r="AD912" s="97">
        <v>81</v>
      </c>
      <c r="AE912" s="97">
        <v>1</v>
      </c>
      <c r="AF912" s="97">
        <v>42</v>
      </c>
      <c r="AG912" s="97">
        <v>338</v>
      </c>
      <c r="AH912" s="97">
        <v>53</v>
      </c>
      <c r="AI912" s="97">
        <v>909</v>
      </c>
    </row>
    <row r="913" spans="1:35" ht="15" customHeight="1">
      <c r="A913" s="97" t="s">
        <v>1967</v>
      </c>
      <c r="B913" s="97" t="s">
        <v>1967</v>
      </c>
      <c r="C913" s="97" t="s">
        <v>1968</v>
      </c>
      <c r="D913" s="97" t="s">
        <v>3198</v>
      </c>
      <c r="E913" s="97" t="s">
        <v>109</v>
      </c>
      <c r="F913" s="97">
        <v>92</v>
      </c>
      <c r="G913" s="97">
        <v>51</v>
      </c>
      <c r="H913" s="97">
        <v>779</v>
      </c>
      <c r="I913" s="97">
        <v>42</v>
      </c>
      <c r="J913" s="97">
        <v>52</v>
      </c>
      <c r="K913" s="97">
        <v>887</v>
      </c>
      <c r="L913" s="97">
        <v>65</v>
      </c>
      <c r="M913" s="97">
        <v>53</v>
      </c>
      <c r="N913" s="97">
        <v>881</v>
      </c>
      <c r="O913" s="97">
        <v>60</v>
      </c>
      <c r="P913" s="97">
        <v>33</v>
      </c>
      <c r="Q913" s="97">
        <v>607</v>
      </c>
      <c r="R913" s="97">
        <v>28</v>
      </c>
      <c r="S913" s="97">
        <v>56</v>
      </c>
      <c r="T913" s="97">
        <v>912</v>
      </c>
      <c r="U913" s="97">
        <v>51</v>
      </c>
      <c r="V913" s="97">
        <v>52</v>
      </c>
      <c r="W913" s="97">
        <v>874</v>
      </c>
      <c r="X913" s="97">
        <v>45</v>
      </c>
      <c r="Y913" s="97">
        <v>57</v>
      </c>
      <c r="Z913" s="97">
        <v>929</v>
      </c>
      <c r="AA913" s="97">
        <v>49</v>
      </c>
      <c r="AB913" s="97">
        <v>32</v>
      </c>
      <c r="AC913" s="97">
        <v>633</v>
      </c>
      <c r="AD913" s="97">
        <v>54</v>
      </c>
      <c r="AE913" s="97">
        <v>49</v>
      </c>
      <c r="AF913" s="97">
        <v>855</v>
      </c>
      <c r="AG913" s="97">
        <v>338</v>
      </c>
      <c r="AH913" s="97">
        <v>56</v>
      </c>
      <c r="AI913" s="97">
        <v>909</v>
      </c>
    </row>
    <row r="914" spans="1:35" ht="15" customHeight="1">
      <c r="A914" s="97" t="s">
        <v>972</v>
      </c>
      <c r="B914" s="97" t="s">
        <v>972</v>
      </c>
      <c r="C914" s="97" t="s">
        <v>973</v>
      </c>
      <c r="D914" s="97" t="s">
        <v>3198</v>
      </c>
      <c r="E914" s="97" t="s">
        <v>60</v>
      </c>
      <c r="F914" s="97">
        <v>98</v>
      </c>
      <c r="G914" s="97">
        <v>43</v>
      </c>
      <c r="H914" s="97">
        <v>611</v>
      </c>
      <c r="I914" s="97">
        <v>52</v>
      </c>
      <c r="J914" s="97">
        <v>47</v>
      </c>
      <c r="K914" s="97">
        <v>807</v>
      </c>
      <c r="L914" s="97">
        <v>45</v>
      </c>
      <c r="M914" s="97">
        <v>57</v>
      </c>
      <c r="N914" s="97">
        <v>932</v>
      </c>
      <c r="O914" s="97">
        <v>50</v>
      </c>
      <c r="P914" s="97">
        <v>46</v>
      </c>
      <c r="Q914" s="97">
        <v>788</v>
      </c>
      <c r="R914" s="97">
        <v>44</v>
      </c>
      <c r="S914" s="97">
        <v>43</v>
      </c>
      <c r="T914" s="97">
        <v>736</v>
      </c>
      <c r="U914" s="97">
        <v>46</v>
      </c>
      <c r="V914" s="97">
        <v>56</v>
      </c>
      <c r="W914" s="97">
        <v>901</v>
      </c>
      <c r="X914" s="97">
        <v>59</v>
      </c>
      <c r="Y914" s="97">
        <v>48</v>
      </c>
      <c r="Z914" s="97">
        <v>799</v>
      </c>
      <c r="AA914" s="97">
        <v>42</v>
      </c>
      <c r="AB914" s="97">
        <v>49</v>
      </c>
      <c r="AC914" s="97">
        <v>845</v>
      </c>
      <c r="AD914" s="97">
        <v>66</v>
      </c>
      <c r="AE914" s="97">
        <v>23</v>
      </c>
      <c r="AF914" s="97">
        <v>511</v>
      </c>
      <c r="AG914" s="97">
        <v>335</v>
      </c>
      <c r="AH914" s="97">
        <v>56</v>
      </c>
      <c r="AI914" s="97">
        <v>911</v>
      </c>
    </row>
    <row r="915" spans="1:35" ht="15" customHeight="1">
      <c r="A915" s="97" t="s">
        <v>2583</v>
      </c>
      <c r="B915" s="97" t="s">
        <v>2583</v>
      </c>
      <c r="C915" s="97" t="s">
        <v>2584</v>
      </c>
      <c r="D915" s="97" t="s">
        <v>3198</v>
      </c>
      <c r="E915" s="97" t="s">
        <v>131</v>
      </c>
      <c r="F915" s="97">
        <v>91</v>
      </c>
      <c r="G915" s="97">
        <v>38</v>
      </c>
      <c r="H915" s="97">
        <v>799</v>
      </c>
      <c r="I915" s="97">
        <v>37</v>
      </c>
      <c r="J915" s="97">
        <v>54</v>
      </c>
      <c r="K915" s="97">
        <v>907</v>
      </c>
      <c r="L915" s="97">
        <v>68</v>
      </c>
      <c r="M915" s="97">
        <v>53</v>
      </c>
      <c r="N915" s="97">
        <v>862</v>
      </c>
      <c r="O915" s="97">
        <v>44</v>
      </c>
      <c r="P915" s="97">
        <v>48</v>
      </c>
      <c r="Q915" s="97">
        <v>849</v>
      </c>
      <c r="R915" s="97">
        <v>40</v>
      </c>
      <c r="S915" s="97">
        <v>51</v>
      </c>
      <c r="T915" s="97">
        <v>811</v>
      </c>
      <c r="U915" s="97">
        <v>54</v>
      </c>
      <c r="V915" s="97">
        <v>47</v>
      </c>
      <c r="W915" s="97">
        <v>845</v>
      </c>
      <c r="X915" s="97">
        <v>78</v>
      </c>
      <c r="Y915" s="97">
        <v>4</v>
      </c>
      <c r="Z915" s="97">
        <v>209</v>
      </c>
      <c r="AA915" s="97">
        <v>64</v>
      </c>
      <c r="AB915" s="97">
        <v>11</v>
      </c>
      <c r="AC915" s="97">
        <v>103</v>
      </c>
      <c r="AD915" s="97">
        <v>71</v>
      </c>
      <c r="AE915" s="97">
        <v>16</v>
      </c>
      <c r="AF915" s="97">
        <v>290</v>
      </c>
      <c r="AG915" s="97">
        <v>334</v>
      </c>
      <c r="AH915" s="97">
        <v>53</v>
      </c>
      <c r="AI915" s="97">
        <v>912</v>
      </c>
    </row>
    <row r="916" spans="1:35" ht="15" customHeight="1">
      <c r="A916" s="97" t="s">
        <v>871</v>
      </c>
      <c r="B916" s="97" t="s">
        <v>871</v>
      </c>
      <c r="C916" s="97" t="s">
        <v>872</v>
      </c>
      <c r="D916" s="97" t="s">
        <v>3198</v>
      </c>
      <c r="E916" s="97" t="s">
        <v>60</v>
      </c>
      <c r="F916" s="97">
        <v>86</v>
      </c>
      <c r="G916" s="97">
        <v>55</v>
      </c>
      <c r="H916" s="97">
        <v>867</v>
      </c>
      <c r="I916" s="97">
        <v>48</v>
      </c>
      <c r="J916" s="97">
        <v>51</v>
      </c>
      <c r="K916" s="97">
        <v>848</v>
      </c>
      <c r="L916" s="97">
        <v>69.5</v>
      </c>
      <c r="M916" s="97">
        <v>44</v>
      </c>
      <c r="N916" s="97">
        <v>847</v>
      </c>
      <c r="O916" s="97">
        <v>38</v>
      </c>
      <c r="P916" s="97">
        <v>54</v>
      </c>
      <c r="Q916" s="97">
        <v>895</v>
      </c>
      <c r="R916" s="97">
        <v>35</v>
      </c>
      <c r="S916" s="97">
        <v>53</v>
      </c>
      <c r="T916" s="97">
        <v>870</v>
      </c>
      <c r="U916" s="97">
        <v>51</v>
      </c>
      <c r="V916" s="97">
        <v>55</v>
      </c>
      <c r="W916" s="97">
        <v>874</v>
      </c>
      <c r="X916" s="97">
        <v>51</v>
      </c>
      <c r="Y916" s="97">
        <v>55</v>
      </c>
      <c r="Z916" s="97">
        <v>906</v>
      </c>
      <c r="AA916" s="97">
        <v>37</v>
      </c>
      <c r="AB916" s="97">
        <v>53</v>
      </c>
      <c r="AC916" s="97">
        <v>912</v>
      </c>
      <c r="AD916" s="97">
        <v>56</v>
      </c>
      <c r="AE916" s="97">
        <v>49</v>
      </c>
      <c r="AF916" s="97">
        <v>817</v>
      </c>
      <c r="AG916" s="97">
        <v>327.5</v>
      </c>
      <c r="AH916" s="97">
        <v>57</v>
      </c>
      <c r="AI916" s="97">
        <v>913</v>
      </c>
    </row>
    <row r="917" spans="1:35" ht="15" customHeight="1">
      <c r="A917" s="97" t="s">
        <v>1026</v>
      </c>
      <c r="B917" s="97" t="s">
        <v>1026</v>
      </c>
      <c r="C917" s="97" t="s">
        <v>1027</v>
      </c>
      <c r="D917" s="97" t="s">
        <v>3198</v>
      </c>
      <c r="E917" s="97" t="s">
        <v>68</v>
      </c>
      <c r="F917" s="97">
        <v>98</v>
      </c>
      <c r="G917" s="97">
        <v>37</v>
      </c>
      <c r="H917" s="97">
        <v>611</v>
      </c>
      <c r="I917" s="97">
        <v>27</v>
      </c>
      <c r="J917" s="97">
        <v>55</v>
      </c>
      <c r="K917" s="97">
        <v>924</v>
      </c>
      <c r="L917" s="97">
        <v>65.5</v>
      </c>
      <c r="M917" s="97">
        <v>53</v>
      </c>
      <c r="N917" s="97">
        <v>878</v>
      </c>
      <c r="O917" s="97">
        <v>36</v>
      </c>
      <c r="P917" s="97">
        <v>54</v>
      </c>
      <c r="Q917" s="97">
        <v>905</v>
      </c>
      <c r="R917" s="97">
        <v>38</v>
      </c>
      <c r="S917" s="97">
        <v>53</v>
      </c>
      <c r="T917" s="97">
        <v>840</v>
      </c>
      <c r="U917" s="97">
        <v>62</v>
      </c>
      <c r="V917" s="97">
        <v>42</v>
      </c>
      <c r="W917" s="97">
        <v>716</v>
      </c>
      <c r="X917" s="97">
        <v>70</v>
      </c>
      <c r="Y917" s="97">
        <v>24</v>
      </c>
      <c r="Z917" s="97">
        <v>473</v>
      </c>
      <c r="AA917" s="97">
        <v>48</v>
      </c>
      <c r="AB917" s="97">
        <v>36</v>
      </c>
      <c r="AC917" s="97">
        <v>671</v>
      </c>
      <c r="AD917" s="97">
        <v>66</v>
      </c>
      <c r="AE917" s="97">
        <v>32</v>
      </c>
      <c r="AF917" s="97">
        <v>511</v>
      </c>
      <c r="AG917" s="97">
        <v>326.5</v>
      </c>
      <c r="AH917" s="97">
        <v>55</v>
      </c>
      <c r="AI917" s="97">
        <v>914</v>
      </c>
    </row>
    <row r="918" spans="1:35" ht="15" customHeight="1">
      <c r="A918" s="97" t="s">
        <v>1222</v>
      </c>
      <c r="B918" s="97" t="s">
        <v>1222</v>
      </c>
      <c r="C918" s="97" t="s">
        <v>3244</v>
      </c>
      <c r="D918" s="97" t="s">
        <v>3198</v>
      </c>
      <c r="E918" s="97" t="s">
        <v>54</v>
      </c>
      <c r="F918" s="97">
        <v>93</v>
      </c>
      <c r="G918" s="97">
        <v>45</v>
      </c>
      <c r="H918" s="97">
        <v>755</v>
      </c>
      <c r="I918" s="97">
        <v>30</v>
      </c>
      <c r="J918" s="97">
        <v>54</v>
      </c>
      <c r="K918" s="97">
        <v>919</v>
      </c>
      <c r="L918" s="97">
        <v>94</v>
      </c>
      <c r="M918" s="97">
        <v>15</v>
      </c>
      <c r="N918" s="97">
        <v>382</v>
      </c>
      <c r="O918" s="97">
        <v>22</v>
      </c>
      <c r="P918" s="97">
        <v>55</v>
      </c>
      <c r="Q918" s="97">
        <v>932</v>
      </c>
      <c r="R918" s="97">
        <v>26</v>
      </c>
      <c r="S918" s="97">
        <v>55</v>
      </c>
      <c r="T918" s="97">
        <v>918</v>
      </c>
      <c r="U918" s="97">
        <v>61</v>
      </c>
      <c r="V918" s="97">
        <v>47</v>
      </c>
      <c r="W918" s="97">
        <v>734</v>
      </c>
      <c r="X918" s="97">
        <v>60</v>
      </c>
      <c r="Y918" s="97">
        <v>43</v>
      </c>
      <c r="Z918" s="97">
        <v>777</v>
      </c>
      <c r="AA918" s="97">
        <v>53</v>
      </c>
      <c r="AB918" s="97">
        <v>21</v>
      </c>
      <c r="AC918" s="97">
        <v>470</v>
      </c>
      <c r="AD918" s="97">
        <v>76</v>
      </c>
      <c r="AE918" s="97">
        <v>7</v>
      </c>
      <c r="AF918" s="97">
        <v>125</v>
      </c>
      <c r="AG918" s="97">
        <v>326</v>
      </c>
      <c r="AH918" s="97">
        <v>54</v>
      </c>
      <c r="AI918" s="97">
        <v>915</v>
      </c>
    </row>
    <row r="919" spans="1:35" ht="15" customHeight="1">
      <c r="A919" s="97" t="s">
        <v>2904</v>
      </c>
      <c r="B919" s="97" t="s">
        <v>2904</v>
      </c>
      <c r="C919" s="97" t="s">
        <v>2905</v>
      </c>
      <c r="D919" s="97" t="s">
        <v>3198</v>
      </c>
      <c r="E919" s="97" t="s">
        <v>38</v>
      </c>
      <c r="F919" s="97">
        <v>99</v>
      </c>
      <c r="G919" s="97">
        <v>30</v>
      </c>
      <c r="H919" s="97">
        <v>571</v>
      </c>
      <c r="I919" s="97">
        <v>30</v>
      </c>
      <c r="J919" s="97">
        <v>55</v>
      </c>
      <c r="K919" s="97">
        <v>919</v>
      </c>
      <c r="L919" s="97">
        <v>88.5</v>
      </c>
      <c r="M919" s="97">
        <v>32</v>
      </c>
      <c r="N919" s="97">
        <v>519</v>
      </c>
      <c r="O919" s="97">
        <v>33</v>
      </c>
      <c r="P919" s="97">
        <v>54</v>
      </c>
      <c r="Q919" s="97">
        <v>920</v>
      </c>
      <c r="R919" s="97">
        <v>23</v>
      </c>
      <c r="S919" s="97">
        <v>54</v>
      </c>
      <c r="T919" s="97">
        <v>928</v>
      </c>
      <c r="U919" s="97">
        <v>52</v>
      </c>
      <c r="V919" s="97">
        <v>53</v>
      </c>
      <c r="W919" s="97">
        <v>866</v>
      </c>
      <c r="X919" s="97">
        <v>52</v>
      </c>
      <c r="Y919" s="97">
        <v>53</v>
      </c>
      <c r="Z919" s="97">
        <v>897</v>
      </c>
      <c r="AA919" s="97">
        <v>67</v>
      </c>
      <c r="AB919" s="97">
        <v>5</v>
      </c>
      <c r="AC919" s="97">
        <v>66</v>
      </c>
      <c r="AD919" s="97">
        <v>63</v>
      </c>
      <c r="AE919" s="97">
        <v>30</v>
      </c>
      <c r="AF919" s="97">
        <v>633</v>
      </c>
      <c r="AG919" s="97">
        <v>325.5</v>
      </c>
      <c r="AH919" s="97">
        <v>55</v>
      </c>
      <c r="AI919" s="97">
        <v>916</v>
      </c>
    </row>
    <row r="920" spans="1:35" ht="15" customHeight="1">
      <c r="A920" s="97" t="s">
        <v>2561</v>
      </c>
      <c r="B920" s="97" t="s">
        <v>2561</v>
      </c>
      <c r="C920" s="97" t="s">
        <v>2562</v>
      </c>
      <c r="D920" s="97" t="s">
        <v>3198</v>
      </c>
      <c r="E920" s="97" t="s">
        <v>131</v>
      </c>
      <c r="F920" s="97">
        <v>98</v>
      </c>
      <c r="G920" s="97">
        <v>26</v>
      </c>
      <c r="H920" s="97">
        <v>611</v>
      </c>
      <c r="I920" s="97">
        <v>48</v>
      </c>
      <c r="J920" s="97">
        <v>52</v>
      </c>
      <c r="K920" s="97">
        <v>848</v>
      </c>
      <c r="L920" s="97">
        <v>75.5</v>
      </c>
      <c r="M920" s="97">
        <v>44</v>
      </c>
      <c r="N920" s="97">
        <v>763</v>
      </c>
      <c r="O920" s="97">
        <v>34</v>
      </c>
      <c r="P920" s="97">
        <v>54</v>
      </c>
      <c r="Q920" s="97">
        <v>916</v>
      </c>
      <c r="R920" s="97">
        <v>20</v>
      </c>
      <c r="S920" s="97">
        <v>55</v>
      </c>
      <c r="T920" s="97">
        <v>932</v>
      </c>
      <c r="U920" s="97">
        <v>49</v>
      </c>
      <c r="V920" s="97">
        <v>52</v>
      </c>
      <c r="W920" s="97">
        <v>888</v>
      </c>
      <c r="X920" s="97">
        <v>59</v>
      </c>
      <c r="Y920" s="97">
        <v>48</v>
      </c>
      <c r="Z920" s="97">
        <v>799</v>
      </c>
      <c r="AA920" s="97">
        <v>37</v>
      </c>
      <c r="AB920" s="97">
        <v>55</v>
      </c>
      <c r="AC920" s="97">
        <v>912</v>
      </c>
      <c r="AD920" s="97">
        <v>60</v>
      </c>
      <c r="AE920" s="97">
        <v>49</v>
      </c>
      <c r="AF920" s="97">
        <v>727</v>
      </c>
      <c r="AG920" s="97">
        <v>324.5</v>
      </c>
      <c r="AH920" s="97">
        <v>54</v>
      </c>
      <c r="AI920" s="97">
        <v>917</v>
      </c>
    </row>
    <row r="921" spans="1:35" ht="15" customHeight="1">
      <c r="A921" s="97" t="s">
        <v>2734</v>
      </c>
      <c r="B921" s="97" t="s">
        <v>2734</v>
      </c>
      <c r="C921" s="97" t="s">
        <v>2735</v>
      </c>
      <c r="D921" s="97" t="s">
        <v>3198</v>
      </c>
      <c r="E921" s="97" t="s">
        <v>49</v>
      </c>
      <c r="F921" s="97">
        <v>91</v>
      </c>
      <c r="G921" s="97">
        <v>43</v>
      </c>
      <c r="H921" s="97">
        <v>799</v>
      </c>
      <c r="I921" s="97">
        <v>35</v>
      </c>
      <c r="J921" s="97">
        <v>55</v>
      </c>
      <c r="K921" s="97">
        <v>911</v>
      </c>
      <c r="L921" s="97">
        <v>84.5</v>
      </c>
      <c r="M921" s="97">
        <v>41</v>
      </c>
      <c r="N921" s="97">
        <v>606</v>
      </c>
      <c r="O921" s="97">
        <v>52</v>
      </c>
      <c r="P921" s="97">
        <v>44</v>
      </c>
      <c r="Q921" s="97">
        <v>757</v>
      </c>
      <c r="R921" s="97">
        <v>15</v>
      </c>
      <c r="S921" s="97">
        <v>56</v>
      </c>
      <c r="T921" s="97">
        <v>934</v>
      </c>
      <c r="U921" s="97">
        <v>44</v>
      </c>
      <c r="V921" s="97">
        <v>55</v>
      </c>
      <c r="W921" s="97">
        <v>914</v>
      </c>
      <c r="X921" s="97">
        <v>56</v>
      </c>
      <c r="Y921" s="97">
        <v>46</v>
      </c>
      <c r="Z921" s="97">
        <v>849</v>
      </c>
      <c r="AA921" s="97">
        <v>40</v>
      </c>
      <c r="AB921" s="97">
        <v>48</v>
      </c>
      <c r="AC921" s="97">
        <v>881</v>
      </c>
      <c r="AD921" s="97">
        <v>45</v>
      </c>
      <c r="AE921" s="97">
        <v>53</v>
      </c>
      <c r="AF921" s="97">
        <v>923</v>
      </c>
      <c r="AG921" s="97">
        <v>321.5</v>
      </c>
      <c r="AH921" s="97">
        <v>55</v>
      </c>
      <c r="AI921" s="97">
        <v>918</v>
      </c>
    </row>
    <row r="922" spans="1:35" ht="15" customHeight="1">
      <c r="A922" s="97" t="s">
        <v>2326</v>
      </c>
      <c r="B922" s="97" t="s">
        <v>2326</v>
      </c>
      <c r="C922" s="97" t="s">
        <v>2332</v>
      </c>
      <c r="D922" s="97" t="s">
        <v>3198</v>
      </c>
      <c r="E922" s="97" t="s">
        <v>7</v>
      </c>
      <c r="F922" s="97">
        <v>81</v>
      </c>
      <c r="G922" s="97">
        <v>52</v>
      </c>
      <c r="H922" s="97">
        <v>906</v>
      </c>
      <c r="I922" s="97">
        <v>30</v>
      </c>
      <c r="J922" s="97">
        <v>54</v>
      </c>
      <c r="K922" s="97">
        <v>919</v>
      </c>
      <c r="L922" s="97">
        <v>94</v>
      </c>
      <c r="M922" s="97">
        <v>16</v>
      </c>
      <c r="N922" s="97">
        <v>382</v>
      </c>
      <c r="O922" s="97">
        <v>43</v>
      </c>
      <c r="P922" s="97">
        <v>52</v>
      </c>
      <c r="Q922" s="97">
        <v>860</v>
      </c>
      <c r="R922" s="97">
        <v>33</v>
      </c>
      <c r="S922" s="97">
        <v>50</v>
      </c>
      <c r="T922" s="97">
        <v>885</v>
      </c>
      <c r="U922" s="97">
        <v>38</v>
      </c>
      <c r="V922" s="97">
        <v>53</v>
      </c>
      <c r="W922" s="97">
        <v>928</v>
      </c>
      <c r="X922" s="97">
        <v>77</v>
      </c>
      <c r="Y922" s="97">
        <v>27</v>
      </c>
      <c r="Z922" s="97">
        <v>240</v>
      </c>
      <c r="AA922" s="97">
        <v>59</v>
      </c>
      <c r="AB922" s="97">
        <v>12</v>
      </c>
      <c r="AC922" s="97">
        <v>233</v>
      </c>
      <c r="AD922" s="97">
        <v>69</v>
      </c>
      <c r="AE922" s="97">
        <v>17</v>
      </c>
      <c r="AF922" s="97">
        <v>367</v>
      </c>
      <c r="AG922" s="97">
        <v>319</v>
      </c>
      <c r="AH922" s="97">
        <v>53</v>
      </c>
      <c r="AI922" s="97">
        <v>919</v>
      </c>
    </row>
    <row r="923" spans="1:35" ht="15" customHeight="1">
      <c r="A923" s="97" t="s">
        <v>1825</v>
      </c>
      <c r="B923" s="97" t="s">
        <v>1825</v>
      </c>
      <c r="C923" s="97" t="s">
        <v>1826</v>
      </c>
      <c r="D923" s="97" t="s">
        <v>3198</v>
      </c>
      <c r="E923" s="97" t="s">
        <v>34</v>
      </c>
      <c r="F923" s="97">
        <v>86</v>
      </c>
      <c r="G923" s="97">
        <v>55</v>
      </c>
      <c r="H923" s="97">
        <v>867</v>
      </c>
      <c r="I923" s="97">
        <v>61</v>
      </c>
      <c r="J923" s="97">
        <v>45</v>
      </c>
      <c r="K923" s="97">
        <v>678</v>
      </c>
      <c r="L923" s="97">
        <v>46</v>
      </c>
      <c r="M923" s="97">
        <v>55</v>
      </c>
      <c r="N923" s="97">
        <v>931</v>
      </c>
      <c r="O923" s="97">
        <v>42</v>
      </c>
      <c r="P923" s="97">
        <v>53</v>
      </c>
      <c r="Q923" s="97">
        <v>863</v>
      </c>
      <c r="R923" s="97">
        <v>32</v>
      </c>
      <c r="S923" s="97">
        <v>52</v>
      </c>
      <c r="T923" s="97">
        <v>889</v>
      </c>
      <c r="U923" s="97">
        <v>52</v>
      </c>
      <c r="V923" s="97">
        <v>50</v>
      </c>
      <c r="W923" s="97">
        <v>866</v>
      </c>
      <c r="X923" s="97">
        <v>66</v>
      </c>
      <c r="Y923" s="97">
        <v>45</v>
      </c>
      <c r="Z923" s="97">
        <v>604</v>
      </c>
      <c r="AA923" s="97">
        <v>59</v>
      </c>
      <c r="AB923" s="97">
        <v>13</v>
      </c>
      <c r="AC923" s="97">
        <v>233</v>
      </c>
      <c r="AD923" s="97">
        <v>63</v>
      </c>
      <c r="AE923" s="97">
        <v>38</v>
      </c>
      <c r="AF923" s="97">
        <v>633</v>
      </c>
      <c r="AG923" s="97">
        <v>319</v>
      </c>
      <c r="AH923" s="97">
        <v>55</v>
      </c>
      <c r="AI923" s="97">
        <v>919</v>
      </c>
    </row>
    <row r="924" spans="1:35" ht="15" customHeight="1">
      <c r="A924" s="97" t="s">
        <v>2420</v>
      </c>
      <c r="B924" s="97" t="s">
        <v>2420</v>
      </c>
      <c r="C924" s="97" t="s">
        <v>3246</v>
      </c>
      <c r="D924" s="97" t="s">
        <v>3198</v>
      </c>
      <c r="E924" s="97" t="s">
        <v>7</v>
      </c>
      <c r="F924" s="97">
        <v>82</v>
      </c>
      <c r="G924" s="97">
        <v>51</v>
      </c>
      <c r="H924" s="97">
        <v>903</v>
      </c>
      <c r="I924" s="97">
        <v>27</v>
      </c>
      <c r="J924" s="97">
        <v>55</v>
      </c>
      <c r="K924" s="97">
        <v>924</v>
      </c>
      <c r="L924" s="97">
        <v>83</v>
      </c>
      <c r="M924" s="97">
        <v>37</v>
      </c>
      <c r="N924" s="97">
        <v>642</v>
      </c>
      <c r="O924" s="97">
        <v>42</v>
      </c>
      <c r="P924" s="97">
        <v>53</v>
      </c>
      <c r="Q924" s="97">
        <v>863</v>
      </c>
      <c r="R924" s="97">
        <v>31</v>
      </c>
      <c r="S924" s="97">
        <v>52</v>
      </c>
      <c r="T924" s="97">
        <v>893</v>
      </c>
      <c r="U924" s="97">
        <v>53</v>
      </c>
      <c r="V924" s="97">
        <v>49</v>
      </c>
      <c r="W924" s="97">
        <v>858</v>
      </c>
      <c r="X924" s="97">
        <v>66</v>
      </c>
      <c r="Y924" s="97">
        <v>46</v>
      </c>
      <c r="Z924" s="97">
        <v>604</v>
      </c>
      <c r="AA924" s="97">
        <v>48</v>
      </c>
      <c r="AB924" s="97">
        <v>45</v>
      </c>
      <c r="AC924" s="97">
        <v>671</v>
      </c>
      <c r="AD924" s="97">
        <v>59</v>
      </c>
      <c r="AE924" s="97">
        <v>42</v>
      </c>
      <c r="AF924" s="97">
        <v>746</v>
      </c>
      <c r="AG924" s="97">
        <v>318</v>
      </c>
      <c r="AH924" s="97">
        <v>54</v>
      </c>
      <c r="AI924" s="97">
        <v>921</v>
      </c>
    </row>
    <row r="925" spans="1:35" ht="15" customHeight="1">
      <c r="A925" s="97" t="s">
        <v>328</v>
      </c>
      <c r="B925" s="97" t="s">
        <v>328</v>
      </c>
      <c r="C925" s="97" t="s">
        <v>329</v>
      </c>
      <c r="D925" s="97" t="s">
        <v>3198</v>
      </c>
      <c r="E925" s="97" t="s">
        <v>28</v>
      </c>
      <c r="F925" s="97">
        <v>79</v>
      </c>
      <c r="G925" s="97">
        <v>52</v>
      </c>
      <c r="H925" s="97">
        <v>915</v>
      </c>
      <c r="I925" s="97">
        <v>33</v>
      </c>
      <c r="J925" s="97">
        <v>53</v>
      </c>
      <c r="K925" s="97">
        <v>917</v>
      </c>
      <c r="L925" s="97">
        <v>77</v>
      </c>
      <c r="M925" s="97">
        <v>42</v>
      </c>
      <c r="N925" s="97">
        <v>740</v>
      </c>
      <c r="O925" s="97">
        <v>37</v>
      </c>
      <c r="P925" s="97">
        <v>54</v>
      </c>
      <c r="Q925" s="97">
        <v>901</v>
      </c>
      <c r="R925" s="97">
        <v>47</v>
      </c>
      <c r="S925" s="97">
        <v>38</v>
      </c>
      <c r="T925" s="97">
        <v>673</v>
      </c>
      <c r="U925" s="97">
        <v>43</v>
      </c>
      <c r="V925" s="97">
        <v>52</v>
      </c>
      <c r="W925" s="97">
        <v>919</v>
      </c>
      <c r="X925" s="97">
        <v>66</v>
      </c>
      <c r="Y925" s="97">
        <v>35</v>
      </c>
      <c r="Z925" s="97">
        <v>604</v>
      </c>
      <c r="AA925" s="97">
        <v>59</v>
      </c>
      <c r="AB925" s="97">
        <v>17</v>
      </c>
      <c r="AC925" s="97">
        <v>233</v>
      </c>
      <c r="AD925" s="97">
        <v>71</v>
      </c>
      <c r="AE925" s="97">
        <v>16</v>
      </c>
      <c r="AF925" s="97">
        <v>290</v>
      </c>
      <c r="AG925" s="97">
        <v>316</v>
      </c>
      <c r="AH925" s="97">
        <v>54</v>
      </c>
      <c r="AI925" s="97">
        <v>922</v>
      </c>
    </row>
    <row r="926" spans="1:35" ht="15" customHeight="1">
      <c r="A926" s="97" t="s">
        <v>2226</v>
      </c>
      <c r="B926" s="97" t="s">
        <v>2226</v>
      </c>
      <c r="C926" s="97" t="s">
        <v>2227</v>
      </c>
      <c r="D926" s="97" t="s">
        <v>3198</v>
      </c>
      <c r="E926" s="97" t="s">
        <v>73</v>
      </c>
      <c r="F926" s="97">
        <v>93</v>
      </c>
      <c r="G926" s="97">
        <v>49</v>
      </c>
      <c r="H926" s="97">
        <v>755</v>
      </c>
      <c r="I926" s="97">
        <v>25</v>
      </c>
      <c r="J926" s="97">
        <v>56</v>
      </c>
      <c r="K926" s="97">
        <v>928</v>
      </c>
      <c r="L926" s="97">
        <v>95.5</v>
      </c>
      <c r="M926" s="97">
        <v>22</v>
      </c>
      <c r="N926" s="97">
        <v>357</v>
      </c>
      <c r="O926" s="97">
        <v>26</v>
      </c>
      <c r="P926" s="97">
        <v>55</v>
      </c>
      <c r="Q926" s="97">
        <v>930</v>
      </c>
      <c r="R926" s="97">
        <v>33</v>
      </c>
      <c r="S926" s="97">
        <v>53</v>
      </c>
      <c r="T926" s="97">
        <v>885</v>
      </c>
      <c r="U926" s="97">
        <v>42</v>
      </c>
      <c r="V926" s="97">
        <v>54</v>
      </c>
      <c r="W926" s="97">
        <v>921</v>
      </c>
      <c r="X926" s="97">
        <v>51</v>
      </c>
      <c r="Y926" s="97">
        <v>56</v>
      </c>
      <c r="Z926" s="97">
        <v>906</v>
      </c>
      <c r="AA926" s="97">
        <v>45</v>
      </c>
      <c r="AB926" s="97">
        <v>46</v>
      </c>
      <c r="AC926" s="97">
        <v>781</v>
      </c>
      <c r="AD926" s="97">
        <v>73</v>
      </c>
      <c r="AE926" s="97">
        <v>10</v>
      </c>
      <c r="AF926" s="97">
        <v>216</v>
      </c>
      <c r="AG926" s="97">
        <v>314.5</v>
      </c>
      <c r="AH926" s="97">
        <v>54</v>
      </c>
      <c r="AI926" s="97">
        <v>923</v>
      </c>
    </row>
    <row r="927" spans="1:35" ht="15" customHeight="1">
      <c r="A927" s="97" t="s">
        <v>1987</v>
      </c>
      <c r="B927" s="97" t="s">
        <v>1987</v>
      </c>
      <c r="C927" s="97" t="s">
        <v>1988</v>
      </c>
      <c r="D927" s="97" t="s">
        <v>3198</v>
      </c>
      <c r="E927" s="97" t="s">
        <v>109</v>
      </c>
      <c r="F927" s="97">
        <v>95</v>
      </c>
      <c r="G927" s="97">
        <v>48</v>
      </c>
      <c r="H927" s="97">
        <v>710</v>
      </c>
      <c r="I927" s="97">
        <v>34</v>
      </c>
      <c r="J927" s="97">
        <v>55</v>
      </c>
      <c r="K927" s="97">
        <v>914</v>
      </c>
      <c r="L927" s="97">
        <v>70</v>
      </c>
      <c r="M927" s="97">
        <v>50</v>
      </c>
      <c r="N927" s="97">
        <v>841</v>
      </c>
      <c r="O927" s="97">
        <v>22</v>
      </c>
      <c r="P927" s="97">
        <v>57</v>
      </c>
      <c r="Q927" s="97">
        <v>932</v>
      </c>
      <c r="R927" s="97">
        <v>51</v>
      </c>
      <c r="S927" s="97">
        <v>35</v>
      </c>
      <c r="T927" s="97">
        <v>571</v>
      </c>
      <c r="U927" s="97">
        <v>35</v>
      </c>
      <c r="V927" s="97">
        <v>57</v>
      </c>
      <c r="W927" s="97">
        <v>932</v>
      </c>
      <c r="X927" s="97">
        <v>71</v>
      </c>
      <c r="Y927" s="97">
        <v>23</v>
      </c>
      <c r="Z927" s="97">
        <v>439</v>
      </c>
      <c r="AA927" s="97">
        <v>39</v>
      </c>
      <c r="AB927" s="97">
        <v>54</v>
      </c>
      <c r="AC927" s="97">
        <v>895</v>
      </c>
      <c r="AD927" s="97">
        <v>80</v>
      </c>
      <c r="AE927" s="97">
        <v>3</v>
      </c>
      <c r="AF927" s="97">
        <v>54</v>
      </c>
      <c r="AG927" s="97">
        <v>307</v>
      </c>
      <c r="AH927" s="97">
        <v>57</v>
      </c>
      <c r="AI927" s="97">
        <v>924</v>
      </c>
    </row>
    <row r="928" spans="1:35" ht="15" customHeight="1">
      <c r="A928" s="97" t="s">
        <v>2361</v>
      </c>
      <c r="B928" s="97" t="s">
        <v>2361</v>
      </c>
      <c r="C928" s="97" t="s">
        <v>2371</v>
      </c>
      <c r="D928" s="97" t="s">
        <v>3198</v>
      </c>
      <c r="E928" s="97" t="s">
        <v>7</v>
      </c>
      <c r="F928" s="97">
        <v>78</v>
      </c>
      <c r="G928" s="97">
        <v>54</v>
      </c>
      <c r="H928" s="97">
        <v>921</v>
      </c>
      <c r="I928" s="97">
        <v>40</v>
      </c>
      <c r="J928" s="97">
        <v>53</v>
      </c>
      <c r="K928" s="97">
        <v>897</v>
      </c>
      <c r="L928" s="97">
        <v>93</v>
      </c>
      <c r="M928" s="97">
        <v>17</v>
      </c>
      <c r="N928" s="97">
        <v>405</v>
      </c>
      <c r="O928" s="97">
        <v>38</v>
      </c>
      <c r="P928" s="97">
        <v>55</v>
      </c>
      <c r="Q928" s="97">
        <v>895</v>
      </c>
      <c r="R928" s="97">
        <v>22</v>
      </c>
      <c r="S928" s="97">
        <v>55</v>
      </c>
      <c r="T928" s="97">
        <v>929</v>
      </c>
      <c r="U928" s="97">
        <v>36</v>
      </c>
      <c r="V928" s="97">
        <v>55</v>
      </c>
      <c r="W928" s="97">
        <v>930</v>
      </c>
      <c r="X928" s="97">
        <v>66</v>
      </c>
      <c r="Y928" s="97">
        <v>46</v>
      </c>
      <c r="Z928" s="97">
        <v>604</v>
      </c>
      <c r="AA928" s="97">
        <v>58</v>
      </c>
      <c r="AB928" s="97">
        <v>15</v>
      </c>
      <c r="AC928" s="97">
        <v>278</v>
      </c>
      <c r="AD928" s="97">
        <v>77</v>
      </c>
      <c r="AE928" s="97">
        <v>4</v>
      </c>
      <c r="AF928" s="97">
        <v>102</v>
      </c>
      <c r="AG928" s="97">
        <v>307</v>
      </c>
      <c r="AH928" s="97">
        <v>55</v>
      </c>
      <c r="AI928" s="97">
        <v>924</v>
      </c>
    </row>
    <row r="929" spans="1:35" ht="15" customHeight="1">
      <c r="A929" s="97" t="s">
        <v>1170</v>
      </c>
      <c r="B929" s="97" t="s">
        <v>1170</v>
      </c>
      <c r="C929" s="97" t="s">
        <v>1171</v>
      </c>
      <c r="D929" s="97" t="s">
        <v>3198</v>
      </c>
      <c r="E929" s="97" t="s">
        <v>68</v>
      </c>
      <c r="F929" s="97">
        <v>93</v>
      </c>
      <c r="G929" s="97">
        <v>45</v>
      </c>
      <c r="H929" s="97">
        <v>755</v>
      </c>
      <c r="I929" s="97">
        <v>25</v>
      </c>
      <c r="J929" s="97">
        <v>56</v>
      </c>
      <c r="K929" s="97">
        <v>928</v>
      </c>
      <c r="L929" s="97">
        <v>67.5</v>
      </c>
      <c r="M929" s="97">
        <v>50</v>
      </c>
      <c r="N929" s="97">
        <v>868</v>
      </c>
      <c r="O929" s="97">
        <v>34</v>
      </c>
      <c r="P929" s="97">
        <v>56</v>
      </c>
      <c r="Q929" s="97">
        <v>916</v>
      </c>
      <c r="R929" s="97">
        <v>27</v>
      </c>
      <c r="S929" s="97">
        <v>56</v>
      </c>
      <c r="T929" s="97">
        <v>914</v>
      </c>
      <c r="U929" s="97">
        <v>56</v>
      </c>
      <c r="V929" s="97">
        <v>49</v>
      </c>
      <c r="W929" s="97">
        <v>816</v>
      </c>
      <c r="X929" s="97">
        <v>80</v>
      </c>
      <c r="Y929" s="97">
        <v>6</v>
      </c>
      <c r="Z929" s="97">
        <v>151</v>
      </c>
      <c r="AA929" s="97">
        <v>50</v>
      </c>
      <c r="AB929" s="97">
        <v>28</v>
      </c>
      <c r="AC929" s="97">
        <v>591</v>
      </c>
      <c r="AD929" s="97">
        <v>67</v>
      </c>
      <c r="AE929" s="97">
        <v>28</v>
      </c>
      <c r="AF929" s="97">
        <v>471</v>
      </c>
      <c r="AG929" s="97">
        <v>302.5</v>
      </c>
      <c r="AH929" s="97">
        <v>56</v>
      </c>
      <c r="AI929" s="97">
        <v>926</v>
      </c>
    </row>
    <row r="930" spans="1:35" ht="15" customHeight="1">
      <c r="A930" s="97" t="s">
        <v>2623</v>
      </c>
      <c r="B930" s="97" t="s">
        <v>2623</v>
      </c>
      <c r="C930" s="97" t="s">
        <v>2624</v>
      </c>
      <c r="D930" s="97" t="s">
        <v>3198</v>
      </c>
      <c r="E930" s="97" t="s">
        <v>49</v>
      </c>
      <c r="F930" s="97">
        <v>94</v>
      </c>
      <c r="G930" s="97">
        <v>38</v>
      </c>
      <c r="H930" s="97">
        <v>733</v>
      </c>
      <c r="I930" s="97">
        <v>14</v>
      </c>
      <c r="J930" s="97">
        <v>56</v>
      </c>
      <c r="K930" s="97">
        <v>933</v>
      </c>
      <c r="L930" s="97">
        <v>94</v>
      </c>
      <c r="M930" s="97">
        <v>25</v>
      </c>
      <c r="N930" s="97">
        <v>382</v>
      </c>
      <c r="O930" s="97">
        <v>31</v>
      </c>
      <c r="P930" s="97">
        <v>56</v>
      </c>
      <c r="Q930" s="97">
        <v>923</v>
      </c>
      <c r="R930" s="97">
        <v>24</v>
      </c>
      <c r="S930" s="97">
        <v>55</v>
      </c>
      <c r="T930" s="97">
        <v>923</v>
      </c>
      <c r="U930" s="97">
        <v>45</v>
      </c>
      <c r="V930" s="97">
        <v>53</v>
      </c>
      <c r="W930" s="97">
        <v>911</v>
      </c>
      <c r="X930" s="97">
        <v>50</v>
      </c>
      <c r="Y930" s="97">
        <v>52</v>
      </c>
      <c r="Z930" s="97">
        <v>911</v>
      </c>
      <c r="AA930" s="97">
        <v>55</v>
      </c>
      <c r="AB930" s="97">
        <v>16</v>
      </c>
      <c r="AC930" s="97">
        <v>392</v>
      </c>
      <c r="AD930" s="97">
        <v>68</v>
      </c>
      <c r="AE930" s="97">
        <v>15</v>
      </c>
      <c r="AF930" s="97">
        <v>412</v>
      </c>
      <c r="AG930" s="97">
        <v>302</v>
      </c>
      <c r="AH930" s="97">
        <v>56</v>
      </c>
      <c r="AI930" s="97">
        <v>927</v>
      </c>
    </row>
    <row r="931" spans="1:35" ht="15" customHeight="1">
      <c r="A931" s="97" t="s">
        <v>2249</v>
      </c>
      <c r="B931" s="97" t="s">
        <v>2249</v>
      </c>
      <c r="C931" s="97" t="s">
        <v>2250</v>
      </c>
      <c r="D931" s="97" t="s">
        <v>3198</v>
      </c>
      <c r="E931" s="97" t="s">
        <v>73</v>
      </c>
      <c r="F931" s="97">
        <v>88</v>
      </c>
      <c r="G931" s="97">
        <v>53</v>
      </c>
      <c r="H931" s="97">
        <v>851</v>
      </c>
      <c r="I931" s="97">
        <v>36</v>
      </c>
      <c r="J931" s="97">
        <v>54</v>
      </c>
      <c r="K931" s="97">
        <v>910</v>
      </c>
      <c r="L931" s="97">
        <v>88.5</v>
      </c>
      <c r="M931" s="97">
        <v>30</v>
      </c>
      <c r="N931" s="97">
        <v>519</v>
      </c>
      <c r="O931" s="97">
        <v>18</v>
      </c>
      <c r="P931" s="97">
        <v>56</v>
      </c>
      <c r="Q931" s="97">
        <v>934</v>
      </c>
      <c r="R931" s="97">
        <v>35</v>
      </c>
      <c r="S931" s="97">
        <v>52</v>
      </c>
      <c r="T931" s="97">
        <v>870</v>
      </c>
      <c r="U931" s="97">
        <v>34</v>
      </c>
      <c r="V931" s="97">
        <v>56</v>
      </c>
      <c r="W931" s="97">
        <v>933</v>
      </c>
      <c r="X931" s="97">
        <v>58</v>
      </c>
      <c r="Y931" s="97">
        <v>49</v>
      </c>
      <c r="Z931" s="97">
        <v>820</v>
      </c>
      <c r="AA931" s="97">
        <v>45</v>
      </c>
      <c r="AB931" s="97">
        <v>46</v>
      </c>
      <c r="AC931" s="97">
        <v>781</v>
      </c>
      <c r="AD931" s="97">
        <v>55</v>
      </c>
      <c r="AE931" s="97">
        <v>52</v>
      </c>
      <c r="AF931" s="97">
        <v>835</v>
      </c>
      <c r="AG931" s="97">
        <v>299.5</v>
      </c>
      <c r="AH931" s="97">
        <v>55</v>
      </c>
      <c r="AI931" s="97">
        <v>928</v>
      </c>
    </row>
    <row r="932" spans="1:35" ht="15" customHeight="1">
      <c r="A932" s="97" t="s">
        <v>1280</v>
      </c>
      <c r="B932" s="97" t="s">
        <v>1280</v>
      </c>
      <c r="C932" s="97" t="s">
        <v>1281</v>
      </c>
      <c r="D932" s="97" t="s">
        <v>3198</v>
      </c>
      <c r="E932" s="97" t="s">
        <v>54</v>
      </c>
      <c r="F932" s="97">
        <v>91</v>
      </c>
      <c r="G932" s="97">
        <v>52</v>
      </c>
      <c r="H932" s="97">
        <v>799</v>
      </c>
      <c r="I932" s="97">
        <v>18</v>
      </c>
      <c r="J932" s="97">
        <v>55</v>
      </c>
      <c r="K932" s="97">
        <v>932</v>
      </c>
      <c r="L932" s="97">
        <v>63.5</v>
      </c>
      <c r="M932" s="97">
        <v>51</v>
      </c>
      <c r="N932" s="97">
        <v>892</v>
      </c>
      <c r="O932" s="97">
        <v>36</v>
      </c>
      <c r="P932" s="97">
        <v>53</v>
      </c>
      <c r="Q932" s="97">
        <v>905</v>
      </c>
      <c r="R932" s="97">
        <v>30</v>
      </c>
      <c r="S932" s="97">
        <v>53</v>
      </c>
      <c r="T932" s="97">
        <v>902</v>
      </c>
      <c r="U932" s="97">
        <v>55</v>
      </c>
      <c r="V932" s="97">
        <v>52</v>
      </c>
      <c r="W932" s="97">
        <v>831</v>
      </c>
      <c r="X932" s="97">
        <v>74</v>
      </c>
      <c r="Y932" s="97">
        <v>16</v>
      </c>
      <c r="Z932" s="97">
        <v>326</v>
      </c>
      <c r="AA932" s="97">
        <v>43</v>
      </c>
      <c r="AB932" s="97">
        <v>49</v>
      </c>
      <c r="AC932" s="97">
        <v>824</v>
      </c>
      <c r="AD932" s="97">
        <v>54</v>
      </c>
      <c r="AE932" s="97">
        <v>51</v>
      </c>
      <c r="AF932" s="97">
        <v>855</v>
      </c>
      <c r="AG932" s="97">
        <v>293.5</v>
      </c>
      <c r="AH932" s="97">
        <v>55</v>
      </c>
      <c r="AI932" s="97">
        <v>929</v>
      </c>
    </row>
    <row r="933" spans="1:35" ht="15" customHeight="1">
      <c r="A933" s="97" t="s">
        <v>557</v>
      </c>
      <c r="B933" s="97" t="s">
        <v>557</v>
      </c>
      <c r="C933" s="97" t="s">
        <v>558</v>
      </c>
      <c r="D933" s="97" t="s">
        <v>3198</v>
      </c>
      <c r="E933" s="97" t="s">
        <v>17</v>
      </c>
      <c r="F933" s="97">
        <v>60</v>
      </c>
      <c r="G933" s="97">
        <v>57</v>
      </c>
      <c r="H933" s="97">
        <v>933</v>
      </c>
      <c r="I933" s="97">
        <v>44</v>
      </c>
      <c r="J933" s="97">
        <v>55</v>
      </c>
      <c r="K933" s="97">
        <v>877</v>
      </c>
      <c r="L933" s="97">
        <v>58</v>
      </c>
      <c r="M933" s="97">
        <v>54</v>
      </c>
      <c r="N933" s="97">
        <v>917</v>
      </c>
      <c r="O933" s="97">
        <v>42</v>
      </c>
      <c r="P933" s="97">
        <v>54</v>
      </c>
      <c r="Q933" s="97">
        <v>863</v>
      </c>
      <c r="R933" s="97">
        <v>45</v>
      </c>
      <c r="S933" s="97">
        <v>48</v>
      </c>
      <c r="T933" s="97">
        <v>720</v>
      </c>
      <c r="U933" s="97">
        <v>40</v>
      </c>
      <c r="V933" s="97">
        <v>56</v>
      </c>
      <c r="W933" s="97">
        <v>926</v>
      </c>
      <c r="X933" s="97">
        <v>50</v>
      </c>
      <c r="Y933" s="97">
        <v>56</v>
      </c>
      <c r="Z933" s="97">
        <v>911</v>
      </c>
      <c r="AA933" s="97">
        <v>59</v>
      </c>
      <c r="AB933" s="97">
        <v>14</v>
      </c>
      <c r="AC933" s="97">
        <v>233</v>
      </c>
      <c r="AD933" s="97">
        <v>69</v>
      </c>
      <c r="AE933" s="97">
        <v>26</v>
      </c>
      <c r="AF933" s="97">
        <v>367</v>
      </c>
      <c r="AG933" s="97">
        <v>289</v>
      </c>
      <c r="AH933" s="97">
        <v>57</v>
      </c>
      <c r="AI933" s="97">
        <v>930</v>
      </c>
    </row>
    <row r="934" spans="1:35" ht="15" customHeight="1">
      <c r="A934" s="97" t="s">
        <v>2160</v>
      </c>
      <c r="B934" s="97" t="s">
        <v>2160</v>
      </c>
      <c r="C934" s="97" t="s">
        <v>2161</v>
      </c>
      <c r="D934" s="97" t="s">
        <v>3198</v>
      </c>
      <c r="E934" s="97" t="s">
        <v>73</v>
      </c>
      <c r="F934" s="97">
        <v>89</v>
      </c>
      <c r="G934" s="97">
        <v>51</v>
      </c>
      <c r="H934" s="97">
        <v>835</v>
      </c>
      <c r="I934" s="97">
        <v>27</v>
      </c>
      <c r="J934" s="97">
        <v>55</v>
      </c>
      <c r="K934" s="97">
        <v>924</v>
      </c>
      <c r="L934" s="97">
        <v>50.5</v>
      </c>
      <c r="M934" s="97">
        <v>56</v>
      </c>
      <c r="N934" s="97">
        <v>929</v>
      </c>
      <c r="O934" s="97">
        <v>39</v>
      </c>
      <c r="P934" s="97">
        <v>50</v>
      </c>
      <c r="Q934" s="97">
        <v>888</v>
      </c>
      <c r="R934" s="97">
        <v>32</v>
      </c>
      <c r="S934" s="97">
        <v>55</v>
      </c>
      <c r="T934" s="97">
        <v>889</v>
      </c>
      <c r="U934" s="97">
        <v>50</v>
      </c>
      <c r="V934" s="97">
        <v>52</v>
      </c>
      <c r="W934" s="97">
        <v>883</v>
      </c>
      <c r="X934" s="97">
        <v>61</v>
      </c>
      <c r="Y934" s="97">
        <v>41</v>
      </c>
      <c r="Z934" s="97">
        <v>754</v>
      </c>
      <c r="AA934" s="97">
        <v>43</v>
      </c>
      <c r="AB934" s="97">
        <v>51</v>
      </c>
      <c r="AC934" s="97">
        <v>824</v>
      </c>
      <c r="AD934" s="97">
        <v>64</v>
      </c>
      <c r="AE934" s="97">
        <v>40</v>
      </c>
      <c r="AF934" s="97">
        <v>586</v>
      </c>
      <c r="AG934" s="97">
        <v>287.5</v>
      </c>
      <c r="AH934" s="97">
        <v>56</v>
      </c>
      <c r="AI934" s="97">
        <v>931</v>
      </c>
    </row>
    <row r="935" spans="1:35" ht="15" customHeight="1">
      <c r="A935" s="97" t="s">
        <v>339</v>
      </c>
      <c r="B935" s="97" t="s">
        <v>339</v>
      </c>
      <c r="C935" s="97" t="s">
        <v>340</v>
      </c>
      <c r="D935" s="97" t="s">
        <v>3198</v>
      </c>
      <c r="E935" s="97" t="s">
        <v>28</v>
      </c>
      <c r="F935" s="97">
        <v>57</v>
      </c>
      <c r="G935" s="97">
        <v>55</v>
      </c>
      <c r="H935" s="97">
        <v>934</v>
      </c>
      <c r="I935" s="97">
        <v>52</v>
      </c>
      <c r="J935" s="97">
        <v>47</v>
      </c>
      <c r="K935" s="97">
        <v>807</v>
      </c>
      <c r="L935" s="97">
        <v>73.5</v>
      </c>
      <c r="M935" s="97">
        <v>47</v>
      </c>
      <c r="N935" s="97">
        <v>797</v>
      </c>
      <c r="O935" s="97">
        <v>30</v>
      </c>
      <c r="P935" s="97">
        <v>55</v>
      </c>
      <c r="Q935" s="97">
        <v>924</v>
      </c>
      <c r="R935" s="97">
        <v>30</v>
      </c>
      <c r="S935" s="97">
        <v>52</v>
      </c>
      <c r="T935" s="97">
        <v>902</v>
      </c>
      <c r="U935" s="97">
        <v>42</v>
      </c>
      <c r="V935" s="97">
        <v>53</v>
      </c>
      <c r="W935" s="97">
        <v>921</v>
      </c>
      <c r="X935" s="97">
        <v>49</v>
      </c>
      <c r="Y935" s="97">
        <v>55</v>
      </c>
      <c r="Z935" s="97">
        <v>919</v>
      </c>
      <c r="AA935" s="97">
        <v>48</v>
      </c>
      <c r="AB935" s="97">
        <v>47</v>
      </c>
      <c r="AC935" s="97">
        <v>671</v>
      </c>
      <c r="AD935" s="97">
        <v>55</v>
      </c>
      <c r="AE935" s="97">
        <v>54</v>
      </c>
      <c r="AF935" s="97">
        <v>835</v>
      </c>
      <c r="AG935" s="97">
        <v>284.5</v>
      </c>
      <c r="AH935" s="97">
        <v>55</v>
      </c>
      <c r="AI935" s="97">
        <v>932</v>
      </c>
    </row>
    <row r="936" spans="1:35" ht="15" customHeight="1">
      <c r="A936" s="97" t="s">
        <v>2468</v>
      </c>
      <c r="B936" s="97" t="s">
        <v>2468</v>
      </c>
      <c r="C936" s="97" t="s">
        <v>2469</v>
      </c>
      <c r="D936" s="97" t="s">
        <v>3198</v>
      </c>
      <c r="E936" s="97" t="s">
        <v>131</v>
      </c>
      <c r="F936" s="97">
        <v>80</v>
      </c>
      <c r="G936" s="97">
        <v>52</v>
      </c>
      <c r="H936" s="97">
        <v>909</v>
      </c>
      <c r="I936" s="97">
        <v>12</v>
      </c>
      <c r="J936" s="97">
        <v>55</v>
      </c>
      <c r="K936" s="97">
        <v>934</v>
      </c>
      <c r="L936" s="97">
        <v>85</v>
      </c>
      <c r="M936" s="97">
        <v>30</v>
      </c>
      <c r="N936" s="97">
        <v>592</v>
      </c>
      <c r="O936" s="97">
        <v>25</v>
      </c>
      <c r="P936" s="97">
        <v>55</v>
      </c>
      <c r="Q936" s="97">
        <v>931</v>
      </c>
      <c r="R936" s="97">
        <v>24</v>
      </c>
      <c r="S936" s="97">
        <v>54</v>
      </c>
      <c r="T936" s="97">
        <v>923</v>
      </c>
      <c r="U936" s="97">
        <v>36</v>
      </c>
      <c r="V936" s="97">
        <v>55</v>
      </c>
      <c r="W936" s="97">
        <v>930</v>
      </c>
      <c r="X936" s="97">
        <v>60</v>
      </c>
      <c r="Y936" s="97">
        <v>47</v>
      </c>
      <c r="Z936" s="97">
        <v>777</v>
      </c>
      <c r="AA936" s="97">
        <v>43</v>
      </c>
      <c r="AB936" s="97">
        <v>50</v>
      </c>
      <c r="AC936" s="97">
        <v>824</v>
      </c>
      <c r="AD936" s="97">
        <v>70</v>
      </c>
      <c r="AE936" s="97">
        <v>22</v>
      </c>
      <c r="AF936" s="97">
        <v>327</v>
      </c>
      <c r="AG936" s="97">
        <v>262</v>
      </c>
      <c r="AH936" s="97">
        <v>55</v>
      </c>
      <c r="AI936" s="97">
        <v>933</v>
      </c>
    </row>
    <row r="937" spans="1:35" ht="15" customHeight="1">
      <c r="A937" s="97" t="s">
        <v>1092</v>
      </c>
      <c r="B937" s="97" t="s">
        <v>1092</v>
      </c>
      <c r="C937" s="97" t="s">
        <v>1093</v>
      </c>
      <c r="D937" s="97" t="s">
        <v>3198</v>
      </c>
      <c r="E937" s="97" t="s">
        <v>68</v>
      </c>
      <c r="F937" s="97"/>
      <c r="G937" s="97" t="s">
        <v>3291</v>
      </c>
      <c r="H937" s="97" t="s">
        <v>3291</v>
      </c>
      <c r="I937" s="97"/>
      <c r="J937" s="97" t="s">
        <v>3291</v>
      </c>
      <c r="K937" s="97" t="s">
        <v>3291</v>
      </c>
      <c r="L937" s="97">
        <v>85</v>
      </c>
      <c r="M937" s="97">
        <v>26</v>
      </c>
      <c r="N937" s="97">
        <v>592</v>
      </c>
      <c r="O937" s="97">
        <v>34</v>
      </c>
      <c r="P937" s="97">
        <v>56</v>
      </c>
      <c r="Q937" s="97">
        <v>916</v>
      </c>
      <c r="R937" s="97">
        <v>24</v>
      </c>
      <c r="S937" s="97">
        <v>57</v>
      </c>
      <c r="T937" s="97">
        <v>923</v>
      </c>
      <c r="U937" s="97">
        <v>47</v>
      </c>
      <c r="V937" s="97">
        <v>54</v>
      </c>
      <c r="W937" s="97">
        <v>895</v>
      </c>
      <c r="X937" s="97">
        <v>52</v>
      </c>
      <c r="Y937" s="97">
        <v>52</v>
      </c>
      <c r="Z937" s="97">
        <v>897</v>
      </c>
      <c r="AA937" s="97">
        <v>38</v>
      </c>
      <c r="AB937" s="97">
        <v>54</v>
      </c>
      <c r="AC937" s="97">
        <v>905</v>
      </c>
      <c r="AD937" s="97">
        <v>61</v>
      </c>
      <c r="AE937" s="97">
        <v>40</v>
      </c>
      <c r="AF937" s="97">
        <v>703</v>
      </c>
      <c r="AG937" s="97">
        <v>190</v>
      </c>
      <c r="AH937" s="97">
        <v>57</v>
      </c>
      <c r="AI937" s="97">
        <v>934</v>
      </c>
    </row>
    <row r="938" spans="1:35" ht="15" customHeight="1">
      <c r="A938" s="97" t="s">
        <v>2909</v>
      </c>
      <c r="B938" s="97" t="s">
        <v>2909</v>
      </c>
      <c r="C938" s="97" t="s">
        <v>2910</v>
      </c>
      <c r="D938" s="97" t="s">
        <v>3198</v>
      </c>
      <c r="E938" s="97" t="s">
        <v>38</v>
      </c>
      <c r="F938" s="97">
        <v>89</v>
      </c>
      <c r="G938" s="97">
        <v>45</v>
      </c>
      <c r="H938" s="97">
        <v>835</v>
      </c>
      <c r="I938" s="97">
        <v>25</v>
      </c>
      <c r="J938" s="97">
        <v>56</v>
      </c>
      <c r="K938" s="97">
        <v>928</v>
      </c>
      <c r="L938" s="97">
        <v>28</v>
      </c>
      <c r="M938" s="97">
        <v>56</v>
      </c>
      <c r="N938" s="97">
        <v>934</v>
      </c>
      <c r="O938" s="97">
        <v>18</v>
      </c>
      <c r="P938" s="97">
        <v>56</v>
      </c>
      <c r="Q938" s="97">
        <v>934</v>
      </c>
      <c r="R938" s="97">
        <v>13</v>
      </c>
      <c r="S938" s="97">
        <v>56</v>
      </c>
      <c r="T938" s="97">
        <v>935</v>
      </c>
      <c r="U938" s="97">
        <v>14</v>
      </c>
      <c r="V938" s="97">
        <v>56</v>
      </c>
      <c r="W938" s="97">
        <v>935</v>
      </c>
      <c r="X938" s="97">
        <v>48</v>
      </c>
      <c r="Y938" s="97">
        <v>55</v>
      </c>
      <c r="Z938" s="97">
        <v>923</v>
      </c>
      <c r="AA938" s="97">
        <v>24</v>
      </c>
      <c r="AB938" s="97">
        <v>56</v>
      </c>
      <c r="AC938" s="97">
        <v>935</v>
      </c>
      <c r="AD938" s="97">
        <v>57</v>
      </c>
      <c r="AE938" s="97">
        <v>43</v>
      </c>
      <c r="AF938" s="97">
        <v>798</v>
      </c>
      <c r="AG938" s="97">
        <v>187</v>
      </c>
      <c r="AH938" s="97">
        <v>56</v>
      </c>
      <c r="AI938" s="97">
        <v>935</v>
      </c>
    </row>
  </sheetData>
  <mergeCells count="32">
    <mergeCell ref="F2:H2"/>
    <mergeCell ref="I2:K2"/>
    <mergeCell ref="L2:N2"/>
    <mergeCell ref="O2:Q2"/>
    <mergeCell ref="A2:A3"/>
    <mergeCell ref="B2:B3"/>
    <mergeCell ref="C2:C3"/>
    <mergeCell ref="D2:D3"/>
    <mergeCell ref="E2:E3"/>
    <mergeCell ref="AS2:AU2"/>
    <mergeCell ref="AV2:AX2"/>
    <mergeCell ref="AY2:BA2"/>
    <mergeCell ref="R2:T2"/>
    <mergeCell ref="U2:W2"/>
    <mergeCell ref="X2:Z2"/>
    <mergeCell ref="AG2:AI2"/>
    <mergeCell ref="A1:AI1"/>
    <mergeCell ref="AA2:AC2"/>
    <mergeCell ref="AD2:AF2"/>
    <mergeCell ref="AK1:BS1"/>
    <mergeCell ref="AK2:AK3"/>
    <mergeCell ref="AL2:AL3"/>
    <mergeCell ref="AM2:AM3"/>
    <mergeCell ref="AN2:AN3"/>
    <mergeCell ref="AO2:AO3"/>
    <mergeCell ref="BB2:BD2"/>
    <mergeCell ref="BE2:BG2"/>
    <mergeCell ref="BH2:BJ2"/>
    <mergeCell ref="BK2:BM2"/>
    <mergeCell ref="BN2:BP2"/>
    <mergeCell ref="BQ2:BS2"/>
    <mergeCell ref="AP2:AR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3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8" sqref="K18"/>
    </sheetView>
  </sheetViews>
  <sheetFormatPr defaultRowHeight="14.25"/>
  <cols>
    <col min="2" max="2" width="5.5" bestFit="1" customWidth="1"/>
    <col min="4" max="21" width="6" customWidth="1"/>
    <col min="22" max="27" width="6" style="24" customWidth="1"/>
    <col min="28" max="16384" width="9" style="24"/>
  </cols>
  <sheetData>
    <row r="1" spans="1:27" s="90" customFormat="1" ht="28.5">
      <c r="A1" s="90" t="s">
        <v>3448</v>
      </c>
      <c r="B1" s="90" t="s">
        <v>3449</v>
      </c>
      <c r="C1" s="90" t="s">
        <v>1</v>
      </c>
      <c r="D1" s="90" t="s">
        <v>3</v>
      </c>
      <c r="E1" s="90" t="s">
        <v>3480</v>
      </c>
      <c r="F1" s="90" t="s">
        <v>3212</v>
      </c>
      <c r="G1" s="90" t="s">
        <v>3481</v>
      </c>
      <c r="H1" s="90" t="s">
        <v>104</v>
      </c>
      <c r="I1" s="90" t="s">
        <v>3482</v>
      </c>
      <c r="J1" s="90" t="s">
        <v>3474</v>
      </c>
      <c r="K1" s="90" t="s">
        <v>3483</v>
      </c>
      <c r="L1" s="90" t="s">
        <v>3475</v>
      </c>
      <c r="M1" s="90" t="s">
        <v>3484</v>
      </c>
      <c r="N1" s="90" t="s">
        <v>3476</v>
      </c>
      <c r="O1" s="90" t="s">
        <v>3485</v>
      </c>
      <c r="P1" s="90" t="s">
        <v>3477</v>
      </c>
      <c r="Q1" s="90" t="s">
        <v>3486</v>
      </c>
      <c r="R1" s="90" t="s">
        <v>3478</v>
      </c>
      <c r="S1" s="90" t="s">
        <v>3487</v>
      </c>
      <c r="T1" s="90" t="s">
        <v>3479</v>
      </c>
      <c r="U1" s="90" t="s">
        <v>3488</v>
      </c>
      <c r="V1" s="90" t="s">
        <v>3473</v>
      </c>
      <c r="W1" s="90" t="s">
        <v>3447</v>
      </c>
      <c r="X1" s="90" t="s">
        <v>3228</v>
      </c>
      <c r="Y1" s="90" t="s">
        <v>3446</v>
      </c>
      <c r="Z1" s="90" t="s">
        <v>3228</v>
      </c>
      <c r="AA1" s="90" t="s">
        <v>3236</v>
      </c>
    </row>
    <row r="2" spans="1:27">
      <c r="A2" s="24" t="s">
        <v>1533</v>
      </c>
      <c r="B2" s="24" t="s">
        <v>10</v>
      </c>
      <c r="C2" s="24" t="s">
        <v>86</v>
      </c>
      <c r="D2" s="24">
        <v>116</v>
      </c>
      <c r="E2" s="24">
        <v>47</v>
      </c>
      <c r="F2" s="24">
        <v>130</v>
      </c>
      <c r="G2" s="24">
        <v>7</v>
      </c>
      <c r="H2" s="24">
        <v>136</v>
      </c>
      <c r="I2" s="24">
        <v>1</v>
      </c>
      <c r="J2" s="24">
        <v>94</v>
      </c>
      <c r="K2" s="24">
        <v>61</v>
      </c>
      <c r="L2" s="24">
        <v>84</v>
      </c>
      <c r="M2" s="24">
        <v>25</v>
      </c>
      <c r="N2" s="24">
        <v>91</v>
      </c>
      <c r="O2" s="24">
        <v>12</v>
      </c>
      <c r="P2" s="24">
        <v>89</v>
      </c>
      <c r="Q2" s="24">
        <v>8</v>
      </c>
      <c r="R2" s="24">
        <v>82</v>
      </c>
      <c r="S2" s="24">
        <v>31</v>
      </c>
      <c r="T2" s="24">
        <v>67</v>
      </c>
      <c r="U2" s="24">
        <v>66</v>
      </c>
      <c r="V2" s="24">
        <v>651</v>
      </c>
      <c r="W2" s="24">
        <v>1</v>
      </c>
      <c r="X2" s="24">
        <v>1</v>
      </c>
      <c r="Y2" s="24">
        <v>604</v>
      </c>
      <c r="Z2" s="24">
        <v>10</v>
      </c>
      <c r="AA2" s="24">
        <v>9</v>
      </c>
    </row>
    <row r="3" spans="1:27">
      <c r="A3" s="24" t="s">
        <v>3263</v>
      </c>
      <c r="B3" s="24" t="s">
        <v>10</v>
      </c>
      <c r="C3" s="24" t="s">
        <v>11</v>
      </c>
      <c r="D3" s="24">
        <v>114</v>
      </c>
      <c r="E3" s="24">
        <v>80</v>
      </c>
      <c r="F3" s="24">
        <v>115</v>
      </c>
      <c r="G3" s="24">
        <v>25</v>
      </c>
      <c r="H3" s="24">
        <v>125</v>
      </c>
      <c r="I3" s="24">
        <v>10</v>
      </c>
      <c r="J3" s="24">
        <v>102</v>
      </c>
      <c r="K3" s="24">
        <v>12</v>
      </c>
      <c r="L3" s="24">
        <v>96</v>
      </c>
      <c r="M3" s="24">
        <v>1</v>
      </c>
      <c r="N3" s="24">
        <v>90</v>
      </c>
      <c r="O3" s="24">
        <v>19</v>
      </c>
      <c r="P3" s="24">
        <v>79</v>
      </c>
      <c r="Q3" s="24">
        <v>175</v>
      </c>
      <c r="R3" s="24">
        <v>75</v>
      </c>
      <c r="S3" s="24">
        <v>146</v>
      </c>
      <c r="T3" s="24">
        <v>76</v>
      </c>
      <c r="U3" s="24">
        <v>6</v>
      </c>
      <c r="V3" s="24">
        <v>642</v>
      </c>
      <c r="W3" s="24">
        <v>2</v>
      </c>
      <c r="X3" s="24">
        <v>2</v>
      </c>
      <c r="Y3" s="24">
        <v>626.5</v>
      </c>
      <c r="Z3" s="24">
        <v>5</v>
      </c>
      <c r="AA3" s="24">
        <v>3</v>
      </c>
    </row>
    <row r="4" spans="1:27">
      <c r="A4" s="24" t="s">
        <v>1629</v>
      </c>
      <c r="B4" s="24" t="s">
        <v>10</v>
      </c>
      <c r="C4" s="24" t="s">
        <v>181</v>
      </c>
      <c r="D4" s="24">
        <v>112</v>
      </c>
      <c r="E4" s="24">
        <v>114</v>
      </c>
      <c r="F4" s="24">
        <v>139</v>
      </c>
      <c r="G4" s="24">
        <v>3</v>
      </c>
      <c r="H4" s="24">
        <v>110.5</v>
      </c>
      <c r="I4" s="24">
        <v>102</v>
      </c>
      <c r="J4" s="24">
        <v>100</v>
      </c>
      <c r="K4" s="24">
        <v>19</v>
      </c>
      <c r="L4" s="24">
        <v>81</v>
      </c>
      <c r="M4" s="24">
        <v>37</v>
      </c>
      <c r="N4" s="24">
        <v>95</v>
      </c>
      <c r="O4" s="24">
        <v>4</v>
      </c>
      <c r="P4" s="24">
        <v>83</v>
      </c>
      <c r="Q4" s="24">
        <v>79</v>
      </c>
      <c r="R4" s="24">
        <v>82</v>
      </c>
      <c r="S4" s="24">
        <v>31</v>
      </c>
      <c r="T4" s="24">
        <v>75</v>
      </c>
      <c r="U4" s="24">
        <v>10</v>
      </c>
      <c r="V4" s="24">
        <v>637.5</v>
      </c>
      <c r="W4" s="24">
        <v>3</v>
      </c>
      <c r="X4" s="24">
        <v>3</v>
      </c>
      <c r="Y4" s="24">
        <v>603</v>
      </c>
      <c r="Z4" s="24">
        <v>11</v>
      </c>
      <c r="AA4" s="24">
        <v>8</v>
      </c>
    </row>
    <row r="5" spans="1:27">
      <c r="A5" s="24" t="s">
        <v>1613</v>
      </c>
      <c r="B5" s="24" t="s">
        <v>10</v>
      </c>
      <c r="C5" s="24" t="s">
        <v>74</v>
      </c>
      <c r="D5" s="24">
        <v>107</v>
      </c>
      <c r="E5" s="24">
        <v>242</v>
      </c>
      <c r="F5" s="24">
        <v>136</v>
      </c>
      <c r="G5" s="24">
        <v>4</v>
      </c>
      <c r="H5" s="24">
        <v>114.5</v>
      </c>
      <c r="I5" s="24">
        <v>61</v>
      </c>
      <c r="J5" s="24">
        <v>108</v>
      </c>
      <c r="K5" s="24">
        <v>4</v>
      </c>
      <c r="L5" s="24">
        <v>75</v>
      </c>
      <c r="M5" s="24">
        <v>83</v>
      </c>
      <c r="N5" s="24">
        <v>94</v>
      </c>
      <c r="O5" s="24">
        <v>6</v>
      </c>
      <c r="P5" s="24">
        <v>74</v>
      </c>
      <c r="Q5" s="24">
        <v>326</v>
      </c>
      <c r="R5" s="24">
        <v>80</v>
      </c>
      <c r="S5" s="24">
        <v>54</v>
      </c>
      <c r="T5" s="24">
        <v>73</v>
      </c>
      <c r="U5" s="24">
        <v>19</v>
      </c>
      <c r="V5" s="24">
        <v>634.5</v>
      </c>
      <c r="W5" s="24">
        <v>4</v>
      </c>
      <c r="X5" s="24">
        <v>4</v>
      </c>
      <c r="Y5" s="24">
        <v>668.5</v>
      </c>
      <c r="Z5" s="24">
        <v>1</v>
      </c>
      <c r="AA5" s="24">
        <v>-3</v>
      </c>
    </row>
    <row r="6" spans="1:27">
      <c r="A6" s="24" t="s">
        <v>1582</v>
      </c>
      <c r="B6" s="24" t="s">
        <v>10</v>
      </c>
      <c r="C6" s="24" t="s">
        <v>23</v>
      </c>
      <c r="D6" s="24">
        <v>104</v>
      </c>
      <c r="E6" s="24">
        <v>357</v>
      </c>
      <c r="F6" s="24">
        <v>144</v>
      </c>
      <c r="G6" s="24">
        <v>1</v>
      </c>
      <c r="H6" s="24">
        <v>108.5</v>
      </c>
      <c r="I6" s="24">
        <v>123</v>
      </c>
      <c r="J6" s="24">
        <v>100</v>
      </c>
      <c r="K6" s="24">
        <v>19</v>
      </c>
      <c r="L6" s="24">
        <v>86</v>
      </c>
      <c r="M6" s="24">
        <v>17</v>
      </c>
      <c r="N6" s="24">
        <v>90</v>
      </c>
      <c r="O6" s="24">
        <v>19</v>
      </c>
      <c r="P6" s="24">
        <v>85</v>
      </c>
      <c r="Q6" s="24">
        <v>45</v>
      </c>
      <c r="R6" s="24">
        <v>76</v>
      </c>
      <c r="S6" s="24">
        <v>125</v>
      </c>
      <c r="T6" s="24">
        <v>69</v>
      </c>
      <c r="U6" s="24">
        <v>43</v>
      </c>
      <c r="V6" s="24">
        <v>632.5</v>
      </c>
      <c r="W6" s="24">
        <v>5</v>
      </c>
      <c r="X6" s="24">
        <v>5</v>
      </c>
      <c r="Y6" s="24">
        <v>636.5</v>
      </c>
      <c r="Z6" s="24">
        <v>2</v>
      </c>
      <c r="AA6" s="24">
        <v>-3</v>
      </c>
    </row>
    <row r="7" spans="1:27">
      <c r="A7" s="24" t="s">
        <v>1602</v>
      </c>
      <c r="B7" s="24" t="s">
        <v>10</v>
      </c>
      <c r="C7" s="24" t="s">
        <v>16</v>
      </c>
      <c r="D7" s="24">
        <v>109</v>
      </c>
      <c r="E7" s="24">
        <v>185</v>
      </c>
      <c r="F7" s="24">
        <v>118</v>
      </c>
      <c r="G7" s="24">
        <v>17</v>
      </c>
      <c r="H7" s="24">
        <v>124</v>
      </c>
      <c r="I7" s="24">
        <v>13</v>
      </c>
      <c r="J7" s="24">
        <v>94</v>
      </c>
      <c r="K7" s="24">
        <v>61</v>
      </c>
      <c r="L7" s="24">
        <v>91</v>
      </c>
      <c r="M7" s="24">
        <v>3</v>
      </c>
      <c r="N7" s="24">
        <v>90</v>
      </c>
      <c r="O7" s="24">
        <v>19</v>
      </c>
      <c r="P7" s="24">
        <v>81</v>
      </c>
      <c r="Q7" s="24">
        <v>124</v>
      </c>
      <c r="R7" s="24">
        <v>82</v>
      </c>
      <c r="S7" s="24">
        <v>31</v>
      </c>
      <c r="T7" s="24">
        <v>79</v>
      </c>
      <c r="U7" s="24">
        <v>3</v>
      </c>
      <c r="V7" s="24">
        <v>626</v>
      </c>
      <c r="W7" s="24">
        <v>6</v>
      </c>
      <c r="X7" s="24">
        <v>6</v>
      </c>
      <c r="Y7" s="24">
        <v>629.5</v>
      </c>
      <c r="Z7" s="24">
        <v>4</v>
      </c>
      <c r="AA7" s="24">
        <v>-2</v>
      </c>
    </row>
    <row r="8" spans="1:27">
      <c r="A8" s="24" t="s">
        <v>1632</v>
      </c>
      <c r="B8" s="24" t="s">
        <v>10</v>
      </c>
      <c r="C8" s="24" t="s">
        <v>87</v>
      </c>
      <c r="D8" s="24">
        <v>105</v>
      </c>
      <c r="E8" s="24">
        <v>325</v>
      </c>
      <c r="F8" s="24">
        <v>144</v>
      </c>
      <c r="G8" s="24">
        <v>1</v>
      </c>
      <c r="H8" s="24">
        <v>90.5</v>
      </c>
      <c r="I8" s="24">
        <v>471</v>
      </c>
      <c r="J8" s="24">
        <v>110</v>
      </c>
      <c r="K8" s="24">
        <v>1</v>
      </c>
      <c r="L8" s="24">
        <v>81</v>
      </c>
      <c r="M8" s="24">
        <v>37</v>
      </c>
      <c r="N8" s="24">
        <v>89</v>
      </c>
      <c r="O8" s="24">
        <v>34</v>
      </c>
      <c r="P8" s="24">
        <v>83</v>
      </c>
      <c r="Q8" s="24">
        <v>79</v>
      </c>
      <c r="R8" s="24">
        <v>72</v>
      </c>
      <c r="S8" s="24">
        <v>256</v>
      </c>
      <c r="T8" s="24">
        <v>56</v>
      </c>
      <c r="U8" s="24">
        <v>352</v>
      </c>
      <c r="V8" s="24">
        <v>619.5</v>
      </c>
      <c r="W8" s="24">
        <v>7</v>
      </c>
      <c r="X8" s="24">
        <v>7</v>
      </c>
      <c r="Y8" s="24">
        <v>606.5</v>
      </c>
      <c r="Z8" s="24">
        <v>8</v>
      </c>
      <c r="AA8" s="24">
        <v>1</v>
      </c>
    </row>
    <row r="9" spans="1:27">
      <c r="A9" s="24" t="s">
        <v>1551</v>
      </c>
      <c r="B9" s="24" t="s">
        <v>10</v>
      </c>
      <c r="C9" s="24" t="s">
        <v>61</v>
      </c>
      <c r="D9" s="24">
        <v>107</v>
      </c>
      <c r="E9" s="24">
        <v>242</v>
      </c>
      <c r="F9" s="24">
        <v>115</v>
      </c>
      <c r="G9" s="24">
        <v>25</v>
      </c>
      <c r="H9" s="24">
        <v>108.5</v>
      </c>
      <c r="I9" s="24">
        <v>123</v>
      </c>
      <c r="J9" s="24">
        <v>109</v>
      </c>
      <c r="K9" s="24">
        <v>2</v>
      </c>
      <c r="L9" s="24">
        <v>89</v>
      </c>
      <c r="M9" s="24">
        <v>8</v>
      </c>
      <c r="N9" s="24">
        <v>90</v>
      </c>
      <c r="O9" s="24">
        <v>19</v>
      </c>
      <c r="P9" s="24">
        <v>69</v>
      </c>
      <c r="Q9" s="24">
        <v>504</v>
      </c>
      <c r="R9" s="24">
        <v>88</v>
      </c>
      <c r="S9" s="24">
        <v>3</v>
      </c>
      <c r="T9" s="24">
        <v>69</v>
      </c>
      <c r="U9" s="24">
        <v>43</v>
      </c>
      <c r="V9" s="24">
        <v>618.5</v>
      </c>
      <c r="W9" s="24">
        <v>8</v>
      </c>
      <c r="X9" s="24">
        <v>8</v>
      </c>
      <c r="Y9" s="24">
        <v>577</v>
      </c>
      <c r="Z9" s="24">
        <v>25</v>
      </c>
      <c r="AA9" s="24">
        <v>17</v>
      </c>
    </row>
    <row r="10" spans="1:27">
      <c r="A10" s="24" t="s">
        <v>1572</v>
      </c>
      <c r="B10" s="24" t="s">
        <v>10</v>
      </c>
      <c r="C10" s="24" t="s">
        <v>20</v>
      </c>
      <c r="D10" s="24">
        <v>111</v>
      </c>
      <c r="E10" s="24">
        <v>136</v>
      </c>
      <c r="F10" s="24">
        <v>119</v>
      </c>
      <c r="G10" s="24">
        <v>14</v>
      </c>
      <c r="H10" s="24">
        <v>106</v>
      </c>
      <c r="I10" s="24">
        <v>162</v>
      </c>
      <c r="J10" s="24">
        <v>108</v>
      </c>
      <c r="K10" s="24">
        <v>4</v>
      </c>
      <c r="L10" s="24">
        <v>83</v>
      </c>
      <c r="M10" s="24">
        <v>30</v>
      </c>
      <c r="N10" s="24">
        <v>91</v>
      </c>
      <c r="O10" s="24">
        <v>12</v>
      </c>
      <c r="P10" s="24">
        <v>73</v>
      </c>
      <c r="Q10" s="24">
        <v>359</v>
      </c>
      <c r="R10" s="24">
        <v>61</v>
      </c>
      <c r="S10" s="24">
        <v>703</v>
      </c>
      <c r="T10" s="24">
        <v>71</v>
      </c>
      <c r="U10" s="24">
        <v>32</v>
      </c>
      <c r="V10" s="24">
        <v>618</v>
      </c>
      <c r="W10" s="24">
        <v>9</v>
      </c>
      <c r="X10" s="24">
        <v>9</v>
      </c>
      <c r="Y10" s="24">
        <v>584.5</v>
      </c>
      <c r="Z10" s="24">
        <v>21</v>
      </c>
      <c r="AA10" s="24">
        <v>12</v>
      </c>
    </row>
    <row r="11" spans="1:27">
      <c r="A11" s="24" t="s">
        <v>1604</v>
      </c>
      <c r="B11" s="24" t="s">
        <v>10</v>
      </c>
      <c r="C11" s="24" t="s">
        <v>67</v>
      </c>
      <c r="D11" s="24">
        <v>107</v>
      </c>
      <c r="E11" s="24">
        <v>242</v>
      </c>
      <c r="F11" s="24">
        <v>119</v>
      </c>
      <c r="G11" s="24">
        <v>14</v>
      </c>
      <c r="H11" s="24">
        <v>113.5</v>
      </c>
      <c r="I11" s="24">
        <v>71</v>
      </c>
      <c r="J11" s="24">
        <v>101</v>
      </c>
      <c r="K11" s="24">
        <v>16</v>
      </c>
      <c r="L11" s="24">
        <v>89</v>
      </c>
      <c r="M11" s="24">
        <v>8</v>
      </c>
      <c r="N11" s="24">
        <v>84</v>
      </c>
      <c r="O11" s="24">
        <v>123</v>
      </c>
      <c r="P11" s="24">
        <v>80</v>
      </c>
      <c r="Q11" s="24">
        <v>151</v>
      </c>
      <c r="R11" s="24">
        <v>84</v>
      </c>
      <c r="S11" s="24">
        <v>16</v>
      </c>
      <c r="T11" s="24">
        <v>63</v>
      </c>
      <c r="U11" s="24">
        <v>123</v>
      </c>
      <c r="V11" s="24">
        <v>613.5</v>
      </c>
      <c r="W11" s="24">
        <v>10</v>
      </c>
      <c r="X11" s="24">
        <v>10</v>
      </c>
      <c r="Y11" s="24">
        <v>576</v>
      </c>
      <c r="Z11" s="24">
        <v>27</v>
      </c>
      <c r="AA11" s="24">
        <v>17</v>
      </c>
    </row>
    <row r="12" spans="1:27">
      <c r="A12" s="24" t="s">
        <v>1580</v>
      </c>
      <c r="B12" s="24" t="s">
        <v>10</v>
      </c>
      <c r="C12" s="24" t="s">
        <v>29</v>
      </c>
      <c r="D12" s="24">
        <v>97</v>
      </c>
      <c r="E12" s="24">
        <v>645</v>
      </c>
      <c r="F12" s="24">
        <v>126</v>
      </c>
      <c r="G12" s="24">
        <v>10</v>
      </c>
      <c r="H12" s="24">
        <v>117.5</v>
      </c>
      <c r="I12" s="24">
        <v>42</v>
      </c>
      <c r="J12" s="24">
        <v>97</v>
      </c>
      <c r="K12" s="24">
        <v>37</v>
      </c>
      <c r="L12" s="24">
        <v>85</v>
      </c>
      <c r="M12" s="24">
        <v>23</v>
      </c>
      <c r="N12" s="24">
        <v>89</v>
      </c>
      <c r="O12" s="24">
        <v>34</v>
      </c>
      <c r="P12" s="24">
        <v>80</v>
      </c>
      <c r="Q12" s="24">
        <v>151</v>
      </c>
      <c r="R12" s="24">
        <v>87</v>
      </c>
      <c r="S12" s="24">
        <v>6</v>
      </c>
      <c r="T12" s="24">
        <v>72</v>
      </c>
      <c r="U12" s="24">
        <v>25</v>
      </c>
      <c r="V12" s="24">
        <v>611.5</v>
      </c>
      <c r="W12" s="24">
        <v>11</v>
      </c>
      <c r="X12" s="24">
        <v>11</v>
      </c>
      <c r="Y12" s="24">
        <v>610.5</v>
      </c>
      <c r="Z12" s="24">
        <v>6</v>
      </c>
      <c r="AA12" s="24">
        <v>-5</v>
      </c>
    </row>
    <row r="13" spans="1:27">
      <c r="A13" s="24" t="s">
        <v>1590</v>
      </c>
      <c r="B13" s="24" t="s">
        <v>10</v>
      </c>
      <c r="C13" s="24" t="s">
        <v>72</v>
      </c>
      <c r="D13" s="24">
        <v>120</v>
      </c>
      <c r="E13" s="24">
        <v>21</v>
      </c>
      <c r="F13" s="24">
        <v>93</v>
      </c>
      <c r="G13" s="24">
        <v>155</v>
      </c>
      <c r="H13" s="24">
        <v>124</v>
      </c>
      <c r="I13" s="24">
        <v>13</v>
      </c>
      <c r="J13" s="24">
        <v>95</v>
      </c>
      <c r="K13" s="24">
        <v>50</v>
      </c>
      <c r="L13" s="24">
        <v>89</v>
      </c>
      <c r="M13" s="24">
        <v>8</v>
      </c>
      <c r="N13" s="24">
        <v>88</v>
      </c>
      <c r="O13" s="24">
        <v>44</v>
      </c>
      <c r="P13" s="24">
        <v>62</v>
      </c>
      <c r="Q13" s="24">
        <v>729</v>
      </c>
      <c r="R13" s="24">
        <v>78</v>
      </c>
      <c r="S13" s="24">
        <v>86</v>
      </c>
      <c r="T13" s="24">
        <v>62</v>
      </c>
      <c r="U13" s="24">
        <v>146</v>
      </c>
      <c r="V13" s="24">
        <v>609</v>
      </c>
      <c r="W13" s="24">
        <v>12</v>
      </c>
      <c r="X13" s="24">
        <v>12</v>
      </c>
      <c r="Y13" s="24">
        <v>593.5</v>
      </c>
      <c r="Z13" s="24">
        <v>16</v>
      </c>
      <c r="AA13" s="24">
        <v>4</v>
      </c>
    </row>
    <row r="14" spans="1:27">
      <c r="A14" s="24" t="s">
        <v>1566</v>
      </c>
      <c r="B14" s="24" t="s">
        <v>10</v>
      </c>
      <c r="C14" s="24" t="s">
        <v>47</v>
      </c>
      <c r="D14" s="24">
        <v>107</v>
      </c>
      <c r="E14" s="24">
        <v>242</v>
      </c>
      <c r="F14" s="24">
        <v>117</v>
      </c>
      <c r="G14" s="24">
        <v>21</v>
      </c>
      <c r="H14" s="24">
        <v>125</v>
      </c>
      <c r="I14" s="24">
        <v>10</v>
      </c>
      <c r="J14" s="24">
        <v>93</v>
      </c>
      <c r="K14" s="24">
        <v>68</v>
      </c>
      <c r="L14" s="24">
        <v>81</v>
      </c>
      <c r="M14" s="24">
        <v>37</v>
      </c>
      <c r="N14" s="24">
        <v>86</v>
      </c>
      <c r="O14" s="24">
        <v>77</v>
      </c>
      <c r="P14" s="24">
        <v>66</v>
      </c>
      <c r="Q14" s="24">
        <v>604</v>
      </c>
      <c r="R14" s="24">
        <v>62</v>
      </c>
      <c r="S14" s="24">
        <v>672</v>
      </c>
      <c r="T14" s="24">
        <v>62</v>
      </c>
      <c r="U14" s="24">
        <v>146</v>
      </c>
      <c r="V14" s="24">
        <v>609</v>
      </c>
      <c r="W14" s="24">
        <v>12</v>
      </c>
      <c r="X14" s="24">
        <v>12</v>
      </c>
      <c r="Y14" s="24">
        <v>593</v>
      </c>
      <c r="Z14" s="24">
        <v>17</v>
      </c>
      <c r="AA14" s="24">
        <v>5</v>
      </c>
    </row>
    <row r="15" spans="1:27">
      <c r="A15" s="24" t="s">
        <v>1584</v>
      </c>
      <c r="B15" s="24" t="s">
        <v>10</v>
      </c>
      <c r="C15" s="24" t="s">
        <v>178</v>
      </c>
      <c r="D15" s="24">
        <v>121</v>
      </c>
      <c r="E15" s="24">
        <v>13</v>
      </c>
      <c r="F15" s="24">
        <v>107</v>
      </c>
      <c r="G15" s="24">
        <v>46</v>
      </c>
      <c r="H15" s="24">
        <v>118</v>
      </c>
      <c r="I15" s="24">
        <v>40</v>
      </c>
      <c r="J15" s="24">
        <v>99</v>
      </c>
      <c r="K15" s="24">
        <v>25</v>
      </c>
      <c r="L15" s="24">
        <v>75</v>
      </c>
      <c r="M15" s="24">
        <v>83</v>
      </c>
      <c r="N15" s="24">
        <v>88</v>
      </c>
      <c r="O15" s="24">
        <v>44</v>
      </c>
      <c r="P15" s="24">
        <v>87</v>
      </c>
      <c r="Q15" s="24">
        <v>25</v>
      </c>
      <c r="R15" s="24">
        <v>79</v>
      </c>
      <c r="S15" s="24">
        <v>73</v>
      </c>
      <c r="T15" s="24">
        <v>74</v>
      </c>
      <c r="U15" s="24">
        <v>14</v>
      </c>
      <c r="V15" s="24">
        <v>608</v>
      </c>
      <c r="W15" s="24">
        <v>14</v>
      </c>
      <c r="X15" s="24">
        <v>14</v>
      </c>
      <c r="Y15" s="24">
        <v>564</v>
      </c>
      <c r="Z15" s="24">
        <v>35</v>
      </c>
      <c r="AA15" s="24">
        <v>21</v>
      </c>
    </row>
    <row r="16" spans="1:27">
      <c r="A16" s="24" t="s">
        <v>1596</v>
      </c>
      <c r="B16" s="24" t="s">
        <v>10</v>
      </c>
      <c r="C16" s="24" t="s">
        <v>159</v>
      </c>
      <c r="D16" s="24">
        <v>118</v>
      </c>
      <c r="E16" s="24">
        <v>33</v>
      </c>
      <c r="F16" s="24">
        <v>132</v>
      </c>
      <c r="G16" s="24">
        <v>5</v>
      </c>
      <c r="H16" s="24">
        <v>104.5</v>
      </c>
      <c r="I16" s="24">
        <v>177</v>
      </c>
      <c r="J16" s="24">
        <v>85</v>
      </c>
      <c r="K16" s="24">
        <v>135</v>
      </c>
      <c r="L16" s="24">
        <v>81</v>
      </c>
      <c r="M16" s="24">
        <v>37</v>
      </c>
      <c r="N16" s="24">
        <v>87</v>
      </c>
      <c r="O16" s="24">
        <v>57</v>
      </c>
      <c r="P16" s="24">
        <v>90</v>
      </c>
      <c r="Q16" s="24">
        <v>4</v>
      </c>
      <c r="R16" s="24">
        <v>78</v>
      </c>
      <c r="S16" s="24">
        <v>86</v>
      </c>
      <c r="T16" s="24">
        <v>65</v>
      </c>
      <c r="U16" s="24">
        <v>89</v>
      </c>
      <c r="V16" s="24">
        <v>607.5</v>
      </c>
      <c r="W16" s="24">
        <v>15</v>
      </c>
      <c r="X16" s="24">
        <v>15</v>
      </c>
      <c r="Y16" s="24">
        <v>606.5</v>
      </c>
      <c r="Z16" s="24">
        <v>8</v>
      </c>
      <c r="AA16" s="24">
        <v>-7</v>
      </c>
    </row>
    <row r="17" spans="1:27">
      <c r="A17" s="24" t="s">
        <v>1543</v>
      </c>
      <c r="B17" s="24" t="s">
        <v>10</v>
      </c>
      <c r="C17" s="24" t="s">
        <v>91</v>
      </c>
      <c r="D17" s="24">
        <v>120</v>
      </c>
      <c r="E17" s="24">
        <v>21</v>
      </c>
      <c r="F17" s="24">
        <v>99</v>
      </c>
      <c r="G17" s="24">
        <v>93</v>
      </c>
      <c r="H17" s="24">
        <v>123</v>
      </c>
      <c r="I17" s="24">
        <v>17</v>
      </c>
      <c r="J17" s="24">
        <v>101</v>
      </c>
      <c r="K17" s="24">
        <v>16</v>
      </c>
      <c r="L17" s="24">
        <v>76</v>
      </c>
      <c r="M17" s="24">
        <v>73</v>
      </c>
      <c r="N17" s="24">
        <v>88</v>
      </c>
      <c r="O17" s="24">
        <v>44</v>
      </c>
      <c r="P17" s="24">
        <v>84</v>
      </c>
      <c r="Q17" s="24">
        <v>59</v>
      </c>
      <c r="R17" s="24">
        <v>79</v>
      </c>
      <c r="S17" s="24">
        <v>73</v>
      </c>
      <c r="T17" s="24">
        <v>79</v>
      </c>
      <c r="U17" s="24">
        <v>3</v>
      </c>
      <c r="V17" s="24">
        <v>607</v>
      </c>
      <c r="W17" s="24">
        <v>16</v>
      </c>
      <c r="X17" s="24">
        <v>16</v>
      </c>
      <c r="Y17" s="24">
        <v>592</v>
      </c>
      <c r="Z17" s="24">
        <v>19</v>
      </c>
      <c r="AA17" s="24">
        <v>3</v>
      </c>
    </row>
    <row r="18" spans="1:27">
      <c r="A18" s="24" t="s">
        <v>1702</v>
      </c>
      <c r="B18" s="24" t="s">
        <v>9</v>
      </c>
      <c r="C18" s="24" t="s">
        <v>1578</v>
      </c>
      <c r="D18" s="24">
        <v>107</v>
      </c>
      <c r="E18" s="24">
        <v>242</v>
      </c>
      <c r="F18" s="24">
        <v>106</v>
      </c>
      <c r="G18" s="24">
        <v>54</v>
      </c>
      <c r="H18" s="24">
        <v>104</v>
      </c>
      <c r="I18" s="24">
        <v>188</v>
      </c>
      <c r="J18" s="24">
        <v>98</v>
      </c>
      <c r="K18" s="24">
        <v>34</v>
      </c>
      <c r="L18" s="24">
        <v>89</v>
      </c>
      <c r="M18" s="24">
        <v>8</v>
      </c>
      <c r="N18" s="24">
        <v>97</v>
      </c>
      <c r="O18" s="24">
        <v>1</v>
      </c>
      <c r="P18" s="24">
        <v>82</v>
      </c>
      <c r="Q18" s="24">
        <v>100</v>
      </c>
      <c r="R18" s="24">
        <v>56</v>
      </c>
      <c r="S18" s="24">
        <v>817</v>
      </c>
      <c r="T18" s="24">
        <v>57</v>
      </c>
      <c r="U18" s="24">
        <v>306</v>
      </c>
      <c r="V18" s="24">
        <v>601</v>
      </c>
      <c r="W18" s="24">
        <v>1</v>
      </c>
      <c r="X18" s="24">
        <v>17</v>
      </c>
      <c r="Y18" s="24">
        <v>529</v>
      </c>
      <c r="Z18" s="24">
        <v>109</v>
      </c>
      <c r="AA18" s="24">
        <v>92</v>
      </c>
    </row>
    <row r="19" spans="1:27">
      <c r="A19" s="24" t="s">
        <v>1607</v>
      </c>
      <c r="B19" s="24" t="s">
        <v>10</v>
      </c>
      <c r="C19" s="24" t="s">
        <v>77</v>
      </c>
      <c r="D19" s="24">
        <v>112</v>
      </c>
      <c r="E19" s="24">
        <v>114</v>
      </c>
      <c r="F19" s="24">
        <v>88</v>
      </c>
      <c r="G19" s="24">
        <v>206</v>
      </c>
      <c r="H19" s="24">
        <v>126</v>
      </c>
      <c r="I19" s="24">
        <v>8</v>
      </c>
      <c r="J19" s="24">
        <v>109</v>
      </c>
      <c r="K19" s="24">
        <v>2</v>
      </c>
      <c r="L19" s="24">
        <v>76</v>
      </c>
      <c r="M19" s="24">
        <v>73</v>
      </c>
      <c r="N19" s="24">
        <v>90</v>
      </c>
      <c r="O19" s="24">
        <v>19</v>
      </c>
      <c r="P19" s="24">
        <v>83</v>
      </c>
      <c r="Q19" s="24">
        <v>79</v>
      </c>
      <c r="R19" s="24">
        <v>73</v>
      </c>
      <c r="S19" s="24">
        <v>216</v>
      </c>
      <c r="T19" s="24">
        <v>65</v>
      </c>
      <c r="U19" s="24">
        <v>89</v>
      </c>
      <c r="V19" s="24">
        <v>601</v>
      </c>
      <c r="W19" s="24">
        <v>17</v>
      </c>
      <c r="X19" s="24">
        <v>17</v>
      </c>
      <c r="Y19" s="24">
        <v>609</v>
      </c>
      <c r="Z19" s="24">
        <v>7</v>
      </c>
      <c r="AA19" s="24">
        <v>-10</v>
      </c>
    </row>
    <row r="20" spans="1:27">
      <c r="A20" s="24" t="s">
        <v>1529</v>
      </c>
      <c r="B20" s="24" t="s">
        <v>10</v>
      </c>
      <c r="C20" s="24" t="s">
        <v>108</v>
      </c>
      <c r="D20" s="24">
        <v>106</v>
      </c>
      <c r="E20" s="24">
        <v>287</v>
      </c>
      <c r="F20" s="24">
        <v>114</v>
      </c>
      <c r="G20" s="24">
        <v>28</v>
      </c>
      <c r="H20" s="24">
        <v>115.5</v>
      </c>
      <c r="I20" s="24">
        <v>55</v>
      </c>
      <c r="J20" s="24">
        <v>94</v>
      </c>
      <c r="K20" s="24">
        <v>61</v>
      </c>
      <c r="L20" s="24">
        <v>84</v>
      </c>
      <c r="M20" s="24">
        <v>25</v>
      </c>
      <c r="N20" s="24">
        <v>86</v>
      </c>
      <c r="O20" s="24">
        <v>77</v>
      </c>
      <c r="P20" s="24">
        <v>72</v>
      </c>
      <c r="Q20" s="24">
        <v>396</v>
      </c>
      <c r="R20" s="24">
        <v>84</v>
      </c>
      <c r="S20" s="24">
        <v>16</v>
      </c>
      <c r="T20" s="24">
        <v>74</v>
      </c>
      <c r="U20" s="24">
        <v>14</v>
      </c>
      <c r="V20" s="24">
        <v>599.5</v>
      </c>
      <c r="W20" s="24">
        <v>18</v>
      </c>
      <c r="X20" s="24">
        <v>19</v>
      </c>
      <c r="Y20" s="24">
        <v>592</v>
      </c>
      <c r="Z20" s="24">
        <v>19</v>
      </c>
      <c r="AA20" s="24">
        <v>0</v>
      </c>
    </row>
    <row r="21" spans="1:27">
      <c r="A21" s="24" t="s">
        <v>1620</v>
      </c>
      <c r="B21" s="24" t="s">
        <v>10</v>
      </c>
      <c r="C21" s="24" t="s">
        <v>113</v>
      </c>
      <c r="D21" s="24">
        <v>110</v>
      </c>
      <c r="E21" s="24">
        <v>159</v>
      </c>
      <c r="F21" s="24">
        <v>110</v>
      </c>
      <c r="G21" s="24">
        <v>38</v>
      </c>
      <c r="H21" s="24">
        <v>100.5</v>
      </c>
      <c r="I21" s="24">
        <v>247</v>
      </c>
      <c r="J21" s="24">
        <v>96</v>
      </c>
      <c r="K21" s="24">
        <v>43</v>
      </c>
      <c r="L21" s="24">
        <v>91</v>
      </c>
      <c r="M21" s="24">
        <v>3</v>
      </c>
      <c r="N21" s="24">
        <v>89</v>
      </c>
      <c r="O21" s="24">
        <v>34</v>
      </c>
      <c r="P21" s="24">
        <v>76</v>
      </c>
      <c r="Q21" s="24">
        <v>260</v>
      </c>
      <c r="R21" s="24">
        <v>79</v>
      </c>
      <c r="S21" s="24">
        <v>73</v>
      </c>
      <c r="T21" s="24">
        <v>88</v>
      </c>
      <c r="U21" s="24">
        <v>1</v>
      </c>
      <c r="V21" s="24">
        <v>596.5</v>
      </c>
      <c r="W21" s="24">
        <v>19</v>
      </c>
      <c r="X21" s="24">
        <v>20</v>
      </c>
      <c r="Y21" s="24">
        <v>599.5</v>
      </c>
      <c r="Z21" s="24">
        <v>14</v>
      </c>
      <c r="AA21" s="24">
        <v>-6</v>
      </c>
    </row>
    <row r="22" spans="1:27">
      <c r="A22" s="24" t="s">
        <v>1575</v>
      </c>
      <c r="B22" s="24" t="s">
        <v>10</v>
      </c>
      <c r="C22" s="24" t="s">
        <v>115</v>
      </c>
      <c r="D22" s="24">
        <v>111</v>
      </c>
      <c r="E22" s="24">
        <v>136</v>
      </c>
      <c r="F22" s="24">
        <v>114</v>
      </c>
      <c r="G22" s="24">
        <v>28</v>
      </c>
      <c r="H22" s="24">
        <v>106</v>
      </c>
      <c r="I22" s="24">
        <v>162</v>
      </c>
      <c r="J22" s="24">
        <v>88</v>
      </c>
      <c r="K22" s="24">
        <v>106</v>
      </c>
      <c r="L22" s="24">
        <v>77</v>
      </c>
      <c r="M22" s="24">
        <v>68</v>
      </c>
      <c r="N22" s="24">
        <v>97</v>
      </c>
      <c r="O22" s="24">
        <v>1</v>
      </c>
      <c r="P22" s="24">
        <v>70</v>
      </c>
      <c r="Q22" s="24">
        <v>473</v>
      </c>
      <c r="R22" s="24">
        <v>73</v>
      </c>
      <c r="S22" s="24">
        <v>216</v>
      </c>
      <c r="T22" s="24">
        <v>69</v>
      </c>
      <c r="U22" s="24">
        <v>43</v>
      </c>
      <c r="V22" s="24">
        <v>593</v>
      </c>
      <c r="W22" s="24">
        <v>20</v>
      </c>
      <c r="X22" s="24">
        <v>21</v>
      </c>
      <c r="Y22" s="24">
        <v>631</v>
      </c>
      <c r="Z22" s="24">
        <v>3</v>
      </c>
      <c r="AA22" s="24">
        <v>-18</v>
      </c>
    </row>
    <row r="23" spans="1:27">
      <c r="A23" s="24" t="s">
        <v>1615</v>
      </c>
      <c r="B23" s="24" t="s">
        <v>10</v>
      </c>
      <c r="C23" s="24" t="s">
        <v>48</v>
      </c>
      <c r="D23" s="24">
        <v>102</v>
      </c>
      <c r="E23" s="24">
        <v>442</v>
      </c>
      <c r="F23" s="24">
        <v>108</v>
      </c>
      <c r="G23" s="24">
        <v>45</v>
      </c>
      <c r="H23" s="24">
        <v>126</v>
      </c>
      <c r="I23" s="24">
        <v>8</v>
      </c>
      <c r="J23" s="24">
        <v>89</v>
      </c>
      <c r="K23" s="24">
        <v>97</v>
      </c>
      <c r="L23" s="24">
        <v>80</v>
      </c>
      <c r="M23" s="24">
        <v>44</v>
      </c>
      <c r="N23" s="24">
        <v>86</v>
      </c>
      <c r="O23" s="24">
        <v>77</v>
      </c>
      <c r="P23" s="24">
        <v>74</v>
      </c>
      <c r="Q23" s="24">
        <v>326</v>
      </c>
      <c r="R23" s="24">
        <v>83</v>
      </c>
      <c r="S23" s="24">
        <v>22</v>
      </c>
      <c r="T23" s="24">
        <v>56</v>
      </c>
      <c r="U23" s="24">
        <v>352</v>
      </c>
      <c r="V23" s="24">
        <v>591</v>
      </c>
      <c r="W23" s="24">
        <v>21</v>
      </c>
      <c r="X23" s="24">
        <v>22</v>
      </c>
      <c r="Y23" s="24">
        <v>603</v>
      </c>
      <c r="Z23" s="24">
        <v>11</v>
      </c>
      <c r="AA23" s="24">
        <v>-11</v>
      </c>
    </row>
    <row r="24" spans="1:27">
      <c r="A24" s="24" t="s">
        <v>1650</v>
      </c>
      <c r="B24" s="24" t="s">
        <v>9</v>
      </c>
      <c r="C24" s="24" t="s">
        <v>884</v>
      </c>
      <c r="D24" s="24">
        <v>112</v>
      </c>
      <c r="E24" s="24">
        <v>114</v>
      </c>
      <c r="F24" s="24">
        <v>119</v>
      </c>
      <c r="G24" s="24">
        <v>14</v>
      </c>
      <c r="H24" s="24">
        <v>120</v>
      </c>
      <c r="I24" s="24">
        <v>30</v>
      </c>
      <c r="J24" s="24">
        <v>80</v>
      </c>
      <c r="K24" s="24">
        <v>207</v>
      </c>
      <c r="L24" s="24">
        <v>76</v>
      </c>
      <c r="M24" s="24">
        <v>73</v>
      </c>
      <c r="N24" s="24">
        <v>84</v>
      </c>
      <c r="O24" s="24">
        <v>123</v>
      </c>
      <c r="P24" s="24">
        <v>84</v>
      </c>
      <c r="Q24" s="24">
        <v>59</v>
      </c>
      <c r="R24" s="24">
        <v>74</v>
      </c>
      <c r="S24" s="24">
        <v>174</v>
      </c>
      <c r="T24" s="24">
        <v>62</v>
      </c>
      <c r="U24" s="24">
        <v>146</v>
      </c>
      <c r="V24" s="24">
        <v>591</v>
      </c>
      <c r="W24" s="24">
        <v>2</v>
      </c>
      <c r="X24" s="24">
        <v>22</v>
      </c>
      <c r="Y24" s="24">
        <v>542.5</v>
      </c>
      <c r="Z24" s="24">
        <v>79</v>
      </c>
      <c r="AA24" s="24">
        <v>57</v>
      </c>
    </row>
    <row r="25" spans="1:27">
      <c r="A25" s="24" t="s">
        <v>3327</v>
      </c>
      <c r="B25" s="24" t="s">
        <v>9</v>
      </c>
      <c r="C25" s="24" t="s">
        <v>1057</v>
      </c>
      <c r="D25" s="24">
        <v>130</v>
      </c>
      <c r="E25" s="24">
        <v>1</v>
      </c>
      <c r="F25" s="24">
        <v>110</v>
      </c>
      <c r="G25" s="24">
        <v>38</v>
      </c>
      <c r="H25" s="24">
        <v>114</v>
      </c>
      <c r="I25" s="24">
        <v>67</v>
      </c>
      <c r="J25" s="24">
        <v>91</v>
      </c>
      <c r="K25" s="24">
        <v>84</v>
      </c>
      <c r="L25" s="24">
        <v>68</v>
      </c>
      <c r="M25" s="24">
        <v>165</v>
      </c>
      <c r="N25" s="24">
        <v>78</v>
      </c>
      <c r="O25" s="24">
        <v>250</v>
      </c>
      <c r="P25" s="24">
        <v>72</v>
      </c>
      <c r="Q25" s="24">
        <v>396</v>
      </c>
      <c r="R25" s="24">
        <v>73</v>
      </c>
      <c r="S25" s="24">
        <v>216</v>
      </c>
      <c r="T25" s="24">
        <v>62</v>
      </c>
      <c r="U25" s="24">
        <v>146</v>
      </c>
      <c r="V25" s="24">
        <v>591</v>
      </c>
      <c r="W25" s="24">
        <v>2</v>
      </c>
      <c r="X25" s="24">
        <v>22</v>
      </c>
      <c r="Y25" s="24">
        <v>548</v>
      </c>
      <c r="Z25" s="24">
        <v>67</v>
      </c>
      <c r="AA25" s="24">
        <v>45</v>
      </c>
    </row>
    <row r="26" spans="1:27">
      <c r="A26" s="24" t="s">
        <v>2840</v>
      </c>
      <c r="B26" s="24" t="s">
        <v>38</v>
      </c>
      <c r="C26" s="24" t="s">
        <v>141</v>
      </c>
      <c r="D26" s="24">
        <v>102</v>
      </c>
      <c r="E26" s="24">
        <v>442</v>
      </c>
      <c r="F26" s="24">
        <v>113</v>
      </c>
      <c r="G26" s="24">
        <v>31</v>
      </c>
      <c r="H26" s="24">
        <v>101</v>
      </c>
      <c r="I26" s="24">
        <v>234</v>
      </c>
      <c r="J26" s="24">
        <v>103</v>
      </c>
      <c r="K26" s="24">
        <v>9</v>
      </c>
      <c r="L26" s="24">
        <v>89</v>
      </c>
      <c r="M26" s="24">
        <v>8</v>
      </c>
      <c r="N26" s="24">
        <v>82</v>
      </c>
      <c r="O26" s="24">
        <v>166</v>
      </c>
      <c r="P26" s="24">
        <v>59</v>
      </c>
      <c r="Q26" s="24">
        <v>799</v>
      </c>
      <c r="R26" s="24">
        <v>52</v>
      </c>
      <c r="S26" s="24">
        <v>879</v>
      </c>
      <c r="T26" s="24">
        <v>54</v>
      </c>
      <c r="U26" s="24">
        <v>428</v>
      </c>
      <c r="V26" s="24">
        <v>590</v>
      </c>
      <c r="W26" s="24">
        <v>1</v>
      </c>
      <c r="X26" s="24">
        <v>25</v>
      </c>
      <c r="Y26" s="24">
        <v>552</v>
      </c>
      <c r="Z26" s="24">
        <v>60</v>
      </c>
      <c r="AA26" s="24">
        <v>35</v>
      </c>
    </row>
    <row r="27" spans="1:27">
      <c r="A27" s="24" t="s">
        <v>1554</v>
      </c>
      <c r="B27" s="24" t="s">
        <v>10</v>
      </c>
      <c r="C27" s="24" t="s">
        <v>57</v>
      </c>
      <c r="D27" s="24">
        <v>107</v>
      </c>
      <c r="E27" s="24">
        <v>242</v>
      </c>
      <c r="F27" s="24">
        <v>118</v>
      </c>
      <c r="G27" s="24">
        <v>17</v>
      </c>
      <c r="H27" s="24">
        <v>102.5</v>
      </c>
      <c r="I27" s="24">
        <v>210</v>
      </c>
      <c r="J27" s="24">
        <v>97</v>
      </c>
      <c r="K27" s="24">
        <v>37</v>
      </c>
      <c r="L27" s="24">
        <v>78</v>
      </c>
      <c r="M27" s="24">
        <v>61</v>
      </c>
      <c r="N27" s="24">
        <v>87</v>
      </c>
      <c r="O27" s="24">
        <v>57</v>
      </c>
      <c r="P27" s="24">
        <v>77</v>
      </c>
      <c r="Q27" s="24">
        <v>240</v>
      </c>
      <c r="R27" s="24">
        <v>74</v>
      </c>
      <c r="S27" s="24">
        <v>174</v>
      </c>
      <c r="T27" s="24">
        <v>72</v>
      </c>
      <c r="U27" s="24">
        <v>25</v>
      </c>
      <c r="V27" s="24">
        <v>589.5</v>
      </c>
      <c r="W27" s="24">
        <v>22</v>
      </c>
      <c r="X27" s="24">
        <v>26</v>
      </c>
      <c r="Y27" s="24">
        <v>562</v>
      </c>
      <c r="Z27" s="24">
        <v>40</v>
      </c>
      <c r="AA27" s="24">
        <v>14</v>
      </c>
    </row>
    <row r="28" spans="1:27">
      <c r="A28" s="24" t="s">
        <v>1540</v>
      </c>
      <c r="B28" s="24" t="s">
        <v>10</v>
      </c>
      <c r="C28" s="24" t="s">
        <v>106</v>
      </c>
      <c r="D28" s="24">
        <v>99</v>
      </c>
      <c r="E28" s="24">
        <v>571</v>
      </c>
      <c r="F28" s="24">
        <v>121</v>
      </c>
      <c r="G28" s="24">
        <v>11</v>
      </c>
      <c r="H28" s="24">
        <v>109</v>
      </c>
      <c r="I28" s="24">
        <v>114</v>
      </c>
      <c r="J28" s="24">
        <v>102</v>
      </c>
      <c r="K28" s="24">
        <v>12</v>
      </c>
      <c r="L28" s="24">
        <v>68</v>
      </c>
      <c r="M28" s="24">
        <v>165</v>
      </c>
      <c r="N28" s="24">
        <v>89</v>
      </c>
      <c r="O28" s="24">
        <v>34</v>
      </c>
      <c r="P28" s="24">
        <v>71</v>
      </c>
      <c r="Q28" s="24">
        <v>439</v>
      </c>
      <c r="R28" s="24">
        <v>77</v>
      </c>
      <c r="S28" s="24">
        <v>102</v>
      </c>
      <c r="T28" s="24">
        <v>66</v>
      </c>
      <c r="U28" s="24">
        <v>80</v>
      </c>
      <c r="V28" s="24">
        <v>588</v>
      </c>
      <c r="W28" s="24">
        <v>23</v>
      </c>
      <c r="X28" s="24">
        <v>27</v>
      </c>
      <c r="Y28" s="24">
        <v>566</v>
      </c>
      <c r="Z28" s="24">
        <v>33</v>
      </c>
      <c r="AA28" s="24">
        <v>6</v>
      </c>
    </row>
    <row r="29" spans="1:27">
      <c r="A29" s="24" t="s">
        <v>1564</v>
      </c>
      <c r="B29" s="24" t="s">
        <v>10</v>
      </c>
      <c r="C29" s="24" t="s">
        <v>169</v>
      </c>
      <c r="D29" s="24">
        <v>113</v>
      </c>
      <c r="E29" s="24">
        <v>95</v>
      </c>
      <c r="F29" s="24">
        <v>89</v>
      </c>
      <c r="G29" s="24">
        <v>196</v>
      </c>
      <c r="H29" s="24">
        <v>118.5</v>
      </c>
      <c r="I29" s="24">
        <v>36</v>
      </c>
      <c r="J29" s="24">
        <v>95</v>
      </c>
      <c r="K29" s="24">
        <v>50</v>
      </c>
      <c r="L29" s="24">
        <v>79</v>
      </c>
      <c r="M29" s="24">
        <v>49</v>
      </c>
      <c r="N29" s="24">
        <v>91</v>
      </c>
      <c r="O29" s="24">
        <v>12</v>
      </c>
      <c r="P29" s="24">
        <v>66</v>
      </c>
      <c r="Q29" s="24">
        <v>604</v>
      </c>
      <c r="R29" s="24">
        <v>73</v>
      </c>
      <c r="S29" s="24">
        <v>216</v>
      </c>
      <c r="T29" s="24">
        <v>59</v>
      </c>
      <c r="U29" s="24">
        <v>233</v>
      </c>
      <c r="V29" s="24">
        <v>585.5</v>
      </c>
      <c r="W29" s="24">
        <v>24</v>
      </c>
      <c r="X29" s="24">
        <v>28</v>
      </c>
      <c r="Y29" s="24">
        <v>542</v>
      </c>
      <c r="Z29" s="24">
        <v>80</v>
      </c>
      <c r="AA29" s="24">
        <v>52</v>
      </c>
    </row>
    <row r="30" spans="1:27">
      <c r="A30" s="24" t="s">
        <v>1658</v>
      </c>
      <c r="B30" s="24" t="s">
        <v>9</v>
      </c>
      <c r="C30" s="24" t="s">
        <v>33</v>
      </c>
      <c r="D30" s="24">
        <v>118</v>
      </c>
      <c r="E30" s="24">
        <v>33</v>
      </c>
      <c r="F30" s="24">
        <v>99</v>
      </c>
      <c r="G30" s="24">
        <v>93</v>
      </c>
      <c r="H30" s="24">
        <v>114.5</v>
      </c>
      <c r="I30" s="24">
        <v>61</v>
      </c>
      <c r="J30" s="24">
        <v>91</v>
      </c>
      <c r="K30" s="24">
        <v>84</v>
      </c>
      <c r="L30" s="24">
        <v>81</v>
      </c>
      <c r="M30" s="24">
        <v>37</v>
      </c>
      <c r="N30" s="24">
        <v>82</v>
      </c>
      <c r="O30" s="24">
        <v>166</v>
      </c>
      <c r="P30" s="24">
        <v>81</v>
      </c>
      <c r="Q30" s="24">
        <v>124</v>
      </c>
      <c r="R30" s="24">
        <v>82</v>
      </c>
      <c r="S30" s="24">
        <v>31</v>
      </c>
      <c r="T30" s="24">
        <v>71</v>
      </c>
      <c r="U30" s="24">
        <v>32</v>
      </c>
      <c r="V30" s="24">
        <v>585.5</v>
      </c>
      <c r="W30" s="24">
        <v>4</v>
      </c>
      <c r="X30" s="24">
        <v>28</v>
      </c>
      <c r="Y30" s="24">
        <v>559</v>
      </c>
      <c r="Z30" s="24">
        <v>45</v>
      </c>
      <c r="AA30" s="24">
        <v>17</v>
      </c>
    </row>
    <row r="31" spans="1:27">
      <c r="A31" s="24" t="s">
        <v>1691</v>
      </c>
      <c r="B31" s="24" t="s">
        <v>9</v>
      </c>
      <c r="C31" s="24" t="s">
        <v>185</v>
      </c>
      <c r="D31" s="24">
        <v>108</v>
      </c>
      <c r="E31" s="24">
        <v>212</v>
      </c>
      <c r="F31" s="24">
        <v>116</v>
      </c>
      <c r="G31" s="24">
        <v>22</v>
      </c>
      <c r="H31" s="24">
        <v>107</v>
      </c>
      <c r="I31" s="24">
        <v>148</v>
      </c>
      <c r="J31" s="24">
        <v>89</v>
      </c>
      <c r="K31" s="24">
        <v>97</v>
      </c>
      <c r="L31" s="24">
        <v>79</v>
      </c>
      <c r="M31" s="24">
        <v>49</v>
      </c>
      <c r="N31" s="24">
        <v>85</v>
      </c>
      <c r="O31" s="24">
        <v>96</v>
      </c>
      <c r="P31" s="24">
        <v>72</v>
      </c>
      <c r="Q31" s="24">
        <v>396</v>
      </c>
      <c r="R31" s="24">
        <v>62</v>
      </c>
      <c r="S31" s="24">
        <v>672</v>
      </c>
      <c r="T31" s="24">
        <v>63</v>
      </c>
      <c r="U31" s="24">
        <v>123</v>
      </c>
      <c r="V31" s="24">
        <v>584</v>
      </c>
      <c r="W31" s="24">
        <v>5</v>
      </c>
      <c r="X31" s="24">
        <v>30</v>
      </c>
      <c r="Y31" s="24">
        <v>553.5</v>
      </c>
      <c r="Z31" s="24">
        <v>55</v>
      </c>
      <c r="AA31" s="24">
        <v>25</v>
      </c>
    </row>
    <row r="32" spans="1:27">
      <c r="A32" s="24" t="s">
        <v>1520</v>
      </c>
      <c r="B32" s="24" t="s">
        <v>10</v>
      </c>
      <c r="C32" s="24" t="s">
        <v>150</v>
      </c>
      <c r="D32" s="24">
        <v>110</v>
      </c>
      <c r="E32" s="24">
        <v>159</v>
      </c>
      <c r="F32" s="24">
        <v>99</v>
      </c>
      <c r="G32" s="24">
        <v>93</v>
      </c>
      <c r="H32" s="24">
        <v>123</v>
      </c>
      <c r="I32" s="24">
        <v>17</v>
      </c>
      <c r="J32" s="24">
        <v>87</v>
      </c>
      <c r="K32" s="24">
        <v>114</v>
      </c>
      <c r="L32" s="24">
        <v>84</v>
      </c>
      <c r="M32" s="24">
        <v>25</v>
      </c>
      <c r="N32" s="24">
        <v>80</v>
      </c>
      <c r="O32" s="24">
        <v>205</v>
      </c>
      <c r="P32" s="24">
        <v>69</v>
      </c>
      <c r="Q32" s="24">
        <v>504</v>
      </c>
      <c r="R32" s="24">
        <v>77</v>
      </c>
      <c r="S32" s="24">
        <v>102</v>
      </c>
      <c r="T32" s="24">
        <v>61</v>
      </c>
      <c r="U32" s="24">
        <v>172</v>
      </c>
      <c r="V32" s="24">
        <v>583</v>
      </c>
      <c r="W32" s="24">
        <v>25</v>
      </c>
      <c r="X32" s="24">
        <v>31</v>
      </c>
      <c r="Y32" s="24">
        <v>536.5</v>
      </c>
      <c r="Z32" s="24">
        <v>93</v>
      </c>
      <c r="AA32" s="24">
        <v>62</v>
      </c>
    </row>
    <row r="33" spans="1:27">
      <c r="A33" s="24" t="s">
        <v>1624</v>
      </c>
      <c r="B33" s="24" t="s">
        <v>10</v>
      </c>
      <c r="C33" s="24" t="s">
        <v>121</v>
      </c>
      <c r="D33" s="24">
        <v>106</v>
      </c>
      <c r="E33" s="24">
        <v>287</v>
      </c>
      <c r="F33" s="24">
        <v>104</v>
      </c>
      <c r="G33" s="24">
        <v>61</v>
      </c>
      <c r="H33" s="24">
        <v>110.5</v>
      </c>
      <c r="I33" s="24">
        <v>102</v>
      </c>
      <c r="J33" s="24">
        <v>84</v>
      </c>
      <c r="K33" s="24">
        <v>147</v>
      </c>
      <c r="L33" s="24">
        <v>88</v>
      </c>
      <c r="M33" s="24">
        <v>15</v>
      </c>
      <c r="N33" s="24">
        <v>89</v>
      </c>
      <c r="O33" s="24">
        <v>34</v>
      </c>
      <c r="P33" s="24">
        <v>84</v>
      </c>
      <c r="Q33" s="24">
        <v>59</v>
      </c>
      <c r="R33" s="24">
        <v>84</v>
      </c>
      <c r="S33" s="24">
        <v>16</v>
      </c>
      <c r="T33" s="24">
        <v>75</v>
      </c>
      <c r="U33" s="24">
        <v>10</v>
      </c>
      <c r="V33" s="24">
        <v>581.5</v>
      </c>
      <c r="W33" s="24">
        <v>26</v>
      </c>
      <c r="X33" s="24">
        <v>32</v>
      </c>
      <c r="Y33" s="24">
        <v>594.5</v>
      </c>
      <c r="Z33" s="24">
        <v>15</v>
      </c>
      <c r="AA33" s="24">
        <v>-17</v>
      </c>
    </row>
    <row r="34" spans="1:27">
      <c r="A34" s="24" t="s">
        <v>2628</v>
      </c>
      <c r="B34" s="24" t="s">
        <v>49</v>
      </c>
      <c r="C34" s="24" t="s">
        <v>105</v>
      </c>
      <c r="D34" s="24">
        <v>115</v>
      </c>
      <c r="E34" s="24">
        <v>65</v>
      </c>
      <c r="F34" s="24">
        <v>95</v>
      </c>
      <c r="G34" s="24">
        <v>128</v>
      </c>
      <c r="H34" s="24">
        <v>116</v>
      </c>
      <c r="I34" s="24">
        <v>51</v>
      </c>
      <c r="J34" s="24">
        <v>84</v>
      </c>
      <c r="K34" s="24">
        <v>147</v>
      </c>
      <c r="L34" s="24">
        <v>84</v>
      </c>
      <c r="M34" s="24">
        <v>25</v>
      </c>
      <c r="N34" s="24">
        <v>87</v>
      </c>
      <c r="O34" s="24">
        <v>57</v>
      </c>
      <c r="P34" s="24">
        <v>66</v>
      </c>
      <c r="Q34" s="24">
        <v>604</v>
      </c>
      <c r="R34" s="24">
        <v>80</v>
      </c>
      <c r="S34" s="24">
        <v>54</v>
      </c>
      <c r="T34" s="24">
        <v>61</v>
      </c>
      <c r="U34" s="24">
        <v>172</v>
      </c>
      <c r="V34" s="24">
        <v>581</v>
      </c>
      <c r="W34" s="24">
        <v>1</v>
      </c>
      <c r="X34" s="24">
        <v>33</v>
      </c>
      <c r="Y34" s="24">
        <v>536</v>
      </c>
      <c r="Z34" s="24">
        <v>94</v>
      </c>
      <c r="AA34" s="24">
        <v>61</v>
      </c>
    </row>
    <row r="35" spans="1:27">
      <c r="A35" s="24" t="s">
        <v>1750</v>
      </c>
      <c r="B35" s="24" t="s">
        <v>9</v>
      </c>
      <c r="C35" s="24" t="s">
        <v>1618</v>
      </c>
      <c r="D35" s="24">
        <v>120</v>
      </c>
      <c r="E35" s="24">
        <v>21</v>
      </c>
      <c r="F35" s="24">
        <v>100</v>
      </c>
      <c r="G35" s="24">
        <v>86</v>
      </c>
      <c r="H35" s="24">
        <v>109</v>
      </c>
      <c r="I35" s="24">
        <v>114</v>
      </c>
      <c r="J35" s="24">
        <v>82</v>
      </c>
      <c r="K35" s="24">
        <v>174</v>
      </c>
      <c r="L35" s="24">
        <v>85</v>
      </c>
      <c r="M35" s="24">
        <v>23</v>
      </c>
      <c r="N35" s="24">
        <v>85</v>
      </c>
      <c r="O35" s="24">
        <v>96</v>
      </c>
      <c r="P35" s="24">
        <v>80</v>
      </c>
      <c r="Q35" s="24">
        <v>151</v>
      </c>
      <c r="R35" s="24">
        <v>75</v>
      </c>
      <c r="S35" s="24">
        <v>146</v>
      </c>
      <c r="T35" s="24">
        <v>50</v>
      </c>
      <c r="U35" s="24">
        <v>591</v>
      </c>
      <c r="V35" s="24">
        <v>581</v>
      </c>
      <c r="W35" s="24">
        <v>6</v>
      </c>
      <c r="X35" s="24">
        <v>33</v>
      </c>
      <c r="Y35" s="24">
        <v>566.5</v>
      </c>
      <c r="Z35" s="24">
        <v>32</v>
      </c>
      <c r="AA35" s="24">
        <v>-1</v>
      </c>
    </row>
    <row r="36" spans="1:27">
      <c r="A36" s="24" t="s">
        <v>827</v>
      </c>
      <c r="B36" s="24" t="s">
        <v>117</v>
      </c>
      <c r="C36" s="24" t="s">
        <v>118</v>
      </c>
      <c r="D36" s="24">
        <v>101</v>
      </c>
      <c r="E36" s="24">
        <v>481</v>
      </c>
      <c r="F36" s="24">
        <v>113</v>
      </c>
      <c r="G36" s="24">
        <v>31</v>
      </c>
      <c r="H36" s="24">
        <v>110</v>
      </c>
      <c r="I36" s="24">
        <v>108</v>
      </c>
      <c r="J36" s="24">
        <v>102</v>
      </c>
      <c r="K36" s="24">
        <v>12</v>
      </c>
      <c r="L36" s="24">
        <v>72</v>
      </c>
      <c r="M36" s="24">
        <v>115</v>
      </c>
      <c r="N36" s="24">
        <v>82</v>
      </c>
      <c r="O36" s="24">
        <v>166</v>
      </c>
      <c r="P36" s="24">
        <v>71</v>
      </c>
      <c r="Q36" s="24">
        <v>439</v>
      </c>
      <c r="R36" s="24">
        <v>57</v>
      </c>
      <c r="S36" s="24">
        <v>798</v>
      </c>
      <c r="T36" s="24">
        <v>48</v>
      </c>
      <c r="U36" s="24">
        <v>671</v>
      </c>
      <c r="V36" s="24">
        <v>580</v>
      </c>
      <c r="W36" s="24">
        <v>1</v>
      </c>
      <c r="X36" s="24">
        <v>35</v>
      </c>
      <c r="Y36" s="24">
        <v>578</v>
      </c>
      <c r="Z36" s="24">
        <v>24</v>
      </c>
      <c r="AA36" s="24">
        <v>-11</v>
      </c>
    </row>
    <row r="37" spans="1:27">
      <c r="A37" s="24" t="s">
        <v>1588</v>
      </c>
      <c r="B37" s="24" t="s">
        <v>10</v>
      </c>
      <c r="C37" s="24" t="s">
        <v>144</v>
      </c>
      <c r="D37" s="24">
        <v>120</v>
      </c>
      <c r="E37" s="24">
        <v>21</v>
      </c>
      <c r="F37" s="24">
        <v>98</v>
      </c>
      <c r="G37" s="24">
        <v>103</v>
      </c>
      <c r="H37" s="24">
        <v>108</v>
      </c>
      <c r="I37" s="24">
        <v>134</v>
      </c>
      <c r="J37" s="24">
        <v>88</v>
      </c>
      <c r="K37" s="24">
        <v>106</v>
      </c>
      <c r="L37" s="24">
        <v>80</v>
      </c>
      <c r="M37" s="24">
        <v>44</v>
      </c>
      <c r="N37" s="24">
        <v>85</v>
      </c>
      <c r="O37" s="24">
        <v>96</v>
      </c>
      <c r="P37" s="24">
        <v>88</v>
      </c>
      <c r="Q37" s="24">
        <v>15</v>
      </c>
      <c r="R37" s="24">
        <v>80</v>
      </c>
      <c r="S37" s="24">
        <v>54</v>
      </c>
      <c r="T37" s="24">
        <v>61</v>
      </c>
      <c r="U37" s="24">
        <v>172</v>
      </c>
      <c r="V37" s="24">
        <v>579</v>
      </c>
      <c r="W37" s="24">
        <v>27</v>
      </c>
      <c r="X37" s="24">
        <v>36</v>
      </c>
      <c r="Y37" s="24">
        <v>577</v>
      </c>
      <c r="Z37" s="24">
        <v>25</v>
      </c>
      <c r="AA37" s="24">
        <v>-11</v>
      </c>
    </row>
    <row r="38" spans="1:27">
      <c r="A38" s="24" t="s">
        <v>1545</v>
      </c>
      <c r="B38" s="24" t="s">
        <v>10</v>
      </c>
      <c r="C38" s="24" t="s">
        <v>137</v>
      </c>
      <c r="D38" s="24">
        <v>108</v>
      </c>
      <c r="E38" s="24">
        <v>212</v>
      </c>
      <c r="F38" s="24">
        <v>100</v>
      </c>
      <c r="G38" s="24">
        <v>86</v>
      </c>
      <c r="H38" s="24">
        <v>112</v>
      </c>
      <c r="I38" s="24">
        <v>88</v>
      </c>
      <c r="J38" s="24">
        <v>99</v>
      </c>
      <c r="K38" s="24">
        <v>25</v>
      </c>
      <c r="L38" s="24">
        <v>75</v>
      </c>
      <c r="M38" s="24">
        <v>83</v>
      </c>
      <c r="N38" s="24">
        <v>83</v>
      </c>
      <c r="O38" s="24">
        <v>145</v>
      </c>
      <c r="P38" s="24">
        <v>64</v>
      </c>
      <c r="Q38" s="24">
        <v>680</v>
      </c>
      <c r="R38" s="24">
        <v>76</v>
      </c>
      <c r="S38" s="24">
        <v>125</v>
      </c>
      <c r="T38" s="24">
        <v>64</v>
      </c>
      <c r="U38" s="24">
        <v>103</v>
      </c>
      <c r="V38" s="24">
        <v>577</v>
      </c>
      <c r="W38" s="24">
        <v>28</v>
      </c>
      <c r="X38" s="24">
        <v>37</v>
      </c>
      <c r="Y38" s="24">
        <v>536</v>
      </c>
      <c r="Z38" s="24">
        <v>94</v>
      </c>
      <c r="AA38" s="24">
        <v>57</v>
      </c>
    </row>
    <row r="39" spans="1:27">
      <c r="A39" s="24" t="s">
        <v>1716</v>
      </c>
      <c r="B39" s="24" t="s">
        <v>9</v>
      </c>
      <c r="C39" s="24" t="s">
        <v>170</v>
      </c>
      <c r="D39" s="24">
        <v>107</v>
      </c>
      <c r="E39" s="24">
        <v>242</v>
      </c>
      <c r="F39" s="24">
        <v>115</v>
      </c>
      <c r="G39" s="24">
        <v>25</v>
      </c>
      <c r="H39" s="24">
        <v>121</v>
      </c>
      <c r="I39" s="24">
        <v>23</v>
      </c>
      <c r="J39" s="24">
        <v>74</v>
      </c>
      <c r="K39" s="24">
        <v>317</v>
      </c>
      <c r="L39" s="24">
        <v>74</v>
      </c>
      <c r="M39" s="24">
        <v>94</v>
      </c>
      <c r="N39" s="24">
        <v>85</v>
      </c>
      <c r="O39" s="24">
        <v>96</v>
      </c>
      <c r="P39" s="24">
        <v>79</v>
      </c>
      <c r="Q39" s="24">
        <v>175</v>
      </c>
      <c r="R39" s="24">
        <v>66</v>
      </c>
      <c r="S39" s="24">
        <v>511</v>
      </c>
      <c r="T39" s="24">
        <v>62</v>
      </c>
      <c r="U39" s="24">
        <v>146</v>
      </c>
      <c r="V39" s="24">
        <v>576</v>
      </c>
      <c r="W39" s="24">
        <v>7</v>
      </c>
      <c r="X39" s="24">
        <v>38</v>
      </c>
      <c r="Y39" s="24">
        <v>601.5</v>
      </c>
      <c r="Z39" s="24">
        <v>13</v>
      </c>
      <c r="AA39" s="24">
        <v>-25</v>
      </c>
    </row>
    <row r="40" spans="1:27">
      <c r="A40" s="24" t="s">
        <v>1549</v>
      </c>
      <c r="B40" s="24" t="s">
        <v>10</v>
      </c>
      <c r="C40" s="24" t="s">
        <v>111</v>
      </c>
      <c r="D40" s="24">
        <v>96</v>
      </c>
      <c r="E40" s="24">
        <v>676</v>
      </c>
      <c r="F40" s="24">
        <v>98</v>
      </c>
      <c r="G40" s="24">
        <v>103</v>
      </c>
      <c r="H40" s="24">
        <v>112.5</v>
      </c>
      <c r="I40" s="24">
        <v>77</v>
      </c>
      <c r="J40" s="24">
        <v>94</v>
      </c>
      <c r="K40" s="24">
        <v>61</v>
      </c>
      <c r="L40" s="24">
        <v>79</v>
      </c>
      <c r="M40" s="24">
        <v>49</v>
      </c>
      <c r="N40" s="24">
        <v>96</v>
      </c>
      <c r="O40" s="24">
        <v>3</v>
      </c>
      <c r="P40" s="24">
        <v>73</v>
      </c>
      <c r="Q40" s="24">
        <v>359</v>
      </c>
      <c r="R40" s="24">
        <v>83</v>
      </c>
      <c r="S40" s="24">
        <v>22</v>
      </c>
      <c r="T40" s="24">
        <v>59</v>
      </c>
      <c r="U40" s="24">
        <v>233</v>
      </c>
      <c r="V40" s="24">
        <v>575.5</v>
      </c>
      <c r="W40" s="24">
        <v>29</v>
      </c>
      <c r="X40" s="24">
        <v>39</v>
      </c>
      <c r="Y40" s="24">
        <v>583</v>
      </c>
      <c r="Z40" s="24">
        <v>22</v>
      </c>
      <c r="AA40" s="24">
        <v>-17</v>
      </c>
    </row>
    <row r="41" spans="1:27">
      <c r="A41" s="24" t="s">
        <v>3326</v>
      </c>
      <c r="B41" s="24" t="s">
        <v>10</v>
      </c>
      <c r="C41" s="24" t="s">
        <v>172</v>
      </c>
      <c r="D41" s="24">
        <v>118</v>
      </c>
      <c r="E41" s="24">
        <v>33</v>
      </c>
      <c r="F41" s="24">
        <v>97</v>
      </c>
      <c r="G41" s="24">
        <v>112</v>
      </c>
      <c r="H41" s="24">
        <v>115</v>
      </c>
      <c r="I41" s="24">
        <v>58</v>
      </c>
      <c r="J41" s="24">
        <v>92</v>
      </c>
      <c r="K41" s="24">
        <v>74</v>
      </c>
      <c r="L41" s="24">
        <v>68</v>
      </c>
      <c r="M41" s="24">
        <v>165</v>
      </c>
      <c r="N41" s="24">
        <v>84</v>
      </c>
      <c r="O41" s="24">
        <v>123</v>
      </c>
      <c r="P41" s="24">
        <v>87</v>
      </c>
      <c r="Q41" s="24">
        <v>25</v>
      </c>
      <c r="R41" s="24">
        <v>65</v>
      </c>
      <c r="S41" s="24">
        <v>548</v>
      </c>
      <c r="T41" s="24">
        <v>60</v>
      </c>
      <c r="U41" s="24">
        <v>203</v>
      </c>
      <c r="V41" s="24">
        <v>574</v>
      </c>
      <c r="W41" s="24">
        <v>30</v>
      </c>
      <c r="X41" s="24">
        <v>40</v>
      </c>
      <c r="Y41" s="24">
        <v>549</v>
      </c>
      <c r="Z41" s="24">
        <v>63</v>
      </c>
      <c r="AA41" s="24">
        <v>23</v>
      </c>
    </row>
    <row r="42" spans="1:27">
      <c r="A42" s="24" t="s">
        <v>1570</v>
      </c>
      <c r="B42" s="24" t="s">
        <v>10</v>
      </c>
      <c r="C42" s="24" t="s">
        <v>82</v>
      </c>
      <c r="D42" s="24">
        <v>109</v>
      </c>
      <c r="E42" s="24">
        <v>185</v>
      </c>
      <c r="F42" s="24">
        <v>98</v>
      </c>
      <c r="G42" s="24">
        <v>103</v>
      </c>
      <c r="H42" s="24">
        <v>108</v>
      </c>
      <c r="I42" s="24">
        <v>134</v>
      </c>
      <c r="J42" s="24">
        <v>94</v>
      </c>
      <c r="K42" s="24">
        <v>61</v>
      </c>
      <c r="L42" s="24">
        <v>92</v>
      </c>
      <c r="M42" s="24">
        <v>2</v>
      </c>
      <c r="N42" s="24">
        <v>73</v>
      </c>
      <c r="O42" s="24">
        <v>393</v>
      </c>
      <c r="P42" s="24">
        <v>85</v>
      </c>
      <c r="Q42" s="24">
        <v>45</v>
      </c>
      <c r="R42" s="24">
        <v>80</v>
      </c>
      <c r="S42" s="24">
        <v>54</v>
      </c>
      <c r="T42" s="24">
        <v>76</v>
      </c>
      <c r="U42" s="24">
        <v>6</v>
      </c>
      <c r="V42" s="24">
        <v>574</v>
      </c>
      <c r="W42" s="24">
        <v>30</v>
      </c>
      <c r="X42" s="24">
        <v>40</v>
      </c>
      <c r="Y42" s="24">
        <v>563</v>
      </c>
      <c r="Z42" s="24">
        <v>38</v>
      </c>
      <c r="AA42" s="24">
        <v>-2</v>
      </c>
    </row>
    <row r="43" spans="1:27">
      <c r="A43" s="24" t="s">
        <v>1725</v>
      </c>
      <c r="B43" s="24" t="s">
        <v>9</v>
      </c>
      <c r="C43" s="24" t="s">
        <v>202</v>
      </c>
      <c r="D43" s="24">
        <v>103</v>
      </c>
      <c r="E43" s="24">
        <v>400</v>
      </c>
      <c r="F43" s="24">
        <v>105</v>
      </c>
      <c r="G43" s="24">
        <v>57</v>
      </c>
      <c r="H43" s="24">
        <v>128.5</v>
      </c>
      <c r="I43" s="24">
        <v>5</v>
      </c>
      <c r="J43" s="24">
        <v>81</v>
      </c>
      <c r="K43" s="24">
        <v>195</v>
      </c>
      <c r="L43" s="24">
        <v>67</v>
      </c>
      <c r="M43" s="24">
        <v>177</v>
      </c>
      <c r="N43" s="24">
        <v>89</v>
      </c>
      <c r="O43" s="24">
        <v>34</v>
      </c>
      <c r="P43" s="24">
        <v>86</v>
      </c>
      <c r="Q43" s="24">
        <v>34</v>
      </c>
      <c r="R43" s="24">
        <v>80</v>
      </c>
      <c r="S43" s="24">
        <v>54</v>
      </c>
      <c r="T43" s="24">
        <v>69</v>
      </c>
      <c r="U43" s="24">
        <v>43</v>
      </c>
      <c r="V43" s="24">
        <v>573.5</v>
      </c>
      <c r="W43" s="24">
        <v>8</v>
      </c>
      <c r="X43" s="24">
        <v>42</v>
      </c>
      <c r="Y43" s="24">
        <v>549</v>
      </c>
      <c r="Z43" s="24">
        <v>63</v>
      </c>
      <c r="AA43" s="24">
        <v>21</v>
      </c>
    </row>
    <row r="44" spans="1:27">
      <c r="A44" s="24" t="s">
        <v>354</v>
      </c>
      <c r="B44" s="24" t="s">
        <v>28</v>
      </c>
      <c r="C44" s="24" t="s">
        <v>355</v>
      </c>
      <c r="D44" s="24">
        <v>104</v>
      </c>
      <c r="E44" s="24">
        <v>357</v>
      </c>
      <c r="F44" s="24">
        <v>107</v>
      </c>
      <c r="G44" s="24">
        <v>46</v>
      </c>
      <c r="H44" s="24">
        <v>105</v>
      </c>
      <c r="I44" s="24">
        <v>172</v>
      </c>
      <c r="J44" s="24">
        <v>98</v>
      </c>
      <c r="K44" s="24">
        <v>34</v>
      </c>
      <c r="L44" s="24">
        <v>63</v>
      </c>
      <c r="M44" s="24">
        <v>262</v>
      </c>
      <c r="N44" s="24">
        <v>95</v>
      </c>
      <c r="O44" s="24">
        <v>4</v>
      </c>
      <c r="P44" s="24">
        <v>73</v>
      </c>
      <c r="Q44" s="24">
        <v>359</v>
      </c>
      <c r="R44" s="24">
        <v>63</v>
      </c>
      <c r="S44" s="24">
        <v>633</v>
      </c>
      <c r="T44" s="24">
        <v>59</v>
      </c>
      <c r="U44" s="24">
        <v>233</v>
      </c>
      <c r="V44" s="24">
        <v>572</v>
      </c>
      <c r="W44" s="24">
        <v>1</v>
      </c>
      <c r="X44" s="24">
        <v>43</v>
      </c>
      <c r="Y44" s="24">
        <v>546.5</v>
      </c>
      <c r="Z44" s="24">
        <v>70</v>
      </c>
      <c r="AA44" s="24">
        <v>27</v>
      </c>
    </row>
    <row r="45" spans="1:27">
      <c r="A45" s="24" t="s">
        <v>3265</v>
      </c>
      <c r="B45" s="24" t="s">
        <v>10</v>
      </c>
      <c r="C45" s="24" t="s">
        <v>3264</v>
      </c>
      <c r="D45" s="24">
        <v>108</v>
      </c>
      <c r="E45" s="24">
        <v>212</v>
      </c>
      <c r="F45" s="24">
        <v>96</v>
      </c>
      <c r="G45" s="24">
        <v>122</v>
      </c>
      <c r="H45" s="24">
        <v>107.5</v>
      </c>
      <c r="I45" s="24">
        <v>141</v>
      </c>
      <c r="J45" s="24">
        <v>103</v>
      </c>
      <c r="K45" s="24">
        <v>9</v>
      </c>
      <c r="L45" s="24">
        <v>71</v>
      </c>
      <c r="M45" s="24">
        <v>123</v>
      </c>
      <c r="N45" s="24">
        <v>86</v>
      </c>
      <c r="O45" s="24">
        <v>77</v>
      </c>
      <c r="P45" s="24">
        <v>89</v>
      </c>
      <c r="Q45" s="24">
        <v>8</v>
      </c>
      <c r="R45" s="24">
        <v>76</v>
      </c>
      <c r="S45" s="24">
        <v>125</v>
      </c>
      <c r="T45" s="24">
        <v>64</v>
      </c>
      <c r="U45" s="24">
        <v>103</v>
      </c>
      <c r="V45" s="24">
        <v>571.5</v>
      </c>
      <c r="W45" s="24">
        <v>32</v>
      </c>
      <c r="X45" s="24">
        <v>44</v>
      </c>
      <c r="Y45" s="24">
        <v>580.5</v>
      </c>
      <c r="Z45" s="24">
        <v>23</v>
      </c>
      <c r="AA45" s="24">
        <v>-21</v>
      </c>
    </row>
    <row r="46" spans="1:27">
      <c r="A46" s="24" t="s">
        <v>1568</v>
      </c>
      <c r="B46" s="24" t="s">
        <v>10</v>
      </c>
      <c r="C46" s="24" t="s">
        <v>85</v>
      </c>
      <c r="D46" s="24">
        <v>99</v>
      </c>
      <c r="E46" s="24">
        <v>571</v>
      </c>
      <c r="F46" s="24">
        <v>88</v>
      </c>
      <c r="G46" s="24">
        <v>206</v>
      </c>
      <c r="H46" s="24">
        <v>104</v>
      </c>
      <c r="I46" s="24">
        <v>188</v>
      </c>
      <c r="J46" s="24">
        <v>108</v>
      </c>
      <c r="K46" s="24">
        <v>4</v>
      </c>
      <c r="L46" s="24">
        <v>86</v>
      </c>
      <c r="M46" s="24">
        <v>17</v>
      </c>
      <c r="N46" s="24">
        <v>86</v>
      </c>
      <c r="O46" s="24">
        <v>77</v>
      </c>
      <c r="P46" s="24">
        <v>56</v>
      </c>
      <c r="Q46" s="24">
        <v>849</v>
      </c>
      <c r="R46" s="24">
        <v>46</v>
      </c>
      <c r="S46" s="24">
        <v>921</v>
      </c>
      <c r="T46" s="24">
        <v>73</v>
      </c>
      <c r="U46" s="24">
        <v>19</v>
      </c>
      <c r="V46" s="24">
        <v>571</v>
      </c>
      <c r="W46" s="24">
        <v>33</v>
      </c>
      <c r="X46" s="24">
        <v>45</v>
      </c>
      <c r="Y46" s="24">
        <v>545.5</v>
      </c>
      <c r="Z46" s="24">
        <v>72</v>
      </c>
      <c r="AA46" s="24">
        <v>27</v>
      </c>
    </row>
    <row r="47" spans="1:27">
      <c r="A47" s="24" t="s">
        <v>1522</v>
      </c>
      <c r="B47" s="24" t="s">
        <v>10</v>
      </c>
      <c r="C47" s="24" t="s">
        <v>1940</v>
      </c>
      <c r="D47" s="24">
        <v>111</v>
      </c>
      <c r="E47" s="24">
        <v>136</v>
      </c>
      <c r="F47" s="24">
        <v>96</v>
      </c>
      <c r="G47" s="24">
        <v>122</v>
      </c>
      <c r="H47" s="24">
        <v>92.5</v>
      </c>
      <c r="I47" s="24">
        <v>414</v>
      </c>
      <c r="J47" s="24">
        <v>97</v>
      </c>
      <c r="K47" s="24">
        <v>37</v>
      </c>
      <c r="L47" s="24">
        <v>83</v>
      </c>
      <c r="M47" s="24">
        <v>30</v>
      </c>
      <c r="N47" s="24">
        <v>89</v>
      </c>
      <c r="O47" s="24">
        <v>34</v>
      </c>
      <c r="P47" s="24">
        <v>85</v>
      </c>
      <c r="Q47" s="24">
        <v>45</v>
      </c>
      <c r="R47" s="24">
        <v>69</v>
      </c>
      <c r="S47" s="24">
        <v>367</v>
      </c>
      <c r="T47" s="24">
        <v>70</v>
      </c>
      <c r="U47" s="24">
        <v>37</v>
      </c>
      <c r="V47" s="24">
        <v>568.5</v>
      </c>
      <c r="W47" s="24">
        <v>34</v>
      </c>
      <c r="X47" s="24">
        <v>46</v>
      </c>
      <c r="Y47" s="24">
        <v>544.5</v>
      </c>
      <c r="Z47" s="24">
        <v>75</v>
      </c>
      <c r="AA47" s="24">
        <v>29</v>
      </c>
    </row>
    <row r="48" spans="1:27">
      <c r="A48" s="24" t="s">
        <v>1561</v>
      </c>
      <c r="B48" s="24" t="s">
        <v>10</v>
      </c>
      <c r="C48" s="24" t="s">
        <v>165</v>
      </c>
      <c r="D48" s="24">
        <v>114</v>
      </c>
      <c r="E48" s="24">
        <v>80</v>
      </c>
      <c r="F48" s="24">
        <v>91</v>
      </c>
      <c r="G48" s="24">
        <v>176</v>
      </c>
      <c r="H48" s="24">
        <v>123</v>
      </c>
      <c r="I48" s="24">
        <v>17</v>
      </c>
      <c r="J48" s="24">
        <v>92</v>
      </c>
      <c r="K48" s="24">
        <v>74</v>
      </c>
      <c r="L48" s="24">
        <v>62</v>
      </c>
      <c r="M48" s="24">
        <v>277</v>
      </c>
      <c r="N48" s="24">
        <v>85</v>
      </c>
      <c r="O48" s="24">
        <v>96</v>
      </c>
      <c r="P48" s="24">
        <v>68</v>
      </c>
      <c r="Q48" s="24">
        <v>541</v>
      </c>
      <c r="R48" s="24">
        <v>66</v>
      </c>
      <c r="S48" s="24">
        <v>511</v>
      </c>
      <c r="T48" s="24">
        <v>56</v>
      </c>
      <c r="U48" s="24">
        <v>352</v>
      </c>
      <c r="V48" s="24">
        <v>567</v>
      </c>
      <c r="W48" s="24">
        <v>35</v>
      </c>
      <c r="X48" s="24">
        <v>47</v>
      </c>
      <c r="Y48" s="24">
        <v>533.5</v>
      </c>
      <c r="Z48" s="24">
        <v>99</v>
      </c>
      <c r="AA48" s="24">
        <v>52</v>
      </c>
    </row>
    <row r="49" spans="1:27">
      <c r="A49" s="24" t="s">
        <v>993</v>
      </c>
      <c r="B49" s="24" t="s">
        <v>60</v>
      </c>
      <c r="C49" s="24" t="s">
        <v>994</v>
      </c>
      <c r="D49" s="24">
        <v>110</v>
      </c>
      <c r="E49" s="24">
        <v>159</v>
      </c>
      <c r="F49" s="24">
        <v>99</v>
      </c>
      <c r="G49" s="24">
        <v>93</v>
      </c>
      <c r="H49" s="24">
        <v>105.5</v>
      </c>
      <c r="I49" s="24">
        <v>168</v>
      </c>
      <c r="J49" s="24">
        <v>96</v>
      </c>
      <c r="K49" s="24">
        <v>43</v>
      </c>
      <c r="L49" s="24">
        <v>69</v>
      </c>
      <c r="M49" s="24">
        <v>152</v>
      </c>
      <c r="N49" s="24">
        <v>87</v>
      </c>
      <c r="O49" s="24">
        <v>57</v>
      </c>
      <c r="P49" s="24">
        <v>62</v>
      </c>
      <c r="Q49" s="24">
        <v>729</v>
      </c>
      <c r="R49" s="24">
        <v>71</v>
      </c>
      <c r="S49" s="24">
        <v>290</v>
      </c>
      <c r="T49" s="24">
        <v>67</v>
      </c>
      <c r="U49" s="24">
        <v>66</v>
      </c>
      <c r="V49" s="24">
        <v>566.5</v>
      </c>
      <c r="W49" s="24">
        <v>1</v>
      </c>
      <c r="X49" s="24">
        <v>48</v>
      </c>
      <c r="Y49" s="24">
        <v>528</v>
      </c>
      <c r="Z49" s="24">
        <v>114</v>
      </c>
      <c r="AA49" s="24">
        <v>66</v>
      </c>
    </row>
    <row r="50" spans="1:27">
      <c r="A50" s="24" t="s">
        <v>1747</v>
      </c>
      <c r="B50" s="24" t="s">
        <v>9</v>
      </c>
      <c r="C50" s="24" t="s">
        <v>1611</v>
      </c>
      <c r="D50" s="24">
        <v>111</v>
      </c>
      <c r="E50" s="24">
        <v>136</v>
      </c>
      <c r="F50" s="24">
        <v>77</v>
      </c>
      <c r="G50" s="24">
        <v>369</v>
      </c>
      <c r="H50" s="24">
        <v>123.5</v>
      </c>
      <c r="I50" s="24">
        <v>15</v>
      </c>
      <c r="J50" s="24">
        <v>80</v>
      </c>
      <c r="K50" s="24">
        <v>207</v>
      </c>
      <c r="L50" s="24">
        <v>90</v>
      </c>
      <c r="M50" s="24">
        <v>5</v>
      </c>
      <c r="N50" s="24">
        <v>85</v>
      </c>
      <c r="O50" s="24">
        <v>96</v>
      </c>
      <c r="P50" s="24">
        <v>86</v>
      </c>
      <c r="Q50" s="24">
        <v>34</v>
      </c>
      <c r="R50" s="24">
        <v>80</v>
      </c>
      <c r="S50" s="24">
        <v>54</v>
      </c>
      <c r="T50" s="24">
        <v>76</v>
      </c>
      <c r="U50" s="24">
        <v>6</v>
      </c>
      <c r="V50" s="24">
        <v>566.5</v>
      </c>
      <c r="W50" s="24">
        <v>9</v>
      </c>
      <c r="X50" s="24">
        <v>48</v>
      </c>
      <c r="Y50" s="24">
        <v>561</v>
      </c>
      <c r="Z50" s="24">
        <v>42</v>
      </c>
      <c r="AA50" s="24">
        <v>-6</v>
      </c>
    </row>
    <row r="51" spans="1:27">
      <c r="A51" s="24" t="s">
        <v>1035</v>
      </c>
      <c r="B51" s="24" t="s">
        <v>68</v>
      </c>
      <c r="C51" s="24" t="s">
        <v>186</v>
      </c>
      <c r="D51" s="24">
        <v>114</v>
      </c>
      <c r="E51" s="24">
        <v>80</v>
      </c>
      <c r="F51" s="24">
        <v>99</v>
      </c>
      <c r="G51" s="24">
        <v>93</v>
      </c>
      <c r="H51" s="24">
        <v>98</v>
      </c>
      <c r="I51" s="24">
        <v>294</v>
      </c>
      <c r="J51" s="24">
        <v>82</v>
      </c>
      <c r="K51" s="24">
        <v>174</v>
      </c>
      <c r="L51" s="24">
        <v>86</v>
      </c>
      <c r="M51" s="24">
        <v>17</v>
      </c>
      <c r="N51" s="24">
        <v>86</v>
      </c>
      <c r="O51" s="24">
        <v>77</v>
      </c>
      <c r="P51" s="24">
        <v>72</v>
      </c>
      <c r="Q51" s="24">
        <v>396</v>
      </c>
      <c r="R51" s="24">
        <v>74</v>
      </c>
      <c r="S51" s="24">
        <v>174</v>
      </c>
      <c r="T51" s="24">
        <v>48</v>
      </c>
      <c r="U51" s="24">
        <v>671</v>
      </c>
      <c r="V51" s="24">
        <v>565</v>
      </c>
      <c r="W51" s="24">
        <v>1</v>
      </c>
      <c r="X51" s="24">
        <v>50</v>
      </c>
      <c r="Y51" s="24">
        <v>540.5</v>
      </c>
      <c r="Z51" s="24">
        <v>85</v>
      </c>
      <c r="AA51" s="24">
        <v>35</v>
      </c>
    </row>
    <row r="52" spans="1:27">
      <c r="A52" s="24" t="s">
        <v>1759</v>
      </c>
      <c r="B52" s="24" t="s">
        <v>9</v>
      </c>
      <c r="C52" s="24" t="s">
        <v>1760</v>
      </c>
      <c r="D52" s="24">
        <v>116</v>
      </c>
      <c r="E52" s="24">
        <v>47</v>
      </c>
      <c r="F52" s="24">
        <v>105</v>
      </c>
      <c r="G52" s="24">
        <v>57</v>
      </c>
      <c r="H52" s="24">
        <v>83.5</v>
      </c>
      <c r="I52" s="24">
        <v>633</v>
      </c>
      <c r="J52" s="24">
        <v>100</v>
      </c>
      <c r="K52" s="24">
        <v>19</v>
      </c>
      <c r="L52" s="24">
        <v>79</v>
      </c>
      <c r="M52" s="24">
        <v>49</v>
      </c>
      <c r="N52" s="24">
        <v>81</v>
      </c>
      <c r="O52" s="24">
        <v>183</v>
      </c>
      <c r="P52" s="24">
        <v>73</v>
      </c>
      <c r="Q52" s="24">
        <v>359</v>
      </c>
      <c r="R52" s="24">
        <v>74</v>
      </c>
      <c r="S52" s="24">
        <v>174</v>
      </c>
      <c r="T52" s="24">
        <v>38</v>
      </c>
      <c r="U52" s="24">
        <v>905</v>
      </c>
      <c r="V52" s="24">
        <v>564.5</v>
      </c>
      <c r="W52" s="24">
        <v>10</v>
      </c>
      <c r="X52" s="24">
        <v>51</v>
      </c>
      <c r="Y52" s="24">
        <v>551</v>
      </c>
      <c r="Z52" s="24">
        <v>61</v>
      </c>
      <c r="AA52" s="24">
        <v>10</v>
      </c>
    </row>
    <row r="53" spans="1:27">
      <c r="A53" s="24" t="s">
        <v>1577</v>
      </c>
      <c r="B53" s="24" t="s">
        <v>10</v>
      </c>
      <c r="C53" s="24" t="s">
        <v>80</v>
      </c>
      <c r="D53" s="24">
        <v>127</v>
      </c>
      <c r="E53" s="24">
        <v>2</v>
      </c>
      <c r="F53" s="24">
        <v>78</v>
      </c>
      <c r="G53" s="24">
        <v>353</v>
      </c>
      <c r="H53" s="24">
        <v>112.5</v>
      </c>
      <c r="I53" s="24">
        <v>77</v>
      </c>
      <c r="J53" s="24">
        <v>92</v>
      </c>
      <c r="K53" s="24">
        <v>74</v>
      </c>
      <c r="L53" s="24">
        <v>75</v>
      </c>
      <c r="M53" s="24">
        <v>83</v>
      </c>
      <c r="N53" s="24">
        <v>80</v>
      </c>
      <c r="O53" s="24">
        <v>205</v>
      </c>
      <c r="P53" s="24">
        <v>90</v>
      </c>
      <c r="Q53" s="24">
        <v>4</v>
      </c>
      <c r="R53" s="24">
        <v>69</v>
      </c>
      <c r="S53" s="24">
        <v>367</v>
      </c>
      <c r="T53" s="24">
        <v>58</v>
      </c>
      <c r="U53" s="24">
        <v>278</v>
      </c>
      <c r="V53" s="24">
        <v>564.5</v>
      </c>
      <c r="W53" s="24">
        <v>36</v>
      </c>
      <c r="X53" s="24">
        <v>51</v>
      </c>
      <c r="Y53" s="24">
        <v>567.5</v>
      </c>
      <c r="Z53" s="24">
        <v>30</v>
      </c>
      <c r="AA53" s="24">
        <v>-21</v>
      </c>
    </row>
    <row r="54" spans="1:27">
      <c r="A54" s="24" t="s">
        <v>1622</v>
      </c>
      <c r="B54" s="24" t="s">
        <v>10</v>
      </c>
      <c r="C54" s="24" t="s">
        <v>30</v>
      </c>
      <c r="D54" s="24">
        <v>113</v>
      </c>
      <c r="E54" s="24">
        <v>95</v>
      </c>
      <c r="F54" s="24">
        <v>88</v>
      </c>
      <c r="G54" s="24">
        <v>206</v>
      </c>
      <c r="H54" s="24">
        <v>109</v>
      </c>
      <c r="I54" s="24">
        <v>114</v>
      </c>
      <c r="J54" s="24">
        <v>95</v>
      </c>
      <c r="K54" s="24">
        <v>50</v>
      </c>
      <c r="L54" s="24">
        <v>74</v>
      </c>
      <c r="M54" s="24">
        <v>94</v>
      </c>
      <c r="N54" s="24">
        <v>85</v>
      </c>
      <c r="O54" s="24">
        <v>96</v>
      </c>
      <c r="P54" s="24">
        <v>87</v>
      </c>
      <c r="Q54" s="24">
        <v>25</v>
      </c>
      <c r="R54" s="24">
        <v>85</v>
      </c>
      <c r="S54" s="24">
        <v>11</v>
      </c>
      <c r="T54" s="24">
        <v>74</v>
      </c>
      <c r="U54" s="24">
        <v>14</v>
      </c>
      <c r="V54" s="24">
        <v>564</v>
      </c>
      <c r="W54" s="24">
        <v>37</v>
      </c>
      <c r="X54" s="24">
        <v>53</v>
      </c>
      <c r="Y54" s="24">
        <v>568</v>
      </c>
      <c r="Z54" s="24">
        <v>29</v>
      </c>
      <c r="AA54" s="24">
        <v>-24</v>
      </c>
    </row>
    <row r="55" spans="1:27">
      <c r="A55" s="24" t="s">
        <v>1594</v>
      </c>
      <c r="B55" s="24" t="s">
        <v>10</v>
      </c>
      <c r="C55" s="24" t="s">
        <v>78</v>
      </c>
      <c r="D55" s="24">
        <v>106</v>
      </c>
      <c r="E55" s="24">
        <v>287</v>
      </c>
      <c r="F55" s="24">
        <v>131</v>
      </c>
      <c r="G55" s="24">
        <v>6</v>
      </c>
      <c r="H55" s="24">
        <v>90</v>
      </c>
      <c r="I55" s="24">
        <v>482</v>
      </c>
      <c r="J55" s="24">
        <v>89</v>
      </c>
      <c r="K55" s="24">
        <v>97</v>
      </c>
      <c r="L55" s="24">
        <v>70</v>
      </c>
      <c r="M55" s="24">
        <v>136</v>
      </c>
      <c r="N55" s="24">
        <v>78</v>
      </c>
      <c r="O55" s="24">
        <v>250</v>
      </c>
      <c r="P55" s="24">
        <v>81</v>
      </c>
      <c r="Q55" s="24">
        <v>124</v>
      </c>
      <c r="R55" s="24">
        <v>74</v>
      </c>
      <c r="S55" s="24">
        <v>174</v>
      </c>
      <c r="T55" s="24">
        <v>60</v>
      </c>
      <c r="U55" s="24">
        <v>203</v>
      </c>
      <c r="V55" s="24">
        <v>564</v>
      </c>
      <c r="W55" s="24">
        <v>37</v>
      </c>
      <c r="X55" s="24">
        <v>53</v>
      </c>
      <c r="Y55" s="24">
        <v>541.5</v>
      </c>
      <c r="Z55" s="24">
        <v>84</v>
      </c>
      <c r="AA55" s="24">
        <v>31</v>
      </c>
    </row>
    <row r="56" spans="1:27">
      <c r="A56" s="24" t="s">
        <v>1739</v>
      </c>
      <c r="B56" s="24" t="s">
        <v>9</v>
      </c>
      <c r="C56" s="24" t="s">
        <v>192</v>
      </c>
      <c r="D56" s="24">
        <v>94</v>
      </c>
      <c r="E56" s="24">
        <v>733</v>
      </c>
      <c r="F56" s="24">
        <v>93</v>
      </c>
      <c r="G56" s="24">
        <v>155</v>
      </c>
      <c r="H56" s="24">
        <v>121</v>
      </c>
      <c r="I56" s="24">
        <v>23</v>
      </c>
      <c r="J56" s="24">
        <v>92</v>
      </c>
      <c r="K56" s="24">
        <v>74</v>
      </c>
      <c r="L56" s="24">
        <v>87</v>
      </c>
      <c r="M56" s="24">
        <v>16</v>
      </c>
      <c r="N56" s="24">
        <v>77</v>
      </c>
      <c r="O56" s="24">
        <v>275</v>
      </c>
      <c r="P56" s="24">
        <v>81</v>
      </c>
      <c r="Q56" s="24">
        <v>124</v>
      </c>
      <c r="R56" s="24">
        <v>66</v>
      </c>
      <c r="S56" s="24">
        <v>511</v>
      </c>
      <c r="T56" s="24">
        <v>53</v>
      </c>
      <c r="U56" s="24">
        <v>470</v>
      </c>
      <c r="V56" s="24">
        <v>564</v>
      </c>
      <c r="W56" s="24">
        <v>11</v>
      </c>
      <c r="X56" s="24">
        <v>53</v>
      </c>
      <c r="Y56" s="24">
        <v>539</v>
      </c>
      <c r="Z56" s="24">
        <v>89</v>
      </c>
      <c r="AA56" s="24">
        <v>36</v>
      </c>
    </row>
    <row r="57" spans="1:27">
      <c r="A57" s="24" t="s">
        <v>1524</v>
      </c>
      <c r="B57" s="24" t="s">
        <v>10</v>
      </c>
      <c r="C57" s="24" t="s">
        <v>42</v>
      </c>
      <c r="D57" s="24">
        <v>110</v>
      </c>
      <c r="E57" s="24">
        <v>159</v>
      </c>
      <c r="F57" s="24">
        <v>82</v>
      </c>
      <c r="G57" s="24">
        <v>290</v>
      </c>
      <c r="H57" s="24">
        <v>117.5</v>
      </c>
      <c r="I57" s="24">
        <v>42</v>
      </c>
      <c r="J57" s="24">
        <v>99</v>
      </c>
      <c r="K57" s="24">
        <v>25</v>
      </c>
      <c r="L57" s="24">
        <v>68</v>
      </c>
      <c r="M57" s="24">
        <v>165</v>
      </c>
      <c r="N57" s="24">
        <v>87</v>
      </c>
      <c r="O57" s="24">
        <v>57</v>
      </c>
      <c r="P57" s="24">
        <v>75</v>
      </c>
      <c r="Q57" s="24">
        <v>289</v>
      </c>
      <c r="R57" s="24">
        <v>83</v>
      </c>
      <c r="S57" s="24">
        <v>22</v>
      </c>
      <c r="T57" s="24">
        <v>66</v>
      </c>
      <c r="U57" s="24">
        <v>80</v>
      </c>
      <c r="V57" s="24">
        <v>563.5</v>
      </c>
      <c r="W57" s="24">
        <v>39</v>
      </c>
      <c r="X57" s="24">
        <v>56</v>
      </c>
      <c r="Y57" s="24">
        <v>550.5</v>
      </c>
      <c r="Z57" s="24">
        <v>62</v>
      </c>
      <c r="AA57" s="24">
        <v>6</v>
      </c>
    </row>
    <row r="58" spans="1:27">
      <c r="A58" s="24" t="s">
        <v>2719</v>
      </c>
      <c r="B58" s="24" t="s">
        <v>49</v>
      </c>
      <c r="C58" s="24" t="s">
        <v>2717</v>
      </c>
      <c r="D58" s="24">
        <v>98</v>
      </c>
      <c r="E58" s="24">
        <v>611</v>
      </c>
      <c r="F58" s="24">
        <v>111</v>
      </c>
      <c r="G58" s="24">
        <v>35</v>
      </c>
      <c r="H58" s="24">
        <v>92.5</v>
      </c>
      <c r="I58" s="24">
        <v>414</v>
      </c>
      <c r="J58" s="24">
        <v>96</v>
      </c>
      <c r="K58" s="24">
        <v>43</v>
      </c>
      <c r="L58" s="24">
        <v>86</v>
      </c>
      <c r="M58" s="24">
        <v>17</v>
      </c>
      <c r="N58" s="24">
        <v>80</v>
      </c>
      <c r="O58" s="24">
        <v>205</v>
      </c>
      <c r="P58" s="24">
        <v>65</v>
      </c>
      <c r="Q58" s="24">
        <v>651</v>
      </c>
      <c r="R58" s="24">
        <v>62</v>
      </c>
      <c r="S58" s="24">
        <v>672</v>
      </c>
      <c r="T58" s="24">
        <v>50</v>
      </c>
      <c r="U58" s="24">
        <v>591</v>
      </c>
      <c r="V58" s="24">
        <v>563.5</v>
      </c>
      <c r="W58" s="24">
        <v>2</v>
      </c>
      <c r="X58" s="24">
        <v>56</v>
      </c>
      <c r="Y58" s="24">
        <v>544</v>
      </c>
      <c r="Z58" s="24">
        <v>76</v>
      </c>
      <c r="AA58" s="24">
        <v>20</v>
      </c>
    </row>
    <row r="59" spans="1:27">
      <c r="A59" s="24" t="s">
        <v>1713</v>
      </c>
      <c r="B59" s="24" t="s">
        <v>9</v>
      </c>
      <c r="C59" s="24" t="s">
        <v>35</v>
      </c>
      <c r="D59" s="24">
        <v>90</v>
      </c>
      <c r="E59" s="24">
        <v>815</v>
      </c>
      <c r="F59" s="24">
        <v>99</v>
      </c>
      <c r="G59" s="24">
        <v>93</v>
      </c>
      <c r="H59" s="24">
        <v>111</v>
      </c>
      <c r="I59" s="24">
        <v>95</v>
      </c>
      <c r="J59" s="24">
        <v>90</v>
      </c>
      <c r="K59" s="24">
        <v>90</v>
      </c>
      <c r="L59" s="24">
        <v>86</v>
      </c>
      <c r="M59" s="24">
        <v>17</v>
      </c>
      <c r="N59" s="24">
        <v>87</v>
      </c>
      <c r="O59" s="24">
        <v>57</v>
      </c>
      <c r="P59" s="24">
        <v>47</v>
      </c>
      <c r="Q59" s="24">
        <v>925</v>
      </c>
      <c r="R59" s="24">
        <v>74</v>
      </c>
      <c r="S59" s="24">
        <v>174</v>
      </c>
      <c r="T59" s="24">
        <v>63</v>
      </c>
      <c r="U59" s="24">
        <v>123</v>
      </c>
      <c r="V59" s="24">
        <v>563</v>
      </c>
      <c r="W59" s="24">
        <v>12</v>
      </c>
      <c r="X59" s="24">
        <v>58</v>
      </c>
      <c r="Y59" s="24">
        <v>562</v>
      </c>
      <c r="Z59" s="24">
        <v>40</v>
      </c>
      <c r="AA59" s="24">
        <v>-18</v>
      </c>
    </row>
    <row r="60" spans="1:27">
      <c r="A60" s="24" t="s">
        <v>1696</v>
      </c>
      <c r="B60" s="24" t="s">
        <v>9</v>
      </c>
      <c r="C60" s="24" t="s">
        <v>611</v>
      </c>
      <c r="D60" s="24">
        <v>96</v>
      </c>
      <c r="E60" s="24">
        <v>676</v>
      </c>
      <c r="F60" s="24">
        <v>102</v>
      </c>
      <c r="G60" s="24">
        <v>72</v>
      </c>
      <c r="H60" s="24">
        <v>110</v>
      </c>
      <c r="I60" s="24">
        <v>108</v>
      </c>
      <c r="J60" s="24">
        <v>93</v>
      </c>
      <c r="K60" s="24">
        <v>68</v>
      </c>
      <c r="L60" s="24">
        <v>77</v>
      </c>
      <c r="M60" s="24">
        <v>68</v>
      </c>
      <c r="N60" s="24">
        <v>85</v>
      </c>
      <c r="O60" s="24">
        <v>96</v>
      </c>
      <c r="P60" s="24">
        <v>66</v>
      </c>
      <c r="Q60" s="24">
        <v>604</v>
      </c>
      <c r="R60" s="24">
        <v>75</v>
      </c>
      <c r="S60" s="24">
        <v>146</v>
      </c>
      <c r="T60" s="24">
        <v>55</v>
      </c>
      <c r="U60" s="24">
        <v>392</v>
      </c>
      <c r="V60" s="24">
        <v>563</v>
      </c>
      <c r="W60" s="24">
        <v>12</v>
      </c>
      <c r="X60" s="24">
        <v>58</v>
      </c>
      <c r="Y60" s="24">
        <v>554</v>
      </c>
      <c r="Z60" s="24">
        <v>53</v>
      </c>
      <c r="AA60" s="24">
        <v>-5</v>
      </c>
    </row>
    <row r="61" spans="1:27">
      <c r="A61" s="24" t="s">
        <v>2659</v>
      </c>
      <c r="B61" s="24" t="s">
        <v>49</v>
      </c>
      <c r="C61" s="24" t="s">
        <v>162</v>
      </c>
      <c r="D61" s="24">
        <v>113</v>
      </c>
      <c r="E61" s="24">
        <v>95</v>
      </c>
      <c r="F61" s="24">
        <v>96</v>
      </c>
      <c r="G61" s="24">
        <v>122</v>
      </c>
      <c r="H61" s="24">
        <v>106.5</v>
      </c>
      <c r="I61" s="24">
        <v>156</v>
      </c>
      <c r="J61" s="24">
        <v>87</v>
      </c>
      <c r="K61" s="24">
        <v>114</v>
      </c>
      <c r="L61" s="24">
        <v>75</v>
      </c>
      <c r="M61" s="24">
        <v>83</v>
      </c>
      <c r="N61" s="24">
        <v>85</v>
      </c>
      <c r="O61" s="24">
        <v>96</v>
      </c>
      <c r="P61" s="24">
        <v>77</v>
      </c>
      <c r="Q61" s="24">
        <v>240</v>
      </c>
      <c r="R61" s="24">
        <v>80</v>
      </c>
      <c r="S61" s="24">
        <v>54</v>
      </c>
      <c r="T61" s="24">
        <v>59</v>
      </c>
      <c r="U61" s="24">
        <v>233</v>
      </c>
      <c r="V61" s="24">
        <v>562.5</v>
      </c>
      <c r="W61" s="24">
        <v>3</v>
      </c>
      <c r="X61" s="24">
        <v>60</v>
      </c>
      <c r="Y61" s="24">
        <v>592.5</v>
      </c>
      <c r="Z61" s="24">
        <v>18</v>
      </c>
      <c r="AA61" s="24">
        <v>-42</v>
      </c>
    </row>
    <row r="62" spans="1:27">
      <c r="A62" s="24" t="s">
        <v>3255</v>
      </c>
      <c r="B62" s="24" t="s">
        <v>19</v>
      </c>
      <c r="C62" s="24" t="s">
        <v>498</v>
      </c>
      <c r="D62" s="24">
        <v>105</v>
      </c>
      <c r="E62" s="24">
        <v>325</v>
      </c>
      <c r="F62" s="24">
        <v>72</v>
      </c>
      <c r="G62" s="24">
        <v>458</v>
      </c>
      <c r="H62" s="24">
        <v>130.5</v>
      </c>
      <c r="I62" s="24">
        <v>4</v>
      </c>
      <c r="J62" s="24">
        <v>96</v>
      </c>
      <c r="K62" s="24">
        <v>43</v>
      </c>
      <c r="L62" s="24">
        <v>79</v>
      </c>
      <c r="M62" s="24">
        <v>49</v>
      </c>
      <c r="N62" s="24">
        <v>80</v>
      </c>
      <c r="O62" s="24">
        <v>205</v>
      </c>
      <c r="P62" s="24">
        <v>78</v>
      </c>
      <c r="Q62" s="24">
        <v>209</v>
      </c>
      <c r="R62" s="24">
        <v>81</v>
      </c>
      <c r="S62" s="24">
        <v>42</v>
      </c>
      <c r="T62" s="24">
        <v>73</v>
      </c>
      <c r="U62" s="24">
        <v>19</v>
      </c>
      <c r="V62" s="24">
        <v>562.5</v>
      </c>
      <c r="W62" s="24">
        <v>1</v>
      </c>
      <c r="X62" s="24">
        <v>60</v>
      </c>
      <c r="Y62" s="24">
        <v>564</v>
      </c>
      <c r="Z62" s="24">
        <v>35</v>
      </c>
      <c r="AA62" s="24">
        <v>-25</v>
      </c>
    </row>
    <row r="63" spans="1:27">
      <c r="A63" s="24" t="s">
        <v>1742</v>
      </c>
      <c r="B63" s="24" t="s">
        <v>9</v>
      </c>
      <c r="C63" s="24" t="s">
        <v>1608</v>
      </c>
      <c r="D63" s="24">
        <v>106</v>
      </c>
      <c r="E63" s="24">
        <v>287</v>
      </c>
      <c r="F63" s="24">
        <v>102</v>
      </c>
      <c r="G63" s="24">
        <v>72</v>
      </c>
      <c r="H63" s="24">
        <v>104</v>
      </c>
      <c r="I63" s="24">
        <v>188</v>
      </c>
      <c r="J63" s="24">
        <v>87</v>
      </c>
      <c r="K63" s="24">
        <v>114</v>
      </c>
      <c r="L63" s="24">
        <v>70</v>
      </c>
      <c r="M63" s="24">
        <v>136</v>
      </c>
      <c r="N63" s="24">
        <v>93</v>
      </c>
      <c r="O63" s="24">
        <v>8</v>
      </c>
      <c r="P63" s="24">
        <v>74</v>
      </c>
      <c r="Q63" s="24">
        <v>326</v>
      </c>
      <c r="R63" s="24">
        <v>70</v>
      </c>
      <c r="S63" s="24">
        <v>327</v>
      </c>
      <c r="T63" s="24">
        <v>49</v>
      </c>
      <c r="U63" s="24">
        <v>633</v>
      </c>
      <c r="V63" s="24">
        <v>562</v>
      </c>
      <c r="W63" s="24">
        <v>14</v>
      </c>
      <c r="X63" s="24">
        <v>62</v>
      </c>
      <c r="Y63" s="24">
        <v>560.5</v>
      </c>
      <c r="Z63" s="24">
        <v>44</v>
      </c>
      <c r="AA63" s="24">
        <v>-18</v>
      </c>
    </row>
    <row r="64" spans="1:27">
      <c r="A64" s="24" t="s">
        <v>1592</v>
      </c>
      <c r="B64" s="24" t="s">
        <v>10</v>
      </c>
      <c r="C64" s="24" t="s">
        <v>195</v>
      </c>
      <c r="D64" s="24">
        <v>101</v>
      </c>
      <c r="E64" s="24">
        <v>481</v>
      </c>
      <c r="F64" s="24">
        <v>111</v>
      </c>
      <c r="G64" s="24">
        <v>35</v>
      </c>
      <c r="H64" s="24">
        <v>101</v>
      </c>
      <c r="I64" s="24">
        <v>234</v>
      </c>
      <c r="J64" s="24">
        <v>94</v>
      </c>
      <c r="K64" s="24">
        <v>61</v>
      </c>
      <c r="L64" s="24">
        <v>66</v>
      </c>
      <c r="M64" s="24">
        <v>204</v>
      </c>
      <c r="N64" s="24">
        <v>89</v>
      </c>
      <c r="O64" s="24">
        <v>34</v>
      </c>
      <c r="P64" s="24">
        <v>88</v>
      </c>
      <c r="Q64" s="24">
        <v>15</v>
      </c>
      <c r="R64" s="24">
        <v>64</v>
      </c>
      <c r="S64" s="24">
        <v>586</v>
      </c>
      <c r="T64" s="24">
        <v>60</v>
      </c>
      <c r="U64" s="24">
        <v>203</v>
      </c>
      <c r="V64" s="24">
        <v>562</v>
      </c>
      <c r="W64" s="24">
        <v>40</v>
      </c>
      <c r="X64" s="24">
        <v>62</v>
      </c>
      <c r="Y64" s="24">
        <v>525</v>
      </c>
      <c r="Z64" s="24">
        <v>120</v>
      </c>
      <c r="AA64" s="24">
        <v>58</v>
      </c>
    </row>
    <row r="65" spans="1:27">
      <c r="A65" s="24" t="s">
        <v>1115</v>
      </c>
      <c r="B65" s="24" t="s">
        <v>68</v>
      </c>
      <c r="C65" s="24" t="s">
        <v>1683</v>
      </c>
      <c r="D65" s="24">
        <v>107</v>
      </c>
      <c r="E65" s="24">
        <v>242</v>
      </c>
      <c r="F65" s="24">
        <v>107</v>
      </c>
      <c r="G65" s="24">
        <v>46</v>
      </c>
      <c r="H65" s="24">
        <v>114</v>
      </c>
      <c r="I65" s="24">
        <v>67</v>
      </c>
      <c r="J65" s="24">
        <v>91</v>
      </c>
      <c r="K65" s="24">
        <v>84</v>
      </c>
      <c r="L65" s="24">
        <v>66</v>
      </c>
      <c r="M65" s="24">
        <v>204</v>
      </c>
      <c r="N65" s="24">
        <v>77</v>
      </c>
      <c r="O65" s="24">
        <v>275</v>
      </c>
      <c r="P65" s="24">
        <v>77</v>
      </c>
      <c r="Q65" s="24">
        <v>240</v>
      </c>
      <c r="R65" s="24">
        <v>73</v>
      </c>
      <c r="S65" s="24">
        <v>216</v>
      </c>
      <c r="T65" s="24">
        <v>59</v>
      </c>
      <c r="U65" s="24">
        <v>233</v>
      </c>
      <c r="V65" s="24">
        <v>562</v>
      </c>
      <c r="W65" s="24">
        <v>2</v>
      </c>
      <c r="X65" s="24">
        <v>62</v>
      </c>
      <c r="Y65" s="24">
        <v>524.5</v>
      </c>
      <c r="Z65" s="24">
        <v>122</v>
      </c>
      <c r="AA65" s="24">
        <v>60</v>
      </c>
    </row>
    <row r="66" spans="1:27">
      <c r="A66" s="24" t="s">
        <v>1661</v>
      </c>
      <c r="B66" s="24" t="s">
        <v>9</v>
      </c>
      <c r="C66" s="24" t="s">
        <v>207</v>
      </c>
      <c r="D66" s="24">
        <v>111</v>
      </c>
      <c r="E66" s="24">
        <v>136</v>
      </c>
      <c r="F66" s="24">
        <v>98</v>
      </c>
      <c r="G66" s="24">
        <v>103</v>
      </c>
      <c r="H66" s="24">
        <v>95.5</v>
      </c>
      <c r="I66" s="24">
        <v>357</v>
      </c>
      <c r="J66" s="24">
        <v>88</v>
      </c>
      <c r="K66" s="24">
        <v>106</v>
      </c>
      <c r="L66" s="24">
        <v>81</v>
      </c>
      <c r="M66" s="24">
        <v>37</v>
      </c>
      <c r="N66" s="24">
        <v>88</v>
      </c>
      <c r="O66" s="24">
        <v>44</v>
      </c>
      <c r="P66" s="24">
        <v>78</v>
      </c>
      <c r="Q66" s="24">
        <v>209</v>
      </c>
      <c r="R66" s="24">
        <v>89</v>
      </c>
      <c r="S66" s="24">
        <v>2</v>
      </c>
      <c r="T66" s="24">
        <v>72</v>
      </c>
      <c r="U66" s="24">
        <v>25</v>
      </c>
      <c r="V66" s="24">
        <v>561.5</v>
      </c>
      <c r="W66" s="24">
        <v>15</v>
      </c>
      <c r="X66" s="24">
        <v>65</v>
      </c>
      <c r="Y66" s="24">
        <v>553.5</v>
      </c>
      <c r="Z66" s="24">
        <v>55</v>
      </c>
      <c r="AA66" s="24">
        <v>-10</v>
      </c>
    </row>
    <row r="67" spans="1:27">
      <c r="A67" s="24" t="s">
        <v>1037</v>
      </c>
      <c r="B67" s="24" t="s">
        <v>68</v>
      </c>
      <c r="C67" s="24" t="s">
        <v>69</v>
      </c>
      <c r="D67" s="24">
        <v>104</v>
      </c>
      <c r="E67" s="24">
        <v>357</v>
      </c>
      <c r="F67" s="24">
        <v>128</v>
      </c>
      <c r="G67" s="24">
        <v>9</v>
      </c>
      <c r="H67" s="24">
        <v>79.5</v>
      </c>
      <c r="I67" s="24">
        <v>699</v>
      </c>
      <c r="J67" s="24">
        <v>100</v>
      </c>
      <c r="K67" s="24">
        <v>19</v>
      </c>
      <c r="L67" s="24">
        <v>73</v>
      </c>
      <c r="M67" s="24">
        <v>106</v>
      </c>
      <c r="N67" s="24">
        <v>77</v>
      </c>
      <c r="O67" s="24">
        <v>275</v>
      </c>
      <c r="P67" s="24">
        <v>61</v>
      </c>
      <c r="Q67" s="24">
        <v>754</v>
      </c>
      <c r="R67" s="24">
        <v>72</v>
      </c>
      <c r="S67" s="24">
        <v>256</v>
      </c>
      <c r="T67" s="24">
        <v>54</v>
      </c>
      <c r="U67" s="24">
        <v>428</v>
      </c>
      <c r="V67" s="24">
        <v>561.5</v>
      </c>
      <c r="W67" s="24">
        <v>3</v>
      </c>
      <c r="X67" s="24">
        <v>65</v>
      </c>
      <c r="Y67" s="24">
        <v>517</v>
      </c>
      <c r="Z67" s="24">
        <v>146</v>
      </c>
      <c r="AA67" s="24">
        <v>81</v>
      </c>
    </row>
    <row r="68" spans="1:27">
      <c r="A68" s="24" t="s">
        <v>1526</v>
      </c>
      <c r="B68" s="24" t="s">
        <v>10</v>
      </c>
      <c r="C68" s="24" t="s">
        <v>1359</v>
      </c>
      <c r="D68" s="24">
        <v>114</v>
      </c>
      <c r="E68" s="24">
        <v>80</v>
      </c>
      <c r="F68" s="24">
        <v>76</v>
      </c>
      <c r="G68" s="24">
        <v>391</v>
      </c>
      <c r="H68" s="24">
        <v>112.5</v>
      </c>
      <c r="I68" s="24">
        <v>77</v>
      </c>
      <c r="J68" s="24">
        <v>87</v>
      </c>
      <c r="K68" s="24">
        <v>114</v>
      </c>
      <c r="L68" s="24">
        <v>80</v>
      </c>
      <c r="M68" s="24">
        <v>44</v>
      </c>
      <c r="N68" s="24">
        <v>91</v>
      </c>
      <c r="O68" s="24">
        <v>12</v>
      </c>
      <c r="P68" s="24">
        <v>67</v>
      </c>
      <c r="Q68" s="24">
        <v>570</v>
      </c>
      <c r="R68" s="24">
        <v>78</v>
      </c>
      <c r="S68" s="24">
        <v>86</v>
      </c>
      <c r="T68" s="24">
        <v>74</v>
      </c>
      <c r="U68" s="24">
        <v>14</v>
      </c>
      <c r="V68" s="24">
        <v>560.5</v>
      </c>
      <c r="W68" s="24">
        <v>41</v>
      </c>
      <c r="X68" s="24">
        <v>67</v>
      </c>
      <c r="Y68" s="24">
        <v>498</v>
      </c>
      <c r="Z68" s="24">
        <v>221</v>
      </c>
      <c r="AA68" s="24">
        <v>154</v>
      </c>
    </row>
    <row r="69" spans="1:27">
      <c r="A69" s="24" t="s">
        <v>1655</v>
      </c>
      <c r="B69" s="24" t="s">
        <v>9</v>
      </c>
      <c r="C69" s="24" t="s">
        <v>1538</v>
      </c>
      <c r="D69" s="24">
        <v>107</v>
      </c>
      <c r="E69" s="24">
        <v>242</v>
      </c>
      <c r="F69" s="24">
        <v>93</v>
      </c>
      <c r="G69" s="24">
        <v>155</v>
      </c>
      <c r="H69" s="24">
        <v>112.5</v>
      </c>
      <c r="I69" s="24">
        <v>77</v>
      </c>
      <c r="J69" s="24">
        <v>83</v>
      </c>
      <c r="K69" s="24">
        <v>163</v>
      </c>
      <c r="L69" s="24">
        <v>78</v>
      </c>
      <c r="M69" s="24">
        <v>61</v>
      </c>
      <c r="N69" s="24">
        <v>87</v>
      </c>
      <c r="O69" s="24">
        <v>57</v>
      </c>
      <c r="P69" s="24">
        <v>84</v>
      </c>
      <c r="Q69" s="24">
        <v>59</v>
      </c>
      <c r="R69" s="24">
        <v>79</v>
      </c>
      <c r="S69" s="24">
        <v>73</v>
      </c>
      <c r="T69" s="24">
        <v>63</v>
      </c>
      <c r="U69" s="24">
        <v>123</v>
      </c>
      <c r="V69" s="24">
        <v>560.5</v>
      </c>
      <c r="W69" s="24">
        <v>16</v>
      </c>
      <c r="X69" s="24">
        <v>67</v>
      </c>
      <c r="Y69" s="24">
        <v>518.5</v>
      </c>
      <c r="Z69" s="24">
        <v>141</v>
      </c>
      <c r="AA69" s="24">
        <v>74</v>
      </c>
    </row>
    <row r="70" spans="1:27">
      <c r="A70" s="24" t="s">
        <v>2293</v>
      </c>
      <c r="B70" s="24" t="s">
        <v>7</v>
      </c>
      <c r="C70" s="24" t="s">
        <v>1648</v>
      </c>
      <c r="D70" s="24">
        <v>113</v>
      </c>
      <c r="E70" s="24">
        <v>95</v>
      </c>
      <c r="F70" s="24">
        <v>111</v>
      </c>
      <c r="G70" s="24">
        <v>35</v>
      </c>
      <c r="H70" s="24">
        <v>88.5</v>
      </c>
      <c r="I70" s="24">
        <v>520</v>
      </c>
      <c r="J70" s="24">
        <v>105</v>
      </c>
      <c r="K70" s="24">
        <v>7</v>
      </c>
      <c r="L70" s="24">
        <v>64</v>
      </c>
      <c r="M70" s="24">
        <v>244</v>
      </c>
      <c r="N70" s="24">
        <v>79</v>
      </c>
      <c r="O70" s="24">
        <v>229</v>
      </c>
      <c r="P70" s="24">
        <v>79</v>
      </c>
      <c r="Q70" s="24">
        <v>175</v>
      </c>
      <c r="R70" s="24">
        <v>52</v>
      </c>
      <c r="S70" s="24">
        <v>879</v>
      </c>
      <c r="T70" s="24">
        <v>64</v>
      </c>
      <c r="U70" s="24">
        <v>103</v>
      </c>
      <c r="V70" s="24">
        <v>560.5</v>
      </c>
      <c r="W70" s="24">
        <v>1</v>
      </c>
      <c r="X70" s="24">
        <v>67</v>
      </c>
      <c r="Y70" s="24">
        <v>540.5</v>
      </c>
      <c r="Z70" s="24">
        <v>85</v>
      </c>
      <c r="AA70" s="24">
        <v>18</v>
      </c>
    </row>
    <row r="71" spans="1:27">
      <c r="A71" s="24" t="s">
        <v>1586</v>
      </c>
      <c r="B71" s="24" t="s">
        <v>10</v>
      </c>
      <c r="C71" s="24" t="s">
        <v>175</v>
      </c>
      <c r="D71" s="24">
        <v>107</v>
      </c>
      <c r="E71" s="24">
        <v>242</v>
      </c>
      <c r="F71" s="24">
        <v>103</v>
      </c>
      <c r="G71" s="24">
        <v>70</v>
      </c>
      <c r="H71" s="24">
        <v>97.5</v>
      </c>
      <c r="I71" s="24">
        <v>310</v>
      </c>
      <c r="J71" s="24">
        <v>92</v>
      </c>
      <c r="K71" s="24">
        <v>74</v>
      </c>
      <c r="L71" s="24">
        <v>69</v>
      </c>
      <c r="M71" s="24">
        <v>152</v>
      </c>
      <c r="N71" s="24">
        <v>90</v>
      </c>
      <c r="O71" s="24">
        <v>19</v>
      </c>
      <c r="P71" s="24">
        <v>79</v>
      </c>
      <c r="Q71" s="24">
        <v>175</v>
      </c>
      <c r="R71" s="24">
        <v>80</v>
      </c>
      <c r="S71" s="24">
        <v>54</v>
      </c>
      <c r="T71" s="24">
        <v>68</v>
      </c>
      <c r="U71" s="24">
        <v>54</v>
      </c>
      <c r="V71" s="24">
        <v>558.5</v>
      </c>
      <c r="W71" s="24">
        <v>42</v>
      </c>
      <c r="X71" s="24">
        <v>70</v>
      </c>
      <c r="Y71" s="24">
        <v>552.5</v>
      </c>
      <c r="Z71" s="24">
        <v>58</v>
      </c>
      <c r="AA71" s="24">
        <v>-12</v>
      </c>
    </row>
    <row r="72" spans="1:27">
      <c r="A72" s="24" t="s">
        <v>1599</v>
      </c>
      <c r="B72" s="24" t="s">
        <v>10</v>
      </c>
      <c r="C72" s="24" t="s">
        <v>3229</v>
      </c>
      <c r="D72" s="24">
        <v>103</v>
      </c>
      <c r="E72" s="24">
        <v>400</v>
      </c>
      <c r="F72" s="24">
        <v>98</v>
      </c>
      <c r="G72" s="24">
        <v>103</v>
      </c>
      <c r="H72" s="24">
        <v>102</v>
      </c>
      <c r="I72" s="24">
        <v>219</v>
      </c>
      <c r="J72" s="24">
        <v>95</v>
      </c>
      <c r="K72" s="24">
        <v>50</v>
      </c>
      <c r="L72" s="24">
        <v>72</v>
      </c>
      <c r="M72" s="24">
        <v>115</v>
      </c>
      <c r="N72" s="24">
        <v>88</v>
      </c>
      <c r="O72" s="24">
        <v>44</v>
      </c>
      <c r="P72" s="24">
        <v>76</v>
      </c>
      <c r="Q72" s="24">
        <v>260</v>
      </c>
      <c r="R72" s="24">
        <v>77</v>
      </c>
      <c r="S72" s="24">
        <v>102</v>
      </c>
      <c r="T72" s="24">
        <v>84</v>
      </c>
      <c r="U72" s="24">
        <v>2</v>
      </c>
      <c r="V72" s="24">
        <v>558</v>
      </c>
      <c r="W72" s="24">
        <v>43</v>
      </c>
      <c r="X72" s="24">
        <v>71</v>
      </c>
      <c r="Y72" s="24">
        <v>574.5</v>
      </c>
      <c r="Z72" s="24">
        <v>28</v>
      </c>
      <c r="AA72" s="24">
        <v>-43</v>
      </c>
    </row>
    <row r="73" spans="1:27">
      <c r="A73" s="24" t="s">
        <v>2899</v>
      </c>
      <c r="B73" s="24" t="s">
        <v>38</v>
      </c>
      <c r="C73" s="24" t="s">
        <v>193</v>
      </c>
      <c r="D73" s="24">
        <v>105</v>
      </c>
      <c r="E73" s="24">
        <v>325</v>
      </c>
      <c r="F73" s="24">
        <v>99</v>
      </c>
      <c r="G73" s="24">
        <v>93</v>
      </c>
      <c r="H73" s="24">
        <v>114</v>
      </c>
      <c r="I73" s="24">
        <v>67</v>
      </c>
      <c r="J73" s="24">
        <v>95</v>
      </c>
      <c r="K73" s="24">
        <v>50</v>
      </c>
      <c r="L73" s="24">
        <v>62</v>
      </c>
      <c r="M73" s="24">
        <v>277</v>
      </c>
      <c r="N73" s="24">
        <v>83</v>
      </c>
      <c r="O73" s="24">
        <v>145</v>
      </c>
      <c r="P73" s="24">
        <v>74</v>
      </c>
      <c r="Q73" s="24">
        <v>326</v>
      </c>
      <c r="R73" s="24">
        <v>66</v>
      </c>
      <c r="S73" s="24">
        <v>511</v>
      </c>
      <c r="T73" s="24">
        <v>56</v>
      </c>
      <c r="U73" s="24">
        <v>352</v>
      </c>
      <c r="V73" s="24">
        <v>558</v>
      </c>
      <c r="W73" s="24">
        <v>2</v>
      </c>
      <c r="X73" s="24">
        <v>71</v>
      </c>
      <c r="Y73" s="24">
        <v>547.5</v>
      </c>
      <c r="Z73" s="24">
        <v>68</v>
      </c>
      <c r="AA73" s="24">
        <v>-3</v>
      </c>
    </row>
    <row r="74" spans="1:27">
      <c r="A74" s="24" t="s">
        <v>1547</v>
      </c>
      <c r="B74" s="24" t="s">
        <v>10</v>
      </c>
      <c r="C74" s="24" t="s">
        <v>8</v>
      </c>
      <c r="D74" s="24">
        <v>116</v>
      </c>
      <c r="E74" s="24">
        <v>47</v>
      </c>
      <c r="F74" s="24">
        <v>81</v>
      </c>
      <c r="G74" s="24">
        <v>309</v>
      </c>
      <c r="H74" s="24">
        <v>120</v>
      </c>
      <c r="I74" s="24">
        <v>30</v>
      </c>
      <c r="J74" s="24">
        <v>81</v>
      </c>
      <c r="K74" s="24">
        <v>195</v>
      </c>
      <c r="L74" s="24">
        <v>72</v>
      </c>
      <c r="M74" s="24">
        <v>115</v>
      </c>
      <c r="N74" s="24">
        <v>87</v>
      </c>
      <c r="O74" s="24">
        <v>57</v>
      </c>
      <c r="P74" s="24">
        <v>68</v>
      </c>
      <c r="Q74" s="24">
        <v>541</v>
      </c>
      <c r="R74" s="24">
        <v>82</v>
      </c>
      <c r="S74" s="24">
        <v>31</v>
      </c>
      <c r="T74" s="24">
        <v>59</v>
      </c>
      <c r="U74" s="24">
        <v>233</v>
      </c>
      <c r="V74" s="24">
        <v>557</v>
      </c>
      <c r="W74" s="24">
        <v>44</v>
      </c>
      <c r="X74" s="24">
        <v>73</v>
      </c>
      <c r="Y74" s="24">
        <v>528.5</v>
      </c>
      <c r="Z74" s="24">
        <v>110</v>
      </c>
      <c r="AA74" s="24">
        <v>37</v>
      </c>
    </row>
    <row r="75" spans="1:27">
      <c r="A75" s="24" t="s">
        <v>1556</v>
      </c>
      <c r="B75" s="24" t="s">
        <v>10</v>
      </c>
      <c r="C75" s="24" t="s">
        <v>22</v>
      </c>
      <c r="D75" s="24">
        <v>102</v>
      </c>
      <c r="E75" s="24">
        <v>442</v>
      </c>
      <c r="F75" s="24">
        <v>91</v>
      </c>
      <c r="G75" s="24">
        <v>176</v>
      </c>
      <c r="H75" s="24">
        <v>106</v>
      </c>
      <c r="I75" s="24">
        <v>162</v>
      </c>
      <c r="J75" s="24">
        <v>86</v>
      </c>
      <c r="K75" s="24">
        <v>126</v>
      </c>
      <c r="L75" s="24">
        <v>79</v>
      </c>
      <c r="M75" s="24">
        <v>49</v>
      </c>
      <c r="N75" s="24">
        <v>91</v>
      </c>
      <c r="O75" s="24">
        <v>12</v>
      </c>
      <c r="P75" s="24">
        <v>81</v>
      </c>
      <c r="Q75" s="24">
        <v>124</v>
      </c>
      <c r="R75" s="24">
        <v>72</v>
      </c>
      <c r="S75" s="24">
        <v>256</v>
      </c>
      <c r="T75" s="24">
        <v>67</v>
      </c>
      <c r="U75" s="24">
        <v>66</v>
      </c>
      <c r="V75" s="24">
        <v>555</v>
      </c>
      <c r="W75" s="24">
        <v>45</v>
      </c>
      <c r="X75" s="24">
        <v>74</v>
      </c>
      <c r="Y75" s="24">
        <v>562.5</v>
      </c>
      <c r="Z75" s="24">
        <v>39</v>
      </c>
      <c r="AA75" s="24">
        <v>-35</v>
      </c>
    </row>
    <row r="76" spans="1:27">
      <c r="A76" s="24" t="s">
        <v>807</v>
      </c>
      <c r="B76" s="24" t="s">
        <v>117</v>
      </c>
      <c r="C76" s="24" t="s">
        <v>808</v>
      </c>
      <c r="D76" s="24">
        <v>104</v>
      </c>
      <c r="E76" s="24">
        <v>357</v>
      </c>
      <c r="F76" s="24">
        <v>118</v>
      </c>
      <c r="G76" s="24">
        <v>17</v>
      </c>
      <c r="H76" s="24">
        <v>76.5</v>
      </c>
      <c r="I76" s="24">
        <v>751</v>
      </c>
      <c r="J76" s="24">
        <v>100</v>
      </c>
      <c r="K76" s="24">
        <v>19</v>
      </c>
      <c r="L76" s="24">
        <v>80</v>
      </c>
      <c r="M76" s="24">
        <v>44</v>
      </c>
      <c r="N76" s="24">
        <v>76</v>
      </c>
      <c r="O76" s="24">
        <v>308</v>
      </c>
      <c r="P76" s="24">
        <v>55</v>
      </c>
      <c r="Q76" s="24">
        <v>868</v>
      </c>
      <c r="R76" s="24">
        <v>68</v>
      </c>
      <c r="S76" s="24">
        <v>412</v>
      </c>
      <c r="T76" s="24">
        <v>59</v>
      </c>
      <c r="U76" s="24">
        <v>233</v>
      </c>
      <c r="V76" s="24">
        <v>554.5</v>
      </c>
      <c r="W76" s="24">
        <v>2</v>
      </c>
      <c r="X76" s="24">
        <v>75</v>
      </c>
      <c r="Y76" s="24">
        <v>565.5</v>
      </c>
      <c r="Z76" s="24">
        <v>34</v>
      </c>
      <c r="AA76" s="24">
        <v>-41</v>
      </c>
    </row>
    <row r="77" spans="1:27">
      <c r="A77" s="24" t="s">
        <v>1637</v>
      </c>
      <c r="B77" s="24" t="s">
        <v>9</v>
      </c>
      <c r="C77" s="24" t="s">
        <v>184</v>
      </c>
      <c r="D77" s="24">
        <v>113</v>
      </c>
      <c r="E77" s="24">
        <v>95</v>
      </c>
      <c r="F77" s="24">
        <v>89</v>
      </c>
      <c r="G77" s="24">
        <v>196</v>
      </c>
      <c r="H77" s="24">
        <v>133.5</v>
      </c>
      <c r="I77" s="24">
        <v>2</v>
      </c>
      <c r="J77" s="24">
        <v>82</v>
      </c>
      <c r="K77" s="24">
        <v>174</v>
      </c>
      <c r="L77" s="24">
        <v>63</v>
      </c>
      <c r="M77" s="24">
        <v>262</v>
      </c>
      <c r="N77" s="24">
        <v>74</v>
      </c>
      <c r="O77" s="24">
        <v>366</v>
      </c>
      <c r="P77" s="24">
        <v>73</v>
      </c>
      <c r="Q77" s="24">
        <v>359</v>
      </c>
      <c r="R77" s="24">
        <v>68</v>
      </c>
      <c r="S77" s="24">
        <v>412</v>
      </c>
      <c r="T77" s="24">
        <v>62</v>
      </c>
      <c r="U77" s="24">
        <v>146</v>
      </c>
      <c r="V77" s="24">
        <v>554.5</v>
      </c>
      <c r="W77" s="24">
        <v>17</v>
      </c>
      <c r="X77" s="24">
        <v>75</v>
      </c>
      <c r="Y77" s="24">
        <v>534.5</v>
      </c>
      <c r="Z77" s="24">
        <v>98</v>
      </c>
      <c r="AA77" s="24">
        <v>23</v>
      </c>
    </row>
    <row r="78" spans="1:27">
      <c r="A78" s="24" t="s">
        <v>1666</v>
      </c>
      <c r="B78" s="24" t="s">
        <v>9</v>
      </c>
      <c r="C78" s="24" t="s">
        <v>1223</v>
      </c>
      <c r="D78" s="24">
        <v>101</v>
      </c>
      <c r="E78" s="24">
        <v>481</v>
      </c>
      <c r="F78" s="24">
        <v>109</v>
      </c>
      <c r="G78" s="24">
        <v>42</v>
      </c>
      <c r="H78" s="24">
        <v>98</v>
      </c>
      <c r="I78" s="24">
        <v>294</v>
      </c>
      <c r="J78" s="24">
        <v>87</v>
      </c>
      <c r="K78" s="24">
        <v>114</v>
      </c>
      <c r="L78" s="24">
        <v>79</v>
      </c>
      <c r="M78" s="24">
        <v>49</v>
      </c>
      <c r="N78" s="24">
        <v>80</v>
      </c>
      <c r="O78" s="24">
        <v>205</v>
      </c>
      <c r="P78" s="24">
        <v>78</v>
      </c>
      <c r="Q78" s="24">
        <v>209</v>
      </c>
      <c r="R78" s="24">
        <v>51</v>
      </c>
      <c r="S78" s="24">
        <v>890</v>
      </c>
      <c r="T78" s="24">
        <v>48</v>
      </c>
      <c r="U78" s="24">
        <v>671</v>
      </c>
      <c r="V78" s="24">
        <v>554</v>
      </c>
      <c r="W78" s="24">
        <v>18</v>
      </c>
      <c r="X78" s="24">
        <v>77</v>
      </c>
      <c r="Y78" s="24">
        <v>528</v>
      </c>
      <c r="Z78" s="24">
        <v>114</v>
      </c>
      <c r="AA78" s="24">
        <v>37</v>
      </c>
    </row>
    <row r="79" spans="1:27">
      <c r="A79" s="24" t="s">
        <v>608</v>
      </c>
      <c r="B79" s="24" t="s">
        <v>17</v>
      </c>
      <c r="C79" s="24" t="s">
        <v>40</v>
      </c>
      <c r="D79" s="24">
        <v>100</v>
      </c>
      <c r="E79" s="24">
        <v>528</v>
      </c>
      <c r="F79" s="24">
        <v>129</v>
      </c>
      <c r="G79" s="24">
        <v>8</v>
      </c>
      <c r="H79" s="24">
        <v>76.5</v>
      </c>
      <c r="I79" s="24">
        <v>751</v>
      </c>
      <c r="J79" s="24">
        <v>97</v>
      </c>
      <c r="K79" s="24">
        <v>37</v>
      </c>
      <c r="L79" s="24">
        <v>79</v>
      </c>
      <c r="M79" s="24">
        <v>49</v>
      </c>
      <c r="N79" s="24">
        <v>72</v>
      </c>
      <c r="O79" s="24">
        <v>433</v>
      </c>
      <c r="P79" s="24">
        <v>60</v>
      </c>
      <c r="Q79" s="24">
        <v>777</v>
      </c>
      <c r="R79" s="24">
        <v>63</v>
      </c>
      <c r="S79" s="24">
        <v>633</v>
      </c>
      <c r="T79" s="24">
        <v>42</v>
      </c>
      <c r="U79" s="24">
        <v>845</v>
      </c>
      <c r="V79" s="24">
        <v>553.5</v>
      </c>
      <c r="W79" s="24">
        <v>1</v>
      </c>
      <c r="X79" s="24">
        <v>78</v>
      </c>
      <c r="Y79" s="24">
        <v>523</v>
      </c>
      <c r="Z79" s="24">
        <v>129</v>
      </c>
      <c r="AA79" s="24">
        <v>51</v>
      </c>
    </row>
    <row r="80" spans="1:27">
      <c r="A80" s="24" t="s">
        <v>2135</v>
      </c>
      <c r="B80" s="24" t="s">
        <v>73</v>
      </c>
      <c r="C80" s="24" t="s">
        <v>2136</v>
      </c>
      <c r="D80" s="24">
        <v>95</v>
      </c>
      <c r="E80" s="24">
        <v>710</v>
      </c>
      <c r="F80" s="24">
        <v>112</v>
      </c>
      <c r="G80" s="24">
        <v>33</v>
      </c>
      <c r="H80" s="24">
        <v>78</v>
      </c>
      <c r="I80" s="24">
        <v>723</v>
      </c>
      <c r="J80" s="24">
        <v>103</v>
      </c>
      <c r="K80" s="24">
        <v>9</v>
      </c>
      <c r="L80" s="24">
        <v>77</v>
      </c>
      <c r="M80" s="24">
        <v>68</v>
      </c>
      <c r="N80" s="24">
        <v>88</v>
      </c>
      <c r="O80" s="24">
        <v>44</v>
      </c>
      <c r="P80" s="24">
        <v>75</v>
      </c>
      <c r="Q80" s="24">
        <v>289</v>
      </c>
      <c r="R80" s="24">
        <v>64</v>
      </c>
      <c r="S80" s="24">
        <v>586</v>
      </c>
      <c r="T80" s="24">
        <v>62</v>
      </c>
      <c r="U80" s="24">
        <v>146</v>
      </c>
      <c r="V80" s="24">
        <v>553</v>
      </c>
      <c r="W80" s="24">
        <v>1</v>
      </c>
      <c r="X80" s="24">
        <v>79</v>
      </c>
      <c r="Y80" s="24">
        <v>537</v>
      </c>
      <c r="Z80" s="24">
        <v>92</v>
      </c>
      <c r="AA80" s="24">
        <v>13</v>
      </c>
    </row>
    <row r="81" spans="1:27">
      <c r="A81" s="24" t="s">
        <v>1710</v>
      </c>
      <c r="B81" s="24" t="s">
        <v>9</v>
      </c>
      <c r="C81" s="24" t="s">
        <v>191</v>
      </c>
      <c r="D81" s="24">
        <v>99</v>
      </c>
      <c r="E81" s="24">
        <v>571</v>
      </c>
      <c r="F81" s="24">
        <v>95</v>
      </c>
      <c r="G81" s="24">
        <v>128</v>
      </c>
      <c r="H81" s="24">
        <v>109</v>
      </c>
      <c r="I81" s="24">
        <v>114</v>
      </c>
      <c r="J81" s="24">
        <v>79</v>
      </c>
      <c r="K81" s="24">
        <v>228</v>
      </c>
      <c r="L81" s="24">
        <v>90</v>
      </c>
      <c r="M81" s="24">
        <v>5</v>
      </c>
      <c r="N81" s="24">
        <v>81</v>
      </c>
      <c r="O81" s="24">
        <v>183</v>
      </c>
      <c r="P81" s="24">
        <v>82</v>
      </c>
      <c r="Q81" s="24">
        <v>100</v>
      </c>
      <c r="R81" s="24">
        <v>75</v>
      </c>
      <c r="S81" s="24">
        <v>146</v>
      </c>
      <c r="T81" s="24">
        <v>58</v>
      </c>
      <c r="U81" s="24">
        <v>278</v>
      </c>
      <c r="V81" s="24">
        <v>553</v>
      </c>
      <c r="W81" s="24">
        <v>19</v>
      </c>
      <c r="X81" s="24">
        <v>79</v>
      </c>
      <c r="Y81" s="24">
        <v>521</v>
      </c>
      <c r="Z81" s="24">
        <v>132</v>
      </c>
      <c r="AA81" s="24">
        <v>53</v>
      </c>
    </row>
    <row r="82" spans="1:27">
      <c r="A82" s="24" t="s">
        <v>1767</v>
      </c>
      <c r="B82" s="24" t="s">
        <v>9</v>
      </c>
      <c r="C82" s="24" t="s">
        <v>2093</v>
      </c>
      <c r="D82" s="24">
        <v>107</v>
      </c>
      <c r="E82" s="24">
        <v>242</v>
      </c>
      <c r="F82" s="24">
        <v>91</v>
      </c>
      <c r="G82" s="24">
        <v>176</v>
      </c>
      <c r="H82" s="24">
        <v>122</v>
      </c>
      <c r="I82" s="24">
        <v>20</v>
      </c>
      <c r="J82" s="24">
        <v>75</v>
      </c>
      <c r="K82" s="24">
        <v>299</v>
      </c>
      <c r="L82" s="24">
        <v>70</v>
      </c>
      <c r="M82" s="24">
        <v>136</v>
      </c>
      <c r="N82" s="24">
        <v>87</v>
      </c>
      <c r="O82" s="24">
        <v>57</v>
      </c>
      <c r="P82" s="24">
        <v>88</v>
      </c>
      <c r="Q82" s="24">
        <v>15</v>
      </c>
      <c r="R82" s="24">
        <v>78</v>
      </c>
      <c r="S82" s="24">
        <v>86</v>
      </c>
      <c r="T82" s="24">
        <v>72</v>
      </c>
      <c r="U82" s="24">
        <v>25</v>
      </c>
      <c r="V82" s="24">
        <v>552</v>
      </c>
      <c r="W82" s="24">
        <v>20</v>
      </c>
      <c r="X82" s="24">
        <v>81</v>
      </c>
      <c r="Y82" s="24">
        <v>557</v>
      </c>
      <c r="Z82" s="24">
        <v>48</v>
      </c>
      <c r="AA82" s="24">
        <v>-33</v>
      </c>
    </row>
    <row r="83" spans="1:27">
      <c r="A83" s="24" t="s">
        <v>1531</v>
      </c>
      <c r="B83" s="24" t="s">
        <v>10</v>
      </c>
      <c r="C83" s="24" t="s">
        <v>97</v>
      </c>
      <c r="D83" s="24">
        <v>107</v>
      </c>
      <c r="E83" s="24">
        <v>242</v>
      </c>
      <c r="F83" s="24">
        <v>83</v>
      </c>
      <c r="G83" s="24">
        <v>267</v>
      </c>
      <c r="H83" s="24">
        <v>96</v>
      </c>
      <c r="I83" s="24">
        <v>346</v>
      </c>
      <c r="J83" s="24">
        <v>90</v>
      </c>
      <c r="K83" s="24">
        <v>90</v>
      </c>
      <c r="L83" s="24">
        <v>89</v>
      </c>
      <c r="M83" s="24">
        <v>8</v>
      </c>
      <c r="N83" s="24">
        <v>86</v>
      </c>
      <c r="O83" s="24">
        <v>77</v>
      </c>
      <c r="P83" s="24">
        <v>81</v>
      </c>
      <c r="Q83" s="24">
        <v>124</v>
      </c>
      <c r="R83" s="24">
        <v>70</v>
      </c>
      <c r="S83" s="24">
        <v>327</v>
      </c>
      <c r="T83" s="24">
        <v>67</v>
      </c>
      <c r="U83" s="24">
        <v>66</v>
      </c>
      <c r="V83" s="24">
        <v>551</v>
      </c>
      <c r="W83" s="24">
        <v>46</v>
      </c>
      <c r="X83" s="24">
        <v>82</v>
      </c>
      <c r="Y83" s="24">
        <v>546</v>
      </c>
      <c r="Z83" s="24">
        <v>71</v>
      </c>
      <c r="AA83" s="24">
        <v>-11</v>
      </c>
    </row>
    <row r="84" spans="1:27">
      <c r="A84" s="24" t="s">
        <v>1973</v>
      </c>
      <c r="B84" s="24" t="s">
        <v>109</v>
      </c>
      <c r="C84" s="24" t="s">
        <v>1974</v>
      </c>
      <c r="D84" s="24">
        <v>110</v>
      </c>
      <c r="E84" s="24">
        <v>159</v>
      </c>
      <c r="F84" s="24">
        <v>92</v>
      </c>
      <c r="G84" s="24">
        <v>166</v>
      </c>
      <c r="H84" s="24">
        <v>95</v>
      </c>
      <c r="I84" s="24">
        <v>364</v>
      </c>
      <c r="J84" s="24">
        <v>90</v>
      </c>
      <c r="K84" s="24">
        <v>90</v>
      </c>
      <c r="L84" s="24">
        <v>70</v>
      </c>
      <c r="M84" s="24">
        <v>136</v>
      </c>
      <c r="N84" s="24">
        <v>93</v>
      </c>
      <c r="O84" s="24">
        <v>8</v>
      </c>
      <c r="P84" s="24">
        <v>58</v>
      </c>
      <c r="Q84" s="24">
        <v>820</v>
      </c>
      <c r="R84" s="24">
        <v>49</v>
      </c>
      <c r="S84" s="24">
        <v>904</v>
      </c>
      <c r="T84" s="24">
        <v>47</v>
      </c>
      <c r="U84" s="24">
        <v>719</v>
      </c>
      <c r="V84" s="24">
        <v>550</v>
      </c>
      <c r="W84" s="24">
        <v>1</v>
      </c>
      <c r="X84" s="24">
        <v>83</v>
      </c>
      <c r="Y84" s="24">
        <v>526.5</v>
      </c>
      <c r="Z84" s="24">
        <v>119</v>
      </c>
      <c r="AA84" s="24">
        <v>36</v>
      </c>
    </row>
    <row r="85" spans="1:27">
      <c r="A85" s="24" t="s">
        <v>1719</v>
      </c>
      <c r="B85" s="24" t="s">
        <v>9</v>
      </c>
      <c r="C85" s="24" t="s">
        <v>114</v>
      </c>
      <c r="D85" s="24">
        <v>113</v>
      </c>
      <c r="E85" s="24">
        <v>95</v>
      </c>
      <c r="F85" s="24">
        <v>94</v>
      </c>
      <c r="G85" s="24">
        <v>141</v>
      </c>
      <c r="H85" s="24">
        <v>128</v>
      </c>
      <c r="I85" s="24">
        <v>6</v>
      </c>
      <c r="J85" s="24">
        <v>84</v>
      </c>
      <c r="K85" s="24">
        <v>147</v>
      </c>
      <c r="L85" s="24">
        <v>58</v>
      </c>
      <c r="M85" s="24">
        <v>377</v>
      </c>
      <c r="N85" s="24">
        <v>73</v>
      </c>
      <c r="O85" s="24">
        <v>393</v>
      </c>
      <c r="P85" s="24">
        <v>89</v>
      </c>
      <c r="Q85" s="24">
        <v>8</v>
      </c>
      <c r="R85" s="24">
        <v>64</v>
      </c>
      <c r="S85" s="24">
        <v>586</v>
      </c>
      <c r="T85" s="24">
        <v>64</v>
      </c>
      <c r="U85" s="24">
        <v>103</v>
      </c>
      <c r="V85" s="24">
        <v>550</v>
      </c>
      <c r="W85" s="24">
        <v>21</v>
      </c>
      <c r="X85" s="24">
        <v>83</v>
      </c>
      <c r="Y85" s="24">
        <v>555</v>
      </c>
      <c r="Z85" s="24">
        <v>52</v>
      </c>
      <c r="AA85" s="24">
        <v>-31</v>
      </c>
    </row>
    <row r="86" spans="1:27">
      <c r="A86" s="24" t="s">
        <v>666</v>
      </c>
      <c r="B86" s="24" t="s">
        <v>17</v>
      </c>
      <c r="C86" s="24" t="s">
        <v>667</v>
      </c>
      <c r="D86" s="24">
        <v>118</v>
      </c>
      <c r="E86" s="24">
        <v>33</v>
      </c>
      <c r="F86" s="24">
        <v>116</v>
      </c>
      <c r="G86" s="24">
        <v>22</v>
      </c>
      <c r="H86" s="24">
        <v>77.5</v>
      </c>
      <c r="I86" s="24">
        <v>735</v>
      </c>
      <c r="J86" s="24">
        <v>79</v>
      </c>
      <c r="K86" s="24">
        <v>228</v>
      </c>
      <c r="L86" s="24">
        <v>80</v>
      </c>
      <c r="M86" s="24">
        <v>44</v>
      </c>
      <c r="N86" s="24">
        <v>79</v>
      </c>
      <c r="O86" s="24">
        <v>229</v>
      </c>
      <c r="P86" s="24">
        <v>83</v>
      </c>
      <c r="Q86" s="24">
        <v>79</v>
      </c>
      <c r="R86" s="24">
        <v>82</v>
      </c>
      <c r="S86" s="24">
        <v>31</v>
      </c>
      <c r="T86" s="24">
        <v>69</v>
      </c>
      <c r="U86" s="24">
        <v>43</v>
      </c>
      <c r="V86" s="24">
        <v>549.5</v>
      </c>
      <c r="W86" s="24">
        <v>2</v>
      </c>
      <c r="X86" s="24">
        <v>85</v>
      </c>
      <c r="Y86" s="24">
        <v>558.5</v>
      </c>
      <c r="Z86" s="24">
        <v>46</v>
      </c>
      <c r="AA86" s="24">
        <v>-39</v>
      </c>
    </row>
    <row r="87" spans="1:27">
      <c r="A87" s="24" t="s">
        <v>1764</v>
      </c>
      <c r="B87" s="24" t="s">
        <v>9</v>
      </c>
      <c r="C87" s="24" t="s">
        <v>2726</v>
      </c>
      <c r="D87" s="24">
        <v>103</v>
      </c>
      <c r="E87" s="24">
        <v>400</v>
      </c>
      <c r="F87" s="24">
        <v>101</v>
      </c>
      <c r="G87" s="24">
        <v>81</v>
      </c>
      <c r="H87" s="24">
        <v>101</v>
      </c>
      <c r="I87" s="24">
        <v>234</v>
      </c>
      <c r="J87" s="24">
        <v>79</v>
      </c>
      <c r="K87" s="24">
        <v>228</v>
      </c>
      <c r="L87" s="24">
        <v>82</v>
      </c>
      <c r="M87" s="24">
        <v>35</v>
      </c>
      <c r="N87" s="24">
        <v>83</v>
      </c>
      <c r="O87" s="24">
        <v>145</v>
      </c>
      <c r="P87" s="24">
        <v>83</v>
      </c>
      <c r="Q87" s="24">
        <v>79</v>
      </c>
      <c r="R87" s="24">
        <v>85</v>
      </c>
      <c r="S87" s="24">
        <v>11</v>
      </c>
      <c r="T87" s="24">
        <v>54</v>
      </c>
      <c r="U87" s="24">
        <v>428</v>
      </c>
      <c r="V87" s="24">
        <v>549</v>
      </c>
      <c r="W87" s="24">
        <v>22</v>
      </c>
      <c r="X87" s="24">
        <v>86</v>
      </c>
      <c r="Y87" s="24">
        <v>535.5</v>
      </c>
      <c r="Z87" s="24">
        <v>96</v>
      </c>
      <c r="AA87" s="24">
        <v>10</v>
      </c>
    </row>
    <row r="88" spans="1:27">
      <c r="A88" s="24" t="s">
        <v>3256</v>
      </c>
      <c r="B88" s="24" t="s">
        <v>9</v>
      </c>
      <c r="C88" s="24" t="s">
        <v>205</v>
      </c>
      <c r="D88" s="24">
        <v>112</v>
      </c>
      <c r="E88" s="24">
        <v>114</v>
      </c>
      <c r="F88" s="24">
        <v>95</v>
      </c>
      <c r="G88" s="24">
        <v>128</v>
      </c>
      <c r="H88" s="24">
        <v>109</v>
      </c>
      <c r="I88" s="24">
        <v>114</v>
      </c>
      <c r="J88" s="24">
        <v>79</v>
      </c>
      <c r="K88" s="24">
        <v>228</v>
      </c>
      <c r="L88" s="24">
        <v>74</v>
      </c>
      <c r="M88" s="24">
        <v>94</v>
      </c>
      <c r="N88" s="24">
        <v>80</v>
      </c>
      <c r="O88" s="24">
        <v>205</v>
      </c>
      <c r="P88" s="24">
        <v>77</v>
      </c>
      <c r="Q88" s="24">
        <v>240</v>
      </c>
      <c r="R88" s="24">
        <v>64</v>
      </c>
      <c r="S88" s="24">
        <v>586</v>
      </c>
      <c r="T88" s="24">
        <v>52</v>
      </c>
      <c r="U88" s="24">
        <v>509</v>
      </c>
      <c r="V88" s="24">
        <v>549</v>
      </c>
      <c r="W88" s="24">
        <v>22</v>
      </c>
      <c r="X88" s="24">
        <v>86</v>
      </c>
      <c r="Y88" s="24">
        <v>538</v>
      </c>
      <c r="Z88" s="24">
        <v>91</v>
      </c>
      <c r="AA88" s="24">
        <v>5</v>
      </c>
    </row>
    <row r="89" spans="1:27">
      <c r="A89" s="24" t="s">
        <v>672</v>
      </c>
      <c r="B89" s="24" t="s">
        <v>17</v>
      </c>
      <c r="C89" s="24" t="s">
        <v>673</v>
      </c>
      <c r="D89" s="24">
        <v>113</v>
      </c>
      <c r="E89" s="24">
        <v>95</v>
      </c>
      <c r="F89" s="24">
        <v>107</v>
      </c>
      <c r="G89" s="24">
        <v>46</v>
      </c>
      <c r="H89" s="24">
        <v>110</v>
      </c>
      <c r="I89" s="24">
        <v>108</v>
      </c>
      <c r="J89" s="24">
        <v>78</v>
      </c>
      <c r="K89" s="24">
        <v>250</v>
      </c>
      <c r="L89" s="24">
        <v>66</v>
      </c>
      <c r="M89" s="24">
        <v>204</v>
      </c>
      <c r="N89" s="24">
        <v>75</v>
      </c>
      <c r="O89" s="24">
        <v>342</v>
      </c>
      <c r="P89" s="24">
        <v>84</v>
      </c>
      <c r="Q89" s="24">
        <v>59</v>
      </c>
      <c r="R89" s="24">
        <v>88</v>
      </c>
      <c r="S89" s="24">
        <v>3</v>
      </c>
      <c r="T89" s="24">
        <v>58</v>
      </c>
      <c r="U89" s="24">
        <v>278</v>
      </c>
      <c r="V89" s="24">
        <v>549</v>
      </c>
      <c r="W89" s="24">
        <v>3</v>
      </c>
      <c r="X89" s="24">
        <v>86</v>
      </c>
      <c r="Y89" s="24">
        <v>502</v>
      </c>
      <c r="Z89" s="24">
        <v>199</v>
      </c>
      <c r="AA89" s="24">
        <v>113</v>
      </c>
    </row>
    <row r="90" spans="1:27">
      <c r="A90" s="24" t="s">
        <v>1634</v>
      </c>
      <c r="B90" s="24" t="s">
        <v>9</v>
      </c>
      <c r="C90" s="24" t="s">
        <v>2265</v>
      </c>
      <c r="D90" s="24">
        <v>99</v>
      </c>
      <c r="E90" s="24">
        <v>571</v>
      </c>
      <c r="F90" s="24">
        <v>82</v>
      </c>
      <c r="G90" s="24">
        <v>290</v>
      </c>
      <c r="H90" s="24">
        <v>108.5</v>
      </c>
      <c r="I90" s="24">
        <v>123</v>
      </c>
      <c r="J90" s="24">
        <v>99</v>
      </c>
      <c r="K90" s="24">
        <v>25</v>
      </c>
      <c r="L90" s="24">
        <v>77</v>
      </c>
      <c r="M90" s="24">
        <v>68</v>
      </c>
      <c r="N90" s="24">
        <v>83</v>
      </c>
      <c r="O90" s="24">
        <v>145</v>
      </c>
      <c r="P90" s="24">
        <v>84</v>
      </c>
      <c r="Q90" s="24">
        <v>59</v>
      </c>
      <c r="R90" s="24">
        <v>75</v>
      </c>
      <c r="S90" s="24">
        <v>146</v>
      </c>
      <c r="T90" s="24">
        <v>73</v>
      </c>
      <c r="U90" s="24">
        <v>19</v>
      </c>
      <c r="V90" s="24">
        <v>548.5</v>
      </c>
      <c r="W90" s="24">
        <v>24</v>
      </c>
      <c r="X90" s="24">
        <v>89</v>
      </c>
      <c r="Y90" s="24">
        <v>513</v>
      </c>
      <c r="Z90" s="24">
        <v>161</v>
      </c>
      <c r="AA90" s="24">
        <v>72</v>
      </c>
    </row>
    <row r="91" spans="1:27">
      <c r="A91" s="24" t="s">
        <v>1558</v>
      </c>
      <c r="B91" s="24" t="s">
        <v>10</v>
      </c>
      <c r="C91" s="24" t="s">
        <v>152</v>
      </c>
      <c r="D91" s="24">
        <v>114</v>
      </c>
      <c r="E91" s="24">
        <v>80</v>
      </c>
      <c r="F91" s="24">
        <v>83</v>
      </c>
      <c r="G91" s="24">
        <v>267</v>
      </c>
      <c r="H91" s="24">
        <v>120.5</v>
      </c>
      <c r="I91" s="24">
        <v>25</v>
      </c>
      <c r="J91" s="24">
        <v>75</v>
      </c>
      <c r="K91" s="24">
        <v>299</v>
      </c>
      <c r="L91" s="24">
        <v>65</v>
      </c>
      <c r="M91" s="24">
        <v>223</v>
      </c>
      <c r="N91" s="24">
        <v>90</v>
      </c>
      <c r="O91" s="24">
        <v>19</v>
      </c>
      <c r="P91" s="24">
        <v>88</v>
      </c>
      <c r="Q91" s="24">
        <v>15</v>
      </c>
      <c r="R91" s="24">
        <v>85</v>
      </c>
      <c r="S91" s="24">
        <v>11</v>
      </c>
      <c r="T91" s="24">
        <v>62</v>
      </c>
      <c r="U91" s="24">
        <v>146</v>
      </c>
      <c r="V91" s="24">
        <v>547.5</v>
      </c>
      <c r="W91" s="24">
        <v>47</v>
      </c>
      <c r="X91" s="24">
        <v>90</v>
      </c>
      <c r="Y91" s="24">
        <v>542</v>
      </c>
      <c r="Z91" s="24">
        <v>80</v>
      </c>
      <c r="AA91" s="24">
        <v>-10</v>
      </c>
    </row>
    <row r="92" spans="1:27">
      <c r="A92" s="24" t="s">
        <v>3433</v>
      </c>
      <c r="B92" s="24" t="s">
        <v>9</v>
      </c>
      <c r="C92" s="24" t="s">
        <v>1771</v>
      </c>
      <c r="D92" s="24">
        <v>120</v>
      </c>
      <c r="E92" s="24">
        <v>21</v>
      </c>
      <c r="F92" s="24">
        <v>84</v>
      </c>
      <c r="G92" s="24">
        <v>251</v>
      </c>
      <c r="H92" s="24">
        <v>98.5</v>
      </c>
      <c r="I92" s="24">
        <v>285</v>
      </c>
      <c r="J92" s="24">
        <v>75</v>
      </c>
      <c r="K92" s="24">
        <v>299</v>
      </c>
      <c r="L92" s="24">
        <v>83</v>
      </c>
      <c r="M92" s="24">
        <v>30</v>
      </c>
      <c r="N92" s="24">
        <v>87</v>
      </c>
      <c r="O92" s="24">
        <v>57</v>
      </c>
      <c r="P92" s="24">
        <v>70</v>
      </c>
      <c r="Q92" s="24">
        <v>473</v>
      </c>
      <c r="R92" s="24">
        <v>65</v>
      </c>
      <c r="S92" s="24">
        <v>548</v>
      </c>
      <c r="T92" s="24">
        <v>63</v>
      </c>
      <c r="U92" s="24">
        <v>123</v>
      </c>
      <c r="V92" s="24">
        <v>547.5</v>
      </c>
      <c r="W92" s="24">
        <v>25</v>
      </c>
      <c r="X92" s="24">
        <v>90</v>
      </c>
      <c r="Y92" s="24">
        <v>517</v>
      </c>
      <c r="Z92" s="24">
        <v>146</v>
      </c>
      <c r="AA92" s="24">
        <v>56</v>
      </c>
    </row>
    <row r="93" spans="1:27">
      <c r="A93" s="24" t="s">
        <v>2072</v>
      </c>
      <c r="B93" s="24" t="s">
        <v>109</v>
      </c>
      <c r="C93" s="24" t="s">
        <v>110</v>
      </c>
      <c r="D93" s="24">
        <v>103</v>
      </c>
      <c r="E93" s="24">
        <v>400</v>
      </c>
      <c r="F93" s="24">
        <v>82</v>
      </c>
      <c r="G93" s="24">
        <v>290</v>
      </c>
      <c r="H93" s="24">
        <v>123.5</v>
      </c>
      <c r="I93" s="24">
        <v>15</v>
      </c>
      <c r="J93" s="24">
        <v>82</v>
      </c>
      <c r="K93" s="24">
        <v>174</v>
      </c>
      <c r="L93" s="24">
        <v>69</v>
      </c>
      <c r="M93" s="24">
        <v>152</v>
      </c>
      <c r="N93" s="24">
        <v>86</v>
      </c>
      <c r="O93" s="24">
        <v>77</v>
      </c>
      <c r="P93" s="24">
        <v>54</v>
      </c>
      <c r="Q93" s="24">
        <v>880</v>
      </c>
      <c r="R93" s="24">
        <v>80</v>
      </c>
      <c r="S93" s="24">
        <v>54</v>
      </c>
      <c r="T93" s="24">
        <v>48</v>
      </c>
      <c r="U93" s="24">
        <v>671</v>
      </c>
      <c r="V93" s="24">
        <v>545.5</v>
      </c>
      <c r="W93" s="24">
        <v>2</v>
      </c>
      <c r="X93" s="24">
        <v>92</v>
      </c>
      <c r="Y93" s="24">
        <v>518</v>
      </c>
      <c r="Z93" s="24">
        <v>142</v>
      </c>
      <c r="AA93" s="24">
        <v>50</v>
      </c>
    </row>
    <row r="94" spans="1:27">
      <c r="A94" s="24" t="s">
        <v>1535</v>
      </c>
      <c r="B94" s="24" t="s">
        <v>10</v>
      </c>
      <c r="C94" s="24" t="s">
        <v>160</v>
      </c>
      <c r="D94" s="24">
        <v>101</v>
      </c>
      <c r="E94" s="24">
        <v>481</v>
      </c>
      <c r="F94" s="24">
        <v>88</v>
      </c>
      <c r="G94" s="24">
        <v>206</v>
      </c>
      <c r="H94" s="24">
        <v>86</v>
      </c>
      <c r="I94" s="24">
        <v>581</v>
      </c>
      <c r="J94" s="24">
        <v>99</v>
      </c>
      <c r="K94" s="24">
        <v>25</v>
      </c>
      <c r="L94" s="24">
        <v>82</v>
      </c>
      <c r="M94" s="24">
        <v>35</v>
      </c>
      <c r="N94" s="24">
        <v>89</v>
      </c>
      <c r="O94" s="24">
        <v>34</v>
      </c>
      <c r="P94" s="24">
        <v>73</v>
      </c>
      <c r="Q94" s="24">
        <v>359</v>
      </c>
      <c r="R94" s="24">
        <v>61</v>
      </c>
      <c r="S94" s="24">
        <v>703</v>
      </c>
      <c r="T94" s="24">
        <v>59</v>
      </c>
      <c r="U94" s="24">
        <v>233</v>
      </c>
      <c r="V94" s="24">
        <v>545</v>
      </c>
      <c r="W94" s="24">
        <v>48</v>
      </c>
      <c r="X94" s="24">
        <v>93</v>
      </c>
      <c r="Y94" s="24">
        <v>543</v>
      </c>
      <c r="Z94" s="24">
        <v>78</v>
      </c>
      <c r="AA94" s="24">
        <v>-15</v>
      </c>
    </row>
    <row r="95" spans="1:27">
      <c r="A95" s="24" t="s">
        <v>2048</v>
      </c>
      <c r="B95" s="24" t="s">
        <v>109</v>
      </c>
      <c r="C95" s="24" t="s">
        <v>2049</v>
      </c>
      <c r="D95" s="24">
        <v>110</v>
      </c>
      <c r="E95" s="24">
        <v>159</v>
      </c>
      <c r="F95" s="24">
        <v>93</v>
      </c>
      <c r="G95" s="24">
        <v>155</v>
      </c>
      <c r="H95" s="24">
        <v>119</v>
      </c>
      <c r="I95" s="24">
        <v>33</v>
      </c>
      <c r="J95" s="24">
        <v>84</v>
      </c>
      <c r="K95" s="24">
        <v>147</v>
      </c>
      <c r="L95" s="24">
        <v>59</v>
      </c>
      <c r="M95" s="24">
        <v>348</v>
      </c>
      <c r="N95" s="24">
        <v>80</v>
      </c>
      <c r="O95" s="24">
        <v>205</v>
      </c>
      <c r="P95" s="24">
        <v>79</v>
      </c>
      <c r="Q95" s="24">
        <v>175</v>
      </c>
      <c r="R95" s="24">
        <v>72</v>
      </c>
      <c r="S95" s="24">
        <v>256</v>
      </c>
      <c r="T95" s="24">
        <v>66</v>
      </c>
      <c r="U95" s="24">
        <v>80</v>
      </c>
      <c r="V95" s="24">
        <v>545</v>
      </c>
      <c r="W95" s="24">
        <v>3</v>
      </c>
      <c r="X95" s="24">
        <v>93</v>
      </c>
      <c r="Y95" s="24">
        <v>557</v>
      </c>
      <c r="Z95" s="24">
        <v>48</v>
      </c>
      <c r="AA95" s="24">
        <v>-45</v>
      </c>
    </row>
    <row r="96" spans="1:27">
      <c r="A96" s="24" t="s">
        <v>730</v>
      </c>
      <c r="B96" s="24" t="s">
        <v>117</v>
      </c>
      <c r="C96" s="24" t="s">
        <v>731</v>
      </c>
      <c r="D96" s="24">
        <v>121</v>
      </c>
      <c r="E96" s="24">
        <v>13</v>
      </c>
      <c r="F96" s="24">
        <v>85</v>
      </c>
      <c r="G96" s="24">
        <v>244</v>
      </c>
      <c r="H96" s="24">
        <v>107</v>
      </c>
      <c r="I96" s="24">
        <v>148</v>
      </c>
      <c r="J96" s="24">
        <v>86</v>
      </c>
      <c r="K96" s="24">
        <v>126</v>
      </c>
      <c r="L96" s="24">
        <v>60</v>
      </c>
      <c r="M96" s="24">
        <v>322</v>
      </c>
      <c r="N96" s="24">
        <v>85</v>
      </c>
      <c r="O96" s="24">
        <v>96</v>
      </c>
      <c r="P96" s="24">
        <v>86</v>
      </c>
      <c r="Q96" s="24">
        <v>34</v>
      </c>
      <c r="R96" s="24">
        <v>82</v>
      </c>
      <c r="S96" s="24">
        <v>31</v>
      </c>
      <c r="T96" s="24">
        <v>61</v>
      </c>
      <c r="U96" s="24">
        <v>172</v>
      </c>
      <c r="V96" s="24">
        <v>544</v>
      </c>
      <c r="W96" s="24">
        <v>3</v>
      </c>
      <c r="X96" s="24">
        <v>95</v>
      </c>
      <c r="Y96" s="24">
        <v>528.5</v>
      </c>
      <c r="Z96" s="24">
        <v>110</v>
      </c>
      <c r="AA96" s="24">
        <v>15</v>
      </c>
    </row>
    <row r="97" spans="1:27">
      <c r="A97" s="24" t="s">
        <v>1335</v>
      </c>
      <c r="B97" s="24" t="s">
        <v>54</v>
      </c>
      <c r="C97" s="24" t="s">
        <v>1336</v>
      </c>
      <c r="D97" s="24">
        <v>116</v>
      </c>
      <c r="E97" s="24">
        <v>47</v>
      </c>
      <c r="F97" s="24">
        <v>97</v>
      </c>
      <c r="G97" s="24">
        <v>112</v>
      </c>
      <c r="H97" s="24">
        <v>100</v>
      </c>
      <c r="I97" s="24">
        <v>258</v>
      </c>
      <c r="J97" s="24">
        <v>86</v>
      </c>
      <c r="K97" s="24">
        <v>126</v>
      </c>
      <c r="L97" s="24">
        <v>62</v>
      </c>
      <c r="M97" s="24">
        <v>277</v>
      </c>
      <c r="N97" s="24">
        <v>83</v>
      </c>
      <c r="O97" s="24">
        <v>145</v>
      </c>
      <c r="P97" s="24">
        <v>73</v>
      </c>
      <c r="Q97" s="24">
        <v>359</v>
      </c>
      <c r="R97" s="24">
        <v>70</v>
      </c>
      <c r="S97" s="24">
        <v>327</v>
      </c>
      <c r="T97" s="24">
        <v>51</v>
      </c>
      <c r="U97" s="24">
        <v>555</v>
      </c>
      <c r="V97" s="24">
        <v>544</v>
      </c>
      <c r="W97" s="24">
        <v>1</v>
      </c>
      <c r="X97" s="24">
        <v>95</v>
      </c>
      <c r="Y97" s="24">
        <v>493</v>
      </c>
      <c r="Z97" s="24">
        <v>247</v>
      </c>
      <c r="AA97" s="24">
        <v>152</v>
      </c>
    </row>
    <row r="98" spans="1:27">
      <c r="A98" s="24" t="s">
        <v>1537</v>
      </c>
      <c r="B98" s="24" t="s">
        <v>10</v>
      </c>
      <c r="C98" s="24" t="s">
        <v>174</v>
      </c>
      <c r="D98" s="24">
        <v>91</v>
      </c>
      <c r="E98" s="24">
        <v>799</v>
      </c>
      <c r="F98" s="24">
        <v>95</v>
      </c>
      <c r="G98" s="24">
        <v>128</v>
      </c>
      <c r="H98" s="24">
        <v>111.5</v>
      </c>
      <c r="I98" s="24">
        <v>91</v>
      </c>
      <c r="J98" s="24">
        <v>96</v>
      </c>
      <c r="K98" s="24">
        <v>43</v>
      </c>
      <c r="L98" s="24">
        <v>70</v>
      </c>
      <c r="M98" s="24">
        <v>136</v>
      </c>
      <c r="N98" s="24">
        <v>80</v>
      </c>
      <c r="O98" s="24">
        <v>205</v>
      </c>
      <c r="P98" s="24">
        <v>66</v>
      </c>
      <c r="Q98" s="24">
        <v>604</v>
      </c>
      <c r="R98" s="24">
        <v>72</v>
      </c>
      <c r="S98" s="24">
        <v>256</v>
      </c>
      <c r="T98" s="24">
        <v>59</v>
      </c>
      <c r="U98" s="24">
        <v>233</v>
      </c>
      <c r="V98" s="24">
        <v>543.5</v>
      </c>
      <c r="W98" s="24">
        <v>49</v>
      </c>
      <c r="X98" s="24">
        <v>97</v>
      </c>
      <c r="Y98" s="24">
        <v>542</v>
      </c>
      <c r="Z98" s="24">
        <v>80</v>
      </c>
      <c r="AA98" s="24">
        <v>-17</v>
      </c>
    </row>
    <row r="99" spans="1:27">
      <c r="A99" s="24" t="s">
        <v>1644</v>
      </c>
      <c r="B99" s="24" t="s">
        <v>9</v>
      </c>
      <c r="C99" s="24" t="s">
        <v>1645</v>
      </c>
      <c r="D99" s="24">
        <v>110</v>
      </c>
      <c r="E99" s="24">
        <v>159</v>
      </c>
      <c r="F99" s="24">
        <v>104</v>
      </c>
      <c r="G99" s="24">
        <v>61</v>
      </c>
      <c r="H99" s="24">
        <v>103</v>
      </c>
      <c r="I99" s="24">
        <v>205</v>
      </c>
      <c r="J99" s="24">
        <v>75</v>
      </c>
      <c r="K99" s="24">
        <v>299</v>
      </c>
      <c r="L99" s="24">
        <v>71</v>
      </c>
      <c r="M99" s="24">
        <v>123</v>
      </c>
      <c r="N99" s="24">
        <v>80</v>
      </c>
      <c r="O99" s="24">
        <v>205</v>
      </c>
      <c r="P99" s="24">
        <v>66</v>
      </c>
      <c r="Q99" s="24">
        <v>604</v>
      </c>
      <c r="R99" s="24">
        <v>56</v>
      </c>
      <c r="S99" s="24">
        <v>817</v>
      </c>
      <c r="T99" s="24">
        <v>60</v>
      </c>
      <c r="U99" s="24">
        <v>203</v>
      </c>
      <c r="V99" s="24">
        <v>543</v>
      </c>
      <c r="W99" s="24">
        <v>26</v>
      </c>
      <c r="X99" s="24">
        <v>98</v>
      </c>
      <c r="Y99" s="24">
        <v>510</v>
      </c>
      <c r="Z99" s="24">
        <v>167</v>
      </c>
      <c r="AA99" s="24">
        <v>69</v>
      </c>
    </row>
    <row r="100" spans="1:27">
      <c r="A100" s="24" t="s">
        <v>1455</v>
      </c>
      <c r="B100" s="24" t="s">
        <v>56</v>
      </c>
      <c r="C100" s="24" t="s">
        <v>177</v>
      </c>
      <c r="D100" s="24">
        <v>101</v>
      </c>
      <c r="E100" s="24">
        <v>481</v>
      </c>
      <c r="F100" s="24">
        <v>121</v>
      </c>
      <c r="G100" s="24">
        <v>11</v>
      </c>
      <c r="H100" s="24">
        <v>89.5</v>
      </c>
      <c r="I100" s="24">
        <v>494</v>
      </c>
      <c r="J100" s="24">
        <v>84</v>
      </c>
      <c r="K100" s="24">
        <v>147</v>
      </c>
      <c r="L100" s="24">
        <v>60</v>
      </c>
      <c r="M100" s="24">
        <v>322</v>
      </c>
      <c r="N100" s="24">
        <v>86</v>
      </c>
      <c r="O100" s="24">
        <v>77</v>
      </c>
      <c r="P100" s="24">
        <v>82</v>
      </c>
      <c r="Q100" s="24">
        <v>100</v>
      </c>
      <c r="R100" s="24">
        <v>65</v>
      </c>
      <c r="S100" s="24">
        <v>548</v>
      </c>
      <c r="T100" s="24">
        <v>44</v>
      </c>
      <c r="U100" s="24">
        <v>804</v>
      </c>
      <c r="V100" s="24">
        <v>541.5</v>
      </c>
      <c r="W100" s="24">
        <v>1</v>
      </c>
      <c r="X100" s="24">
        <v>99</v>
      </c>
      <c r="Y100" s="24">
        <v>563.5</v>
      </c>
      <c r="Z100" s="24">
        <v>37</v>
      </c>
      <c r="AA100" s="24">
        <v>-62</v>
      </c>
    </row>
    <row r="101" spans="1:27">
      <c r="A101" s="24" t="s">
        <v>509</v>
      </c>
      <c r="B101" s="24" t="s">
        <v>19</v>
      </c>
      <c r="C101" s="24" t="s">
        <v>519</v>
      </c>
      <c r="D101" s="24">
        <v>115</v>
      </c>
      <c r="E101" s="24">
        <v>65</v>
      </c>
      <c r="F101" s="24">
        <v>67</v>
      </c>
      <c r="G101" s="24">
        <v>565</v>
      </c>
      <c r="H101" s="24">
        <v>115</v>
      </c>
      <c r="I101" s="24">
        <v>58</v>
      </c>
      <c r="J101" s="24">
        <v>93</v>
      </c>
      <c r="K101" s="24">
        <v>68</v>
      </c>
      <c r="L101" s="24">
        <v>70</v>
      </c>
      <c r="M101" s="24">
        <v>136</v>
      </c>
      <c r="N101" s="24">
        <v>81</v>
      </c>
      <c r="O101" s="24">
        <v>183</v>
      </c>
      <c r="P101" s="24">
        <v>74</v>
      </c>
      <c r="Q101" s="24">
        <v>326</v>
      </c>
      <c r="R101" s="24">
        <v>86</v>
      </c>
      <c r="S101" s="24">
        <v>9</v>
      </c>
      <c r="T101" s="24">
        <v>62</v>
      </c>
      <c r="U101" s="24">
        <v>146</v>
      </c>
      <c r="V101" s="24">
        <v>541</v>
      </c>
      <c r="W101" s="24">
        <v>2</v>
      </c>
      <c r="X101" s="24">
        <v>100</v>
      </c>
      <c r="Y101" s="24">
        <v>504.5</v>
      </c>
      <c r="Z101" s="24">
        <v>189</v>
      </c>
      <c r="AA101" s="24">
        <v>89</v>
      </c>
    </row>
    <row r="102" spans="1:27">
      <c r="A102" s="24" t="s">
        <v>2039</v>
      </c>
      <c r="B102" s="24" t="s">
        <v>109</v>
      </c>
      <c r="C102" s="24" t="s">
        <v>2040</v>
      </c>
      <c r="D102" s="24">
        <v>107</v>
      </c>
      <c r="E102" s="24">
        <v>242</v>
      </c>
      <c r="F102" s="24">
        <v>104</v>
      </c>
      <c r="G102" s="24">
        <v>61</v>
      </c>
      <c r="H102" s="24">
        <v>97.5</v>
      </c>
      <c r="I102" s="24">
        <v>310</v>
      </c>
      <c r="J102" s="24">
        <v>86</v>
      </c>
      <c r="K102" s="24">
        <v>126</v>
      </c>
      <c r="L102" s="24">
        <v>56</v>
      </c>
      <c r="M102" s="24">
        <v>433</v>
      </c>
      <c r="N102" s="24">
        <v>90</v>
      </c>
      <c r="O102" s="24">
        <v>19</v>
      </c>
      <c r="P102" s="24">
        <v>62</v>
      </c>
      <c r="Q102" s="24">
        <v>729</v>
      </c>
      <c r="R102" s="24">
        <v>54</v>
      </c>
      <c r="S102" s="24">
        <v>855</v>
      </c>
      <c r="T102" s="24">
        <v>44</v>
      </c>
      <c r="U102" s="24">
        <v>804</v>
      </c>
      <c r="V102" s="24">
        <v>540.5</v>
      </c>
      <c r="W102" s="24">
        <v>4</v>
      </c>
      <c r="X102" s="24">
        <v>101</v>
      </c>
      <c r="Y102" s="24">
        <v>473</v>
      </c>
      <c r="Z102" s="24">
        <v>346</v>
      </c>
      <c r="AA102" s="24">
        <v>245</v>
      </c>
    </row>
    <row r="103" spans="1:27">
      <c r="A103" s="24" t="s">
        <v>1792</v>
      </c>
      <c r="B103" s="24" t="s">
        <v>34</v>
      </c>
      <c r="C103" s="24" t="s">
        <v>1793</v>
      </c>
      <c r="D103" s="24">
        <v>114</v>
      </c>
      <c r="E103" s="24">
        <v>80</v>
      </c>
      <c r="F103" s="24">
        <v>89</v>
      </c>
      <c r="G103" s="24">
        <v>196</v>
      </c>
      <c r="H103" s="24">
        <v>115.5</v>
      </c>
      <c r="I103" s="24">
        <v>55</v>
      </c>
      <c r="J103" s="24">
        <v>80</v>
      </c>
      <c r="K103" s="24">
        <v>207</v>
      </c>
      <c r="L103" s="24">
        <v>63</v>
      </c>
      <c r="M103" s="24">
        <v>262</v>
      </c>
      <c r="N103" s="24">
        <v>79</v>
      </c>
      <c r="O103" s="24">
        <v>229</v>
      </c>
      <c r="P103" s="24">
        <v>75</v>
      </c>
      <c r="Q103" s="24">
        <v>289</v>
      </c>
      <c r="R103" s="24">
        <v>69</v>
      </c>
      <c r="S103" s="24">
        <v>367</v>
      </c>
      <c r="T103" s="24">
        <v>56</v>
      </c>
      <c r="U103" s="24">
        <v>352</v>
      </c>
      <c r="V103" s="24">
        <v>540.5</v>
      </c>
      <c r="W103" s="24">
        <v>1</v>
      </c>
      <c r="X103" s="24">
        <v>101</v>
      </c>
      <c r="Y103" s="24">
        <v>523.5</v>
      </c>
      <c r="Z103" s="24">
        <v>126</v>
      </c>
      <c r="AA103" s="24">
        <v>25</v>
      </c>
    </row>
    <row r="104" spans="1:27">
      <c r="A104" s="24" t="s">
        <v>2746</v>
      </c>
      <c r="B104" s="24" t="s">
        <v>49</v>
      </c>
      <c r="C104" s="24" t="s">
        <v>2747</v>
      </c>
      <c r="D104" s="24">
        <v>120</v>
      </c>
      <c r="E104" s="24">
        <v>21</v>
      </c>
      <c r="F104" s="24">
        <v>97</v>
      </c>
      <c r="G104" s="24">
        <v>112</v>
      </c>
      <c r="H104" s="24">
        <v>112.5</v>
      </c>
      <c r="I104" s="24">
        <v>77</v>
      </c>
      <c r="J104" s="24">
        <v>64</v>
      </c>
      <c r="K104" s="24">
        <v>517</v>
      </c>
      <c r="L104" s="24">
        <v>69</v>
      </c>
      <c r="M104" s="24">
        <v>152</v>
      </c>
      <c r="N104" s="24">
        <v>78</v>
      </c>
      <c r="O104" s="24">
        <v>250</v>
      </c>
      <c r="P104" s="24">
        <v>78</v>
      </c>
      <c r="Q104" s="24">
        <v>209</v>
      </c>
      <c r="R104" s="24">
        <v>66</v>
      </c>
      <c r="S104" s="24">
        <v>511</v>
      </c>
      <c r="T104" s="24">
        <v>46</v>
      </c>
      <c r="U104" s="24">
        <v>755</v>
      </c>
      <c r="V104" s="24">
        <v>540.5</v>
      </c>
      <c r="W104" s="24">
        <v>4</v>
      </c>
      <c r="X104" s="24">
        <v>101</v>
      </c>
      <c r="Y104" s="24">
        <v>532</v>
      </c>
      <c r="Z104" s="24">
        <v>101</v>
      </c>
      <c r="AA104" s="24">
        <v>0</v>
      </c>
    </row>
    <row r="105" spans="1:27">
      <c r="A105" s="24" t="s">
        <v>1286</v>
      </c>
      <c r="B105" s="24" t="s">
        <v>54</v>
      </c>
      <c r="C105" s="24" t="s">
        <v>1287</v>
      </c>
      <c r="D105" s="24">
        <v>105</v>
      </c>
      <c r="E105" s="24">
        <v>325</v>
      </c>
      <c r="F105" s="24">
        <v>94</v>
      </c>
      <c r="G105" s="24">
        <v>141</v>
      </c>
      <c r="H105" s="24">
        <v>95</v>
      </c>
      <c r="I105" s="24">
        <v>364</v>
      </c>
      <c r="J105" s="24">
        <v>84</v>
      </c>
      <c r="K105" s="24">
        <v>147</v>
      </c>
      <c r="L105" s="24">
        <v>76</v>
      </c>
      <c r="M105" s="24">
        <v>73</v>
      </c>
      <c r="N105" s="24">
        <v>86</v>
      </c>
      <c r="O105" s="24">
        <v>77</v>
      </c>
      <c r="P105" s="24">
        <v>66</v>
      </c>
      <c r="Q105" s="24">
        <v>604</v>
      </c>
      <c r="R105" s="24">
        <v>67</v>
      </c>
      <c r="S105" s="24">
        <v>471</v>
      </c>
      <c r="T105" s="24">
        <v>56</v>
      </c>
      <c r="U105" s="24">
        <v>352</v>
      </c>
      <c r="V105" s="24">
        <v>540</v>
      </c>
      <c r="W105" s="24">
        <v>2</v>
      </c>
      <c r="X105" s="24">
        <v>104</v>
      </c>
      <c r="Y105" s="24">
        <v>528.5</v>
      </c>
      <c r="Z105" s="24">
        <v>110</v>
      </c>
      <c r="AA105" s="24">
        <v>6</v>
      </c>
    </row>
    <row r="106" spans="1:27">
      <c r="A106" s="24" t="s">
        <v>1919</v>
      </c>
      <c r="B106" s="24" t="s">
        <v>34</v>
      </c>
      <c r="C106" s="24" t="s">
        <v>196</v>
      </c>
      <c r="D106" s="24">
        <v>111</v>
      </c>
      <c r="E106" s="24">
        <v>136</v>
      </c>
      <c r="F106" s="24">
        <v>102</v>
      </c>
      <c r="G106" s="24">
        <v>72</v>
      </c>
      <c r="H106" s="24">
        <v>114</v>
      </c>
      <c r="I106" s="24">
        <v>67</v>
      </c>
      <c r="J106" s="24">
        <v>79</v>
      </c>
      <c r="K106" s="24">
        <v>228</v>
      </c>
      <c r="L106" s="24">
        <v>61</v>
      </c>
      <c r="M106" s="24">
        <v>300</v>
      </c>
      <c r="N106" s="24">
        <v>73</v>
      </c>
      <c r="O106" s="24">
        <v>393</v>
      </c>
      <c r="P106" s="24">
        <v>71</v>
      </c>
      <c r="Q106" s="24">
        <v>439</v>
      </c>
      <c r="R106" s="24">
        <v>74</v>
      </c>
      <c r="S106" s="24">
        <v>174</v>
      </c>
      <c r="T106" s="24">
        <v>60</v>
      </c>
      <c r="U106" s="24">
        <v>203</v>
      </c>
      <c r="V106" s="24">
        <v>540</v>
      </c>
      <c r="W106" s="24">
        <v>2</v>
      </c>
      <c r="X106" s="24">
        <v>104</v>
      </c>
      <c r="Y106" s="24">
        <v>494</v>
      </c>
      <c r="Z106" s="24">
        <v>242</v>
      </c>
      <c r="AA106" s="24">
        <v>138</v>
      </c>
    </row>
    <row r="107" spans="1:27">
      <c r="A107" s="24" t="s">
        <v>277</v>
      </c>
      <c r="B107" s="24" t="s">
        <v>28</v>
      </c>
      <c r="C107" s="24" t="s">
        <v>148</v>
      </c>
      <c r="D107" s="24">
        <v>111</v>
      </c>
      <c r="E107" s="24">
        <v>136</v>
      </c>
      <c r="F107" s="24">
        <v>99</v>
      </c>
      <c r="G107" s="24">
        <v>93</v>
      </c>
      <c r="H107" s="24">
        <v>98</v>
      </c>
      <c r="I107" s="24">
        <v>294</v>
      </c>
      <c r="J107" s="24">
        <v>92</v>
      </c>
      <c r="K107" s="24">
        <v>74</v>
      </c>
      <c r="L107" s="24">
        <v>68</v>
      </c>
      <c r="M107" s="24">
        <v>165</v>
      </c>
      <c r="N107" s="24">
        <v>72</v>
      </c>
      <c r="O107" s="24">
        <v>433</v>
      </c>
      <c r="P107" s="24">
        <v>82</v>
      </c>
      <c r="Q107" s="24">
        <v>100</v>
      </c>
      <c r="R107" s="24">
        <v>76</v>
      </c>
      <c r="S107" s="24">
        <v>125</v>
      </c>
      <c r="T107" s="24">
        <v>59</v>
      </c>
      <c r="U107" s="24">
        <v>233</v>
      </c>
      <c r="V107" s="24">
        <v>540</v>
      </c>
      <c r="W107" s="24">
        <v>2</v>
      </c>
      <c r="X107" s="24">
        <v>104</v>
      </c>
      <c r="Y107" s="24">
        <v>494.5</v>
      </c>
      <c r="Z107" s="24">
        <v>237</v>
      </c>
      <c r="AA107" s="24">
        <v>133</v>
      </c>
    </row>
    <row r="108" spans="1:27">
      <c r="A108" s="24" t="s">
        <v>1855</v>
      </c>
      <c r="B108" s="24" t="s">
        <v>34</v>
      </c>
      <c r="C108" s="24" t="s">
        <v>1856</v>
      </c>
      <c r="D108" s="24">
        <v>109</v>
      </c>
      <c r="E108" s="24">
        <v>185</v>
      </c>
      <c r="F108" s="24">
        <v>76</v>
      </c>
      <c r="G108" s="24">
        <v>391</v>
      </c>
      <c r="H108" s="24">
        <v>102.5</v>
      </c>
      <c r="I108" s="24">
        <v>210</v>
      </c>
      <c r="J108" s="24">
        <v>85</v>
      </c>
      <c r="K108" s="24">
        <v>135</v>
      </c>
      <c r="L108" s="24">
        <v>79</v>
      </c>
      <c r="M108" s="24">
        <v>49</v>
      </c>
      <c r="N108" s="24">
        <v>88</v>
      </c>
      <c r="O108" s="24">
        <v>44</v>
      </c>
      <c r="P108" s="24">
        <v>58</v>
      </c>
      <c r="Q108" s="24">
        <v>820</v>
      </c>
      <c r="R108" s="24">
        <v>66</v>
      </c>
      <c r="S108" s="24">
        <v>511</v>
      </c>
      <c r="T108" s="24">
        <v>70</v>
      </c>
      <c r="U108" s="24">
        <v>37</v>
      </c>
      <c r="V108" s="24">
        <v>539.5</v>
      </c>
      <c r="W108" s="24">
        <v>3</v>
      </c>
      <c r="X108" s="24">
        <v>107</v>
      </c>
      <c r="Y108" s="24">
        <v>490.5</v>
      </c>
      <c r="Z108" s="24">
        <v>256</v>
      </c>
      <c r="AA108" s="24">
        <v>149</v>
      </c>
    </row>
    <row r="109" spans="1:27">
      <c r="A109" s="24" t="s">
        <v>2834</v>
      </c>
      <c r="B109" s="24" t="s">
        <v>38</v>
      </c>
      <c r="C109" s="24" t="s">
        <v>2835</v>
      </c>
      <c r="D109" s="24">
        <v>109</v>
      </c>
      <c r="E109" s="24">
        <v>185</v>
      </c>
      <c r="F109" s="24">
        <v>97</v>
      </c>
      <c r="G109" s="24">
        <v>112</v>
      </c>
      <c r="H109" s="24">
        <v>75.5</v>
      </c>
      <c r="I109" s="24">
        <v>764</v>
      </c>
      <c r="J109" s="24">
        <v>101</v>
      </c>
      <c r="K109" s="24">
        <v>16</v>
      </c>
      <c r="L109" s="24">
        <v>72</v>
      </c>
      <c r="M109" s="24">
        <v>115</v>
      </c>
      <c r="N109" s="24">
        <v>85</v>
      </c>
      <c r="O109" s="24">
        <v>96</v>
      </c>
      <c r="P109" s="24">
        <v>63</v>
      </c>
      <c r="Q109" s="24">
        <v>712</v>
      </c>
      <c r="R109" s="24">
        <v>73</v>
      </c>
      <c r="S109" s="24">
        <v>216</v>
      </c>
      <c r="T109" s="24">
        <v>68</v>
      </c>
      <c r="U109" s="24">
        <v>54</v>
      </c>
      <c r="V109" s="24">
        <v>539.5</v>
      </c>
      <c r="W109" s="24">
        <v>3</v>
      </c>
      <c r="X109" s="24">
        <v>107</v>
      </c>
      <c r="Y109" s="24">
        <v>504.5</v>
      </c>
      <c r="Z109" s="24">
        <v>189</v>
      </c>
      <c r="AA109" s="24">
        <v>82</v>
      </c>
    </row>
    <row r="110" spans="1:27">
      <c r="A110" s="24" t="s">
        <v>1411</v>
      </c>
      <c r="B110" s="24" t="s">
        <v>56</v>
      </c>
      <c r="C110" s="24" t="s">
        <v>1412</v>
      </c>
      <c r="D110" s="24">
        <v>99</v>
      </c>
      <c r="E110" s="24">
        <v>571</v>
      </c>
      <c r="F110" s="24">
        <v>120</v>
      </c>
      <c r="G110" s="24">
        <v>13</v>
      </c>
      <c r="H110" s="24">
        <v>90.5</v>
      </c>
      <c r="I110" s="24">
        <v>471</v>
      </c>
      <c r="J110" s="24">
        <v>92</v>
      </c>
      <c r="K110" s="24">
        <v>74</v>
      </c>
      <c r="L110" s="24">
        <v>60</v>
      </c>
      <c r="M110" s="24">
        <v>322</v>
      </c>
      <c r="N110" s="24">
        <v>78</v>
      </c>
      <c r="O110" s="24">
        <v>250</v>
      </c>
      <c r="P110" s="24">
        <v>59</v>
      </c>
      <c r="Q110" s="24">
        <v>799</v>
      </c>
      <c r="R110" s="24">
        <v>60</v>
      </c>
      <c r="S110" s="24">
        <v>727</v>
      </c>
      <c r="T110" s="24">
        <v>54</v>
      </c>
      <c r="U110" s="24">
        <v>428</v>
      </c>
      <c r="V110" s="24">
        <v>539.5</v>
      </c>
      <c r="W110" s="24">
        <v>2</v>
      </c>
      <c r="X110" s="24">
        <v>107</v>
      </c>
      <c r="Y110" s="24">
        <v>508.5</v>
      </c>
      <c r="Z110" s="24">
        <v>173</v>
      </c>
      <c r="AA110" s="24">
        <v>66</v>
      </c>
    </row>
    <row r="111" spans="1:27">
      <c r="A111" s="24" t="s">
        <v>3332</v>
      </c>
      <c r="B111" s="24" t="s">
        <v>49</v>
      </c>
      <c r="C111" s="24" t="s">
        <v>2606</v>
      </c>
      <c r="D111" s="24">
        <v>99</v>
      </c>
      <c r="E111" s="24">
        <v>571</v>
      </c>
      <c r="F111" s="24">
        <v>101</v>
      </c>
      <c r="G111" s="24">
        <v>81</v>
      </c>
      <c r="H111" s="24">
        <v>92</v>
      </c>
      <c r="I111" s="24">
        <v>426</v>
      </c>
      <c r="J111" s="24">
        <v>89</v>
      </c>
      <c r="K111" s="24">
        <v>97</v>
      </c>
      <c r="L111" s="24">
        <v>73</v>
      </c>
      <c r="M111" s="24">
        <v>106</v>
      </c>
      <c r="N111" s="24">
        <v>85</v>
      </c>
      <c r="O111" s="24">
        <v>96</v>
      </c>
      <c r="P111" s="24">
        <v>71</v>
      </c>
      <c r="Q111" s="24">
        <v>439</v>
      </c>
      <c r="R111" s="24">
        <v>51</v>
      </c>
      <c r="S111" s="24">
        <v>890</v>
      </c>
      <c r="T111" s="24">
        <v>63</v>
      </c>
      <c r="U111" s="24">
        <v>123</v>
      </c>
      <c r="V111" s="24">
        <v>539</v>
      </c>
      <c r="W111" s="24">
        <v>5</v>
      </c>
      <c r="X111" s="24">
        <v>110</v>
      </c>
      <c r="Y111" s="24">
        <v>545</v>
      </c>
      <c r="Z111" s="24">
        <v>74</v>
      </c>
      <c r="AA111" s="24">
        <v>-36</v>
      </c>
    </row>
    <row r="112" spans="1:27">
      <c r="A112" s="24" t="s">
        <v>1669</v>
      </c>
      <c r="B112" s="24" t="s">
        <v>9</v>
      </c>
      <c r="C112" s="24" t="s">
        <v>1664</v>
      </c>
      <c r="D112" s="24">
        <v>104</v>
      </c>
      <c r="E112" s="24">
        <v>357</v>
      </c>
      <c r="F112" s="24">
        <v>93</v>
      </c>
      <c r="G112" s="24">
        <v>155</v>
      </c>
      <c r="H112" s="24">
        <v>102</v>
      </c>
      <c r="I112" s="24">
        <v>219</v>
      </c>
      <c r="J112" s="24">
        <v>75</v>
      </c>
      <c r="K112" s="24">
        <v>299</v>
      </c>
      <c r="L112" s="24">
        <v>89</v>
      </c>
      <c r="M112" s="24">
        <v>8</v>
      </c>
      <c r="N112" s="24">
        <v>75</v>
      </c>
      <c r="O112" s="24">
        <v>342</v>
      </c>
      <c r="P112" s="24">
        <v>64</v>
      </c>
      <c r="Q112" s="24">
        <v>680</v>
      </c>
      <c r="R112" s="24">
        <v>71</v>
      </c>
      <c r="S112" s="24">
        <v>290</v>
      </c>
      <c r="T112" s="24">
        <v>63</v>
      </c>
      <c r="U112" s="24">
        <v>123</v>
      </c>
      <c r="V112" s="24">
        <v>538</v>
      </c>
      <c r="W112" s="24">
        <v>27</v>
      </c>
      <c r="X112" s="24">
        <v>111</v>
      </c>
    </row>
    <row r="113" spans="1:27">
      <c r="A113" s="24" t="s">
        <v>1762</v>
      </c>
      <c r="B113" s="24" t="s">
        <v>9</v>
      </c>
      <c r="C113" s="24" t="s">
        <v>2550</v>
      </c>
      <c r="D113" s="24">
        <v>111</v>
      </c>
      <c r="E113" s="24">
        <v>136</v>
      </c>
      <c r="F113" s="24">
        <v>89</v>
      </c>
      <c r="G113" s="24">
        <v>196</v>
      </c>
      <c r="H113" s="24">
        <v>96.5</v>
      </c>
      <c r="I113" s="24">
        <v>337</v>
      </c>
      <c r="J113" s="24">
        <v>80</v>
      </c>
      <c r="K113" s="24">
        <v>207</v>
      </c>
      <c r="L113" s="24">
        <v>73</v>
      </c>
      <c r="M113" s="24">
        <v>106</v>
      </c>
      <c r="N113" s="24">
        <v>88</v>
      </c>
      <c r="O113" s="24">
        <v>44</v>
      </c>
      <c r="P113" s="24">
        <v>79</v>
      </c>
      <c r="Q113" s="24">
        <v>175</v>
      </c>
      <c r="R113" s="24">
        <v>67</v>
      </c>
      <c r="S113" s="24">
        <v>471</v>
      </c>
      <c r="T113" s="24">
        <v>73</v>
      </c>
      <c r="U113" s="24">
        <v>19</v>
      </c>
      <c r="V113" s="24">
        <v>537.5</v>
      </c>
      <c r="W113" s="24">
        <v>28</v>
      </c>
      <c r="X113" s="24">
        <v>112</v>
      </c>
      <c r="Y113" s="24">
        <v>528</v>
      </c>
      <c r="Z113" s="24">
        <v>114</v>
      </c>
      <c r="AA113" s="24">
        <v>2</v>
      </c>
    </row>
    <row r="114" spans="1:27">
      <c r="A114" s="24" t="s">
        <v>1391</v>
      </c>
      <c r="B114" s="24" t="s">
        <v>56</v>
      </c>
      <c r="C114" s="24" t="s">
        <v>147</v>
      </c>
      <c r="D114" s="24">
        <v>90</v>
      </c>
      <c r="E114" s="24">
        <v>815</v>
      </c>
      <c r="F114" s="24">
        <v>107</v>
      </c>
      <c r="G114" s="24">
        <v>46</v>
      </c>
      <c r="H114" s="24">
        <v>108.5</v>
      </c>
      <c r="I114" s="24">
        <v>123</v>
      </c>
      <c r="J114" s="24">
        <v>88</v>
      </c>
      <c r="K114" s="24">
        <v>106</v>
      </c>
      <c r="L114" s="24">
        <v>60</v>
      </c>
      <c r="M114" s="24">
        <v>322</v>
      </c>
      <c r="N114" s="24">
        <v>84</v>
      </c>
      <c r="O114" s="24">
        <v>123</v>
      </c>
      <c r="P114" s="24">
        <v>75</v>
      </c>
      <c r="Q114" s="24">
        <v>289</v>
      </c>
      <c r="R114" s="24">
        <v>67</v>
      </c>
      <c r="S114" s="24">
        <v>471</v>
      </c>
      <c r="T114" s="24">
        <v>52</v>
      </c>
      <c r="U114" s="24">
        <v>509</v>
      </c>
      <c r="V114" s="24">
        <v>537.5</v>
      </c>
      <c r="W114" s="24">
        <v>3</v>
      </c>
      <c r="X114" s="24">
        <v>112</v>
      </c>
      <c r="Y114" s="24">
        <v>520.5</v>
      </c>
      <c r="Z114" s="24">
        <v>134</v>
      </c>
      <c r="AA114" s="24">
        <v>22</v>
      </c>
    </row>
    <row r="115" spans="1:27">
      <c r="A115" s="24" t="s">
        <v>1065</v>
      </c>
      <c r="B115" s="24" t="s">
        <v>68</v>
      </c>
      <c r="C115" s="24" t="s">
        <v>1066</v>
      </c>
      <c r="D115" s="24">
        <v>97</v>
      </c>
      <c r="E115" s="24">
        <v>645</v>
      </c>
      <c r="F115" s="24">
        <v>97</v>
      </c>
      <c r="G115" s="24">
        <v>112</v>
      </c>
      <c r="H115" s="24">
        <v>89.5</v>
      </c>
      <c r="I115" s="24">
        <v>494</v>
      </c>
      <c r="J115" s="24">
        <v>99</v>
      </c>
      <c r="K115" s="24">
        <v>25</v>
      </c>
      <c r="L115" s="24">
        <v>75</v>
      </c>
      <c r="M115" s="24">
        <v>83</v>
      </c>
      <c r="N115" s="24">
        <v>80</v>
      </c>
      <c r="O115" s="24">
        <v>205</v>
      </c>
      <c r="P115" s="24">
        <v>69</v>
      </c>
      <c r="Q115" s="24">
        <v>504</v>
      </c>
      <c r="R115" s="24">
        <v>69</v>
      </c>
      <c r="S115" s="24">
        <v>367</v>
      </c>
      <c r="T115" s="24">
        <v>55</v>
      </c>
      <c r="U115" s="24">
        <v>392</v>
      </c>
      <c r="V115" s="24">
        <v>537.5</v>
      </c>
      <c r="W115" s="24">
        <v>4</v>
      </c>
      <c r="X115" s="24">
        <v>112</v>
      </c>
      <c r="Y115" s="24">
        <v>497.5</v>
      </c>
      <c r="Z115" s="24">
        <v>223</v>
      </c>
      <c r="AA115" s="24">
        <v>111</v>
      </c>
    </row>
    <row r="116" spans="1:27">
      <c r="A116" s="24" t="s">
        <v>1610</v>
      </c>
      <c r="B116" s="24" t="s">
        <v>10</v>
      </c>
      <c r="C116" s="24" t="s">
        <v>1737</v>
      </c>
      <c r="D116" s="24">
        <v>103</v>
      </c>
      <c r="E116" s="24">
        <v>400</v>
      </c>
      <c r="F116" s="24">
        <v>118</v>
      </c>
      <c r="G116" s="24">
        <v>17</v>
      </c>
      <c r="H116" s="24">
        <v>83.5</v>
      </c>
      <c r="I116" s="24">
        <v>633</v>
      </c>
      <c r="J116" s="24">
        <v>96</v>
      </c>
      <c r="K116" s="24">
        <v>43</v>
      </c>
      <c r="L116" s="24">
        <v>60</v>
      </c>
      <c r="M116" s="24">
        <v>322</v>
      </c>
      <c r="N116" s="24">
        <v>77</v>
      </c>
      <c r="O116" s="24">
        <v>275</v>
      </c>
      <c r="P116" s="24">
        <v>66</v>
      </c>
      <c r="Q116" s="24">
        <v>604</v>
      </c>
      <c r="R116" s="24">
        <v>66</v>
      </c>
      <c r="S116" s="24">
        <v>511</v>
      </c>
      <c r="T116" s="24">
        <v>60</v>
      </c>
      <c r="U116" s="24">
        <v>203</v>
      </c>
      <c r="V116" s="24">
        <v>537.5</v>
      </c>
      <c r="W116" s="24">
        <v>50</v>
      </c>
      <c r="X116" s="24">
        <v>112</v>
      </c>
      <c r="Y116" s="24">
        <v>519</v>
      </c>
      <c r="Z116" s="24">
        <v>139</v>
      </c>
      <c r="AA116" s="24">
        <v>27</v>
      </c>
    </row>
    <row r="117" spans="1:27">
      <c r="A117" s="24" t="s">
        <v>1960</v>
      </c>
      <c r="B117" s="24" t="s">
        <v>109</v>
      </c>
      <c r="C117" s="24" t="s">
        <v>1723</v>
      </c>
      <c r="D117" s="24">
        <v>106</v>
      </c>
      <c r="E117" s="24">
        <v>287</v>
      </c>
      <c r="F117" s="24">
        <v>86</v>
      </c>
      <c r="G117" s="24">
        <v>233</v>
      </c>
      <c r="H117" s="24">
        <v>94.5</v>
      </c>
      <c r="I117" s="24">
        <v>377</v>
      </c>
      <c r="J117" s="24">
        <v>85</v>
      </c>
      <c r="K117" s="24">
        <v>135</v>
      </c>
      <c r="L117" s="24">
        <v>75</v>
      </c>
      <c r="M117" s="24">
        <v>83</v>
      </c>
      <c r="N117" s="24">
        <v>90</v>
      </c>
      <c r="O117" s="24">
        <v>19</v>
      </c>
      <c r="P117" s="24">
        <v>57</v>
      </c>
      <c r="Q117" s="24">
        <v>838</v>
      </c>
      <c r="R117" s="24">
        <v>78</v>
      </c>
      <c r="S117" s="24">
        <v>86</v>
      </c>
      <c r="T117" s="24">
        <v>54</v>
      </c>
      <c r="U117" s="24">
        <v>428</v>
      </c>
      <c r="V117" s="24">
        <v>536.5</v>
      </c>
      <c r="W117" s="24">
        <v>5</v>
      </c>
      <c r="X117" s="24">
        <v>116</v>
      </c>
      <c r="Y117" s="24">
        <v>505.5</v>
      </c>
      <c r="Z117" s="24">
        <v>186</v>
      </c>
      <c r="AA117" s="24">
        <v>70</v>
      </c>
    </row>
    <row r="118" spans="1:27">
      <c r="A118" s="24" t="s">
        <v>1164</v>
      </c>
      <c r="B118" s="24" t="s">
        <v>68</v>
      </c>
      <c r="C118" s="24" t="s">
        <v>1165</v>
      </c>
      <c r="D118" s="24">
        <v>104</v>
      </c>
      <c r="E118" s="24">
        <v>357</v>
      </c>
      <c r="F118" s="24">
        <v>97</v>
      </c>
      <c r="G118" s="24">
        <v>112</v>
      </c>
      <c r="H118" s="24">
        <v>108.5</v>
      </c>
      <c r="I118" s="24">
        <v>123</v>
      </c>
      <c r="J118" s="24">
        <v>79</v>
      </c>
      <c r="K118" s="24">
        <v>228</v>
      </c>
      <c r="L118" s="24">
        <v>63</v>
      </c>
      <c r="M118" s="24">
        <v>262</v>
      </c>
      <c r="N118" s="24">
        <v>85</v>
      </c>
      <c r="O118" s="24">
        <v>96</v>
      </c>
      <c r="P118" s="24">
        <v>77</v>
      </c>
      <c r="Q118" s="24">
        <v>240</v>
      </c>
      <c r="R118" s="24">
        <v>87</v>
      </c>
      <c r="S118" s="24">
        <v>6</v>
      </c>
      <c r="T118" s="24">
        <v>62</v>
      </c>
      <c r="U118" s="24">
        <v>146</v>
      </c>
      <c r="V118" s="24">
        <v>536.5</v>
      </c>
      <c r="W118" s="24">
        <v>5</v>
      </c>
      <c r="X118" s="24">
        <v>116</v>
      </c>
      <c r="Y118" s="24">
        <v>535.5</v>
      </c>
      <c r="Z118" s="24">
        <v>96</v>
      </c>
      <c r="AA118" s="24">
        <v>-20</v>
      </c>
    </row>
    <row r="119" spans="1:27">
      <c r="A119" s="24" t="s">
        <v>649</v>
      </c>
      <c r="B119" s="24" t="s">
        <v>17</v>
      </c>
      <c r="C119" s="24" t="s">
        <v>650</v>
      </c>
      <c r="D119" s="24">
        <v>105</v>
      </c>
      <c r="E119" s="24">
        <v>325</v>
      </c>
      <c r="F119" s="24">
        <v>94</v>
      </c>
      <c r="G119" s="24">
        <v>141</v>
      </c>
      <c r="H119" s="24">
        <v>110.5</v>
      </c>
      <c r="I119" s="24">
        <v>102</v>
      </c>
      <c r="J119" s="24">
        <v>65</v>
      </c>
      <c r="K119" s="24">
        <v>501</v>
      </c>
      <c r="L119" s="24">
        <v>78</v>
      </c>
      <c r="M119" s="24">
        <v>61</v>
      </c>
      <c r="N119" s="24">
        <v>84</v>
      </c>
      <c r="O119" s="24">
        <v>123</v>
      </c>
      <c r="P119" s="24">
        <v>67</v>
      </c>
      <c r="Q119" s="24">
        <v>570</v>
      </c>
      <c r="R119" s="24">
        <v>68</v>
      </c>
      <c r="S119" s="24">
        <v>412</v>
      </c>
      <c r="T119" s="24">
        <v>57</v>
      </c>
      <c r="U119" s="24">
        <v>306</v>
      </c>
      <c r="V119" s="24">
        <v>536.5</v>
      </c>
      <c r="W119" s="24">
        <v>4</v>
      </c>
      <c r="X119" s="24">
        <v>116</v>
      </c>
      <c r="Y119" s="24">
        <v>508</v>
      </c>
      <c r="Z119" s="24">
        <v>176</v>
      </c>
      <c r="AA119" s="24">
        <v>60</v>
      </c>
    </row>
    <row r="120" spans="1:27">
      <c r="A120" s="24" t="s">
        <v>2025</v>
      </c>
      <c r="B120" s="24" t="s">
        <v>109</v>
      </c>
      <c r="C120" s="24" t="s">
        <v>2026</v>
      </c>
      <c r="D120" s="24">
        <v>112</v>
      </c>
      <c r="E120" s="24">
        <v>114</v>
      </c>
      <c r="F120" s="24">
        <v>102</v>
      </c>
      <c r="G120" s="24">
        <v>72</v>
      </c>
      <c r="H120" s="24">
        <v>110.5</v>
      </c>
      <c r="I120" s="24">
        <v>102</v>
      </c>
      <c r="J120" s="24">
        <v>81</v>
      </c>
      <c r="K120" s="24">
        <v>195</v>
      </c>
      <c r="L120" s="24">
        <v>67</v>
      </c>
      <c r="M120" s="24">
        <v>177</v>
      </c>
      <c r="N120" s="24">
        <v>64</v>
      </c>
      <c r="O120" s="24">
        <v>667</v>
      </c>
      <c r="P120" s="24">
        <v>76</v>
      </c>
      <c r="Q120" s="24">
        <v>260</v>
      </c>
      <c r="R120" s="24">
        <v>58</v>
      </c>
      <c r="S120" s="24">
        <v>770</v>
      </c>
      <c r="T120" s="24">
        <v>46</v>
      </c>
      <c r="U120" s="24">
        <v>755</v>
      </c>
      <c r="V120" s="24">
        <v>536.5</v>
      </c>
      <c r="W120" s="24">
        <v>5</v>
      </c>
      <c r="X120" s="24">
        <v>116</v>
      </c>
      <c r="Y120" s="24">
        <v>496.5</v>
      </c>
      <c r="Z120" s="24">
        <v>227</v>
      </c>
      <c r="AA120" s="24">
        <v>111</v>
      </c>
    </row>
    <row r="121" spans="1:27">
      <c r="A121" s="24" t="s">
        <v>1704</v>
      </c>
      <c r="B121" s="24" t="s">
        <v>9</v>
      </c>
      <c r="C121" s="24" t="s">
        <v>197</v>
      </c>
      <c r="D121" s="24">
        <v>97</v>
      </c>
      <c r="E121" s="24">
        <v>645</v>
      </c>
      <c r="F121" s="24">
        <v>88</v>
      </c>
      <c r="G121" s="24">
        <v>206</v>
      </c>
      <c r="H121" s="24">
        <v>105</v>
      </c>
      <c r="I121" s="24">
        <v>172</v>
      </c>
      <c r="J121" s="24">
        <v>89</v>
      </c>
      <c r="K121" s="24">
        <v>97</v>
      </c>
      <c r="L121" s="24">
        <v>78</v>
      </c>
      <c r="M121" s="24">
        <v>61</v>
      </c>
      <c r="N121" s="24">
        <v>79</v>
      </c>
      <c r="O121" s="24">
        <v>229</v>
      </c>
      <c r="P121" s="24">
        <v>76</v>
      </c>
      <c r="Q121" s="24">
        <v>260</v>
      </c>
      <c r="R121" s="24">
        <v>71</v>
      </c>
      <c r="S121" s="24">
        <v>290</v>
      </c>
      <c r="T121" s="24">
        <v>76</v>
      </c>
      <c r="U121" s="24">
        <v>6</v>
      </c>
      <c r="V121" s="24">
        <v>536</v>
      </c>
      <c r="W121" s="24">
        <v>29</v>
      </c>
      <c r="X121" s="24">
        <v>120</v>
      </c>
      <c r="Y121" s="24">
        <v>567</v>
      </c>
      <c r="Z121" s="24">
        <v>31</v>
      </c>
      <c r="AA121" s="24">
        <v>-89</v>
      </c>
    </row>
    <row r="122" spans="1:27">
      <c r="A122" s="24" t="s">
        <v>1736</v>
      </c>
      <c r="B122" s="24" t="s">
        <v>9</v>
      </c>
      <c r="C122" s="24" t="s">
        <v>188</v>
      </c>
      <c r="D122" s="24">
        <v>105</v>
      </c>
      <c r="E122" s="24">
        <v>325</v>
      </c>
      <c r="F122" s="24">
        <v>80</v>
      </c>
      <c r="G122" s="24">
        <v>325</v>
      </c>
      <c r="H122" s="24">
        <v>100.5</v>
      </c>
      <c r="I122" s="24">
        <v>247</v>
      </c>
      <c r="J122" s="24">
        <v>82</v>
      </c>
      <c r="K122" s="24">
        <v>174</v>
      </c>
      <c r="L122" s="24">
        <v>84</v>
      </c>
      <c r="M122" s="24">
        <v>25</v>
      </c>
      <c r="N122" s="24">
        <v>84</v>
      </c>
      <c r="O122" s="24">
        <v>123</v>
      </c>
      <c r="P122" s="24">
        <v>75</v>
      </c>
      <c r="Q122" s="24">
        <v>289</v>
      </c>
      <c r="R122" s="24">
        <v>83</v>
      </c>
      <c r="S122" s="24">
        <v>22</v>
      </c>
      <c r="T122" s="24">
        <v>74</v>
      </c>
      <c r="U122" s="24">
        <v>14</v>
      </c>
      <c r="V122" s="24">
        <v>535.5</v>
      </c>
      <c r="W122" s="24">
        <v>30</v>
      </c>
      <c r="X122" s="24">
        <v>121</v>
      </c>
      <c r="Y122" s="24">
        <v>547</v>
      </c>
      <c r="Z122" s="24">
        <v>69</v>
      </c>
      <c r="AA122" s="24">
        <v>-52</v>
      </c>
    </row>
    <row r="123" spans="1:27">
      <c r="A123" s="24" t="s">
        <v>1642</v>
      </c>
      <c r="B123" s="24" t="s">
        <v>9</v>
      </c>
      <c r="C123" s="24" t="s">
        <v>1046</v>
      </c>
      <c r="D123" s="24">
        <v>114</v>
      </c>
      <c r="E123" s="24">
        <v>80</v>
      </c>
      <c r="F123" s="24">
        <v>89</v>
      </c>
      <c r="G123" s="24">
        <v>196</v>
      </c>
      <c r="H123" s="24">
        <v>116.5</v>
      </c>
      <c r="I123" s="24">
        <v>46</v>
      </c>
      <c r="J123" s="24">
        <v>65</v>
      </c>
      <c r="K123" s="24">
        <v>501</v>
      </c>
      <c r="L123" s="24">
        <v>64</v>
      </c>
      <c r="M123" s="24">
        <v>244</v>
      </c>
      <c r="N123" s="24">
        <v>86</v>
      </c>
      <c r="O123" s="24">
        <v>77</v>
      </c>
      <c r="P123" s="24">
        <v>81</v>
      </c>
      <c r="Q123" s="24">
        <v>124</v>
      </c>
      <c r="R123" s="24">
        <v>69</v>
      </c>
      <c r="S123" s="24">
        <v>367</v>
      </c>
      <c r="T123" s="24">
        <v>72</v>
      </c>
      <c r="U123" s="24">
        <v>25</v>
      </c>
      <c r="V123" s="24">
        <v>534.5</v>
      </c>
      <c r="W123" s="24">
        <v>31</v>
      </c>
      <c r="X123" s="24">
        <v>122</v>
      </c>
      <c r="Y123" s="24">
        <v>499</v>
      </c>
      <c r="Z123" s="24">
        <v>216</v>
      </c>
      <c r="AA123" s="24">
        <v>94</v>
      </c>
    </row>
    <row r="124" spans="1:27">
      <c r="A124" s="24" t="s">
        <v>1685</v>
      </c>
      <c r="B124" s="24" t="s">
        <v>9</v>
      </c>
      <c r="C124" s="24" t="s">
        <v>2154</v>
      </c>
      <c r="D124" s="24">
        <v>91</v>
      </c>
      <c r="E124" s="24">
        <v>799</v>
      </c>
      <c r="F124" s="24">
        <v>92</v>
      </c>
      <c r="G124" s="24">
        <v>166</v>
      </c>
      <c r="H124" s="24">
        <v>100.5</v>
      </c>
      <c r="I124" s="24">
        <v>247</v>
      </c>
      <c r="J124" s="24">
        <v>100</v>
      </c>
      <c r="K124" s="24">
        <v>19</v>
      </c>
      <c r="L124" s="24">
        <v>76</v>
      </c>
      <c r="M124" s="24">
        <v>73</v>
      </c>
      <c r="N124" s="24">
        <v>75</v>
      </c>
      <c r="O124" s="24">
        <v>342</v>
      </c>
      <c r="P124" s="24">
        <v>73</v>
      </c>
      <c r="Q124" s="24">
        <v>359</v>
      </c>
      <c r="R124" s="24">
        <v>71</v>
      </c>
      <c r="S124" s="24">
        <v>290</v>
      </c>
      <c r="T124" s="24">
        <v>54</v>
      </c>
      <c r="U124" s="24">
        <v>428</v>
      </c>
      <c r="V124" s="24">
        <v>534.5</v>
      </c>
      <c r="W124" s="24">
        <v>31</v>
      </c>
      <c r="X124" s="24">
        <v>122</v>
      </c>
      <c r="Y124" s="24">
        <v>514</v>
      </c>
      <c r="Z124" s="24">
        <v>157</v>
      </c>
      <c r="AA124" s="24">
        <v>35</v>
      </c>
    </row>
    <row r="125" spans="1:27">
      <c r="A125" s="24" t="s">
        <v>294</v>
      </c>
      <c r="B125" s="24" t="s">
        <v>28</v>
      </c>
      <c r="C125" s="24" t="s">
        <v>1605</v>
      </c>
      <c r="D125" s="24">
        <v>109</v>
      </c>
      <c r="E125" s="24">
        <v>185</v>
      </c>
      <c r="F125" s="24">
        <v>95</v>
      </c>
      <c r="G125" s="24">
        <v>128</v>
      </c>
      <c r="H125" s="24">
        <v>101</v>
      </c>
      <c r="I125" s="24">
        <v>234</v>
      </c>
      <c r="J125" s="24">
        <v>74</v>
      </c>
      <c r="K125" s="24">
        <v>317</v>
      </c>
      <c r="L125" s="24">
        <v>65</v>
      </c>
      <c r="M125" s="24">
        <v>223</v>
      </c>
      <c r="N125" s="24">
        <v>90</v>
      </c>
      <c r="O125" s="24">
        <v>19</v>
      </c>
      <c r="P125" s="24">
        <v>75</v>
      </c>
      <c r="Q125" s="24">
        <v>289</v>
      </c>
      <c r="R125" s="24">
        <v>69</v>
      </c>
      <c r="S125" s="24">
        <v>367</v>
      </c>
      <c r="T125" s="24">
        <v>67</v>
      </c>
      <c r="U125" s="24">
        <v>66</v>
      </c>
      <c r="V125" s="24">
        <v>534</v>
      </c>
      <c r="W125" s="24">
        <v>3</v>
      </c>
      <c r="X125" s="24">
        <v>124</v>
      </c>
      <c r="Y125" s="24">
        <v>517.5</v>
      </c>
      <c r="Z125" s="24">
        <v>145</v>
      </c>
      <c r="AA125" s="24">
        <v>21</v>
      </c>
    </row>
    <row r="126" spans="1:27">
      <c r="A126" s="24" t="s">
        <v>1770</v>
      </c>
      <c r="B126" s="24" t="s">
        <v>9</v>
      </c>
      <c r="C126" s="24" t="s">
        <v>1935</v>
      </c>
      <c r="D126" s="24">
        <v>104</v>
      </c>
      <c r="E126" s="24">
        <v>357</v>
      </c>
      <c r="F126" s="24">
        <v>101</v>
      </c>
      <c r="G126" s="24">
        <v>81</v>
      </c>
      <c r="H126" s="24">
        <v>87.5</v>
      </c>
      <c r="I126" s="24">
        <v>542</v>
      </c>
      <c r="J126" s="24">
        <v>80</v>
      </c>
      <c r="K126" s="24">
        <v>207</v>
      </c>
      <c r="L126" s="24">
        <v>71</v>
      </c>
      <c r="M126" s="24">
        <v>123</v>
      </c>
      <c r="N126" s="24">
        <v>90</v>
      </c>
      <c r="O126" s="24">
        <v>19</v>
      </c>
      <c r="P126" s="24">
        <v>72</v>
      </c>
      <c r="Q126" s="24">
        <v>396</v>
      </c>
      <c r="R126" s="24">
        <v>75</v>
      </c>
      <c r="S126" s="24">
        <v>146</v>
      </c>
      <c r="T126" s="24">
        <v>71</v>
      </c>
      <c r="U126" s="24">
        <v>32</v>
      </c>
      <c r="V126" s="24">
        <v>533.5</v>
      </c>
      <c r="W126" s="24">
        <v>33</v>
      </c>
      <c r="X126" s="24">
        <v>125</v>
      </c>
      <c r="Y126" s="24">
        <v>548.5</v>
      </c>
      <c r="Z126" s="24">
        <v>66</v>
      </c>
      <c r="AA126" s="24">
        <v>-59</v>
      </c>
    </row>
    <row r="127" spans="1:27">
      <c r="A127" s="24" t="s">
        <v>1347</v>
      </c>
      <c r="B127" s="24" t="s">
        <v>54</v>
      </c>
      <c r="C127" s="24" t="s">
        <v>1348</v>
      </c>
      <c r="D127" s="24">
        <v>115</v>
      </c>
      <c r="E127" s="24">
        <v>65</v>
      </c>
      <c r="F127" s="24">
        <v>100</v>
      </c>
      <c r="G127" s="24">
        <v>86</v>
      </c>
      <c r="H127" s="24">
        <v>83</v>
      </c>
      <c r="I127" s="24">
        <v>643</v>
      </c>
      <c r="J127" s="24">
        <v>73</v>
      </c>
      <c r="K127" s="24">
        <v>339</v>
      </c>
      <c r="L127" s="24">
        <v>76</v>
      </c>
      <c r="M127" s="24">
        <v>73</v>
      </c>
      <c r="N127" s="24">
        <v>86</v>
      </c>
      <c r="O127" s="24">
        <v>77</v>
      </c>
      <c r="P127" s="24">
        <v>68</v>
      </c>
      <c r="Q127" s="24">
        <v>541</v>
      </c>
      <c r="R127" s="24">
        <v>61</v>
      </c>
      <c r="S127" s="24">
        <v>703</v>
      </c>
      <c r="T127" s="24">
        <v>57</v>
      </c>
      <c r="U127" s="24">
        <v>306</v>
      </c>
      <c r="V127" s="24">
        <v>533</v>
      </c>
      <c r="W127" s="24">
        <v>3</v>
      </c>
      <c r="X127" s="24">
        <v>126</v>
      </c>
      <c r="Y127" s="24">
        <v>525</v>
      </c>
      <c r="Z127" s="24">
        <v>120</v>
      </c>
      <c r="AA127" s="24">
        <v>-6</v>
      </c>
    </row>
    <row r="128" spans="1:27">
      <c r="A128" s="24" t="s">
        <v>1694</v>
      </c>
      <c r="B128" s="24" t="s">
        <v>9</v>
      </c>
      <c r="C128" s="24" t="s">
        <v>31</v>
      </c>
      <c r="D128" s="24">
        <v>104</v>
      </c>
      <c r="E128" s="24">
        <v>357</v>
      </c>
      <c r="F128" s="24">
        <v>84</v>
      </c>
      <c r="G128" s="24">
        <v>251</v>
      </c>
      <c r="H128" s="24">
        <v>108</v>
      </c>
      <c r="I128" s="24">
        <v>134</v>
      </c>
      <c r="J128" s="24">
        <v>84</v>
      </c>
      <c r="K128" s="24">
        <v>147</v>
      </c>
      <c r="L128" s="24">
        <v>70</v>
      </c>
      <c r="M128" s="24">
        <v>136</v>
      </c>
      <c r="N128" s="24">
        <v>82</v>
      </c>
      <c r="O128" s="24">
        <v>166</v>
      </c>
      <c r="P128" s="24">
        <v>77</v>
      </c>
      <c r="Q128" s="24">
        <v>240</v>
      </c>
      <c r="R128" s="24">
        <v>67</v>
      </c>
      <c r="S128" s="24">
        <v>471</v>
      </c>
      <c r="T128" s="24">
        <v>64</v>
      </c>
      <c r="U128" s="24">
        <v>103</v>
      </c>
      <c r="V128" s="24">
        <v>532</v>
      </c>
      <c r="W128" s="24">
        <v>34</v>
      </c>
      <c r="X128" s="24">
        <v>127</v>
      </c>
      <c r="Y128" s="24">
        <v>552.5</v>
      </c>
      <c r="Z128" s="24">
        <v>58</v>
      </c>
      <c r="AA128" s="24">
        <v>-69</v>
      </c>
    </row>
    <row r="129" spans="1:27">
      <c r="A129" s="24" t="s">
        <v>1757</v>
      </c>
      <c r="B129" s="24" t="s">
        <v>9</v>
      </c>
      <c r="C129" s="24" t="s">
        <v>98</v>
      </c>
      <c r="D129" s="24">
        <v>107</v>
      </c>
      <c r="E129" s="24">
        <v>242</v>
      </c>
      <c r="F129" s="24">
        <v>94</v>
      </c>
      <c r="G129" s="24">
        <v>141</v>
      </c>
      <c r="H129" s="24">
        <v>108</v>
      </c>
      <c r="I129" s="24">
        <v>134</v>
      </c>
      <c r="J129" s="24">
        <v>71</v>
      </c>
      <c r="K129" s="24">
        <v>378</v>
      </c>
      <c r="L129" s="24">
        <v>75</v>
      </c>
      <c r="M129" s="24">
        <v>83</v>
      </c>
      <c r="N129" s="24">
        <v>77</v>
      </c>
      <c r="O129" s="24">
        <v>275</v>
      </c>
      <c r="P129" s="24">
        <v>82</v>
      </c>
      <c r="Q129" s="24">
        <v>100</v>
      </c>
      <c r="R129" s="24">
        <v>68</v>
      </c>
      <c r="S129" s="24">
        <v>412</v>
      </c>
      <c r="T129" s="24">
        <v>54</v>
      </c>
      <c r="U129" s="24">
        <v>428</v>
      </c>
      <c r="V129" s="24">
        <v>532</v>
      </c>
      <c r="W129" s="24">
        <v>34</v>
      </c>
      <c r="X129" s="24">
        <v>127</v>
      </c>
      <c r="Y129" s="24">
        <v>544</v>
      </c>
      <c r="Z129" s="24">
        <v>76</v>
      </c>
      <c r="AA129" s="24">
        <v>-51</v>
      </c>
    </row>
    <row r="130" spans="1:27">
      <c r="A130" s="24" t="s">
        <v>1338</v>
      </c>
      <c r="B130" s="24" t="s">
        <v>54</v>
      </c>
      <c r="C130" s="24" t="s">
        <v>1339</v>
      </c>
      <c r="D130" s="24">
        <v>117</v>
      </c>
      <c r="E130" s="24">
        <v>40</v>
      </c>
      <c r="F130" s="24">
        <v>100</v>
      </c>
      <c r="G130" s="24">
        <v>86</v>
      </c>
      <c r="H130" s="24">
        <v>91.5</v>
      </c>
      <c r="I130" s="24">
        <v>444</v>
      </c>
      <c r="J130" s="24">
        <v>77</v>
      </c>
      <c r="K130" s="24">
        <v>274</v>
      </c>
      <c r="L130" s="24">
        <v>62</v>
      </c>
      <c r="M130" s="24">
        <v>277</v>
      </c>
      <c r="N130" s="24">
        <v>84</v>
      </c>
      <c r="O130" s="24">
        <v>123</v>
      </c>
      <c r="P130" s="24">
        <v>82</v>
      </c>
      <c r="Q130" s="24">
        <v>100</v>
      </c>
      <c r="R130" s="24">
        <v>77</v>
      </c>
      <c r="S130" s="24">
        <v>102</v>
      </c>
      <c r="T130" s="24">
        <v>54</v>
      </c>
      <c r="U130" s="24">
        <v>428</v>
      </c>
      <c r="V130" s="24">
        <v>531.5</v>
      </c>
      <c r="W130" s="24">
        <v>4</v>
      </c>
      <c r="X130" s="24">
        <v>129</v>
      </c>
      <c r="Y130" s="24">
        <v>532</v>
      </c>
      <c r="Z130" s="24">
        <v>101</v>
      </c>
      <c r="AA130" s="24">
        <v>-28</v>
      </c>
    </row>
    <row r="131" spans="1:27">
      <c r="A131" s="24" t="s">
        <v>2611</v>
      </c>
      <c r="B131" s="24" t="s">
        <v>49</v>
      </c>
      <c r="C131" s="24" t="s">
        <v>2612</v>
      </c>
      <c r="D131" s="24">
        <v>103</v>
      </c>
      <c r="E131" s="24">
        <v>400</v>
      </c>
      <c r="F131" s="24">
        <v>90</v>
      </c>
      <c r="G131" s="24">
        <v>183</v>
      </c>
      <c r="H131" s="24">
        <v>116.5</v>
      </c>
      <c r="I131" s="24">
        <v>46</v>
      </c>
      <c r="J131" s="24">
        <v>82</v>
      </c>
      <c r="K131" s="24">
        <v>174</v>
      </c>
      <c r="L131" s="24">
        <v>59</v>
      </c>
      <c r="M131" s="24">
        <v>348</v>
      </c>
      <c r="N131" s="24">
        <v>81</v>
      </c>
      <c r="O131" s="24">
        <v>183</v>
      </c>
      <c r="P131" s="24">
        <v>70</v>
      </c>
      <c r="Q131" s="24">
        <v>473</v>
      </c>
      <c r="R131" s="24">
        <v>68</v>
      </c>
      <c r="S131" s="24">
        <v>412</v>
      </c>
      <c r="T131" s="24">
        <v>51</v>
      </c>
      <c r="U131" s="24">
        <v>555</v>
      </c>
      <c r="V131" s="24">
        <v>531.5</v>
      </c>
      <c r="W131" s="24">
        <v>6</v>
      </c>
      <c r="X131" s="24">
        <v>129</v>
      </c>
      <c r="Y131" s="24">
        <v>469</v>
      </c>
      <c r="Z131" s="24">
        <v>372</v>
      </c>
      <c r="AA131" s="24">
        <v>243</v>
      </c>
    </row>
    <row r="132" spans="1:27">
      <c r="A132" s="24" t="s">
        <v>2180</v>
      </c>
      <c r="B132" s="24" t="s">
        <v>73</v>
      </c>
      <c r="C132" s="24" t="s">
        <v>2181</v>
      </c>
      <c r="D132" s="24">
        <v>104</v>
      </c>
      <c r="E132" s="24">
        <v>357</v>
      </c>
      <c r="F132" s="24">
        <v>72</v>
      </c>
      <c r="G132" s="24">
        <v>458</v>
      </c>
      <c r="H132" s="24">
        <v>92.5</v>
      </c>
      <c r="I132" s="24">
        <v>414</v>
      </c>
      <c r="J132" s="24">
        <v>102</v>
      </c>
      <c r="K132" s="24">
        <v>12</v>
      </c>
      <c r="L132" s="24">
        <v>83</v>
      </c>
      <c r="M132" s="24">
        <v>30</v>
      </c>
      <c r="N132" s="24">
        <v>78</v>
      </c>
      <c r="O132" s="24">
        <v>250</v>
      </c>
      <c r="P132" s="24">
        <v>55</v>
      </c>
      <c r="Q132" s="24">
        <v>868</v>
      </c>
      <c r="R132" s="24">
        <v>69</v>
      </c>
      <c r="S132" s="24">
        <v>367</v>
      </c>
      <c r="T132" s="24">
        <v>55</v>
      </c>
      <c r="U132" s="24">
        <v>392</v>
      </c>
      <c r="V132" s="24">
        <v>531.5</v>
      </c>
      <c r="W132" s="24">
        <v>2</v>
      </c>
      <c r="X132" s="24">
        <v>129</v>
      </c>
      <c r="Y132" s="24">
        <v>516</v>
      </c>
      <c r="Z132" s="24">
        <v>151</v>
      </c>
      <c r="AA132" s="24">
        <v>22</v>
      </c>
    </row>
    <row r="133" spans="1:27">
      <c r="A133" s="24" t="s">
        <v>425</v>
      </c>
      <c r="B133" s="24" t="s">
        <v>19</v>
      </c>
      <c r="C133" s="24" t="s">
        <v>189</v>
      </c>
      <c r="D133" s="24">
        <v>97</v>
      </c>
      <c r="E133" s="24">
        <v>645</v>
      </c>
      <c r="F133" s="24">
        <v>94</v>
      </c>
      <c r="G133" s="24">
        <v>141</v>
      </c>
      <c r="H133" s="24">
        <v>101</v>
      </c>
      <c r="I133" s="24">
        <v>234</v>
      </c>
      <c r="J133" s="24">
        <v>99</v>
      </c>
      <c r="K133" s="24">
        <v>25</v>
      </c>
      <c r="L133" s="24">
        <v>53</v>
      </c>
      <c r="M133" s="24">
        <v>526</v>
      </c>
      <c r="N133" s="24">
        <v>87</v>
      </c>
      <c r="O133" s="24">
        <v>57</v>
      </c>
      <c r="P133" s="24">
        <v>78</v>
      </c>
      <c r="Q133" s="24">
        <v>209</v>
      </c>
      <c r="R133" s="24">
        <v>68</v>
      </c>
      <c r="S133" s="24">
        <v>412</v>
      </c>
      <c r="T133" s="24">
        <v>50</v>
      </c>
      <c r="U133" s="24">
        <v>591</v>
      </c>
      <c r="V133" s="24">
        <v>531</v>
      </c>
      <c r="W133" s="24">
        <v>3</v>
      </c>
      <c r="X133" s="24">
        <v>132</v>
      </c>
      <c r="Y133" s="24">
        <v>540.5</v>
      </c>
      <c r="Z133" s="24">
        <v>85</v>
      </c>
      <c r="AA133" s="24">
        <v>-47</v>
      </c>
    </row>
    <row r="134" spans="1:27">
      <c r="A134" s="24" t="s">
        <v>1672</v>
      </c>
      <c r="B134" s="24" t="s">
        <v>9</v>
      </c>
      <c r="C134" s="24" t="s">
        <v>906</v>
      </c>
      <c r="D134" s="24">
        <v>110</v>
      </c>
      <c r="E134" s="24">
        <v>159</v>
      </c>
      <c r="F134" s="24">
        <v>109</v>
      </c>
      <c r="G134" s="24">
        <v>42</v>
      </c>
      <c r="H134" s="24">
        <v>92</v>
      </c>
      <c r="I134" s="24">
        <v>426</v>
      </c>
      <c r="J134" s="24">
        <v>82</v>
      </c>
      <c r="K134" s="24">
        <v>174</v>
      </c>
      <c r="L134" s="24">
        <v>65</v>
      </c>
      <c r="M134" s="24">
        <v>223</v>
      </c>
      <c r="N134" s="24">
        <v>73</v>
      </c>
      <c r="O134" s="24">
        <v>393</v>
      </c>
      <c r="P134" s="24">
        <v>64</v>
      </c>
      <c r="Q134" s="24">
        <v>680</v>
      </c>
      <c r="R134" s="24">
        <v>55</v>
      </c>
      <c r="S134" s="24">
        <v>835</v>
      </c>
      <c r="T134" s="24">
        <v>53</v>
      </c>
      <c r="U134" s="24">
        <v>470</v>
      </c>
      <c r="V134" s="24">
        <v>531</v>
      </c>
      <c r="W134" s="24">
        <v>36</v>
      </c>
      <c r="X134" s="24">
        <v>132</v>
      </c>
      <c r="Y134" s="24">
        <v>514.5</v>
      </c>
      <c r="Z134" s="24">
        <v>155</v>
      </c>
      <c r="AA134" s="24">
        <v>23</v>
      </c>
    </row>
    <row r="135" spans="1:27">
      <c r="A135" s="24" t="s">
        <v>1023</v>
      </c>
      <c r="B135" s="24" t="s">
        <v>60</v>
      </c>
      <c r="C135" s="24" t="s">
        <v>1024</v>
      </c>
      <c r="D135" s="24">
        <v>124</v>
      </c>
      <c r="E135" s="24">
        <v>4</v>
      </c>
      <c r="F135" s="24">
        <v>109</v>
      </c>
      <c r="G135" s="24">
        <v>42</v>
      </c>
      <c r="H135" s="24">
        <v>74.5</v>
      </c>
      <c r="I135" s="24">
        <v>785</v>
      </c>
      <c r="J135" s="24">
        <v>78</v>
      </c>
      <c r="K135" s="24">
        <v>250</v>
      </c>
      <c r="L135" s="24">
        <v>70</v>
      </c>
      <c r="M135" s="24">
        <v>136</v>
      </c>
      <c r="N135" s="24">
        <v>75</v>
      </c>
      <c r="O135" s="24">
        <v>342</v>
      </c>
      <c r="P135" s="24">
        <v>77</v>
      </c>
      <c r="Q135" s="24">
        <v>240</v>
      </c>
      <c r="R135" s="24">
        <v>63</v>
      </c>
      <c r="S135" s="24">
        <v>633</v>
      </c>
      <c r="T135" s="24">
        <v>51</v>
      </c>
      <c r="U135" s="24">
        <v>555</v>
      </c>
      <c r="V135" s="24">
        <v>530.5</v>
      </c>
      <c r="W135" s="24">
        <v>2</v>
      </c>
      <c r="X135" s="24">
        <v>134</v>
      </c>
      <c r="Y135" s="24">
        <v>488</v>
      </c>
      <c r="Z135" s="24">
        <v>269</v>
      </c>
      <c r="AA135" s="24">
        <v>135</v>
      </c>
    </row>
    <row r="136" spans="1:27">
      <c r="A136" s="24" t="s">
        <v>1617</v>
      </c>
      <c r="B136" s="24" t="s">
        <v>10</v>
      </c>
      <c r="C136" s="24" t="s">
        <v>204</v>
      </c>
      <c r="D136" s="24">
        <v>106</v>
      </c>
      <c r="E136" s="24">
        <v>287</v>
      </c>
      <c r="F136" s="24">
        <v>82</v>
      </c>
      <c r="G136" s="24">
        <v>290</v>
      </c>
      <c r="H136" s="24">
        <v>120.5</v>
      </c>
      <c r="I136" s="24">
        <v>25</v>
      </c>
      <c r="J136" s="24">
        <v>70</v>
      </c>
      <c r="K136" s="24">
        <v>400</v>
      </c>
      <c r="L136" s="24">
        <v>78</v>
      </c>
      <c r="M136" s="24">
        <v>61</v>
      </c>
      <c r="N136" s="24">
        <v>74</v>
      </c>
      <c r="O136" s="24">
        <v>366</v>
      </c>
      <c r="P136" s="24">
        <v>72</v>
      </c>
      <c r="Q136" s="24">
        <v>396</v>
      </c>
      <c r="R136" s="24">
        <v>76</v>
      </c>
      <c r="S136" s="24">
        <v>125</v>
      </c>
      <c r="T136" s="24">
        <v>60</v>
      </c>
      <c r="U136" s="24">
        <v>203</v>
      </c>
      <c r="V136" s="24">
        <v>530.5</v>
      </c>
      <c r="W136" s="24">
        <v>51</v>
      </c>
      <c r="X136" s="24">
        <v>134</v>
      </c>
      <c r="Y136" s="24">
        <v>558</v>
      </c>
      <c r="Z136" s="24">
        <v>47</v>
      </c>
      <c r="AA136" s="24">
        <v>-87</v>
      </c>
    </row>
    <row r="137" spans="1:27">
      <c r="A137" s="24" t="s">
        <v>1679</v>
      </c>
      <c r="B137" s="24" t="s">
        <v>9</v>
      </c>
      <c r="C137" s="24" t="s">
        <v>1389</v>
      </c>
      <c r="D137" s="24">
        <v>104</v>
      </c>
      <c r="E137" s="24">
        <v>357</v>
      </c>
      <c r="F137" s="24">
        <v>87</v>
      </c>
      <c r="G137" s="24">
        <v>220</v>
      </c>
      <c r="H137" s="24">
        <v>92</v>
      </c>
      <c r="I137" s="24">
        <v>426</v>
      </c>
      <c r="J137" s="24">
        <v>78</v>
      </c>
      <c r="K137" s="24">
        <v>250</v>
      </c>
      <c r="L137" s="24">
        <v>78</v>
      </c>
      <c r="M137" s="24">
        <v>61</v>
      </c>
      <c r="N137" s="24">
        <v>91</v>
      </c>
      <c r="O137" s="24">
        <v>12</v>
      </c>
      <c r="P137" s="24">
        <v>72</v>
      </c>
      <c r="Q137" s="24">
        <v>396</v>
      </c>
      <c r="R137" s="24">
        <v>71</v>
      </c>
      <c r="S137" s="24">
        <v>290</v>
      </c>
      <c r="T137" s="24">
        <v>54</v>
      </c>
      <c r="U137" s="24">
        <v>428</v>
      </c>
      <c r="V137" s="24">
        <v>530</v>
      </c>
      <c r="W137" s="24">
        <v>37</v>
      </c>
      <c r="X137" s="24">
        <v>136</v>
      </c>
      <c r="Y137" s="24">
        <v>538.5</v>
      </c>
      <c r="Z137" s="24">
        <v>90</v>
      </c>
      <c r="AA137" s="24">
        <v>-46</v>
      </c>
    </row>
    <row r="138" spans="1:27">
      <c r="A138" s="24" t="s">
        <v>1939</v>
      </c>
      <c r="B138" s="24" t="s">
        <v>109</v>
      </c>
      <c r="C138" s="24" t="s">
        <v>190</v>
      </c>
      <c r="D138" s="24">
        <v>102</v>
      </c>
      <c r="E138" s="24">
        <v>442</v>
      </c>
      <c r="F138" s="24">
        <v>86</v>
      </c>
      <c r="G138" s="24">
        <v>233</v>
      </c>
      <c r="H138" s="24">
        <v>103</v>
      </c>
      <c r="I138" s="24">
        <v>205</v>
      </c>
      <c r="J138" s="24">
        <v>87</v>
      </c>
      <c r="K138" s="24">
        <v>114</v>
      </c>
      <c r="L138" s="24">
        <v>75</v>
      </c>
      <c r="M138" s="24">
        <v>83</v>
      </c>
      <c r="N138" s="24">
        <v>77</v>
      </c>
      <c r="O138" s="24">
        <v>275</v>
      </c>
      <c r="P138" s="24">
        <v>58</v>
      </c>
      <c r="Q138" s="24">
        <v>820</v>
      </c>
      <c r="R138" s="24">
        <v>74</v>
      </c>
      <c r="S138" s="24">
        <v>174</v>
      </c>
      <c r="T138" s="24">
        <v>50</v>
      </c>
      <c r="U138" s="24">
        <v>591</v>
      </c>
      <c r="V138" s="24">
        <v>530</v>
      </c>
      <c r="W138" s="24">
        <v>7</v>
      </c>
      <c r="X138" s="24">
        <v>136</v>
      </c>
      <c r="Y138" s="24">
        <v>512</v>
      </c>
      <c r="Z138" s="24">
        <v>162</v>
      </c>
      <c r="AA138" s="24">
        <v>26</v>
      </c>
    </row>
    <row r="139" spans="1:27">
      <c r="A139" s="24" t="s">
        <v>3333</v>
      </c>
      <c r="B139" s="24" t="s">
        <v>38</v>
      </c>
      <c r="C139" s="24" t="s">
        <v>2841</v>
      </c>
      <c r="D139" s="24">
        <v>108</v>
      </c>
      <c r="E139" s="24">
        <v>212</v>
      </c>
      <c r="F139" s="24">
        <v>92</v>
      </c>
      <c r="G139" s="24">
        <v>166</v>
      </c>
      <c r="H139" s="24">
        <v>81</v>
      </c>
      <c r="I139" s="24">
        <v>680</v>
      </c>
      <c r="J139" s="24">
        <v>94</v>
      </c>
      <c r="K139" s="24">
        <v>61</v>
      </c>
      <c r="L139" s="24">
        <v>69</v>
      </c>
      <c r="M139" s="24">
        <v>152</v>
      </c>
      <c r="N139" s="24">
        <v>84</v>
      </c>
      <c r="O139" s="24">
        <v>123</v>
      </c>
      <c r="P139" s="24">
        <v>65</v>
      </c>
      <c r="Q139" s="24">
        <v>651</v>
      </c>
      <c r="R139" s="24">
        <v>56</v>
      </c>
      <c r="S139" s="24">
        <v>817</v>
      </c>
      <c r="T139" s="24">
        <v>70</v>
      </c>
      <c r="U139" s="24">
        <v>37</v>
      </c>
      <c r="V139" s="24">
        <v>528</v>
      </c>
      <c r="W139" s="24">
        <v>4</v>
      </c>
      <c r="X139" s="24">
        <v>138</v>
      </c>
      <c r="Y139" s="24">
        <v>545.5</v>
      </c>
      <c r="Z139" s="24">
        <v>72</v>
      </c>
      <c r="AA139" s="24">
        <v>-66</v>
      </c>
    </row>
    <row r="140" spans="1:27">
      <c r="A140" s="24" t="s">
        <v>1640</v>
      </c>
      <c r="B140" s="24" t="s">
        <v>9</v>
      </c>
      <c r="C140" s="24" t="s">
        <v>1527</v>
      </c>
      <c r="D140" s="24">
        <v>105</v>
      </c>
      <c r="E140" s="24">
        <v>325</v>
      </c>
      <c r="F140" s="24">
        <v>80</v>
      </c>
      <c r="G140" s="24">
        <v>325</v>
      </c>
      <c r="H140" s="24">
        <v>112.5</v>
      </c>
      <c r="I140" s="24">
        <v>77</v>
      </c>
      <c r="J140" s="24">
        <v>79</v>
      </c>
      <c r="K140" s="24">
        <v>228</v>
      </c>
      <c r="L140" s="24">
        <v>66</v>
      </c>
      <c r="M140" s="24">
        <v>204</v>
      </c>
      <c r="N140" s="24">
        <v>85</v>
      </c>
      <c r="O140" s="24">
        <v>96</v>
      </c>
      <c r="P140" s="24">
        <v>74</v>
      </c>
      <c r="Q140" s="24">
        <v>326</v>
      </c>
      <c r="R140" s="24">
        <v>76</v>
      </c>
      <c r="S140" s="24">
        <v>125</v>
      </c>
      <c r="T140" s="24">
        <v>53</v>
      </c>
      <c r="U140" s="24">
        <v>470</v>
      </c>
      <c r="V140" s="24">
        <v>527.5</v>
      </c>
      <c r="W140" s="24">
        <v>38</v>
      </c>
      <c r="X140" s="24">
        <v>139</v>
      </c>
      <c r="Y140" s="24">
        <v>530</v>
      </c>
      <c r="Z140" s="24">
        <v>103</v>
      </c>
      <c r="AA140" s="24">
        <v>-36</v>
      </c>
    </row>
    <row r="141" spans="1:27">
      <c r="A141" s="24" t="s">
        <v>542</v>
      </c>
      <c r="B141" s="24" t="s">
        <v>17</v>
      </c>
      <c r="C141" s="24" t="s">
        <v>1559</v>
      </c>
      <c r="D141" s="24">
        <v>102</v>
      </c>
      <c r="E141" s="24">
        <v>442</v>
      </c>
      <c r="F141" s="24">
        <v>63</v>
      </c>
      <c r="G141" s="24">
        <v>642</v>
      </c>
      <c r="H141" s="24">
        <v>112.5</v>
      </c>
      <c r="I141" s="24">
        <v>77</v>
      </c>
      <c r="J141" s="24">
        <v>88</v>
      </c>
      <c r="K141" s="24">
        <v>106</v>
      </c>
      <c r="L141" s="24">
        <v>81</v>
      </c>
      <c r="M141" s="24">
        <v>37</v>
      </c>
      <c r="N141" s="24">
        <v>81</v>
      </c>
      <c r="O141" s="24">
        <v>183</v>
      </c>
      <c r="P141" s="24">
        <v>76</v>
      </c>
      <c r="Q141" s="24">
        <v>260</v>
      </c>
      <c r="R141" s="24">
        <v>70</v>
      </c>
      <c r="S141" s="24">
        <v>327</v>
      </c>
      <c r="T141" s="24">
        <v>62</v>
      </c>
      <c r="U141" s="24">
        <v>146</v>
      </c>
      <c r="V141" s="24">
        <v>527.5</v>
      </c>
      <c r="W141" s="24">
        <v>5</v>
      </c>
      <c r="X141" s="24">
        <v>139</v>
      </c>
      <c r="Y141" s="24">
        <v>549</v>
      </c>
      <c r="Z141" s="24">
        <v>63</v>
      </c>
      <c r="AA141" s="24">
        <v>-76</v>
      </c>
    </row>
    <row r="142" spans="1:27">
      <c r="A142" s="24" t="s">
        <v>984</v>
      </c>
      <c r="B142" s="24" t="s">
        <v>60</v>
      </c>
      <c r="C142" s="24" t="s">
        <v>985</v>
      </c>
      <c r="D142" s="24">
        <v>119</v>
      </c>
      <c r="E142" s="24">
        <v>30</v>
      </c>
      <c r="F142" s="24">
        <v>97</v>
      </c>
      <c r="G142" s="24">
        <v>112</v>
      </c>
      <c r="H142" s="24">
        <v>97.5</v>
      </c>
      <c r="I142" s="24">
        <v>310</v>
      </c>
      <c r="J142" s="24">
        <v>71</v>
      </c>
      <c r="K142" s="24">
        <v>378</v>
      </c>
      <c r="L142" s="24">
        <v>67</v>
      </c>
      <c r="M142" s="24">
        <v>177</v>
      </c>
      <c r="N142" s="24">
        <v>76</v>
      </c>
      <c r="O142" s="24">
        <v>308</v>
      </c>
      <c r="P142" s="24">
        <v>79</v>
      </c>
      <c r="Q142" s="24">
        <v>175</v>
      </c>
      <c r="R142" s="24">
        <v>64</v>
      </c>
      <c r="S142" s="24">
        <v>586</v>
      </c>
      <c r="T142" s="24">
        <v>53</v>
      </c>
      <c r="U142" s="24">
        <v>470</v>
      </c>
      <c r="V142" s="24">
        <v>527.5</v>
      </c>
      <c r="W142" s="24">
        <v>3</v>
      </c>
      <c r="X142" s="24">
        <v>139</v>
      </c>
      <c r="Y142" s="24">
        <v>451.5</v>
      </c>
      <c r="Z142" s="24">
        <v>458</v>
      </c>
      <c r="AA142" s="24">
        <v>319</v>
      </c>
    </row>
    <row r="143" spans="1:27">
      <c r="A143" s="24" t="s">
        <v>1481</v>
      </c>
      <c r="B143" s="24" t="s">
        <v>56</v>
      </c>
      <c r="C143" s="24" t="s">
        <v>1482</v>
      </c>
      <c r="D143" s="24">
        <v>94</v>
      </c>
      <c r="E143" s="24">
        <v>733</v>
      </c>
      <c r="F143" s="24">
        <v>95</v>
      </c>
      <c r="G143" s="24">
        <v>128</v>
      </c>
      <c r="H143" s="24">
        <v>99</v>
      </c>
      <c r="I143" s="24">
        <v>277</v>
      </c>
      <c r="J143" s="24">
        <v>92</v>
      </c>
      <c r="K143" s="24">
        <v>74</v>
      </c>
      <c r="L143" s="24">
        <v>57</v>
      </c>
      <c r="M143" s="24">
        <v>409</v>
      </c>
      <c r="N143" s="24">
        <v>90</v>
      </c>
      <c r="O143" s="24">
        <v>19</v>
      </c>
      <c r="P143" s="24">
        <v>80</v>
      </c>
      <c r="Q143" s="24">
        <v>151</v>
      </c>
      <c r="R143" s="24">
        <v>78</v>
      </c>
      <c r="S143" s="24">
        <v>86</v>
      </c>
      <c r="T143" s="24">
        <v>50</v>
      </c>
      <c r="U143" s="24">
        <v>591</v>
      </c>
      <c r="V143" s="24">
        <v>527</v>
      </c>
      <c r="W143" s="24">
        <v>4</v>
      </c>
      <c r="X143" s="24">
        <v>142</v>
      </c>
      <c r="Y143" s="24">
        <v>481.5</v>
      </c>
      <c r="Z143" s="24">
        <v>298</v>
      </c>
      <c r="AA143" s="24">
        <v>156</v>
      </c>
    </row>
    <row r="144" spans="1:27">
      <c r="A144" s="24" t="s">
        <v>880</v>
      </c>
      <c r="B144" s="24" t="s">
        <v>60</v>
      </c>
      <c r="C144" s="24" t="s">
        <v>881</v>
      </c>
      <c r="D144" s="24">
        <v>106</v>
      </c>
      <c r="E144" s="24">
        <v>287</v>
      </c>
      <c r="F144" s="24">
        <v>80</v>
      </c>
      <c r="G144" s="24">
        <v>325</v>
      </c>
      <c r="H144" s="24">
        <v>107</v>
      </c>
      <c r="I144" s="24">
        <v>148</v>
      </c>
      <c r="J144" s="24">
        <v>82</v>
      </c>
      <c r="K144" s="24">
        <v>174</v>
      </c>
      <c r="L144" s="24">
        <v>65</v>
      </c>
      <c r="M144" s="24">
        <v>223</v>
      </c>
      <c r="N144" s="24">
        <v>87</v>
      </c>
      <c r="O144" s="24">
        <v>57</v>
      </c>
      <c r="P144" s="24">
        <v>75</v>
      </c>
      <c r="Q144" s="24">
        <v>289</v>
      </c>
      <c r="R144" s="24">
        <v>64</v>
      </c>
      <c r="S144" s="24">
        <v>586</v>
      </c>
      <c r="T144" s="24">
        <v>45</v>
      </c>
      <c r="U144" s="24">
        <v>781</v>
      </c>
      <c r="V144" s="24">
        <v>527</v>
      </c>
      <c r="W144" s="24">
        <v>4</v>
      </c>
      <c r="X144" s="24">
        <v>142</v>
      </c>
      <c r="Y144" s="24">
        <v>508</v>
      </c>
      <c r="Z144" s="24">
        <v>176</v>
      </c>
      <c r="AA144" s="24">
        <v>34</v>
      </c>
    </row>
    <row r="145" spans="1:27">
      <c r="A145" s="24" t="s">
        <v>2689</v>
      </c>
      <c r="B145" s="24" t="s">
        <v>49</v>
      </c>
      <c r="C145" s="24" t="s">
        <v>2687</v>
      </c>
      <c r="D145" s="24">
        <v>109</v>
      </c>
      <c r="E145" s="24">
        <v>185</v>
      </c>
      <c r="F145" s="24">
        <v>91</v>
      </c>
      <c r="G145" s="24">
        <v>176</v>
      </c>
      <c r="H145" s="24">
        <v>100.5</v>
      </c>
      <c r="I145" s="24">
        <v>247</v>
      </c>
      <c r="J145" s="24">
        <v>77</v>
      </c>
      <c r="K145" s="24">
        <v>274</v>
      </c>
      <c r="L145" s="24">
        <v>61</v>
      </c>
      <c r="M145" s="24">
        <v>300</v>
      </c>
      <c r="N145" s="24">
        <v>88</v>
      </c>
      <c r="O145" s="24">
        <v>44</v>
      </c>
      <c r="P145" s="24">
        <v>68</v>
      </c>
      <c r="Q145" s="24">
        <v>541</v>
      </c>
      <c r="R145" s="24">
        <v>60</v>
      </c>
      <c r="S145" s="24">
        <v>727</v>
      </c>
      <c r="T145" s="24">
        <v>51</v>
      </c>
      <c r="U145" s="24">
        <v>555</v>
      </c>
      <c r="V145" s="24">
        <v>526.5</v>
      </c>
      <c r="W145" s="24">
        <v>7</v>
      </c>
      <c r="X145" s="24">
        <v>144</v>
      </c>
      <c r="Y145" s="24">
        <v>519</v>
      </c>
      <c r="Z145" s="24">
        <v>139</v>
      </c>
      <c r="AA145" s="24">
        <v>-5</v>
      </c>
    </row>
    <row r="146" spans="1:27">
      <c r="A146" s="24" t="s">
        <v>838</v>
      </c>
      <c r="B146" s="24" t="s">
        <v>117</v>
      </c>
      <c r="C146" s="24" t="s">
        <v>839</v>
      </c>
      <c r="D146" s="24">
        <v>103</v>
      </c>
      <c r="E146" s="24">
        <v>400</v>
      </c>
      <c r="F146" s="24">
        <v>104</v>
      </c>
      <c r="G146" s="24">
        <v>61</v>
      </c>
      <c r="H146" s="24">
        <v>120.5</v>
      </c>
      <c r="I146" s="24">
        <v>25</v>
      </c>
      <c r="J146" s="24">
        <v>70</v>
      </c>
      <c r="K146" s="24">
        <v>400</v>
      </c>
      <c r="L146" s="24">
        <v>61</v>
      </c>
      <c r="M146" s="24">
        <v>300</v>
      </c>
      <c r="N146" s="24">
        <v>68</v>
      </c>
      <c r="O146" s="24">
        <v>555</v>
      </c>
      <c r="P146" s="24">
        <v>88</v>
      </c>
      <c r="Q146" s="24">
        <v>15</v>
      </c>
      <c r="R146" s="24">
        <v>79</v>
      </c>
      <c r="S146" s="24">
        <v>73</v>
      </c>
      <c r="T146" s="24">
        <v>53</v>
      </c>
      <c r="U146" s="24">
        <v>470</v>
      </c>
      <c r="V146" s="24">
        <v>526.5</v>
      </c>
      <c r="W146" s="24">
        <v>4</v>
      </c>
      <c r="X146" s="24">
        <v>144</v>
      </c>
      <c r="Y146" s="24">
        <v>481</v>
      </c>
      <c r="Z146" s="24">
        <v>304</v>
      </c>
      <c r="AA146" s="24">
        <v>160</v>
      </c>
    </row>
    <row r="147" spans="1:27">
      <c r="A147" s="24" t="s">
        <v>1647</v>
      </c>
      <c r="B147" s="24" t="s">
        <v>9</v>
      </c>
      <c r="C147" s="24" t="s">
        <v>194</v>
      </c>
      <c r="D147" s="24">
        <v>110</v>
      </c>
      <c r="E147" s="24">
        <v>159</v>
      </c>
      <c r="F147" s="24">
        <v>96</v>
      </c>
      <c r="G147" s="24">
        <v>122</v>
      </c>
      <c r="H147" s="24">
        <v>100</v>
      </c>
      <c r="I147" s="24">
        <v>258</v>
      </c>
      <c r="J147" s="24">
        <v>78</v>
      </c>
      <c r="K147" s="24">
        <v>250</v>
      </c>
      <c r="L147" s="24">
        <v>61</v>
      </c>
      <c r="M147" s="24">
        <v>300</v>
      </c>
      <c r="N147" s="24">
        <v>81</v>
      </c>
      <c r="O147" s="24">
        <v>183</v>
      </c>
      <c r="P147" s="24">
        <v>85</v>
      </c>
      <c r="Q147" s="24">
        <v>45</v>
      </c>
      <c r="R147" s="24">
        <v>69</v>
      </c>
      <c r="S147" s="24">
        <v>367</v>
      </c>
      <c r="T147" s="24">
        <v>55</v>
      </c>
      <c r="U147" s="24">
        <v>392</v>
      </c>
      <c r="V147" s="24">
        <v>526</v>
      </c>
      <c r="W147" s="24">
        <v>39</v>
      </c>
      <c r="X147" s="24">
        <v>146</v>
      </c>
      <c r="Y147" s="24">
        <v>521</v>
      </c>
      <c r="Z147" s="24">
        <v>132</v>
      </c>
      <c r="AA147" s="24">
        <v>-14</v>
      </c>
    </row>
    <row r="148" spans="1:27">
      <c r="A148" s="24" t="s">
        <v>958</v>
      </c>
      <c r="B148" s="24" t="s">
        <v>60</v>
      </c>
      <c r="C148" s="24" t="s">
        <v>959</v>
      </c>
      <c r="D148" s="24">
        <v>116</v>
      </c>
      <c r="E148" s="24">
        <v>47</v>
      </c>
      <c r="F148" s="24">
        <v>92</v>
      </c>
      <c r="G148" s="24">
        <v>166</v>
      </c>
      <c r="H148" s="24">
        <v>116</v>
      </c>
      <c r="I148" s="24">
        <v>51</v>
      </c>
      <c r="J148" s="24">
        <v>72</v>
      </c>
      <c r="K148" s="24">
        <v>358</v>
      </c>
      <c r="L148" s="24">
        <v>53</v>
      </c>
      <c r="M148" s="24">
        <v>526</v>
      </c>
      <c r="N148" s="24">
        <v>77</v>
      </c>
      <c r="O148" s="24">
        <v>275</v>
      </c>
      <c r="P148" s="24">
        <v>82</v>
      </c>
      <c r="Q148" s="24">
        <v>100</v>
      </c>
      <c r="R148" s="24">
        <v>73</v>
      </c>
      <c r="S148" s="24">
        <v>216</v>
      </c>
      <c r="T148" s="24">
        <v>59</v>
      </c>
      <c r="U148" s="24">
        <v>233</v>
      </c>
      <c r="V148" s="24">
        <v>526</v>
      </c>
      <c r="W148" s="24">
        <v>5</v>
      </c>
      <c r="X148" s="24">
        <v>146</v>
      </c>
      <c r="Y148" s="24">
        <v>469</v>
      </c>
      <c r="Z148" s="24">
        <v>372</v>
      </c>
      <c r="AA148" s="24">
        <v>226</v>
      </c>
    </row>
    <row r="149" spans="1:27">
      <c r="A149" s="24" t="s">
        <v>2794</v>
      </c>
      <c r="B149" s="24" t="s">
        <v>38</v>
      </c>
      <c r="C149" s="24" t="s">
        <v>2795</v>
      </c>
      <c r="D149" s="24">
        <v>93</v>
      </c>
      <c r="E149" s="24">
        <v>755</v>
      </c>
      <c r="F149" s="24">
        <v>95</v>
      </c>
      <c r="G149" s="24">
        <v>128</v>
      </c>
      <c r="H149" s="24">
        <v>102</v>
      </c>
      <c r="I149" s="24">
        <v>219</v>
      </c>
      <c r="J149" s="24">
        <v>83</v>
      </c>
      <c r="K149" s="24">
        <v>163</v>
      </c>
      <c r="L149" s="24">
        <v>78</v>
      </c>
      <c r="M149" s="24">
        <v>61</v>
      </c>
      <c r="N149" s="24">
        <v>75</v>
      </c>
      <c r="O149" s="24">
        <v>342</v>
      </c>
      <c r="P149" s="24">
        <v>71</v>
      </c>
      <c r="Q149" s="24">
        <v>439</v>
      </c>
      <c r="R149" s="24">
        <v>74</v>
      </c>
      <c r="S149" s="24">
        <v>174</v>
      </c>
      <c r="T149" s="24">
        <v>63</v>
      </c>
      <c r="U149" s="24">
        <v>123</v>
      </c>
      <c r="V149" s="24">
        <v>526</v>
      </c>
      <c r="W149" s="24">
        <v>5</v>
      </c>
      <c r="X149" s="24">
        <v>146</v>
      </c>
      <c r="Y149" s="24">
        <v>453</v>
      </c>
      <c r="Z149" s="24">
        <v>451</v>
      </c>
      <c r="AA149" s="24">
        <v>305</v>
      </c>
    </row>
    <row r="150" spans="1:27">
      <c r="A150" s="24" t="s">
        <v>2013</v>
      </c>
      <c r="B150" s="24" t="s">
        <v>109</v>
      </c>
      <c r="C150" s="24" t="s">
        <v>2014</v>
      </c>
      <c r="D150" s="24">
        <v>115</v>
      </c>
      <c r="E150" s="24">
        <v>65</v>
      </c>
      <c r="F150" s="24">
        <v>67</v>
      </c>
      <c r="G150" s="24">
        <v>565</v>
      </c>
      <c r="H150" s="24">
        <v>121.5</v>
      </c>
      <c r="I150" s="24">
        <v>21</v>
      </c>
      <c r="J150" s="24">
        <v>83</v>
      </c>
      <c r="K150" s="24">
        <v>163</v>
      </c>
      <c r="L150" s="24">
        <v>55</v>
      </c>
      <c r="M150" s="24">
        <v>470</v>
      </c>
      <c r="N150" s="24">
        <v>84</v>
      </c>
      <c r="O150" s="24">
        <v>123</v>
      </c>
      <c r="P150" s="24">
        <v>85</v>
      </c>
      <c r="Q150" s="24">
        <v>45</v>
      </c>
      <c r="R150" s="24">
        <v>63</v>
      </c>
      <c r="S150" s="24">
        <v>633</v>
      </c>
      <c r="T150" s="24">
        <v>53</v>
      </c>
      <c r="U150" s="24">
        <v>470</v>
      </c>
      <c r="V150" s="24">
        <v>525.5</v>
      </c>
      <c r="W150" s="24">
        <v>8</v>
      </c>
      <c r="X150" s="24">
        <v>149</v>
      </c>
      <c r="Y150" s="24">
        <v>527.5</v>
      </c>
      <c r="Z150" s="24">
        <v>118</v>
      </c>
      <c r="AA150" s="24">
        <v>-31</v>
      </c>
    </row>
    <row r="151" spans="1:27">
      <c r="A151" s="24" t="s">
        <v>1129</v>
      </c>
      <c r="B151" s="24" t="s">
        <v>68</v>
      </c>
      <c r="C151" s="24" t="s">
        <v>1130</v>
      </c>
      <c r="D151" s="24">
        <v>103</v>
      </c>
      <c r="E151" s="24">
        <v>400</v>
      </c>
      <c r="F151" s="24">
        <v>90</v>
      </c>
      <c r="G151" s="24">
        <v>183</v>
      </c>
      <c r="H151" s="24">
        <v>102.5</v>
      </c>
      <c r="I151" s="24">
        <v>210</v>
      </c>
      <c r="J151" s="24">
        <v>73</v>
      </c>
      <c r="K151" s="24">
        <v>339</v>
      </c>
      <c r="L151" s="24">
        <v>74</v>
      </c>
      <c r="M151" s="24">
        <v>94</v>
      </c>
      <c r="N151" s="24">
        <v>83</v>
      </c>
      <c r="O151" s="24">
        <v>145</v>
      </c>
      <c r="P151" s="24">
        <v>79</v>
      </c>
      <c r="Q151" s="24">
        <v>175</v>
      </c>
      <c r="R151" s="24">
        <v>81</v>
      </c>
      <c r="S151" s="24">
        <v>42</v>
      </c>
      <c r="T151" s="24">
        <v>58</v>
      </c>
      <c r="U151" s="24">
        <v>278</v>
      </c>
      <c r="V151" s="24">
        <v>525.5</v>
      </c>
      <c r="W151" s="24">
        <v>6</v>
      </c>
      <c r="X151" s="24">
        <v>149</v>
      </c>
      <c r="Y151" s="24">
        <v>498.5</v>
      </c>
      <c r="Z151" s="24">
        <v>217</v>
      </c>
      <c r="AA151" s="24">
        <v>68</v>
      </c>
    </row>
    <row r="152" spans="1:27">
      <c r="A152" s="24" t="s">
        <v>1962</v>
      </c>
      <c r="B152" s="24" t="s">
        <v>109</v>
      </c>
      <c r="C152" s="24" t="s">
        <v>187</v>
      </c>
      <c r="D152" s="24">
        <v>116</v>
      </c>
      <c r="E152" s="24">
        <v>47</v>
      </c>
      <c r="F152" s="24">
        <v>83</v>
      </c>
      <c r="G152" s="24">
        <v>267</v>
      </c>
      <c r="H152" s="24">
        <v>103</v>
      </c>
      <c r="I152" s="24">
        <v>205</v>
      </c>
      <c r="J152" s="24">
        <v>74</v>
      </c>
      <c r="K152" s="24">
        <v>317</v>
      </c>
      <c r="L152" s="24">
        <v>64</v>
      </c>
      <c r="M152" s="24">
        <v>244</v>
      </c>
      <c r="N152" s="24">
        <v>85</v>
      </c>
      <c r="O152" s="24">
        <v>96</v>
      </c>
      <c r="P152" s="24">
        <v>67</v>
      </c>
      <c r="Q152" s="24">
        <v>570</v>
      </c>
      <c r="R152" s="24">
        <v>65</v>
      </c>
      <c r="S152" s="24">
        <v>548</v>
      </c>
      <c r="T152" s="24">
        <v>41</v>
      </c>
      <c r="U152" s="24">
        <v>866</v>
      </c>
      <c r="V152" s="24">
        <v>525</v>
      </c>
      <c r="W152" s="24">
        <v>9</v>
      </c>
      <c r="X152" s="24">
        <v>151</v>
      </c>
      <c r="Y152" s="24">
        <v>488.5</v>
      </c>
      <c r="Z152" s="24">
        <v>267</v>
      </c>
      <c r="AA152" s="24">
        <v>116</v>
      </c>
    </row>
    <row r="153" spans="1:27">
      <c r="A153" s="24" t="s">
        <v>1048</v>
      </c>
      <c r="B153" s="24" t="s">
        <v>68</v>
      </c>
      <c r="C153" s="24" t="s">
        <v>208</v>
      </c>
      <c r="D153" s="24">
        <v>104</v>
      </c>
      <c r="E153" s="24">
        <v>357</v>
      </c>
      <c r="F153" s="24">
        <v>114</v>
      </c>
      <c r="G153" s="24">
        <v>28</v>
      </c>
      <c r="H153" s="24">
        <v>102</v>
      </c>
      <c r="I153" s="24">
        <v>219</v>
      </c>
      <c r="J153" s="24">
        <v>65</v>
      </c>
      <c r="K153" s="24">
        <v>501</v>
      </c>
      <c r="L153" s="24">
        <v>61</v>
      </c>
      <c r="M153" s="24">
        <v>300</v>
      </c>
      <c r="N153" s="24">
        <v>79</v>
      </c>
      <c r="O153" s="24">
        <v>229</v>
      </c>
      <c r="P153" s="24">
        <v>66</v>
      </c>
      <c r="Q153" s="24">
        <v>604</v>
      </c>
      <c r="R153" s="24">
        <v>71</v>
      </c>
      <c r="S153" s="24">
        <v>290</v>
      </c>
      <c r="T153" s="24">
        <v>47</v>
      </c>
      <c r="U153" s="24">
        <v>719</v>
      </c>
      <c r="V153" s="24">
        <v>525</v>
      </c>
      <c r="W153" s="24">
        <v>7</v>
      </c>
      <c r="X153" s="24">
        <v>151</v>
      </c>
      <c r="Y153" s="24">
        <v>501.5</v>
      </c>
      <c r="Z153" s="24">
        <v>204</v>
      </c>
      <c r="AA153" s="24">
        <v>53</v>
      </c>
    </row>
    <row r="154" spans="1:27">
      <c r="A154" s="24" t="s">
        <v>1627</v>
      </c>
      <c r="B154" s="24" t="s">
        <v>10</v>
      </c>
      <c r="C154" s="24" t="s">
        <v>2087</v>
      </c>
      <c r="D154" s="24">
        <v>114</v>
      </c>
      <c r="E154" s="24">
        <v>80</v>
      </c>
      <c r="F154" s="24">
        <v>93</v>
      </c>
      <c r="G154" s="24">
        <v>155</v>
      </c>
      <c r="H154" s="24">
        <v>97.5</v>
      </c>
      <c r="I154" s="24">
        <v>310</v>
      </c>
      <c r="J154" s="24">
        <v>68</v>
      </c>
      <c r="K154" s="24">
        <v>453</v>
      </c>
      <c r="L154" s="24">
        <v>64</v>
      </c>
      <c r="M154" s="24">
        <v>244</v>
      </c>
      <c r="N154" s="24">
        <v>88</v>
      </c>
      <c r="O154" s="24">
        <v>44</v>
      </c>
      <c r="P154" s="24">
        <v>86</v>
      </c>
      <c r="Q154" s="24">
        <v>34</v>
      </c>
      <c r="R154" s="24">
        <v>74</v>
      </c>
      <c r="S154" s="24">
        <v>174</v>
      </c>
      <c r="T154" s="24">
        <v>57</v>
      </c>
      <c r="U154" s="24">
        <v>306</v>
      </c>
      <c r="V154" s="24">
        <v>524.5</v>
      </c>
      <c r="W154" s="24">
        <v>52</v>
      </c>
      <c r="X154" s="24">
        <v>153</v>
      </c>
      <c r="Y154" s="24">
        <v>553</v>
      </c>
      <c r="Z154" s="24">
        <v>57</v>
      </c>
      <c r="AA154" s="24">
        <v>-96</v>
      </c>
    </row>
    <row r="155" spans="1:27">
      <c r="A155" s="24" t="s">
        <v>1112</v>
      </c>
      <c r="B155" s="24" t="s">
        <v>68</v>
      </c>
      <c r="C155" s="24" t="s">
        <v>1113</v>
      </c>
      <c r="D155" s="24">
        <v>107</v>
      </c>
      <c r="E155" s="24">
        <v>242</v>
      </c>
      <c r="F155" s="24">
        <v>101</v>
      </c>
      <c r="G155" s="24">
        <v>81</v>
      </c>
      <c r="H155" s="24">
        <v>117.5</v>
      </c>
      <c r="I155" s="24">
        <v>42</v>
      </c>
      <c r="J155" s="24">
        <v>55</v>
      </c>
      <c r="K155" s="24">
        <v>694</v>
      </c>
      <c r="L155" s="24">
        <v>60</v>
      </c>
      <c r="M155" s="24">
        <v>322</v>
      </c>
      <c r="N155" s="24">
        <v>84</v>
      </c>
      <c r="O155" s="24">
        <v>123</v>
      </c>
      <c r="P155" s="24">
        <v>79</v>
      </c>
      <c r="Q155" s="24">
        <v>175</v>
      </c>
      <c r="R155" s="24">
        <v>68</v>
      </c>
      <c r="S155" s="24">
        <v>412</v>
      </c>
      <c r="T155" s="24">
        <v>57</v>
      </c>
      <c r="U155" s="24">
        <v>306</v>
      </c>
      <c r="V155" s="24">
        <v>524.5</v>
      </c>
      <c r="W155" s="24">
        <v>8</v>
      </c>
      <c r="X155" s="24">
        <v>153</v>
      </c>
      <c r="Y155" s="24">
        <v>492</v>
      </c>
      <c r="Z155" s="24">
        <v>253</v>
      </c>
      <c r="AA155" s="24">
        <v>100</v>
      </c>
    </row>
    <row r="156" spans="1:27">
      <c r="A156" s="24" t="s">
        <v>2713</v>
      </c>
      <c r="B156" s="24" t="s">
        <v>49</v>
      </c>
      <c r="C156" s="24" t="s">
        <v>2711</v>
      </c>
      <c r="D156" s="24">
        <v>101</v>
      </c>
      <c r="E156" s="24">
        <v>481</v>
      </c>
      <c r="F156" s="24">
        <v>87</v>
      </c>
      <c r="G156" s="24">
        <v>220</v>
      </c>
      <c r="H156" s="24">
        <v>104</v>
      </c>
      <c r="I156" s="24">
        <v>188</v>
      </c>
      <c r="J156" s="24">
        <v>80</v>
      </c>
      <c r="K156" s="24">
        <v>207</v>
      </c>
      <c r="L156" s="24">
        <v>69</v>
      </c>
      <c r="M156" s="24">
        <v>152</v>
      </c>
      <c r="N156" s="24">
        <v>83</v>
      </c>
      <c r="O156" s="24">
        <v>145</v>
      </c>
      <c r="P156" s="24">
        <v>81</v>
      </c>
      <c r="Q156" s="24">
        <v>124</v>
      </c>
      <c r="R156" s="24">
        <v>84</v>
      </c>
      <c r="S156" s="24">
        <v>16</v>
      </c>
      <c r="T156" s="24">
        <v>72</v>
      </c>
      <c r="U156" s="24">
        <v>25</v>
      </c>
      <c r="V156" s="24">
        <v>524</v>
      </c>
      <c r="W156" s="24">
        <v>8</v>
      </c>
      <c r="X156" s="24">
        <v>155</v>
      </c>
      <c r="Y156" s="24">
        <v>504.5</v>
      </c>
      <c r="Z156" s="24">
        <v>189</v>
      </c>
      <c r="AA156" s="24">
        <v>34</v>
      </c>
    </row>
    <row r="157" spans="1:27">
      <c r="A157" s="24" t="s">
        <v>1144</v>
      </c>
      <c r="B157" s="24" t="s">
        <v>68</v>
      </c>
      <c r="C157" s="24" t="s">
        <v>1708</v>
      </c>
      <c r="D157" s="24">
        <v>107</v>
      </c>
      <c r="E157" s="24">
        <v>242</v>
      </c>
      <c r="F157" s="24">
        <v>112</v>
      </c>
      <c r="G157" s="24">
        <v>33</v>
      </c>
      <c r="H157" s="24">
        <v>98.5</v>
      </c>
      <c r="I157" s="24">
        <v>285</v>
      </c>
      <c r="J157" s="24">
        <v>66</v>
      </c>
      <c r="K157" s="24">
        <v>484</v>
      </c>
      <c r="L157" s="24">
        <v>58</v>
      </c>
      <c r="M157" s="24">
        <v>377</v>
      </c>
      <c r="N157" s="24">
        <v>82</v>
      </c>
      <c r="O157" s="24">
        <v>166</v>
      </c>
      <c r="P157" s="24">
        <v>85</v>
      </c>
      <c r="Q157" s="24">
        <v>45</v>
      </c>
      <c r="R157" s="24">
        <v>69</v>
      </c>
      <c r="S157" s="24">
        <v>367</v>
      </c>
      <c r="T157" s="24">
        <v>50</v>
      </c>
      <c r="U157" s="24">
        <v>591</v>
      </c>
      <c r="V157" s="24">
        <v>523.5</v>
      </c>
      <c r="W157" s="24">
        <v>9</v>
      </c>
      <c r="X157" s="24">
        <v>156</v>
      </c>
      <c r="Y157" s="24">
        <v>477</v>
      </c>
      <c r="Z157" s="24">
        <v>319</v>
      </c>
      <c r="AA157" s="24">
        <v>163</v>
      </c>
    </row>
    <row r="158" spans="1:27">
      <c r="A158" s="24" t="s">
        <v>308</v>
      </c>
      <c r="B158" s="24" t="s">
        <v>28</v>
      </c>
      <c r="C158" s="24" t="s">
        <v>309</v>
      </c>
      <c r="D158" s="24">
        <v>122</v>
      </c>
      <c r="E158" s="24">
        <v>12</v>
      </c>
      <c r="F158" s="24">
        <v>80</v>
      </c>
      <c r="G158" s="24">
        <v>325</v>
      </c>
      <c r="H158" s="24">
        <v>110.5</v>
      </c>
      <c r="I158" s="24">
        <v>102</v>
      </c>
      <c r="J158" s="24">
        <v>78</v>
      </c>
      <c r="K158" s="24">
        <v>250</v>
      </c>
      <c r="L158" s="24">
        <v>53</v>
      </c>
      <c r="M158" s="24">
        <v>526</v>
      </c>
      <c r="N158" s="24">
        <v>80</v>
      </c>
      <c r="O158" s="24">
        <v>205</v>
      </c>
      <c r="P158" s="24">
        <v>70</v>
      </c>
      <c r="Q158" s="24">
        <v>473</v>
      </c>
      <c r="R158" s="24">
        <v>63</v>
      </c>
      <c r="S158" s="24">
        <v>633</v>
      </c>
      <c r="T158" s="24">
        <v>50</v>
      </c>
      <c r="U158" s="24">
        <v>591</v>
      </c>
      <c r="V158" s="24">
        <v>523.5</v>
      </c>
      <c r="W158" s="24">
        <v>4</v>
      </c>
      <c r="X158" s="24">
        <v>156</v>
      </c>
      <c r="Y158" s="24">
        <v>521.5</v>
      </c>
      <c r="Z158" s="24">
        <v>130</v>
      </c>
      <c r="AA158" s="24">
        <v>-26</v>
      </c>
    </row>
    <row r="159" spans="1:27">
      <c r="A159" s="24" t="s">
        <v>3320</v>
      </c>
      <c r="B159" s="24" t="s">
        <v>19</v>
      </c>
      <c r="C159" s="24" t="s">
        <v>180</v>
      </c>
      <c r="D159" s="24">
        <v>103</v>
      </c>
      <c r="E159" s="24">
        <v>400</v>
      </c>
      <c r="F159" s="24">
        <v>100</v>
      </c>
      <c r="G159" s="24">
        <v>86</v>
      </c>
      <c r="H159" s="24">
        <v>92.5</v>
      </c>
      <c r="I159" s="24">
        <v>414</v>
      </c>
      <c r="J159" s="24">
        <v>83</v>
      </c>
      <c r="K159" s="24">
        <v>163</v>
      </c>
      <c r="L159" s="24">
        <v>74</v>
      </c>
      <c r="M159" s="24">
        <v>94</v>
      </c>
      <c r="N159" s="24">
        <v>71</v>
      </c>
      <c r="O159" s="24">
        <v>462</v>
      </c>
      <c r="P159" s="24">
        <v>64</v>
      </c>
      <c r="Q159" s="24">
        <v>680</v>
      </c>
      <c r="R159" s="24">
        <v>59</v>
      </c>
      <c r="S159" s="24">
        <v>746</v>
      </c>
      <c r="T159" s="24">
        <v>56</v>
      </c>
      <c r="U159" s="24">
        <v>352</v>
      </c>
      <c r="V159" s="24">
        <v>523.5</v>
      </c>
      <c r="W159" s="24">
        <v>4</v>
      </c>
      <c r="X159" s="24">
        <v>156</v>
      </c>
      <c r="Y159" s="24">
        <v>496</v>
      </c>
      <c r="Z159" s="24">
        <v>229</v>
      </c>
      <c r="AA159" s="24">
        <v>73</v>
      </c>
    </row>
    <row r="160" spans="1:27">
      <c r="A160" s="24" t="s">
        <v>1682</v>
      </c>
      <c r="B160" s="24" t="s">
        <v>9</v>
      </c>
      <c r="C160" s="24" t="s">
        <v>2315</v>
      </c>
      <c r="D160" s="24">
        <v>106</v>
      </c>
      <c r="E160" s="24">
        <v>287</v>
      </c>
      <c r="F160" s="24">
        <v>76</v>
      </c>
      <c r="G160" s="24">
        <v>391</v>
      </c>
      <c r="H160" s="24">
        <v>111</v>
      </c>
      <c r="I160" s="24">
        <v>95</v>
      </c>
      <c r="J160" s="24">
        <v>82</v>
      </c>
      <c r="K160" s="24">
        <v>174</v>
      </c>
      <c r="L160" s="24">
        <v>73</v>
      </c>
      <c r="M160" s="24">
        <v>106</v>
      </c>
      <c r="N160" s="24">
        <v>75</v>
      </c>
      <c r="O160" s="24">
        <v>342</v>
      </c>
      <c r="P160" s="24">
        <v>89</v>
      </c>
      <c r="Q160" s="24">
        <v>8</v>
      </c>
      <c r="R160" s="24">
        <v>82</v>
      </c>
      <c r="S160" s="24">
        <v>31</v>
      </c>
      <c r="T160" s="24">
        <v>67</v>
      </c>
      <c r="U160" s="24">
        <v>66</v>
      </c>
      <c r="V160" s="24">
        <v>523</v>
      </c>
      <c r="W160" s="24">
        <v>40</v>
      </c>
      <c r="X160" s="24">
        <v>159</v>
      </c>
      <c r="Y160" s="24">
        <v>555.5</v>
      </c>
      <c r="Z160" s="24">
        <v>51</v>
      </c>
      <c r="AA160" s="24">
        <v>-108</v>
      </c>
    </row>
    <row r="161" spans="1:27">
      <c r="A161" s="24" t="s">
        <v>317</v>
      </c>
      <c r="B161" s="24" t="s">
        <v>28</v>
      </c>
      <c r="C161" s="24" t="s">
        <v>318</v>
      </c>
      <c r="D161" s="24">
        <v>106</v>
      </c>
      <c r="E161" s="24">
        <v>287</v>
      </c>
      <c r="F161" s="24">
        <v>96</v>
      </c>
      <c r="G161" s="24">
        <v>122</v>
      </c>
      <c r="H161" s="24">
        <v>102.5</v>
      </c>
      <c r="I161" s="24">
        <v>210</v>
      </c>
      <c r="J161" s="24">
        <v>71</v>
      </c>
      <c r="K161" s="24">
        <v>378</v>
      </c>
      <c r="L161" s="24">
        <v>66</v>
      </c>
      <c r="M161" s="24">
        <v>204</v>
      </c>
      <c r="N161" s="24">
        <v>80</v>
      </c>
      <c r="O161" s="24">
        <v>205</v>
      </c>
      <c r="P161" s="24">
        <v>67</v>
      </c>
      <c r="Q161" s="24">
        <v>570</v>
      </c>
      <c r="R161" s="24">
        <v>63</v>
      </c>
      <c r="S161" s="24">
        <v>633</v>
      </c>
      <c r="T161" s="24">
        <v>47</v>
      </c>
      <c r="U161" s="24">
        <v>719</v>
      </c>
      <c r="V161" s="24">
        <v>521.5</v>
      </c>
      <c r="W161" s="24">
        <v>5</v>
      </c>
      <c r="X161" s="24">
        <v>160</v>
      </c>
      <c r="Y161" s="24">
        <v>521.5</v>
      </c>
      <c r="Z161" s="24">
        <v>130</v>
      </c>
      <c r="AA161" s="24">
        <v>-30</v>
      </c>
    </row>
    <row r="162" spans="1:27">
      <c r="A162" s="24" t="s">
        <v>2671</v>
      </c>
      <c r="B162" s="24" t="s">
        <v>49</v>
      </c>
      <c r="C162" s="24" t="s">
        <v>2672</v>
      </c>
      <c r="D162" s="24">
        <v>125</v>
      </c>
      <c r="E162" s="24">
        <v>3</v>
      </c>
      <c r="F162" s="24">
        <v>77</v>
      </c>
      <c r="G162" s="24">
        <v>369</v>
      </c>
      <c r="H162" s="24">
        <v>110</v>
      </c>
      <c r="I162" s="24">
        <v>108</v>
      </c>
      <c r="J162" s="24">
        <v>72</v>
      </c>
      <c r="K162" s="24">
        <v>358</v>
      </c>
      <c r="L162" s="24">
        <v>55</v>
      </c>
      <c r="M162" s="24">
        <v>470</v>
      </c>
      <c r="N162" s="24">
        <v>82</v>
      </c>
      <c r="O162" s="24">
        <v>166</v>
      </c>
      <c r="P162" s="24">
        <v>81</v>
      </c>
      <c r="Q162" s="24">
        <v>124</v>
      </c>
      <c r="R162" s="24">
        <v>68</v>
      </c>
      <c r="S162" s="24">
        <v>412</v>
      </c>
      <c r="T162" s="24">
        <v>39</v>
      </c>
      <c r="U162" s="24">
        <v>895</v>
      </c>
      <c r="V162" s="24">
        <v>521</v>
      </c>
      <c r="W162" s="24">
        <v>9</v>
      </c>
      <c r="X162" s="24">
        <v>161</v>
      </c>
      <c r="Y162" s="24">
        <v>530</v>
      </c>
      <c r="Z162" s="24">
        <v>103</v>
      </c>
      <c r="AA162" s="24">
        <v>-58</v>
      </c>
    </row>
    <row r="163" spans="1:27">
      <c r="A163" s="24" t="s">
        <v>1745</v>
      </c>
      <c r="B163" s="24" t="s">
        <v>9</v>
      </c>
      <c r="C163" s="24" t="s">
        <v>1743</v>
      </c>
      <c r="D163" s="24">
        <v>97</v>
      </c>
      <c r="E163" s="24">
        <v>645</v>
      </c>
      <c r="F163" s="24">
        <v>90</v>
      </c>
      <c r="G163" s="24">
        <v>183</v>
      </c>
      <c r="H163" s="24">
        <v>97</v>
      </c>
      <c r="I163" s="24">
        <v>327</v>
      </c>
      <c r="J163" s="24">
        <v>85</v>
      </c>
      <c r="K163" s="24">
        <v>135</v>
      </c>
      <c r="L163" s="24">
        <v>75</v>
      </c>
      <c r="M163" s="24">
        <v>83</v>
      </c>
      <c r="N163" s="24">
        <v>77</v>
      </c>
      <c r="O163" s="24">
        <v>275</v>
      </c>
      <c r="P163" s="24">
        <v>72</v>
      </c>
      <c r="Q163" s="24">
        <v>396</v>
      </c>
      <c r="R163" s="24">
        <v>78</v>
      </c>
      <c r="S163" s="24">
        <v>86</v>
      </c>
      <c r="T163" s="24">
        <v>55</v>
      </c>
      <c r="U163" s="24">
        <v>392</v>
      </c>
      <c r="V163" s="24">
        <v>521</v>
      </c>
      <c r="W163" s="24">
        <v>41</v>
      </c>
      <c r="X163" s="24">
        <v>161</v>
      </c>
      <c r="Y163" s="24">
        <v>513.5</v>
      </c>
      <c r="Z163" s="24">
        <v>158</v>
      </c>
      <c r="AA163" s="24">
        <v>-3</v>
      </c>
    </row>
    <row r="164" spans="1:27">
      <c r="A164" s="24" t="s">
        <v>1727</v>
      </c>
      <c r="B164" s="24" t="s">
        <v>9</v>
      </c>
      <c r="C164" s="24" t="s">
        <v>182</v>
      </c>
      <c r="D164" s="24">
        <v>109</v>
      </c>
      <c r="E164" s="24">
        <v>185</v>
      </c>
      <c r="F164" s="24">
        <v>92</v>
      </c>
      <c r="G164" s="24">
        <v>166</v>
      </c>
      <c r="H164" s="24">
        <v>103.5</v>
      </c>
      <c r="I164" s="24">
        <v>200</v>
      </c>
      <c r="J164" s="24">
        <v>73</v>
      </c>
      <c r="K164" s="24">
        <v>339</v>
      </c>
      <c r="L164" s="24">
        <v>58</v>
      </c>
      <c r="M164" s="24">
        <v>377</v>
      </c>
      <c r="N164" s="24">
        <v>85</v>
      </c>
      <c r="O164" s="24">
        <v>96</v>
      </c>
      <c r="P164" s="24">
        <v>83</v>
      </c>
      <c r="Q164" s="24">
        <v>79</v>
      </c>
      <c r="R164" s="24">
        <v>81</v>
      </c>
      <c r="S164" s="24">
        <v>42</v>
      </c>
      <c r="T164" s="24">
        <v>68</v>
      </c>
      <c r="U164" s="24">
        <v>54</v>
      </c>
      <c r="V164" s="24">
        <v>520.5</v>
      </c>
      <c r="W164" s="24">
        <v>42</v>
      </c>
      <c r="X164" s="24">
        <v>163</v>
      </c>
      <c r="Y164" s="24">
        <v>520</v>
      </c>
      <c r="Z164" s="24">
        <v>136</v>
      </c>
      <c r="AA164" s="24">
        <v>-27</v>
      </c>
    </row>
    <row r="165" spans="1:27">
      <c r="A165" s="24" t="s">
        <v>1237</v>
      </c>
      <c r="B165" s="24" t="s">
        <v>54</v>
      </c>
      <c r="C165" s="24" t="s">
        <v>1238</v>
      </c>
      <c r="D165" s="24">
        <v>124</v>
      </c>
      <c r="E165" s="24">
        <v>4</v>
      </c>
      <c r="F165" s="24">
        <v>76</v>
      </c>
      <c r="G165" s="24">
        <v>391</v>
      </c>
      <c r="H165" s="24">
        <v>111.5</v>
      </c>
      <c r="I165" s="24">
        <v>91</v>
      </c>
      <c r="J165" s="24">
        <v>80</v>
      </c>
      <c r="K165" s="24">
        <v>207</v>
      </c>
      <c r="L165" s="24">
        <v>58</v>
      </c>
      <c r="M165" s="24">
        <v>377</v>
      </c>
      <c r="N165" s="24">
        <v>71</v>
      </c>
      <c r="O165" s="24">
        <v>462</v>
      </c>
      <c r="P165" s="24">
        <v>82</v>
      </c>
      <c r="Q165" s="24">
        <v>100</v>
      </c>
      <c r="R165" s="24">
        <v>74</v>
      </c>
      <c r="S165" s="24">
        <v>174</v>
      </c>
      <c r="T165" s="24">
        <v>50</v>
      </c>
      <c r="U165" s="24">
        <v>591</v>
      </c>
      <c r="V165" s="24">
        <v>520.5</v>
      </c>
      <c r="W165" s="24">
        <v>5</v>
      </c>
      <c r="X165" s="24">
        <v>163</v>
      </c>
    </row>
    <row r="166" spans="1:27">
      <c r="A166" s="24" t="s">
        <v>789</v>
      </c>
      <c r="B166" s="24" t="s">
        <v>117</v>
      </c>
      <c r="C166" s="24" t="s">
        <v>790</v>
      </c>
      <c r="D166" s="24">
        <v>99</v>
      </c>
      <c r="E166" s="24">
        <v>571</v>
      </c>
      <c r="F166" s="24">
        <v>110</v>
      </c>
      <c r="G166" s="24">
        <v>38</v>
      </c>
      <c r="H166" s="24">
        <v>81</v>
      </c>
      <c r="I166" s="24">
        <v>680</v>
      </c>
      <c r="J166" s="24">
        <v>87</v>
      </c>
      <c r="K166" s="24">
        <v>114</v>
      </c>
      <c r="L166" s="24">
        <v>67</v>
      </c>
      <c r="M166" s="24">
        <v>177</v>
      </c>
      <c r="N166" s="24">
        <v>76</v>
      </c>
      <c r="O166" s="24">
        <v>308</v>
      </c>
      <c r="P166" s="24">
        <v>66</v>
      </c>
      <c r="Q166" s="24">
        <v>604</v>
      </c>
      <c r="R166" s="24">
        <v>68</v>
      </c>
      <c r="S166" s="24">
        <v>412</v>
      </c>
      <c r="T166" s="24">
        <v>64</v>
      </c>
      <c r="U166" s="24">
        <v>103</v>
      </c>
      <c r="V166" s="24">
        <v>520</v>
      </c>
      <c r="W166" s="24">
        <v>5</v>
      </c>
      <c r="X166" s="24">
        <v>165</v>
      </c>
      <c r="Y166" s="24">
        <v>481.5</v>
      </c>
      <c r="Z166" s="24">
        <v>298</v>
      </c>
      <c r="AA166" s="24">
        <v>133</v>
      </c>
    </row>
    <row r="167" spans="1:27">
      <c r="A167" s="24" t="s">
        <v>326</v>
      </c>
      <c r="B167" s="24" t="s">
        <v>28</v>
      </c>
      <c r="C167" s="24" t="s">
        <v>1673</v>
      </c>
      <c r="D167" s="24">
        <v>109</v>
      </c>
      <c r="E167" s="24">
        <v>185</v>
      </c>
      <c r="F167" s="24">
        <v>74</v>
      </c>
      <c r="G167" s="24">
        <v>424</v>
      </c>
      <c r="H167" s="24">
        <v>107</v>
      </c>
      <c r="I167" s="24">
        <v>148</v>
      </c>
      <c r="J167" s="24">
        <v>95</v>
      </c>
      <c r="K167" s="24">
        <v>50</v>
      </c>
      <c r="L167" s="24">
        <v>59</v>
      </c>
      <c r="M167" s="24">
        <v>348</v>
      </c>
      <c r="N167" s="24">
        <v>76</v>
      </c>
      <c r="O167" s="24">
        <v>308</v>
      </c>
      <c r="P167" s="24">
        <v>68</v>
      </c>
      <c r="Q167" s="24">
        <v>541</v>
      </c>
      <c r="R167" s="24">
        <v>70</v>
      </c>
      <c r="S167" s="24">
        <v>327</v>
      </c>
      <c r="T167" s="24">
        <v>57</v>
      </c>
      <c r="U167" s="24">
        <v>306</v>
      </c>
      <c r="V167" s="24">
        <v>520</v>
      </c>
      <c r="W167" s="24">
        <v>6</v>
      </c>
      <c r="X167" s="24">
        <v>165</v>
      </c>
      <c r="Y167" s="24">
        <v>513.5</v>
      </c>
      <c r="Z167" s="24">
        <v>158</v>
      </c>
      <c r="AA167" s="24">
        <v>-7</v>
      </c>
    </row>
    <row r="168" spans="1:27">
      <c r="A168" s="24" t="s">
        <v>2641</v>
      </c>
      <c r="B168" s="24" t="s">
        <v>49</v>
      </c>
      <c r="C168" s="24" t="s">
        <v>2645</v>
      </c>
      <c r="D168" s="24">
        <v>104</v>
      </c>
      <c r="E168" s="24">
        <v>357</v>
      </c>
      <c r="F168" s="24">
        <v>83</v>
      </c>
      <c r="G168" s="24">
        <v>267</v>
      </c>
      <c r="H168" s="24">
        <v>93.5</v>
      </c>
      <c r="I168" s="24">
        <v>393</v>
      </c>
      <c r="J168" s="24">
        <v>91</v>
      </c>
      <c r="K168" s="24">
        <v>84</v>
      </c>
      <c r="L168" s="24">
        <v>64</v>
      </c>
      <c r="M168" s="24">
        <v>244</v>
      </c>
      <c r="N168" s="24">
        <v>84</v>
      </c>
      <c r="O168" s="24">
        <v>123</v>
      </c>
      <c r="P168" s="24">
        <v>65</v>
      </c>
      <c r="Q168" s="24">
        <v>651</v>
      </c>
      <c r="R168" s="24">
        <v>64</v>
      </c>
      <c r="S168" s="24">
        <v>586</v>
      </c>
      <c r="T168" s="24">
        <v>43</v>
      </c>
      <c r="U168" s="24">
        <v>824</v>
      </c>
      <c r="V168" s="24">
        <v>519.5</v>
      </c>
      <c r="W168" s="24">
        <v>10</v>
      </c>
      <c r="X168" s="24">
        <v>167</v>
      </c>
      <c r="Y168" s="24">
        <v>484</v>
      </c>
      <c r="Z168" s="24">
        <v>289</v>
      </c>
      <c r="AA168" s="24">
        <v>122</v>
      </c>
    </row>
    <row r="169" spans="1:27">
      <c r="A169" s="24" t="s">
        <v>2163</v>
      </c>
      <c r="B169" s="24" t="s">
        <v>73</v>
      </c>
      <c r="C169" s="24" t="s">
        <v>123</v>
      </c>
      <c r="D169" s="24">
        <v>116</v>
      </c>
      <c r="E169" s="24">
        <v>47</v>
      </c>
      <c r="F169" s="24">
        <v>70</v>
      </c>
      <c r="G169" s="24">
        <v>505</v>
      </c>
      <c r="H169" s="24">
        <v>99.5</v>
      </c>
      <c r="I169" s="24">
        <v>269</v>
      </c>
      <c r="J169" s="24">
        <v>79</v>
      </c>
      <c r="K169" s="24">
        <v>228</v>
      </c>
      <c r="L169" s="24">
        <v>72</v>
      </c>
      <c r="M169" s="24">
        <v>115</v>
      </c>
      <c r="N169" s="24">
        <v>83</v>
      </c>
      <c r="O169" s="24">
        <v>145</v>
      </c>
      <c r="P169" s="24">
        <v>78</v>
      </c>
      <c r="Q169" s="24">
        <v>209</v>
      </c>
      <c r="R169" s="24">
        <v>72</v>
      </c>
      <c r="S169" s="24">
        <v>256</v>
      </c>
      <c r="T169" s="24">
        <v>56</v>
      </c>
      <c r="U169" s="24">
        <v>352</v>
      </c>
      <c r="V169" s="24">
        <v>519.5</v>
      </c>
      <c r="W169" s="24">
        <v>3</v>
      </c>
      <c r="X169" s="24">
        <v>167</v>
      </c>
      <c r="Y169" s="24">
        <v>502</v>
      </c>
      <c r="Z169" s="24">
        <v>199</v>
      </c>
      <c r="AA169" s="24">
        <v>32</v>
      </c>
    </row>
    <row r="170" spans="1:27">
      <c r="A170" s="24" t="s">
        <v>1344</v>
      </c>
      <c r="B170" s="24" t="s">
        <v>54</v>
      </c>
      <c r="C170" s="24" t="s">
        <v>1345</v>
      </c>
      <c r="D170" s="24">
        <v>92</v>
      </c>
      <c r="E170" s="24">
        <v>779</v>
      </c>
      <c r="F170" s="24">
        <v>102</v>
      </c>
      <c r="G170" s="24">
        <v>72</v>
      </c>
      <c r="H170" s="24">
        <v>89</v>
      </c>
      <c r="I170" s="24">
        <v>510</v>
      </c>
      <c r="J170" s="24">
        <v>85</v>
      </c>
      <c r="K170" s="24">
        <v>135</v>
      </c>
      <c r="L170" s="24">
        <v>64</v>
      </c>
      <c r="M170" s="24">
        <v>244</v>
      </c>
      <c r="N170" s="24">
        <v>87</v>
      </c>
      <c r="O170" s="24">
        <v>57</v>
      </c>
      <c r="P170" s="24">
        <v>52</v>
      </c>
      <c r="Q170" s="24">
        <v>897</v>
      </c>
      <c r="R170" s="24">
        <v>66</v>
      </c>
      <c r="S170" s="24">
        <v>511</v>
      </c>
      <c r="T170" s="24">
        <v>46</v>
      </c>
      <c r="U170" s="24">
        <v>755</v>
      </c>
      <c r="V170" s="24">
        <v>519</v>
      </c>
      <c r="W170" s="24">
        <v>6</v>
      </c>
      <c r="X170" s="24">
        <v>169</v>
      </c>
      <c r="Y170" s="24">
        <v>487</v>
      </c>
      <c r="Z170" s="24">
        <v>275</v>
      </c>
      <c r="AA170" s="24">
        <v>106</v>
      </c>
    </row>
    <row r="171" spans="1:27">
      <c r="A171" s="24" t="s">
        <v>1753</v>
      </c>
      <c r="B171" s="24" t="s">
        <v>9</v>
      </c>
      <c r="C171" s="24" t="s">
        <v>183</v>
      </c>
      <c r="D171" s="24">
        <v>102</v>
      </c>
      <c r="E171" s="24">
        <v>442</v>
      </c>
      <c r="F171" s="24">
        <v>74</v>
      </c>
      <c r="G171" s="24">
        <v>424</v>
      </c>
      <c r="H171" s="24">
        <v>109</v>
      </c>
      <c r="I171" s="24">
        <v>114</v>
      </c>
      <c r="J171" s="24">
        <v>82</v>
      </c>
      <c r="K171" s="24">
        <v>174</v>
      </c>
      <c r="L171" s="24">
        <v>67</v>
      </c>
      <c r="M171" s="24">
        <v>177</v>
      </c>
      <c r="N171" s="24">
        <v>85</v>
      </c>
      <c r="O171" s="24">
        <v>96</v>
      </c>
      <c r="P171" s="24">
        <v>91</v>
      </c>
      <c r="Q171" s="24">
        <v>1</v>
      </c>
      <c r="R171" s="24">
        <v>82</v>
      </c>
      <c r="S171" s="24">
        <v>31</v>
      </c>
      <c r="T171" s="24">
        <v>65</v>
      </c>
      <c r="U171" s="24">
        <v>89</v>
      </c>
      <c r="V171" s="24">
        <v>519</v>
      </c>
      <c r="W171" s="24">
        <v>43</v>
      </c>
      <c r="X171" s="24">
        <v>169</v>
      </c>
      <c r="Y171" s="24">
        <v>529.5</v>
      </c>
      <c r="Z171" s="24">
        <v>106</v>
      </c>
      <c r="AA171" s="24">
        <v>-63</v>
      </c>
    </row>
    <row r="172" spans="1:27">
      <c r="A172" s="24" t="s">
        <v>2725</v>
      </c>
      <c r="B172" s="24" t="s">
        <v>49</v>
      </c>
      <c r="C172" s="24" t="s">
        <v>2723</v>
      </c>
      <c r="D172" s="24">
        <v>108</v>
      </c>
      <c r="E172" s="24">
        <v>212</v>
      </c>
      <c r="F172" s="24">
        <v>78</v>
      </c>
      <c r="G172" s="24">
        <v>353</v>
      </c>
      <c r="H172" s="24">
        <v>99.5</v>
      </c>
      <c r="I172" s="24">
        <v>269</v>
      </c>
      <c r="J172" s="24">
        <v>83</v>
      </c>
      <c r="K172" s="24">
        <v>163</v>
      </c>
      <c r="L172" s="24">
        <v>69</v>
      </c>
      <c r="M172" s="24">
        <v>152</v>
      </c>
      <c r="N172" s="24">
        <v>81</v>
      </c>
      <c r="O172" s="24">
        <v>183</v>
      </c>
      <c r="P172" s="24">
        <v>72</v>
      </c>
      <c r="Q172" s="24">
        <v>396</v>
      </c>
      <c r="R172" s="24">
        <v>87</v>
      </c>
      <c r="S172" s="24">
        <v>6</v>
      </c>
      <c r="T172" s="24">
        <v>64</v>
      </c>
      <c r="U172" s="24">
        <v>103</v>
      </c>
      <c r="V172" s="24">
        <v>518.5</v>
      </c>
      <c r="W172" s="24">
        <v>11</v>
      </c>
      <c r="X172" s="24">
        <v>171</v>
      </c>
      <c r="Y172" s="24">
        <v>515</v>
      </c>
      <c r="Z172" s="24">
        <v>154</v>
      </c>
      <c r="AA172" s="24">
        <v>-17</v>
      </c>
    </row>
    <row r="173" spans="1:27">
      <c r="A173" s="24" t="s">
        <v>546</v>
      </c>
      <c r="B173" s="24" t="s">
        <v>17</v>
      </c>
      <c r="C173" s="24" t="s">
        <v>1728</v>
      </c>
      <c r="D173" s="24">
        <v>121</v>
      </c>
      <c r="E173" s="24">
        <v>13</v>
      </c>
      <c r="F173" s="24">
        <v>94</v>
      </c>
      <c r="G173" s="24">
        <v>141</v>
      </c>
      <c r="H173" s="24">
        <v>95.5</v>
      </c>
      <c r="I173" s="24">
        <v>357</v>
      </c>
      <c r="J173" s="24">
        <v>81</v>
      </c>
      <c r="K173" s="24">
        <v>195</v>
      </c>
      <c r="L173" s="24">
        <v>54</v>
      </c>
      <c r="M173" s="24">
        <v>494</v>
      </c>
      <c r="N173" s="24">
        <v>73</v>
      </c>
      <c r="O173" s="24">
        <v>393</v>
      </c>
      <c r="P173" s="24">
        <v>76</v>
      </c>
      <c r="Q173" s="24">
        <v>260</v>
      </c>
      <c r="R173" s="24">
        <v>76</v>
      </c>
      <c r="S173" s="24">
        <v>125</v>
      </c>
      <c r="T173" s="24">
        <v>54</v>
      </c>
      <c r="U173" s="24">
        <v>428</v>
      </c>
      <c r="V173" s="24">
        <v>518.5</v>
      </c>
      <c r="W173" s="24">
        <v>6</v>
      </c>
      <c r="X173" s="24">
        <v>171</v>
      </c>
      <c r="Y173" s="24">
        <v>489.5</v>
      </c>
      <c r="Z173" s="24">
        <v>261</v>
      </c>
      <c r="AA173" s="24">
        <v>90</v>
      </c>
    </row>
    <row r="174" spans="1:27">
      <c r="A174" s="24" t="s">
        <v>2337</v>
      </c>
      <c r="B174" s="24" t="s">
        <v>7</v>
      </c>
      <c r="C174" s="24" t="s">
        <v>2344</v>
      </c>
      <c r="D174" s="24">
        <v>108</v>
      </c>
      <c r="E174" s="24">
        <v>212</v>
      </c>
      <c r="F174" s="24">
        <v>81</v>
      </c>
      <c r="G174" s="24">
        <v>309</v>
      </c>
      <c r="H174" s="24">
        <v>115.5</v>
      </c>
      <c r="I174" s="24">
        <v>55</v>
      </c>
      <c r="J174" s="24">
        <v>84</v>
      </c>
      <c r="K174" s="24">
        <v>147</v>
      </c>
      <c r="L174" s="24">
        <v>66</v>
      </c>
      <c r="M174" s="24">
        <v>204</v>
      </c>
      <c r="N174" s="24">
        <v>64</v>
      </c>
      <c r="O174" s="24">
        <v>667</v>
      </c>
      <c r="P174" s="24">
        <v>81</v>
      </c>
      <c r="Q174" s="24">
        <v>124</v>
      </c>
      <c r="R174" s="24">
        <v>75</v>
      </c>
      <c r="S174" s="24">
        <v>146</v>
      </c>
      <c r="T174" s="24">
        <v>68</v>
      </c>
      <c r="U174" s="24">
        <v>54</v>
      </c>
      <c r="V174" s="24">
        <v>518.5</v>
      </c>
      <c r="W174" s="24">
        <v>2</v>
      </c>
      <c r="X174" s="24">
        <v>171</v>
      </c>
      <c r="Y174" s="24">
        <v>524.5</v>
      </c>
      <c r="Z174" s="24">
        <v>122</v>
      </c>
      <c r="AA174" s="24">
        <v>-49</v>
      </c>
    </row>
    <row r="175" spans="1:27">
      <c r="A175" s="24" t="s">
        <v>1789</v>
      </c>
      <c r="B175" s="24" t="s">
        <v>34</v>
      </c>
      <c r="C175" s="24" t="s">
        <v>1790</v>
      </c>
      <c r="D175" s="24">
        <v>103</v>
      </c>
      <c r="E175" s="24">
        <v>400</v>
      </c>
      <c r="F175" s="24">
        <v>87</v>
      </c>
      <c r="G175" s="24">
        <v>220</v>
      </c>
      <c r="H175" s="24">
        <v>110</v>
      </c>
      <c r="I175" s="24">
        <v>108</v>
      </c>
      <c r="J175" s="24">
        <v>78</v>
      </c>
      <c r="K175" s="24">
        <v>250</v>
      </c>
      <c r="L175" s="24">
        <v>70</v>
      </c>
      <c r="M175" s="24">
        <v>136</v>
      </c>
      <c r="N175" s="24">
        <v>70</v>
      </c>
      <c r="O175" s="24">
        <v>485</v>
      </c>
      <c r="P175" s="24">
        <v>69</v>
      </c>
      <c r="Q175" s="24">
        <v>504</v>
      </c>
      <c r="R175" s="24">
        <v>54</v>
      </c>
      <c r="S175" s="24">
        <v>855</v>
      </c>
      <c r="T175" s="24">
        <v>46</v>
      </c>
      <c r="U175" s="24">
        <v>755</v>
      </c>
      <c r="V175" s="24">
        <v>518</v>
      </c>
      <c r="W175" s="24">
        <v>4</v>
      </c>
      <c r="X175" s="24">
        <v>174</v>
      </c>
      <c r="Y175" s="24">
        <v>504.5</v>
      </c>
      <c r="Z175" s="24">
        <v>189</v>
      </c>
      <c r="AA175" s="24">
        <v>15</v>
      </c>
    </row>
    <row r="176" spans="1:27">
      <c r="A176" s="24" t="s">
        <v>943</v>
      </c>
      <c r="B176" s="24" t="s">
        <v>60</v>
      </c>
      <c r="C176" s="24" t="s">
        <v>944</v>
      </c>
      <c r="D176" s="24">
        <v>104</v>
      </c>
      <c r="E176" s="24">
        <v>357</v>
      </c>
      <c r="F176" s="24">
        <v>92</v>
      </c>
      <c r="G176" s="24">
        <v>166</v>
      </c>
      <c r="H176" s="24">
        <v>99</v>
      </c>
      <c r="I176" s="24">
        <v>277</v>
      </c>
      <c r="J176" s="24">
        <v>89</v>
      </c>
      <c r="K176" s="24">
        <v>97</v>
      </c>
      <c r="L176" s="24">
        <v>74</v>
      </c>
      <c r="M176" s="24">
        <v>94</v>
      </c>
      <c r="N176" s="24">
        <v>60</v>
      </c>
      <c r="O176" s="24">
        <v>748</v>
      </c>
      <c r="P176" s="24">
        <v>69</v>
      </c>
      <c r="Q176" s="24">
        <v>504</v>
      </c>
      <c r="R176" s="24">
        <v>64</v>
      </c>
      <c r="S176" s="24">
        <v>586</v>
      </c>
      <c r="T176" s="24">
        <v>42</v>
      </c>
      <c r="U176" s="24">
        <v>845</v>
      </c>
      <c r="V176" s="24">
        <v>518</v>
      </c>
      <c r="W176" s="24">
        <v>6</v>
      </c>
      <c r="X176" s="24">
        <v>174</v>
      </c>
      <c r="Y176" s="24">
        <v>486.5</v>
      </c>
      <c r="Z176" s="24">
        <v>280</v>
      </c>
      <c r="AA176" s="24">
        <v>106</v>
      </c>
    </row>
    <row r="177" spans="1:27">
      <c r="A177" s="24" t="s">
        <v>1256</v>
      </c>
      <c r="B177" s="24" t="s">
        <v>54</v>
      </c>
      <c r="C177" s="24" t="s">
        <v>1257</v>
      </c>
      <c r="D177" s="24">
        <v>117</v>
      </c>
      <c r="E177" s="24">
        <v>40</v>
      </c>
      <c r="F177" s="24">
        <v>84</v>
      </c>
      <c r="G177" s="24">
        <v>251</v>
      </c>
      <c r="H177" s="24">
        <v>86.5</v>
      </c>
      <c r="I177" s="24">
        <v>566</v>
      </c>
      <c r="J177" s="24">
        <v>77</v>
      </c>
      <c r="K177" s="24">
        <v>274</v>
      </c>
      <c r="L177" s="24">
        <v>68</v>
      </c>
      <c r="M177" s="24">
        <v>165</v>
      </c>
      <c r="N177" s="24">
        <v>85</v>
      </c>
      <c r="O177" s="24">
        <v>96</v>
      </c>
      <c r="P177" s="24">
        <v>51</v>
      </c>
      <c r="Q177" s="24">
        <v>906</v>
      </c>
      <c r="R177" s="24">
        <v>67</v>
      </c>
      <c r="S177" s="24">
        <v>471</v>
      </c>
      <c r="T177" s="24">
        <v>49</v>
      </c>
      <c r="U177" s="24">
        <v>633</v>
      </c>
      <c r="V177" s="24">
        <v>517.5</v>
      </c>
      <c r="W177" s="24">
        <v>7</v>
      </c>
      <c r="X177" s="24">
        <v>176</v>
      </c>
      <c r="Y177" s="24">
        <v>494.5</v>
      </c>
      <c r="Z177" s="24">
        <v>237</v>
      </c>
      <c r="AA177" s="24">
        <v>61</v>
      </c>
    </row>
    <row r="178" spans="1:27">
      <c r="A178" s="24" t="s">
        <v>2740</v>
      </c>
      <c r="B178" s="24" t="s">
        <v>49</v>
      </c>
      <c r="C178" s="24" t="s">
        <v>2741</v>
      </c>
      <c r="D178" s="24">
        <v>112</v>
      </c>
      <c r="E178" s="24">
        <v>114</v>
      </c>
      <c r="F178" s="24">
        <v>94</v>
      </c>
      <c r="G178" s="24">
        <v>141</v>
      </c>
      <c r="H178" s="24">
        <v>104.5</v>
      </c>
      <c r="I178" s="24">
        <v>177</v>
      </c>
      <c r="J178" s="24">
        <v>71</v>
      </c>
      <c r="K178" s="24">
        <v>378</v>
      </c>
      <c r="L178" s="24">
        <v>61</v>
      </c>
      <c r="M178" s="24">
        <v>300</v>
      </c>
      <c r="N178" s="24">
        <v>75</v>
      </c>
      <c r="O178" s="24">
        <v>342</v>
      </c>
      <c r="P178" s="24">
        <v>73</v>
      </c>
      <c r="Q178" s="24">
        <v>359</v>
      </c>
      <c r="R178" s="24">
        <v>71</v>
      </c>
      <c r="S178" s="24">
        <v>290</v>
      </c>
      <c r="T178" s="24">
        <v>49</v>
      </c>
      <c r="U178" s="24">
        <v>633</v>
      </c>
      <c r="V178" s="24">
        <v>517.5</v>
      </c>
      <c r="W178" s="24">
        <v>12</v>
      </c>
      <c r="X178" s="24">
        <v>176</v>
      </c>
      <c r="Y178" s="24">
        <v>405</v>
      </c>
      <c r="Z178" s="24">
        <v>705</v>
      </c>
      <c r="AA178" s="24">
        <v>529</v>
      </c>
    </row>
    <row r="179" spans="1:27">
      <c r="A179" s="24" t="s">
        <v>2459</v>
      </c>
      <c r="B179" s="24" t="s">
        <v>131</v>
      </c>
      <c r="C179" s="24" t="s">
        <v>2460</v>
      </c>
      <c r="D179" s="24">
        <v>106</v>
      </c>
      <c r="E179" s="24">
        <v>287</v>
      </c>
      <c r="F179" s="24">
        <v>75</v>
      </c>
      <c r="G179" s="24">
        <v>409</v>
      </c>
      <c r="H179" s="24">
        <v>108.5</v>
      </c>
      <c r="I179" s="24">
        <v>123</v>
      </c>
      <c r="J179" s="24">
        <v>78</v>
      </c>
      <c r="K179" s="24">
        <v>250</v>
      </c>
      <c r="L179" s="24">
        <v>59</v>
      </c>
      <c r="M179" s="24">
        <v>348</v>
      </c>
      <c r="N179" s="24">
        <v>90</v>
      </c>
      <c r="O179" s="24">
        <v>19</v>
      </c>
      <c r="P179" s="24">
        <v>63</v>
      </c>
      <c r="Q179" s="24">
        <v>712</v>
      </c>
      <c r="R179" s="24">
        <v>79</v>
      </c>
      <c r="S179" s="24">
        <v>73</v>
      </c>
      <c r="T179" s="24">
        <v>65</v>
      </c>
      <c r="U179" s="24">
        <v>89</v>
      </c>
      <c r="V179" s="24">
        <v>516.5</v>
      </c>
      <c r="W179" s="24">
        <v>1</v>
      </c>
      <c r="X179" s="24">
        <v>178</v>
      </c>
      <c r="Y179" s="24">
        <v>516.5</v>
      </c>
      <c r="Z179" s="24">
        <v>149</v>
      </c>
      <c r="AA179" s="24">
        <v>-29</v>
      </c>
    </row>
    <row r="180" spans="1:27">
      <c r="A180" s="24" t="s">
        <v>2130</v>
      </c>
      <c r="B180" s="24" t="s">
        <v>73</v>
      </c>
      <c r="C180" s="24" t="s">
        <v>198</v>
      </c>
      <c r="D180" s="24">
        <v>124</v>
      </c>
      <c r="E180" s="24">
        <v>4</v>
      </c>
      <c r="F180" s="24">
        <v>74</v>
      </c>
      <c r="G180" s="24">
        <v>424</v>
      </c>
      <c r="H180" s="24">
        <v>121.5</v>
      </c>
      <c r="I180" s="24">
        <v>21</v>
      </c>
      <c r="J180" s="24">
        <v>67</v>
      </c>
      <c r="K180" s="24">
        <v>468</v>
      </c>
      <c r="L180" s="24">
        <v>51</v>
      </c>
      <c r="M180" s="24">
        <v>571</v>
      </c>
      <c r="N180" s="24">
        <v>79</v>
      </c>
      <c r="O180" s="24">
        <v>229</v>
      </c>
      <c r="P180" s="24">
        <v>75</v>
      </c>
      <c r="Q180" s="24">
        <v>289</v>
      </c>
      <c r="R180" s="24">
        <v>73</v>
      </c>
      <c r="S180" s="24">
        <v>216</v>
      </c>
      <c r="T180" s="24">
        <v>54</v>
      </c>
      <c r="U180" s="24">
        <v>428</v>
      </c>
      <c r="V180" s="24">
        <v>516.5</v>
      </c>
      <c r="W180" s="24">
        <v>4</v>
      </c>
      <c r="X180" s="24">
        <v>178</v>
      </c>
      <c r="Y180" s="24">
        <v>494</v>
      </c>
      <c r="Z180" s="24">
        <v>242</v>
      </c>
      <c r="AA180" s="24">
        <v>64</v>
      </c>
    </row>
    <row r="181" spans="1:27">
      <c r="A181" s="24" t="s">
        <v>2716</v>
      </c>
      <c r="B181" s="24" t="s">
        <v>49</v>
      </c>
      <c r="C181" s="24" t="s">
        <v>2714</v>
      </c>
      <c r="D181" s="24">
        <v>102</v>
      </c>
      <c r="E181" s="24">
        <v>442</v>
      </c>
      <c r="F181" s="24">
        <v>98</v>
      </c>
      <c r="G181" s="24">
        <v>103</v>
      </c>
      <c r="H181" s="24">
        <v>91</v>
      </c>
      <c r="I181" s="24">
        <v>459</v>
      </c>
      <c r="J181" s="24">
        <v>89</v>
      </c>
      <c r="K181" s="24">
        <v>97</v>
      </c>
      <c r="L181" s="24">
        <v>54</v>
      </c>
      <c r="M181" s="24">
        <v>494</v>
      </c>
      <c r="N181" s="24">
        <v>82</v>
      </c>
      <c r="O181" s="24">
        <v>166</v>
      </c>
      <c r="P181" s="24">
        <v>60</v>
      </c>
      <c r="Q181" s="24">
        <v>777</v>
      </c>
      <c r="R181" s="24">
        <v>65</v>
      </c>
      <c r="S181" s="24">
        <v>548</v>
      </c>
      <c r="T181" s="24">
        <v>56</v>
      </c>
      <c r="U181" s="24">
        <v>352</v>
      </c>
      <c r="V181" s="24">
        <v>516</v>
      </c>
      <c r="W181" s="24">
        <v>13</v>
      </c>
      <c r="X181" s="24">
        <v>180</v>
      </c>
      <c r="Y181" s="24">
        <v>510</v>
      </c>
      <c r="Z181" s="24">
        <v>167</v>
      </c>
      <c r="AA181" s="24">
        <v>-13</v>
      </c>
    </row>
    <row r="182" spans="1:27">
      <c r="A182" s="24" t="s">
        <v>215</v>
      </c>
      <c r="B182" s="24" t="s">
        <v>28</v>
      </c>
      <c r="C182" s="24" t="s">
        <v>176</v>
      </c>
      <c r="D182" s="24">
        <v>101</v>
      </c>
      <c r="E182" s="24">
        <v>481</v>
      </c>
      <c r="F182" s="24">
        <v>96</v>
      </c>
      <c r="G182" s="24">
        <v>122</v>
      </c>
      <c r="H182" s="24">
        <v>85</v>
      </c>
      <c r="I182" s="24">
        <v>593</v>
      </c>
      <c r="J182" s="24">
        <v>84</v>
      </c>
      <c r="K182" s="24">
        <v>147</v>
      </c>
      <c r="L182" s="24">
        <v>70</v>
      </c>
      <c r="M182" s="24">
        <v>136</v>
      </c>
      <c r="N182" s="24">
        <v>80</v>
      </c>
      <c r="O182" s="24">
        <v>205</v>
      </c>
      <c r="P182" s="24">
        <v>70</v>
      </c>
      <c r="Q182" s="24">
        <v>473</v>
      </c>
      <c r="R182" s="24">
        <v>69</v>
      </c>
      <c r="S182" s="24">
        <v>367</v>
      </c>
      <c r="T182" s="24">
        <v>55</v>
      </c>
      <c r="U182" s="24">
        <v>392</v>
      </c>
      <c r="V182" s="24">
        <v>516</v>
      </c>
      <c r="W182" s="24">
        <v>7</v>
      </c>
      <c r="X182" s="24">
        <v>180</v>
      </c>
      <c r="Y182" s="24">
        <v>471.5</v>
      </c>
      <c r="Z182" s="24">
        <v>355</v>
      </c>
      <c r="AA182" s="24">
        <v>175</v>
      </c>
    </row>
    <row r="183" spans="1:27">
      <c r="A183" s="24" t="s">
        <v>1843</v>
      </c>
      <c r="B183" s="24" t="s">
        <v>34</v>
      </c>
      <c r="C183" s="24" t="s">
        <v>1844</v>
      </c>
      <c r="D183" s="24">
        <v>100</v>
      </c>
      <c r="E183" s="24">
        <v>528</v>
      </c>
      <c r="F183" s="24">
        <v>104</v>
      </c>
      <c r="G183" s="24">
        <v>61</v>
      </c>
      <c r="H183" s="24">
        <v>83</v>
      </c>
      <c r="I183" s="24">
        <v>643</v>
      </c>
      <c r="J183" s="24">
        <v>81</v>
      </c>
      <c r="K183" s="24">
        <v>195</v>
      </c>
      <c r="L183" s="24">
        <v>71</v>
      </c>
      <c r="M183" s="24">
        <v>123</v>
      </c>
      <c r="N183" s="24">
        <v>77</v>
      </c>
      <c r="O183" s="24">
        <v>275</v>
      </c>
      <c r="P183" s="24">
        <v>70</v>
      </c>
      <c r="Q183" s="24">
        <v>473</v>
      </c>
      <c r="R183" s="24">
        <v>64</v>
      </c>
      <c r="S183" s="24">
        <v>586</v>
      </c>
      <c r="T183" s="24">
        <v>46</v>
      </c>
      <c r="U183" s="24">
        <v>755</v>
      </c>
      <c r="V183" s="24">
        <v>516</v>
      </c>
      <c r="W183" s="24">
        <v>5</v>
      </c>
      <c r="X183" s="24">
        <v>180</v>
      </c>
      <c r="Y183" s="24">
        <v>464.5</v>
      </c>
      <c r="Z183" s="24">
        <v>392</v>
      </c>
      <c r="AA183" s="24">
        <v>212</v>
      </c>
    </row>
    <row r="184" spans="1:27">
      <c r="A184" s="24" t="s">
        <v>3230</v>
      </c>
      <c r="B184" s="24" t="s">
        <v>73</v>
      </c>
      <c r="C184" s="24" t="s">
        <v>3231</v>
      </c>
      <c r="D184" s="24">
        <v>107</v>
      </c>
      <c r="E184" s="24">
        <v>242</v>
      </c>
      <c r="F184" s="24">
        <v>98</v>
      </c>
      <c r="G184" s="24">
        <v>103</v>
      </c>
      <c r="H184" s="24">
        <v>95</v>
      </c>
      <c r="I184" s="24">
        <v>364</v>
      </c>
      <c r="J184" s="24">
        <v>80</v>
      </c>
      <c r="K184" s="24">
        <v>207</v>
      </c>
      <c r="L184" s="24">
        <v>59</v>
      </c>
      <c r="M184" s="24">
        <v>348</v>
      </c>
      <c r="N184" s="24">
        <v>77</v>
      </c>
      <c r="O184" s="24">
        <v>275</v>
      </c>
      <c r="P184" s="24">
        <v>59</v>
      </c>
      <c r="Q184" s="24">
        <v>799</v>
      </c>
      <c r="R184" s="24">
        <v>63</v>
      </c>
      <c r="S184" s="24">
        <v>633</v>
      </c>
      <c r="T184" s="24">
        <v>59</v>
      </c>
      <c r="U184" s="24">
        <v>233</v>
      </c>
      <c r="V184" s="24">
        <v>516</v>
      </c>
      <c r="W184" s="24">
        <v>5</v>
      </c>
      <c r="X184" s="24">
        <v>180</v>
      </c>
      <c r="Y184" s="24">
        <v>512</v>
      </c>
      <c r="Z184" s="24">
        <v>162</v>
      </c>
      <c r="AA184" s="24">
        <v>-18</v>
      </c>
    </row>
    <row r="185" spans="1:27">
      <c r="A185" s="24" t="s">
        <v>2290</v>
      </c>
      <c r="B185" s="24" t="s">
        <v>7</v>
      </c>
      <c r="C185" s="24" t="s">
        <v>2291</v>
      </c>
      <c r="D185" s="24">
        <v>109</v>
      </c>
      <c r="E185" s="24">
        <v>185</v>
      </c>
      <c r="F185" s="24">
        <v>93</v>
      </c>
      <c r="G185" s="24">
        <v>155</v>
      </c>
      <c r="H185" s="24">
        <v>82</v>
      </c>
      <c r="I185" s="24">
        <v>668</v>
      </c>
      <c r="J185" s="24">
        <v>95</v>
      </c>
      <c r="K185" s="24">
        <v>50</v>
      </c>
      <c r="L185" s="24">
        <v>71</v>
      </c>
      <c r="M185" s="24">
        <v>123</v>
      </c>
      <c r="N185" s="24">
        <v>66</v>
      </c>
      <c r="O185" s="24">
        <v>611</v>
      </c>
      <c r="P185" s="24">
        <v>61</v>
      </c>
      <c r="Q185" s="24">
        <v>754</v>
      </c>
      <c r="R185" s="24">
        <v>48</v>
      </c>
      <c r="S185" s="24">
        <v>912</v>
      </c>
      <c r="T185" s="24">
        <v>45</v>
      </c>
      <c r="U185" s="24">
        <v>781</v>
      </c>
      <c r="V185" s="24">
        <v>516</v>
      </c>
      <c r="W185" s="24">
        <v>3</v>
      </c>
      <c r="X185" s="24">
        <v>180</v>
      </c>
      <c r="Y185" s="24">
        <v>516.5</v>
      </c>
      <c r="Z185" s="24">
        <v>149</v>
      </c>
      <c r="AA185" s="24">
        <v>-31</v>
      </c>
    </row>
    <row r="186" spans="1:27">
      <c r="A186" s="24" t="s">
        <v>1730</v>
      </c>
      <c r="B186" s="24" t="s">
        <v>9</v>
      </c>
      <c r="C186" s="24" t="s">
        <v>2523</v>
      </c>
      <c r="D186" s="24">
        <v>108</v>
      </c>
      <c r="E186" s="24">
        <v>212</v>
      </c>
      <c r="F186" s="24">
        <v>63</v>
      </c>
      <c r="G186" s="24">
        <v>642</v>
      </c>
      <c r="H186" s="24">
        <v>91.5</v>
      </c>
      <c r="I186" s="24">
        <v>444</v>
      </c>
      <c r="J186" s="24">
        <v>83</v>
      </c>
      <c r="K186" s="24">
        <v>163</v>
      </c>
      <c r="L186" s="24">
        <v>76</v>
      </c>
      <c r="M186" s="24">
        <v>73</v>
      </c>
      <c r="N186" s="24">
        <v>94</v>
      </c>
      <c r="O186" s="24">
        <v>6</v>
      </c>
      <c r="P186" s="24">
        <v>59</v>
      </c>
      <c r="Q186" s="24">
        <v>799</v>
      </c>
      <c r="R186" s="24">
        <v>73</v>
      </c>
      <c r="S186" s="24">
        <v>216</v>
      </c>
      <c r="T186" s="24">
        <v>51</v>
      </c>
      <c r="U186" s="24">
        <v>555</v>
      </c>
      <c r="V186" s="24">
        <v>515.5</v>
      </c>
      <c r="W186" s="24">
        <v>44</v>
      </c>
      <c r="X186" s="24">
        <v>185</v>
      </c>
      <c r="Y186" s="24">
        <v>503</v>
      </c>
      <c r="Z186" s="24">
        <v>196</v>
      </c>
      <c r="AA186" s="24">
        <v>11</v>
      </c>
    </row>
    <row r="187" spans="1:27">
      <c r="A187" s="24" t="s">
        <v>3257</v>
      </c>
      <c r="B187" s="24" t="s">
        <v>9</v>
      </c>
      <c r="C187" s="24" t="s">
        <v>146</v>
      </c>
      <c r="D187" s="24">
        <v>92</v>
      </c>
      <c r="E187" s="24">
        <v>779</v>
      </c>
      <c r="F187" s="24">
        <v>88</v>
      </c>
      <c r="G187" s="24">
        <v>206</v>
      </c>
      <c r="H187" s="24">
        <v>101.5</v>
      </c>
      <c r="I187" s="24">
        <v>225</v>
      </c>
      <c r="J187" s="24">
        <v>93</v>
      </c>
      <c r="K187" s="24">
        <v>68</v>
      </c>
      <c r="L187" s="24">
        <v>65</v>
      </c>
      <c r="M187" s="24">
        <v>223</v>
      </c>
      <c r="N187" s="24">
        <v>76</v>
      </c>
      <c r="O187" s="24">
        <v>308</v>
      </c>
      <c r="P187" s="24">
        <v>78</v>
      </c>
      <c r="Q187" s="24">
        <v>209</v>
      </c>
      <c r="R187" s="24">
        <v>73</v>
      </c>
      <c r="S187" s="24">
        <v>216</v>
      </c>
      <c r="T187" s="24">
        <v>66</v>
      </c>
      <c r="U187" s="24">
        <v>80</v>
      </c>
      <c r="V187" s="24">
        <v>515.5</v>
      </c>
      <c r="W187" s="24">
        <v>44</v>
      </c>
      <c r="X187" s="24">
        <v>185</v>
      </c>
      <c r="Y187" s="24">
        <v>542</v>
      </c>
      <c r="Z187" s="24">
        <v>80</v>
      </c>
      <c r="AA187" s="24">
        <v>-105</v>
      </c>
    </row>
    <row r="188" spans="1:27">
      <c r="A188" s="24" t="s">
        <v>1675</v>
      </c>
      <c r="B188" s="24" t="s">
        <v>9</v>
      </c>
      <c r="C188" s="24" t="s">
        <v>1667</v>
      </c>
      <c r="D188" s="24">
        <v>96</v>
      </c>
      <c r="E188" s="24">
        <v>676</v>
      </c>
      <c r="F188" s="24">
        <v>83</v>
      </c>
      <c r="G188" s="24">
        <v>267</v>
      </c>
      <c r="H188" s="24">
        <v>101</v>
      </c>
      <c r="I188" s="24">
        <v>234</v>
      </c>
      <c r="J188" s="24">
        <v>95</v>
      </c>
      <c r="K188" s="24">
        <v>50</v>
      </c>
      <c r="L188" s="24">
        <v>67</v>
      </c>
      <c r="M188" s="24">
        <v>177</v>
      </c>
      <c r="N188" s="24">
        <v>73</v>
      </c>
      <c r="O188" s="24">
        <v>393</v>
      </c>
      <c r="P188" s="24">
        <v>81</v>
      </c>
      <c r="Q188" s="24">
        <v>124</v>
      </c>
      <c r="R188" s="24">
        <v>80</v>
      </c>
      <c r="S188" s="24">
        <v>54</v>
      </c>
      <c r="T188" s="24">
        <v>73</v>
      </c>
      <c r="U188" s="24">
        <v>19</v>
      </c>
      <c r="V188" s="24">
        <v>515</v>
      </c>
      <c r="W188" s="24">
        <v>46</v>
      </c>
      <c r="X188" s="24">
        <v>187</v>
      </c>
      <c r="Y188" s="24">
        <v>513.5</v>
      </c>
      <c r="Z188" s="24">
        <v>158</v>
      </c>
      <c r="AA188" s="24">
        <v>-29</v>
      </c>
    </row>
    <row r="189" spans="1:27">
      <c r="A189" s="24" t="s">
        <v>2558</v>
      </c>
      <c r="B189" s="24" t="s">
        <v>131</v>
      </c>
      <c r="C189" s="24" t="s">
        <v>2559</v>
      </c>
      <c r="D189" s="24">
        <v>100</v>
      </c>
      <c r="E189" s="24">
        <v>528</v>
      </c>
      <c r="F189" s="24">
        <v>83</v>
      </c>
      <c r="G189" s="24">
        <v>267</v>
      </c>
      <c r="H189" s="24">
        <v>98.5</v>
      </c>
      <c r="I189" s="24">
        <v>285</v>
      </c>
      <c r="J189" s="24">
        <v>90</v>
      </c>
      <c r="K189" s="24">
        <v>90</v>
      </c>
      <c r="L189" s="24">
        <v>62</v>
      </c>
      <c r="M189" s="24">
        <v>277</v>
      </c>
      <c r="N189" s="24">
        <v>81</v>
      </c>
      <c r="O189" s="24">
        <v>183</v>
      </c>
      <c r="P189" s="24">
        <v>71</v>
      </c>
      <c r="Q189" s="24">
        <v>439</v>
      </c>
      <c r="R189" s="24">
        <v>70</v>
      </c>
      <c r="S189" s="24">
        <v>327</v>
      </c>
      <c r="T189" s="24">
        <v>68</v>
      </c>
      <c r="U189" s="24">
        <v>54</v>
      </c>
      <c r="V189" s="24">
        <v>514.5</v>
      </c>
      <c r="W189" s="24">
        <v>2</v>
      </c>
      <c r="X189" s="24">
        <v>188</v>
      </c>
      <c r="Y189" s="24">
        <v>507</v>
      </c>
      <c r="Z189" s="24">
        <v>181</v>
      </c>
      <c r="AA189" s="24">
        <v>-7</v>
      </c>
    </row>
    <row r="190" spans="1:27">
      <c r="A190" s="24" t="s">
        <v>2086</v>
      </c>
      <c r="B190" s="24" t="s">
        <v>109</v>
      </c>
      <c r="C190" s="24" t="s">
        <v>1751</v>
      </c>
      <c r="D190" s="24">
        <v>120</v>
      </c>
      <c r="E190" s="24">
        <v>21</v>
      </c>
      <c r="F190" s="24">
        <v>69</v>
      </c>
      <c r="G190" s="24">
        <v>524</v>
      </c>
      <c r="H190" s="24">
        <v>111.5</v>
      </c>
      <c r="I190" s="24">
        <v>91</v>
      </c>
      <c r="J190" s="24">
        <v>85</v>
      </c>
      <c r="K190" s="24">
        <v>135</v>
      </c>
      <c r="L190" s="24">
        <v>53</v>
      </c>
      <c r="M190" s="24">
        <v>526</v>
      </c>
      <c r="N190" s="24">
        <v>76</v>
      </c>
      <c r="O190" s="24">
        <v>308</v>
      </c>
      <c r="P190" s="24">
        <v>72</v>
      </c>
      <c r="Q190" s="24">
        <v>396</v>
      </c>
      <c r="R190" s="24">
        <v>71</v>
      </c>
      <c r="S190" s="24">
        <v>290</v>
      </c>
      <c r="T190" s="24">
        <v>59</v>
      </c>
      <c r="U190" s="24">
        <v>233</v>
      </c>
      <c r="V190" s="24">
        <v>514.5</v>
      </c>
      <c r="W190" s="24">
        <v>10</v>
      </c>
      <c r="X190" s="24">
        <v>188</v>
      </c>
      <c r="Y190" s="24">
        <v>487</v>
      </c>
      <c r="Z190" s="24">
        <v>275</v>
      </c>
      <c r="AA190" s="24">
        <v>87</v>
      </c>
    </row>
    <row r="191" spans="1:27">
      <c r="A191" s="24" t="s">
        <v>368</v>
      </c>
      <c r="B191" s="24" t="s">
        <v>28</v>
      </c>
      <c r="C191" s="24" t="s">
        <v>369</v>
      </c>
      <c r="D191" s="24">
        <v>105</v>
      </c>
      <c r="E191" s="24">
        <v>325</v>
      </c>
      <c r="F191" s="24">
        <v>68</v>
      </c>
      <c r="G191" s="24">
        <v>540</v>
      </c>
      <c r="H191" s="24">
        <v>96</v>
      </c>
      <c r="I191" s="24">
        <v>346</v>
      </c>
      <c r="J191" s="24">
        <v>85</v>
      </c>
      <c r="K191" s="24">
        <v>135</v>
      </c>
      <c r="L191" s="24">
        <v>76</v>
      </c>
      <c r="M191" s="24">
        <v>73</v>
      </c>
      <c r="N191" s="24">
        <v>84</v>
      </c>
      <c r="O191" s="24">
        <v>123</v>
      </c>
      <c r="P191" s="24">
        <v>77</v>
      </c>
      <c r="Q191" s="24">
        <v>240</v>
      </c>
      <c r="R191" s="24">
        <v>77</v>
      </c>
      <c r="S191" s="24">
        <v>102</v>
      </c>
      <c r="T191" s="24">
        <v>67</v>
      </c>
      <c r="U191" s="24">
        <v>66</v>
      </c>
      <c r="V191" s="24">
        <v>514</v>
      </c>
      <c r="W191" s="24">
        <v>8</v>
      </c>
      <c r="X191" s="24">
        <v>190</v>
      </c>
      <c r="Y191" s="24">
        <v>489</v>
      </c>
      <c r="Z191" s="24">
        <v>265</v>
      </c>
      <c r="AA191" s="24">
        <v>75</v>
      </c>
    </row>
    <row r="192" spans="1:27">
      <c r="A192" s="24" t="s">
        <v>2255</v>
      </c>
      <c r="B192" s="24" t="s">
        <v>73</v>
      </c>
      <c r="C192" s="24" t="s">
        <v>2256</v>
      </c>
      <c r="D192" s="24">
        <v>103</v>
      </c>
      <c r="E192" s="24">
        <v>400</v>
      </c>
      <c r="F192" s="24">
        <v>89</v>
      </c>
      <c r="G192" s="24">
        <v>196</v>
      </c>
      <c r="H192" s="24">
        <v>104</v>
      </c>
      <c r="I192" s="24">
        <v>188</v>
      </c>
      <c r="J192" s="24">
        <v>82</v>
      </c>
      <c r="K192" s="24">
        <v>174</v>
      </c>
      <c r="L192" s="24">
        <v>52</v>
      </c>
      <c r="M192" s="24">
        <v>551</v>
      </c>
      <c r="N192" s="24">
        <v>84</v>
      </c>
      <c r="O192" s="24">
        <v>123</v>
      </c>
      <c r="P192" s="24">
        <v>56</v>
      </c>
      <c r="Q192" s="24">
        <v>849</v>
      </c>
      <c r="R192" s="24">
        <v>77</v>
      </c>
      <c r="S192" s="24">
        <v>102</v>
      </c>
      <c r="T192" s="24">
        <v>60</v>
      </c>
      <c r="U192" s="24">
        <v>203</v>
      </c>
      <c r="V192" s="24">
        <v>514</v>
      </c>
      <c r="W192" s="24">
        <v>6</v>
      </c>
      <c r="X192" s="24">
        <v>190</v>
      </c>
      <c r="Y192" s="24">
        <v>518</v>
      </c>
      <c r="Z192" s="24">
        <v>142</v>
      </c>
      <c r="AA192" s="24">
        <v>-48</v>
      </c>
    </row>
    <row r="193" spans="1:27">
      <c r="A193" s="24" t="s">
        <v>1429</v>
      </c>
      <c r="B193" s="24" t="s">
        <v>56</v>
      </c>
      <c r="C193" s="24" t="s">
        <v>200</v>
      </c>
      <c r="D193" s="24">
        <v>92</v>
      </c>
      <c r="E193" s="24">
        <v>779</v>
      </c>
      <c r="F193" s="24">
        <v>94</v>
      </c>
      <c r="G193" s="24">
        <v>141</v>
      </c>
      <c r="H193" s="24">
        <v>96</v>
      </c>
      <c r="I193" s="24">
        <v>346</v>
      </c>
      <c r="J193" s="24">
        <v>92</v>
      </c>
      <c r="K193" s="24">
        <v>74</v>
      </c>
      <c r="L193" s="24">
        <v>60</v>
      </c>
      <c r="M193" s="24">
        <v>322</v>
      </c>
      <c r="N193" s="24">
        <v>80</v>
      </c>
      <c r="O193" s="24">
        <v>205</v>
      </c>
      <c r="P193" s="24">
        <v>68</v>
      </c>
      <c r="Q193" s="24">
        <v>541</v>
      </c>
      <c r="R193" s="24">
        <v>65</v>
      </c>
      <c r="S193" s="24">
        <v>548</v>
      </c>
      <c r="T193" s="24">
        <v>40</v>
      </c>
      <c r="U193" s="24">
        <v>881</v>
      </c>
      <c r="V193" s="24">
        <v>514</v>
      </c>
      <c r="W193" s="24">
        <v>5</v>
      </c>
      <c r="X193" s="24">
        <v>190</v>
      </c>
      <c r="Y193" s="24">
        <v>508</v>
      </c>
      <c r="Z193" s="24">
        <v>176</v>
      </c>
      <c r="AA193" s="24">
        <v>-14</v>
      </c>
    </row>
    <row r="194" spans="1:27">
      <c r="A194" s="24" t="s">
        <v>2541</v>
      </c>
      <c r="B194" s="24" t="s">
        <v>131</v>
      </c>
      <c r="C194" s="24" t="s">
        <v>1748</v>
      </c>
      <c r="D194" s="24">
        <v>99</v>
      </c>
      <c r="E194" s="24">
        <v>571</v>
      </c>
      <c r="F194" s="24">
        <v>106</v>
      </c>
      <c r="G194" s="24">
        <v>54</v>
      </c>
      <c r="H194" s="24">
        <v>109</v>
      </c>
      <c r="I194" s="24">
        <v>114</v>
      </c>
      <c r="J194" s="24">
        <v>67</v>
      </c>
      <c r="K194" s="24">
        <v>468</v>
      </c>
      <c r="L194" s="24">
        <v>60</v>
      </c>
      <c r="M194" s="24">
        <v>322</v>
      </c>
      <c r="N194" s="24">
        <v>73</v>
      </c>
      <c r="O194" s="24">
        <v>393</v>
      </c>
      <c r="P194" s="24">
        <v>62</v>
      </c>
      <c r="Q194" s="24">
        <v>729</v>
      </c>
      <c r="R194" s="24">
        <v>61</v>
      </c>
      <c r="S194" s="24">
        <v>703</v>
      </c>
      <c r="T194" s="24">
        <v>46</v>
      </c>
      <c r="U194" s="24">
        <v>755</v>
      </c>
      <c r="V194" s="24">
        <v>514</v>
      </c>
      <c r="W194" s="24">
        <v>3</v>
      </c>
      <c r="X194" s="24">
        <v>190</v>
      </c>
      <c r="Y194" s="24">
        <v>508.5</v>
      </c>
      <c r="Z194" s="24">
        <v>173</v>
      </c>
      <c r="AA194" s="24">
        <v>-17</v>
      </c>
    </row>
    <row r="195" spans="1:27">
      <c r="A195" s="24" t="s">
        <v>2851</v>
      </c>
      <c r="B195" s="24" t="s">
        <v>38</v>
      </c>
      <c r="C195" s="24" t="s">
        <v>2852</v>
      </c>
      <c r="D195" s="24">
        <v>114</v>
      </c>
      <c r="E195" s="24">
        <v>80</v>
      </c>
      <c r="F195" s="24">
        <v>102</v>
      </c>
      <c r="G195" s="24">
        <v>72</v>
      </c>
      <c r="H195" s="24">
        <v>97.5</v>
      </c>
      <c r="I195" s="24">
        <v>310</v>
      </c>
      <c r="J195" s="24">
        <v>70</v>
      </c>
      <c r="K195" s="24">
        <v>400</v>
      </c>
      <c r="L195" s="24">
        <v>54</v>
      </c>
      <c r="M195" s="24">
        <v>494</v>
      </c>
      <c r="N195" s="24">
        <v>76</v>
      </c>
      <c r="O195" s="24">
        <v>308</v>
      </c>
      <c r="P195" s="24">
        <v>80</v>
      </c>
      <c r="Q195" s="24">
        <v>151</v>
      </c>
      <c r="R195" s="24">
        <v>77</v>
      </c>
      <c r="S195" s="24">
        <v>102</v>
      </c>
      <c r="T195" s="24">
        <v>62</v>
      </c>
      <c r="U195" s="24">
        <v>146</v>
      </c>
      <c r="V195" s="24">
        <v>513.5</v>
      </c>
      <c r="W195" s="24">
        <v>6</v>
      </c>
      <c r="X195" s="24">
        <v>194</v>
      </c>
      <c r="Y195" s="24">
        <v>469.5</v>
      </c>
      <c r="Z195" s="24">
        <v>368</v>
      </c>
      <c r="AA195" s="24">
        <v>174</v>
      </c>
    </row>
    <row r="196" spans="1:27">
      <c r="A196" s="24" t="s">
        <v>596</v>
      </c>
      <c r="B196" s="24" t="s">
        <v>17</v>
      </c>
      <c r="C196" s="24" t="s">
        <v>597</v>
      </c>
      <c r="D196" s="24">
        <v>109</v>
      </c>
      <c r="E196" s="24">
        <v>185</v>
      </c>
      <c r="F196" s="24">
        <v>86</v>
      </c>
      <c r="G196" s="24">
        <v>233</v>
      </c>
      <c r="H196" s="24">
        <v>92</v>
      </c>
      <c r="I196" s="24">
        <v>426</v>
      </c>
      <c r="J196" s="24">
        <v>77</v>
      </c>
      <c r="K196" s="24">
        <v>274</v>
      </c>
      <c r="L196" s="24">
        <v>71</v>
      </c>
      <c r="M196" s="24">
        <v>123</v>
      </c>
      <c r="N196" s="24">
        <v>78</v>
      </c>
      <c r="O196" s="24">
        <v>250</v>
      </c>
      <c r="P196" s="24">
        <v>80</v>
      </c>
      <c r="Q196" s="24">
        <v>151</v>
      </c>
      <c r="R196" s="24">
        <v>72</v>
      </c>
      <c r="S196" s="24">
        <v>256</v>
      </c>
      <c r="T196" s="24">
        <v>57</v>
      </c>
      <c r="U196" s="24">
        <v>306</v>
      </c>
      <c r="V196" s="24">
        <v>513</v>
      </c>
      <c r="W196" s="24">
        <v>7</v>
      </c>
      <c r="X196" s="24">
        <v>195</v>
      </c>
      <c r="Y196" s="24">
        <v>469.5</v>
      </c>
      <c r="Z196" s="24">
        <v>368</v>
      </c>
      <c r="AA196" s="24">
        <v>173</v>
      </c>
    </row>
    <row r="197" spans="1:27">
      <c r="A197" s="24" t="s">
        <v>2525</v>
      </c>
      <c r="B197" s="24" t="s">
        <v>131</v>
      </c>
      <c r="C197" s="24" t="s">
        <v>1734</v>
      </c>
      <c r="D197" s="24">
        <v>107</v>
      </c>
      <c r="E197" s="24">
        <v>242</v>
      </c>
      <c r="F197" s="24">
        <v>83</v>
      </c>
      <c r="G197" s="24">
        <v>267</v>
      </c>
      <c r="H197" s="24">
        <v>112</v>
      </c>
      <c r="I197" s="24">
        <v>88</v>
      </c>
      <c r="J197" s="24">
        <v>78</v>
      </c>
      <c r="K197" s="24">
        <v>250</v>
      </c>
      <c r="L197" s="24">
        <v>61</v>
      </c>
      <c r="M197" s="24">
        <v>300</v>
      </c>
      <c r="N197" s="24">
        <v>72</v>
      </c>
      <c r="O197" s="24">
        <v>433</v>
      </c>
      <c r="P197" s="24">
        <v>62</v>
      </c>
      <c r="Q197" s="24">
        <v>729</v>
      </c>
      <c r="R197" s="24">
        <v>71</v>
      </c>
      <c r="S197" s="24">
        <v>290</v>
      </c>
      <c r="T197" s="24">
        <v>51</v>
      </c>
      <c r="U197" s="24">
        <v>555</v>
      </c>
      <c r="V197" s="24">
        <v>513</v>
      </c>
      <c r="W197" s="24">
        <v>4</v>
      </c>
      <c r="X197" s="24">
        <v>195</v>
      </c>
      <c r="Y197" s="24">
        <v>502.5</v>
      </c>
      <c r="Z197" s="24">
        <v>197</v>
      </c>
      <c r="AA197" s="24">
        <v>2</v>
      </c>
    </row>
    <row r="198" spans="1:27">
      <c r="A198" s="24" t="s">
        <v>2270</v>
      </c>
      <c r="B198" s="24" t="s">
        <v>7</v>
      </c>
      <c r="C198" s="24" t="s">
        <v>2274</v>
      </c>
      <c r="D198" s="24">
        <v>101</v>
      </c>
      <c r="E198" s="24">
        <v>481</v>
      </c>
      <c r="F198" s="24">
        <v>95</v>
      </c>
      <c r="G198" s="24">
        <v>128</v>
      </c>
      <c r="H198" s="24">
        <v>87.5</v>
      </c>
      <c r="I198" s="24">
        <v>542</v>
      </c>
      <c r="J198" s="24">
        <v>78</v>
      </c>
      <c r="K198" s="24">
        <v>250</v>
      </c>
      <c r="L198" s="24">
        <v>67</v>
      </c>
      <c r="M198" s="24">
        <v>177</v>
      </c>
      <c r="N198" s="24">
        <v>84</v>
      </c>
      <c r="O198" s="24">
        <v>123</v>
      </c>
      <c r="P198" s="24">
        <v>69</v>
      </c>
      <c r="Q198" s="24">
        <v>504</v>
      </c>
      <c r="R198" s="24">
        <v>73</v>
      </c>
      <c r="S198" s="24">
        <v>216</v>
      </c>
      <c r="T198" s="24">
        <v>56</v>
      </c>
      <c r="U198" s="24">
        <v>352</v>
      </c>
      <c r="V198" s="24">
        <v>512.5</v>
      </c>
      <c r="W198" s="24">
        <v>4</v>
      </c>
      <c r="X198" s="24">
        <v>197</v>
      </c>
      <c r="Y198" s="24">
        <v>523.5</v>
      </c>
      <c r="Z198" s="24">
        <v>126</v>
      </c>
      <c r="AA198" s="24">
        <v>-71</v>
      </c>
    </row>
    <row r="199" spans="1:27">
      <c r="A199" s="24" t="s">
        <v>2183</v>
      </c>
      <c r="B199" s="24" t="s">
        <v>73</v>
      </c>
      <c r="C199" s="24" t="s">
        <v>2184</v>
      </c>
      <c r="D199" s="24">
        <v>106</v>
      </c>
      <c r="E199" s="24">
        <v>287</v>
      </c>
      <c r="F199" s="24">
        <v>63</v>
      </c>
      <c r="G199" s="24">
        <v>642</v>
      </c>
      <c r="H199" s="24">
        <v>112.5</v>
      </c>
      <c r="I199" s="24">
        <v>77</v>
      </c>
      <c r="J199" s="24">
        <v>75</v>
      </c>
      <c r="K199" s="24">
        <v>299</v>
      </c>
      <c r="L199" s="24">
        <v>76</v>
      </c>
      <c r="M199" s="24">
        <v>73</v>
      </c>
      <c r="N199" s="24">
        <v>80</v>
      </c>
      <c r="O199" s="24">
        <v>205</v>
      </c>
      <c r="P199" s="24">
        <v>79</v>
      </c>
      <c r="Q199" s="24">
        <v>175</v>
      </c>
      <c r="R199" s="24">
        <v>70</v>
      </c>
      <c r="S199" s="24">
        <v>327</v>
      </c>
      <c r="T199" s="24">
        <v>56</v>
      </c>
      <c r="U199" s="24">
        <v>352</v>
      </c>
      <c r="V199" s="24">
        <v>512.5</v>
      </c>
      <c r="W199" s="24">
        <v>7</v>
      </c>
      <c r="X199" s="24">
        <v>197</v>
      </c>
      <c r="Y199" s="24">
        <v>489.5</v>
      </c>
      <c r="Z199" s="24">
        <v>261</v>
      </c>
      <c r="AA199" s="24">
        <v>64</v>
      </c>
    </row>
    <row r="200" spans="1:27">
      <c r="A200" s="24" t="s">
        <v>1722</v>
      </c>
      <c r="B200" s="24" t="s">
        <v>9</v>
      </c>
      <c r="C200" s="24" t="s">
        <v>39</v>
      </c>
      <c r="D200" s="24">
        <v>117</v>
      </c>
      <c r="E200" s="24">
        <v>40</v>
      </c>
      <c r="F200" s="24">
        <v>76</v>
      </c>
      <c r="G200" s="24">
        <v>391</v>
      </c>
      <c r="H200" s="24">
        <v>118.5</v>
      </c>
      <c r="I200" s="24">
        <v>36</v>
      </c>
      <c r="J200" s="24">
        <v>66</v>
      </c>
      <c r="K200" s="24">
        <v>484</v>
      </c>
      <c r="L200" s="24">
        <v>66</v>
      </c>
      <c r="M200" s="24">
        <v>204</v>
      </c>
      <c r="N200" s="24">
        <v>69</v>
      </c>
      <c r="O200" s="24">
        <v>523</v>
      </c>
      <c r="P200" s="24">
        <v>79</v>
      </c>
      <c r="Q200" s="24">
        <v>175</v>
      </c>
      <c r="R200" s="24">
        <v>67</v>
      </c>
      <c r="S200" s="24">
        <v>471</v>
      </c>
      <c r="T200" s="24">
        <v>64</v>
      </c>
      <c r="U200" s="24">
        <v>103</v>
      </c>
      <c r="V200" s="24">
        <v>512.5</v>
      </c>
      <c r="W200" s="24">
        <v>47</v>
      </c>
      <c r="X200" s="24">
        <v>197</v>
      </c>
      <c r="Y200" s="24">
        <v>492.5</v>
      </c>
      <c r="Z200" s="24">
        <v>250</v>
      </c>
      <c r="AA200" s="24">
        <v>53</v>
      </c>
    </row>
    <row r="201" spans="1:27">
      <c r="A201" s="24" t="s">
        <v>819</v>
      </c>
      <c r="B201" s="24" t="s">
        <v>117</v>
      </c>
      <c r="C201" s="24" t="s">
        <v>820</v>
      </c>
      <c r="D201" s="24">
        <v>102</v>
      </c>
      <c r="E201" s="24">
        <v>442</v>
      </c>
      <c r="F201" s="24">
        <v>116</v>
      </c>
      <c r="G201" s="24">
        <v>22</v>
      </c>
      <c r="H201" s="24">
        <v>88</v>
      </c>
      <c r="I201" s="24">
        <v>535</v>
      </c>
      <c r="J201" s="24">
        <v>81</v>
      </c>
      <c r="K201" s="24">
        <v>195</v>
      </c>
      <c r="L201" s="24">
        <v>59</v>
      </c>
      <c r="M201" s="24">
        <v>348</v>
      </c>
      <c r="N201" s="24">
        <v>66</v>
      </c>
      <c r="O201" s="24">
        <v>611</v>
      </c>
      <c r="P201" s="24">
        <v>62</v>
      </c>
      <c r="Q201" s="24">
        <v>729</v>
      </c>
      <c r="R201" s="24">
        <v>66</v>
      </c>
      <c r="S201" s="24">
        <v>511</v>
      </c>
      <c r="T201" s="24">
        <v>47</v>
      </c>
      <c r="U201" s="24">
        <v>719</v>
      </c>
      <c r="V201" s="24">
        <v>512</v>
      </c>
      <c r="W201" s="24">
        <v>6</v>
      </c>
      <c r="X201" s="24">
        <v>200</v>
      </c>
      <c r="Y201" s="24">
        <v>506.5</v>
      </c>
      <c r="Z201" s="24">
        <v>184</v>
      </c>
      <c r="AA201" s="24">
        <v>-16</v>
      </c>
    </row>
    <row r="202" spans="1:27">
      <c r="A202" s="24" t="s">
        <v>1781</v>
      </c>
      <c r="B202" s="24" t="s">
        <v>34</v>
      </c>
      <c r="C202" s="24" t="s">
        <v>201</v>
      </c>
      <c r="D202" s="24">
        <v>115</v>
      </c>
      <c r="E202" s="24">
        <v>65</v>
      </c>
      <c r="F202" s="24">
        <v>78</v>
      </c>
      <c r="G202" s="24">
        <v>353</v>
      </c>
      <c r="H202" s="24">
        <v>93.5</v>
      </c>
      <c r="I202" s="24">
        <v>393</v>
      </c>
      <c r="J202" s="24">
        <v>76</v>
      </c>
      <c r="K202" s="24">
        <v>287</v>
      </c>
      <c r="L202" s="24">
        <v>63</v>
      </c>
      <c r="M202" s="24">
        <v>262</v>
      </c>
      <c r="N202" s="24">
        <v>86</v>
      </c>
      <c r="O202" s="24">
        <v>77</v>
      </c>
      <c r="P202" s="24">
        <v>64</v>
      </c>
      <c r="Q202" s="24">
        <v>680</v>
      </c>
      <c r="R202" s="24">
        <v>75</v>
      </c>
      <c r="S202" s="24">
        <v>146</v>
      </c>
      <c r="T202" s="24">
        <v>64</v>
      </c>
      <c r="U202" s="24">
        <v>103</v>
      </c>
      <c r="V202" s="24">
        <v>511.5</v>
      </c>
      <c r="W202" s="24">
        <v>6</v>
      </c>
      <c r="X202" s="24">
        <v>201</v>
      </c>
      <c r="Y202" s="24">
        <v>471</v>
      </c>
      <c r="Z202" s="24">
        <v>359</v>
      </c>
      <c r="AA202" s="24">
        <v>158</v>
      </c>
    </row>
    <row r="203" spans="1:27">
      <c r="A203" s="24" t="s">
        <v>1511</v>
      </c>
      <c r="B203" s="24" t="s">
        <v>56</v>
      </c>
      <c r="C203" s="24" t="s">
        <v>1512</v>
      </c>
      <c r="D203" s="24">
        <v>107</v>
      </c>
      <c r="E203" s="24">
        <v>242</v>
      </c>
      <c r="F203" s="24">
        <v>92</v>
      </c>
      <c r="G203" s="24">
        <v>166</v>
      </c>
      <c r="H203" s="24">
        <v>92</v>
      </c>
      <c r="I203" s="24">
        <v>426</v>
      </c>
      <c r="J203" s="24">
        <v>71</v>
      </c>
      <c r="K203" s="24">
        <v>378</v>
      </c>
      <c r="L203" s="24">
        <v>65</v>
      </c>
      <c r="M203" s="24">
        <v>223</v>
      </c>
      <c r="N203" s="24">
        <v>84</v>
      </c>
      <c r="O203" s="24">
        <v>123</v>
      </c>
      <c r="P203" s="24">
        <v>65</v>
      </c>
      <c r="Q203" s="24">
        <v>651</v>
      </c>
      <c r="R203" s="24">
        <v>62</v>
      </c>
      <c r="S203" s="24">
        <v>672</v>
      </c>
      <c r="T203" s="24">
        <v>58</v>
      </c>
      <c r="U203" s="24">
        <v>278</v>
      </c>
      <c r="V203" s="24">
        <v>511</v>
      </c>
      <c r="W203" s="24">
        <v>6</v>
      </c>
      <c r="X203" s="24">
        <v>202</v>
      </c>
      <c r="Y203" s="24">
        <v>481.5</v>
      </c>
      <c r="Z203" s="24">
        <v>298</v>
      </c>
      <c r="AA203" s="24">
        <v>96</v>
      </c>
    </row>
    <row r="204" spans="1:27">
      <c r="A204" s="24" t="s">
        <v>566</v>
      </c>
      <c r="B204" s="24" t="s">
        <v>17</v>
      </c>
      <c r="C204" s="24" t="s">
        <v>567</v>
      </c>
      <c r="D204" s="24">
        <v>112</v>
      </c>
      <c r="E204" s="24">
        <v>114</v>
      </c>
      <c r="F204" s="24">
        <v>90</v>
      </c>
      <c r="G204" s="24">
        <v>183</v>
      </c>
      <c r="H204" s="24">
        <v>93.5</v>
      </c>
      <c r="I204" s="24">
        <v>393</v>
      </c>
      <c r="J204" s="24">
        <v>69</v>
      </c>
      <c r="K204" s="24">
        <v>428</v>
      </c>
      <c r="L204" s="24">
        <v>67</v>
      </c>
      <c r="M204" s="24">
        <v>177</v>
      </c>
      <c r="N204" s="24">
        <v>79</v>
      </c>
      <c r="O204" s="24">
        <v>229</v>
      </c>
      <c r="P204" s="24">
        <v>72</v>
      </c>
      <c r="Q204" s="24">
        <v>396</v>
      </c>
      <c r="R204" s="24">
        <v>71</v>
      </c>
      <c r="S204" s="24">
        <v>290</v>
      </c>
      <c r="T204" s="24">
        <v>45</v>
      </c>
      <c r="U204" s="24">
        <v>781</v>
      </c>
      <c r="V204" s="24">
        <v>510.5</v>
      </c>
      <c r="W204" s="24">
        <v>8</v>
      </c>
      <c r="X204" s="24">
        <v>203</v>
      </c>
      <c r="Y204" s="24">
        <v>482.5</v>
      </c>
      <c r="Z204" s="24">
        <v>294</v>
      </c>
      <c r="AA204" s="24">
        <v>91</v>
      </c>
    </row>
    <row r="205" spans="1:27">
      <c r="A205" s="24" t="s">
        <v>2237</v>
      </c>
      <c r="B205" s="24" t="s">
        <v>73</v>
      </c>
      <c r="C205" s="24" t="s">
        <v>2238</v>
      </c>
      <c r="D205" s="24">
        <v>100</v>
      </c>
      <c r="E205" s="24">
        <v>528</v>
      </c>
      <c r="F205" s="24">
        <v>82</v>
      </c>
      <c r="G205" s="24">
        <v>290</v>
      </c>
      <c r="H205" s="24">
        <v>108.5</v>
      </c>
      <c r="I205" s="24">
        <v>123</v>
      </c>
      <c r="J205" s="24">
        <v>70</v>
      </c>
      <c r="K205" s="24">
        <v>400</v>
      </c>
      <c r="L205" s="24">
        <v>74</v>
      </c>
      <c r="M205" s="24">
        <v>94</v>
      </c>
      <c r="N205" s="24">
        <v>76</v>
      </c>
      <c r="O205" s="24">
        <v>308</v>
      </c>
      <c r="P205" s="24">
        <v>64</v>
      </c>
      <c r="Q205" s="24">
        <v>680</v>
      </c>
      <c r="R205" s="24">
        <v>80</v>
      </c>
      <c r="S205" s="24">
        <v>54</v>
      </c>
      <c r="T205" s="24">
        <v>65</v>
      </c>
      <c r="U205" s="24">
        <v>89</v>
      </c>
      <c r="V205" s="24">
        <v>510.5</v>
      </c>
      <c r="W205" s="24">
        <v>8</v>
      </c>
      <c r="X205" s="24">
        <v>203</v>
      </c>
      <c r="Y205" s="24">
        <v>497</v>
      </c>
      <c r="Z205" s="24">
        <v>225</v>
      </c>
      <c r="AA205" s="24">
        <v>22</v>
      </c>
    </row>
    <row r="206" spans="1:27">
      <c r="A206" s="24" t="s">
        <v>323</v>
      </c>
      <c r="B206" s="24" t="s">
        <v>28</v>
      </c>
      <c r="C206" s="24" t="s">
        <v>324</v>
      </c>
      <c r="D206" s="24">
        <v>106</v>
      </c>
      <c r="E206" s="24">
        <v>287</v>
      </c>
      <c r="F206" s="24">
        <v>77</v>
      </c>
      <c r="G206" s="24">
        <v>369</v>
      </c>
      <c r="H206" s="24">
        <v>104.5</v>
      </c>
      <c r="I206" s="24">
        <v>177</v>
      </c>
      <c r="J206" s="24">
        <v>78</v>
      </c>
      <c r="K206" s="24">
        <v>250</v>
      </c>
      <c r="L206" s="24">
        <v>70</v>
      </c>
      <c r="M206" s="24">
        <v>136</v>
      </c>
      <c r="N206" s="24">
        <v>75</v>
      </c>
      <c r="O206" s="24">
        <v>342</v>
      </c>
      <c r="P206" s="24">
        <v>73</v>
      </c>
      <c r="Q206" s="24">
        <v>359</v>
      </c>
      <c r="R206" s="24">
        <v>66</v>
      </c>
      <c r="S206" s="24">
        <v>511</v>
      </c>
      <c r="T206" s="24">
        <v>51</v>
      </c>
      <c r="U206" s="24">
        <v>555</v>
      </c>
      <c r="V206" s="24">
        <v>510.5</v>
      </c>
      <c r="W206" s="24">
        <v>9</v>
      </c>
      <c r="X206" s="24">
        <v>203</v>
      </c>
      <c r="Y206" s="24">
        <v>495.5</v>
      </c>
      <c r="Z206" s="24">
        <v>231</v>
      </c>
      <c r="AA206" s="24">
        <v>28</v>
      </c>
    </row>
    <row r="207" spans="1:27">
      <c r="A207" s="24" t="s">
        <v>1813</v>
      </c>
      <c r="B207" s="24" t="s">
        <v>34</v>
      </c>
      <c r="C207" s="24" t="s">
        <v>1814</v>
      </c>
      <c r="D207" s="24">
        <v>106</v>
      </c>
      <c r="E207" s="24">
        <v>287</v>
      </c>
      <c r="F207" s="24">
        <v>80</v>
      </c>
      <c r="G207" s="24">
        <v>325</v>
      </c>
      <c r="H207" s="24">
        <v>112.5</v>
      </c>
      <c r="I207" s="24">
        <v>77</v>
      </c>
      <c r="J207" s="24">
        <v>71</v>
      </c>
      <c r="K207" s="24">
        <v>378</v>
      </c>
      <c r="L207" s="24">
        <v>66</v>
      </c>
      <c r="M207" s="24">
        <v>204</v>
      </c>
      <c r="N207" s="24">
        <v>75</v>
      </c>
      <c r="O207" s="24">
        <v>342</v>
      </c>
      <c r="P207" s="24">
        <v>84</v>
      </c>
      <c r="Q207" s="24">
        <v>59</v>
      </c>
      <c r="R207" s="24">
        <v>64</v>
      </c>
      <c r="S207" s="24">
        <v>586</v>
      </c>
      <c r="T207" s="24">
        <v>43</v>
      </c>
      <c r="U207" s="24">
        <v>824</v>
      </c>
      <c r="V207" s="24">
        <v>510.5</v>
      </c>
      <c r="W207" s="24">
        <v>7</v>
      </c>
      <c r="X207" s="24">
        <v>203</v>
      </c>
      <c r="Y207" s="24">
        <v>452.5</v>
      </c>
      <c r="Z207" s="24">
        <v>453</v>
      </c>
      <c r="AA207" s="24">
        <v>250</v>
      </c>
    </row>
    <row r="208" spans="1:27">
      <c r="A208" s="24" t="s">
        <v>593</v>
      </c>
      <c r="B208" s="24" t="s">
        <v>17</v>
      </c>
      <c r="C208" s="24" t="s">
        <v>594</v>
      </c>
      <c r="D208" s="24">
        <v>115</v>
      </c>
      <c r="E208" s="24">
        <v>65</v>
      </c>
      <c r="F208" s="24">
        <v>99</v>
      </c>
      <c r="G208" s="24">
        <v>93</v>
      </c>
      <c r="H208" s="24">
        <v>97.5</v>
      </c>
      <c r="I208" s="24">
        <v>310</v>
      </c>
      <c r="J208" s="24">
        <v>69</v>
      </c>
      <c r="K208" s="24">
        <v>428</v>
      </c>
      <c r="L208" s="24">
        <v>65</v>
      </c>
      <c r="M208" s="24">
        <v>223</v>
      </c>
      <c r="N208" s="24">
        <v>65</v>
      </c>
      <c r="O208" s="24">
        <v>643</v>
      </c>
      <c r="P208" s="24">
        <v>64</v>
      </c>
      <c r="Q208" s="24">
        <v>680</v>
      </c>
      <c r="R208" s="24">
        <v>53</v>
      </c>
      <c r="S208" s="24">
        <v>869</v>
      </c>
      <c r="T208" s="24">
        <v>52</v>
      </c>
      <c r="U208" s="24">
        <v>509</v>
      </c>
      <c r="V208" s="24">
        <v>510.5</v>
      </c>
      <c r="W208" s="24">
        <v>8</v>
      </c>
      <c r="X208" s="24">
        <v>203</v>
      </c>
      <c r="Y208" s="24">
        <v>425.5</v>
      </c>
      <c r="Z208" s="24">
        <v>602</v>
      </c>
      <c r="AA208" s="24">
        <v>399</v>
      </c>
    </row>
    <row r="209" spans="1:27">
      <c r="A209" s="24" t="s">
        <v>2656</v>
      </c>
      <c r="B209" s="24" t="s">
        <v>49</v>
      </c>
      <c r="C209" s="24" t="s">
        <v>2660</v>
      </c>
      <c r="D209" s="24">
        <v>117</v>
      </c>
      <c r="E209" s="24">
        <v>40</v>
      </c>
      <c r="F209" s="24">
        <v>104</v>
      </c>
      <c r="G209" s="24">
        <v>61</v>
      </c>
      <c r="H209" s="24">
        <v>99.5</v>
      </c>
      <c r="I209" s="24">
        <v>269</v>
      </c>
      <c r="J209" s="24">
        <v>72</v>
      </c>
      <c r="K209" s="24">
        <v>358</v>
      </c>
      <c r="L209" s="24">
        <v>54</v>
      </c>
      <c r="M209" s="24">
        <v>494</v>
      </c>
      <c r="N209" s="24">
        <v>64</v>
      </c>
      <c r="O209" s="24">
        <v>667</v>
      </c>
      <c r="P209" s="24">
        <v>69</v>
      </c>
      <c r="Q209" s="24">
        <v>504</v>
      </c>
      <c r="R209" s="24">
        <v>60</v>
      </c>
      <c r="S209" s="24">
        <v>727</v>
      </c>
      <c r="T209" s="24">
        <v>43</v>
      </c>
      <c r="U209" s="24">
        <v>824</v>
      </c>
      <c r="V209" s="24">
        <v>510.5</v>
      </c>
      <c r="W209" s="24">
        <v>14</v>
      </c>
      <c r="X209" s="24">
        <v>203</v>
      </c>
      <c r="Y209" s="24">
        <v>515.5</v>
      </c>
      <c r="Z209" s="24">
        <v>152</v>
      </c>
      <c r="AA209" s="24">
        <v>-51</v>
      </c>
    </row>
    <row r="210" spans="1:27">
      <c r="A210" s="24" t="s">
        <v>2010</v>
      </c>
      <c r="B210" s="24" t="s">
        <v>109</v>
      </c>
      <c r="C210" s="24" t="s">
        <v>2011</v>
      </c>
      <c r="D210" s="24">
        <v>100</v>
      </c>
      <c r="E210" s="24">
        <v>528</v>
      </c>
      <c r="F210" s="24">
        <v>87</v>
      </c>
      <c r="G210" s="24">
        <v>220</v>
      </c>
      <c r="H210" s="24">
        <v>97</v>
      </c>
      <c r="I210" s="24">
        <v>327</v>
      </c>
      <c r="J210" s="24">
        <v>69</v>
      </c>
      <c r="K210" s="24">
        <v>428</v>
      </c>
      <c r="L210" s="24">
        <v>73</v>
      </c>
      <c r="M210" s="24">
        <v>106</v>
      </c>
      <c r="N210" s="24">
        <v>83</v>
      </c>
      <c r="O210" s="24">
        <v>145</v>
      </c>
      <c r="P210" s="24">
        <v>74</v>
      </c>
      <c r="Q210" s="24">
        <v>326</v>
      </c>
      <c r="R210" s="24">
        <v>64</v>
      </c>
      <c r="S210" s="24">
        <v>586</v>
      </c>
      <c r="T210" s="24">
        <v>55</v>
      </c>
      <c r="U210" s="24">
        <v>392</v>
      </c>
      <c r="V210" s="24">
        <v>509</v>
      </c>
      <c r="W210" s="24">
        <v>11</v>
      </c>
      <c r="X210" s="24">
        <v>209</v>
      </c>
      <c r="Y210" s="24">
        <v>501.5</v>
      </c>
      <c r="Z210" s="24">
        <v>204</v>
      </c>
      <c r="AA210" s="24">
        <v>-5</v>
      </c>
    </row>
    <row r="211" spans="1:27">
      <c r="A211" s="24" t="s">
        <v>539</v>
      </c>
      <c r="B211" s="24" t="s">
        <v>17</v>
      </c>
      <c r="C211" s="24" t="s">
        <v>540</v>
      </c>
      <c r="D211" s="24">
        <v>113</v>
      </c>
      <c r="E211" s="24">
        <v>95</v>
      </c>
      <c r="F211" s="24">
        <v>83</v>
      </c>
      <c r="G211" s="24">
        <v>267</v>
      </c>
      <c r="H211" s="24">
        <v>116</v>
      </c>
      <c r="I211" s="24">
        <v>51</v>
      </c>
      <c r="J211" s="24">
        <v>70</v>
      </c>
      <c r="K211" s="24">
        <v>400</v>
      </c>
      <c r="L211" s="24">
        <v>49</v>
      </c>
      <c r="M211" s="24">
        <v>624</v>
      </c>
      <c r="N211" s="24">
        <v>78</v>
      </c>
      <c r="O211" s="24">
        <v>250</v>
      </c>
      <c r="P211" s="24">
        <v>91</v>
      </c>
      <c r="Q211" s="24">
        <v>1</v>
      </c>
      <c r="R211" s="24">
        <v>73</v>
      </c>
      <c r="S211" s="24">
        <v>216</v>
      </c>
      <c r="T211" s="24">
        <v>59</v>
      </c>
      <c r="U211" s="24">
        <v>233</v>
      </c>
      <c r="V211" s="24">
        <v>509</v>
      </c>
      <c r="W211" s="24">
        <v>10</v>
      </c>
      <c r="X211" s="24">
        <v>209</v>
      </c>
      <c r="Y211" s="24">
        <v>530</v>
      </c>
      <c r="Z211" s="24">
        <v>103</v>
      </c>
      <c r="AA211" s="24">
        <v>-106</v>
      </c>
    </row>
    <row r="212" spans="1:27">
      <c r="A212" s="24" t="s">
        <v>2571</v>
      </c>
      <c r="B212" s="24" t="s">
        <v>131</v>
      </c>
      <c r="C212" s="24" t="s">
        <v>2572</v>
      </c>
      <c r="D212" s="24">
        <v>101</v>
      </c>
      <c r="E212" s="24">
        <v>481</v>
      </c>
      <c r="F212" s="24">
        <v>95</v>
      </c>
      <c r="G212" s="24">
        <v>128</v>
      </c>
      <c r="H212" s="24">
        <v>81.5</v>
      </c>
      <c r="I212" s="24">
        <v>674</v>
      </c>
      <c r="J212" s="24">
        <v>82</v>
      </c>
      <c r="K212" s="24">
        <v>174</v>
      </c>
      <c r="L212" s="24">
        <v>72</v>
      </c>
      <c r="M212" s="24">
        <v>115</v>
      </c>
      <c r="N212" s="24">
        <v>77</v>
      </c>
      <c r="O212" s="24">
        <v>275</v>
      </c>
      <c r="P212" s="24">
        <v>62</v>
      </c>
      <c r="Q212" s="24">
        <v>729</v>
      </c>
      <c r="R212" s="24">
        <v>73</v>
      </c>
      <c r="S212" s="24">
        <v>216</v>
      </c>
      <c r="T212" s="24">
        <v>57</v>
      </c>
      <c r="U212" s="24">
        <v>306</v>
      </c>
      <c r="V212" s="24">
        <v>508.5</v>
      </c>
      <c r="W212" s="24">
        <v>5</v>
      </c>
      <c r="X212" s="24">
        <v>211</v>
      </c>
      <c r="Y212" s="24">
        <v>496.5</v>
      </c>
      <c r="Z212" s="24">
        <v>227</v>
      </c>
      <c r="AA212" s="24">
        <v>16</v>
      </c>
    </row>
    <row r="213" spans="1:27">
      <c r="A213" s="24" t="s">
        <v>1861</v>
      </c>
      <c r="B213" s="24" t="s">
        <v>34</v>
      </c>
      <c r="C213" s="24" t="s">
        <v>1862</v>
      </c>
      <c r="D213" s="24">
        <v>108</v>
      </c>
      <c r="E213" s="24">
        <v>212</v>
      </c>
      <c r="F213" s="24">
        <v>95</v>
      </c>
      <c r="G213" s="24">
        <v>128</v>
      </c>
      <c r="H213" s="24">
        <v>96.5</v>
      </c>
      <c r="I213" s="24">
        <v>337</v>
      </c>
      <c r="J213" s="24">
        <v>70</v>
      </c>
      <c r="K213" s="24">
        <v>400</v>
      </c>
      <c r="L213" s="24">
        <v>69</v>
      </c>
      <c r="M213" s="24">
        <v>152</v>
      </c>
      <c r="N213" s="24">
        <v>70</v>
      </c>
      <c r="O213" s="24">
        <v>485</v>
      </c>
      <c r="P213" s="24">
        <v>87</v>
      </c>
      <c r="Q213" s="24">
        <v>25</v>
      </c>
      <c r="R213" s="24">
        <v>51</v>
      </c>
      <c r="S213" s="24">
        <v>890</v>
      </c>
      <c r="T213" s="24">
        <v>60</v>
      </c>
      <c r="U213" s="24">
        <v>203</v>
      </c>
      <c r="V213" s="24">
        <v>508.5</v>
      </c>
      <c r="W213" s="24">
        <v>8</v>
      </c>
      <c r="X213" s="24">
        <v>211</v>
      </c>
      <c r="Y213" s="24">
        <v>453.5</v>
      </c>
      <c r="Z213" s="24">
        <v>446</v>
      </c>
      <c r="AA213" s="24">
        <v>235</v>
      </c>
    </row>
    <row r="214" spans="1:27">
      <c r="A214" s="24" t="s">
        <v>2042</v>
      </c>
      <c r="B214" s="24" t="s">
        <v>109</v>
      </c>
      <c r="C214" s="24" t="s">
        <v>2043</v>
      </c>
      <c r="D214" s="24">
        <v>106</v>
      </c>
      <c r="E214" s="24">
        <v>287</v>
      </c>
      <c r="F214" s="24">
        <v>71</v>
      </c>
      <c r="G214" s="24">
        <v>475</v>
      </c>
      <c r="H214" s="24">
        <v>92</v>
      </c>
      <c r="I214" s="24">
        <v>426</v>
      </c>
      <c r="J214" s="24">
        <v>79</v>
      </c>
      <c r="K214" s="24">
        <v>228</v>
      </c>
      <c r="L214" s="24">
        <v>71</v>
      </c>
      <c r="M214" s="24">
        <v>123</v>
      </c>
      <c r="N214" s="24">
        <v>89</v>
      </c>
      <c r="O214" s="24">
        <v>34</v>
      </c>
      <c r="P214" s="24">
        <v>67</v>
      </c>
      <c r="Q214" s="24">
        <v>570</v>
      </c>
      <c r="R214" s="24">
        <v>77</v>
      </c>
      <c r="S214" s="24">
        <v>102</v>
      </c>
      <c r="T214" s="24">
        <v>72</v>
      </c>
      <c r="U214" s="24">
        <v>25</v>
      </c>
      <c r="V214" s="24">
        <v>508</v>
      </c>
      <c r="W214" s="24">
        <v>12</v>
      </c>
      <c r="X214" s="24">
        <v>213</v>
      </c>
      <c r="Y214" s="24">
        <v>518</v>
      </c>
      <c r="Z214" s="24">
        <v>142</v>
      </c>
      <c r="AA214" s="24">
        <v>-71</v>
      </c>
    </row>
    <row r="215" spans="1:27">
      <c r="A215" s="24" t="s">
        <v>1807</v>
      </c>
      <c r="B215" s="24" t="s">
        <v>34</v>
      </c>
      <c r="C215" s="24" t="s">
        <v>1808</v>
      </c>
      <c r="D215" s="24">
        <v>106</v>
      </c>
      <c r="E215" s="24">
        <v>287</v>
      </c>
      <c r="F215" s="24">
        <v>92</v>
      </c>
      <c r="G215" s="24">
        <v>166</v>
      </c>
      <c r="H215" s="24">
        <v>89</v>
      </c>
      <c r="I215" s="24">
        <v>510</v>
      </c>
      <c r="J215" s="24">
        <v>74</v>
      </c>
      <c r="K215" s="24">
        <v>317</v>
      </c>
      <c r="L215" s="24">
        <v>66</v>
      </c>
      <c r="M215" s="24">
        <v>204</v>
      </c>
      <c r="N215" s="24">
        <v>81</v>
      </c>
      <c r="O215" s="24">
        <v>183</v>
      </c>
      <c r="P215" s="24">
        <v>71</v>
      </c>
      <c r="Q215" s="24">
        <v>439</v>
      </c>
      <c r="R215" s="24">
        <v>75</v>
      </c>
      <c r="S215" s="24">
        <v>146</v>
      </c>
      <c r="T215" s="24">
        <v>50</v>
      </c>
      <c r="U215" s="24">
        <v>591</v>
      </c>
      <c r="V215" s="24">
        <v>508</v>
      </c>
      <c r="W215" s="24">
        <v>9</v>
      </c>
      <c r="X215" s="24">
        <v>213</v>
      </c>
      <c r="Y215" s="24">
        <v>502</v>
      </c>
      <c r="Z215" s="24">
        <v>199</v>
      </c>
      <c r="AA215" s="24">
        <v>-14</v>
      </c>
    </row>
    <row r="216" spans="1:27">
      <c r="A216" s="24" t="s">
        <v>900</v>
      </c>
      <c r="B216" s="24" t="s">
        <v>60</v>
      </c>
      <c r="C216" s="24" t="s">
        <v>901</v>
      </c>
      <c r="D216" s="24">
        <v>96</v>
      </c>
      <c r="E216" s="24">
        <v>676</v>
      </c>
      <c r="F216" s="24">
        <v>93</v>
      </c>
      <c r="G216" s="24">
        <v>155</v>
      </c>
      <c r="H216" s="24">
        <v>99</v>
      </c>
      <c r="I216" s="24">
        <v>277</v>
      </c>
      <c r="J216" s="24">
        <v>79</v>
      </c>
      <c r="K216" s="24">
        <v>228</v>
      </c>
      <c r="L216" s="24">
        <v>68</v>
      </c>
      <c r="M216" s="24">
        <v>165</v>
      </c>
      <c r="N216" s="24">
        <v>73</v>
      </c>
      <c r="O216" s="24">
        <v>393</v>
      </c>
      <c r="P216" s="24">
        <v>72</v>
      </c>
      <c r="Q216" s="24">
        <v>396</v>
      </c>
      <c r="R216" s="24">
        <v>64</v>
      </c>
      <c r="S216" s="24">
        <v>586</v>
      </c>
      <c r="T216" s="24">
        <v>67</v>
      </c>
      <c r="U216" s="24">
        <v>66</v>
      </c>
      <c r="V216" s="24">
        <v>508</v>
      </c>
      <c r="W216" s="24">
        <v>7</v>
      </c>
      <c r="X216" s="24">
        <v>213</v>
      </c>
      <c r="Y216" s="24">
        <v>470</v>
      </c>
      <c r="Z216" s="24">
        <v>364</v>
      </c>
      <c r="AA216" s="24">
        <v>151</v>
      </c>
    </row>
    <row r="217" spans="1:27">
      <c r="A217" s="24" t="s">
        <v>1095</v>
      </c>
      <c r="B217" s="24" t="s">
        <v>68</v>
      </c>
      <c r="C217" s="24" t="s">
        <v>1096</v>
      </c>
      <c r="D217" s="24">
        <v>89</v>
      </c>
      <c r="E217" s="24">
        <v>835</v>
      </c>
      <c r="F217" s="24">
        <v>94</v>
      </c>
      <c r="G217" s="24">
        <v>141</v>
      </c>
      <c r="H217" s="24">
        <v>104</v>
      </c>
      <c r="I217" s="24">
        <v>188</v>
      </c>
      <c r="J217" s="24">
        <v>83</v>
      </c>
      <c r="K217" s="24">
        <v>163</v>
      </c>
      <c r="L217" s="24">
        <v>70</v>
      </c>
      <c r="M217" s="24">
        <v>136</v>
      </c>
      <c r="N217" s="24">
        <v>68</v>
      </c>
      <c r="O217" s="24">
        <v>555</v>
      </c>
      <c r="P217" s="24">
        <v>54</v>
      </c>
      <c r="Q217" s="24">
        <v>880</v>
      </c>
      <c r="R217" s="24">
        <v>56</v>
      </c>
      <c r="S217" s="24">
        <v>817</v>
      </c>
      <c r="T217" s="24">
        <v>50</v>
      </c>
      <c r="U217" s="24">
        <v>591</v>
      </c>
      <c r="V217" s="24">
        <v>508</v>
      </c>
      <c r="W217" s="24">
        <v>10</v>
      </c>
      <c r="X217" s="24">
        <v>213</v>
      </c>
      <c r="Y217" s="24">
        <v>481.5</v>
      </c>
      <c r="Z217" s="24">
        <v>298</v>
      </c>
      <c r="AA217" s="24">
        <v>85</v>
      </c>
    </row>
    <row r="218" spans="1:27">
      <c r="A218" s="24" t="s">
        <v>402</v>
      </c>
      <c r="B218" s="24" t="s">
        <v>19</v>
      </c>
      <c r="C218" s="24" t="s">
        <v>403</v>
      </c>
      <c r="D218" s="24">
        <v>83</v>
      </c>
      <c r="E218" s="24">
        <v>897</v>
      </c>
      <c r="F218" s="24">
        <v>102</v>
      </c>
      <c r="G218" s="24">
        <v>72</v>
      </c>
      <c r="H218" s="24">
        <v>79.5</v>
      </c>
      <c r="I218" s="24">
        <v>699</v>
      </c>
      <c r="J218" s="24">
        <v>91</v>
      </c>
      <c r="K218" s="24">
        <v>84</v>
      </c>
      <c r="L218" s="24">
        <v>74</v>
      </c>
      <c r="M218" s="24">
        <v>94</v>
      </c>
      <c r="N218" s="24">
        <v>77</v>
      </c>
      <c r="O218" s="24">
        <v>275</v>
      </c>
      <c r="P218" s="24">
        <v>58</v>
      </c>
      <c r="Q218" s="24">
        <v>820</v>
      </c>
      <c r="R218" s="24">
        <v>72</v>
      </c>
      <c r="S218" s="24">
        <v>256</v>
      </c>
      <c r="T218" s="24">
        <v>50</v>
      </c>
      <c r="U218" s="24">
        <v>591</v>
      </c>
      <c r="V218" s="24">
        <v>506.5</v>
      </c>
      <c r="W218" s="24">
        <v>5</v>
      </c>
      <c r="X218" s="24">
        <v>217</v>
      </c>
      <c r="Y218" s="24">
        <v>463</v>
      </c>
      <c r="Z218" s="24">
        <v>398</v>
      </c>
      <c r="AA218" s="24">
        <v>181</v>
      </c>
    </row>
    <row r="219" spans="1:27">
      <c r="A219" s="24" t="s">
        <v>2589</v>
      </c>
      <c r="B219" s="24" t="s">
        <v>49</v>
      </c>
      <c r="C219" s="24" t="s">
        <v>206</v>
      </c>
      <c r="D219" s="24">
        <v>93</v>
      </c>
      <c r="E219" s="24">
        <v>755</v>
      </c>
      <c r="F219" s="24">
        <v>92</v>
      </c>
      <c r="G219" s="24">
        <v>166</v>
      </c>
      <c r="H219" s="24">
        <v>118.5</v>
      </c>
      <c r="I219" s="24">
        <v>36</v>
      </c>
      <c r="J219" s="24">
        <v>79</v>
      </c>
      <c r="K219" s="24">
        <v>228</v>
      </c>
      <c r="L219" s="24">
        <v>58</v>
      </c>
      <c r="M219" s="24">
        <v>377</v>
      </c>
      <c r="N219" s="24">
        <v>66</v>
      </c>
      <c r="O219" s="24">
        <v>611</v>
      </c>
      <c r="P219" s="24">
        <v>57</v>
      </c>
      <c r="Q219" s="24">
        <v>838</v>
      </c>
      <c r="R219" s="24">
        <v>47</v>
      </c>
      <c r="S219" s="24">
        <v>916</v>
      </c>
      <c r="T219" s="24">
        <v>42</v>
      </c>
      <c r="U219" s="24">
        <v>845</v>
      </c>
      <c r="V219" s="24">
        <v>506.5</v>
      </c>
      <c r="W219" s="24">
        <v>15</v>
      </c>
      <c r="X219" s="24">
        <v>217</v>
      </c>
      <c r="Y219" s="24">
        <v>506.5</v>
      </c>
      <c r="Z219" s="24">
        <v>184</v>
      </c>
      <c r="AA219" s="24">
        <v>-33</v>
      </c>
    </row>
    <row r="220" spans="1:27">
      <c r="A220" s="24" t="s">
        <v>2800</v>
      </c>
      <c r="B220" s="24" t="s">
        <v>38</v>
      </c>
      <c r="C220" s="24" t="s">
        <v>2801</v>
      </c>
      <c r="D220" s="24">
        <v>100</v>
      </c>
      <c r="E220" s="24">
        <v>528</v>
      </c>
      <c r="F220" s="24">
        <v>90</v>
      </c>
      <c r="G220" s="24">
        <v>183</v>
      </c>
      <c r="H220" s="24">
        <v>96</v>
      </c>
      <c r="I220" s="24">
        <v>346</v>
      </c>
      <c r="J220" s="24">
        <v>70</v>
      </c>
      <c r="K220" s="24">
        <v>400</v>
      </c>
      <c r="L220" s="24">
        <v>65</v>
      </c>
      <c r="M220" s="24">
        <v>223</v>
      </c>
      <c r="N220" s="24">
        <v>85</v>
      </c>
      <c r="O220" s="24">
        <v>96</v>
      </c>
      <c r="P220" s="24">
        <v>74</v>
      </c>
      <c r="Q220" s="24">
        <v>326</v>
      </c>
      <c r="R220" s="24">
        <v>69</v>
      </c>
      <c r="S220" s="24">
        <v>367</v>
      </c>
      <c r="T220" s="24">
        <v>56</v>
      </c>
      <c r="U220" s="24">
        <v>352</v>
      </c>
      <c r="V220" s="24">
        <v>506</v>
      </c>
      <c r="W220" s="24">
        <v>7</v>
      </c>
      <c r="X220" s="24">
        <v>219</v>
      </c>
      <c r="Y220" s="24">
        <v>496</v>
      </c>
      <c r="Z220" s="24">
        <v>229</v>
      </c>
      <c r="AA220" s="24">
        <v>10</v>
      </c>
    </row>
    <row r="221" spans="1:27">
      <c r="A221" s="24" t="s">
        <v>374</v>
      </c>
      <c r="B221" s="24" t="s">
        <v>19</v>
      </c>
      <c r="C221" s="24" t="s">
        <v>375</v>
      </c>
      <c r="D221" s="24">
        <v>107</v>
      </c>
      <c r="E221" s="24">
        <v>242</v>
      </c>
      <c r="F221" s="24">
        <v>88</v>
      </c>
      <c r="G221" s="24">
        <v>206</v>
      </c>
      <c r="H221" s="24">
        <v>100</v>
      </c>
      <c r="I221" s="24">
        <v>258</v>
      </c>
      <c r="J221" s="24">
        <v>79</v>
      </c>
      <c r="K221" s="24">
        <v>228</v>
      </c>
      <c r="L221" s="24">
        <v>56</v>
      </c>
      <c r="M221" s="24">
        <v>433</v>
      </c>
      <c r="N221" s="24">
        <v>76</v>
      </c>
      <c r="O221" s="24">
        <v>308</v>
      </c>
      <c r="P221" s="24">
        <v>70</v>
      </c>
      <c r="Q221" s="24">
        <v>473</v>
      </c>
      <c r="R221" s="24">
        <v>77</v>
      </c>
      <c r="S221" s="24">
        <v>102</v>
      </c>
      <c r="T221" s="24">
        <v>48</v>
      </c>
      <c r="U221" s="24">
        <v>671</v>
      </c>
      <c r="V221" s="24">
        <v>506</v>
      </c>
      <c r="W221" s="24">
        <v>6</v>
      </c>
      <c r="X221" s="24">
        <v>219</v>
      </c>
      <c r="Y221" s="24">
        <v>502</v>
      </c>
      <c r="Z221" s="24">
        <v>199</v>
      </c>
      <c r="AA221" s="24">
        <v>-20</v>
      </c>
    </row>
    <row r="222" spans="1:27">
      <c r="A222" s="24" t="s">
        <v>380</v>
      </c>
      <c r="B222" s="24" t="s">
        <v>19</v>
      </c>
      <c r="C222" s="24" t="s">
        <v>381</v>
      </c>
      <c r="D222" s="24">
        <v>109</v>
      </c>
      <c r="E222" s="24">
        <v>185</v>
      </c>
      <c r="F222" s="24">
        <v>73</v>
      </c>
      <c r="G222" s="24">
        <v>438</v>
      </c>
      <c r="H222" s="24">
        <v>113</v>
      </c>
      <c r="I222" s="24">
        <v>74</v>
      </c>
      <c r="J222" s="24">
        <v>85</v>
      </c>
      <c r="K222" s="24">
        <v>135</v>
      </c>
      <c r="L222" s="24">
        <v>57</v>
      </c>
      <c r="M222" s="24">
        <v>409</v>
      </c>
      <c r="N222" s="24">
        <v>69</v>
      </c>
      <c r="O222" s="24">
        <v>523</v>
      </c>
      <c r="P222" s="24">
        <v>81</v>
      </c>
      <c r="Q222" s="24">
        <v>124</v>
      </c>
      <c r="R222" s="24">
        <v>65</v>
      </c>
      <c r="S222" s="24">
        <v>548</v>
      </c>
      <c r="T222" s="24">
        <v>49</v>
      </c>
      <c r="U222" s="24">
        <v>633</v>
      </c>
      <c r="V222" s="24">
        <v>506</v>
      </c>
      <c r="W222" s="24">
        <v>6</v>
      </c>
      <c r="X222" s="24">
        <v>219</v>
      </c>
      <c r="Y222" s="24">
        <v>533.5</v>
      </c>
      <c r="Z222" s="24">
        <v>99</v>
      </c>
      <c r="AA222" s="24">
        <v>-120</v>
      </c>
    </row>
    <row r="223" spans="1:27">
      <c r="A223" s="24" t="s">
        <v>2232</v>
      </c>
      <c r="B223" s="24" t="s">
        <v>73</v>
      </c>
      <c r="C223" s="24" t="s">
        <v>2233</v>
      </c>
      <c r="D223" s="24">
        <v>108</v>
      </c>
      <c r="E223" s="24">
        <v>212</v>
      </c>
      <c r="F223" s="24">
        <v>83</v>
      </c>
      <c r="G223" s="24">
        <v>267</v>
      </c>
      <c r="H223" s="24">
        <v>104.5</v>
      </c>
      <c r="I223" s="24">
        <v>177</v>
      </c>
      <c r="J223" s="24">
        <v>76</v>
      </c>
      <c r="K223" s="24">
        <v>287</v>
      </c>
      <c r="L223" s="24">
        <v>66</v>
      </c>
      <c r="M223" s="24">
        <v>204</v>
      </c>
      <c r="N223" s="24">
        <v>68</v>
      </c>
      <c r="O223" s="24">
        <v>555</v>
      </c>
      <c r="P223" s="24">
        <v>81</v>
      </c>
      <c r="Q223" s="24">
        <v>124</v>
      </c>
      <c r="R223" s="24">
        <v>66</v>
      </c>
      <c r="S223" s="24">
        <v>511</v>
      </c>
      <c r="T223" s="24">
        <v>54</v>
      </c>
      <c r="U223" s="24">
        <v>428</v>
      </c>
      <c r="V223" s="24">
        <v>505.5</v>
      </c>
      <c r="W223" s="24">
        <v>9</v>
      </c>
      <c r="X223" s="24">
        <v>222</v>
      </c>
      <c r="Y223" s="24">
        <v>498.5</v>
      </c>
      <c r="Z223" s="24">
        <v>217</v>
      </c>
      <c r="AA223" s="24">
        <v>-5</v>
      </c>
    </row>
    <row r="224" spans="1:27">
      <c r="A224" s="24" t="s">
        <v>1733</v>
      </c>
      <c r="B224" s="24" t="s">
        <v>9</v>
      </c>
      <c r="C224" s="24" t="s">
        <v>171</v>
      </c>
      <c r="D224" s="24">
        <v>89</v>
      </c>
      <c r="E224" s="24">
        <v>835</v>
      </c>
      <c r="F224" s="24">
        <v>68</v>
      </c>
      <c r="G224" s="24">
        <v>540</v>
      </c>
      <c r="H224" s="24">
        <v>117</v>
      </c>
      <c r="I224" s="24">
        <v>45</v>
      </c>
      <c r="J224" s="24">
        <v>69</v>
      </c>
      <c r="K224" s="24">
        <v>428</v>
      </c>
      <c r="L224" s="24">
        <v>72</v>
      </c>
      <c r="M224" s="24">
        <v>115</v>
      </c>
      <c r="N224" s="24">
        <v>90</v>
      </c>
      <c r="O224" s="24">
        <v>19</v>
      </c>
      <c r="P224" s="24">
        <v>80</v>
      </c>
      <c r="Q224" s="24">
        <v>151</v>
      </c>
      <c r="R224" s="24">
        <v>74</v>
      </c>
      <c r="S224" s="24">
        <v>174</v>
      </c>
      <c r="T224" s="24">
        <v>59</v>
      </c>
      <c r="U224" s="24">
        <v>233</v>
      </c>
      <c r="V224" s="24">
        <v>505</v>
      </c>
      <c r="W224" s="24">
        <v>48</v>
      </c>
      <c r="X224" s="24">
        <v>223</v>
      </c>
      <c r="Y224" s="24">
        <v>514.5</v>
      </c>
      <c r="Z224" s="24">
        <v>155</v>
      </c>
      <c r="AA224" s="24">
        <v>-68</v>
      </c>
    </row>
    <row r="225" spans="1:27">
      <c r="A225" s="24" t="s">
        <v>2060</v>
      </c>
      <c r="B225" s="24" t="s">
        <v>109</v>
      </c>
      <c r="C225" s="24" t="s">
        <v>2061</v>
      </c>
      <c r="D225" s="24">
        <v>114</v>
      </c>
      <c r="E225" s="24">
        <v>80</v>
      </c>
      <c r="F225" s="24">
        <v>95</v>
      </c>
      <c r="G225" s="24">
        <v>128</v>
      </c>
      <c r="H225" s="24">
        <v>96</v>
      </c>
      <c r="I225" s="24">
        <v>346</v>
      </c>
      <c r="J225" s="24">
        <v>55</v>
      </c>
      <c r="K225" s="24">
        <v>694</v>
      </c>
      <c r="L225" s="24">
        <v>60</v>
      </c>
      <c r="M225" s="24">
        <v>322</v>
      </c>
      <c r="N225" s="24">
        <v>85</v>
      </c>
      <c r="O225" s="24">
        <v>96</v>
      </c>
      <c r="P225" s="24">
        <v>74</v>
      </c>
      <c r="Q225" s="24">
        <v>326</v>
      </c>
      <c r="R225" s="24">
        <v>79</v>
      </c>
      <c r="S225" s="24">
        <v>73</v>
      </c>
      <c r="T225" s="24">
        <v>59</v>
      </c>
      <c r="U225" s="24">
        <v>233</v>
      </c>
      <c r="V225" s="24">
        <v>505</v>
      </c>
      <c r="W225" s="24">
        <v>13</v>
      </c>
      <c r="X225" s="24">
        <v>223</v>
      </c>
      <c r="Y225" s="24">
        <v>504</v>
      </c>
      <c r="Z225" s="24">
        <v>193</v>
      </c>
      <c r="AA225" s="24">
        <v>-30</v>
      </c>
    </row>
    <row r="226" spans="1:27">
      <c r="A226" s="24" t="s">
        <v>835</v>
      </c>
      <c r="B226" s="24" t="s">
        <v>117</v>
      </c>
      <c r="C226" s="24" t="s">
        <v>836</v>
      </c>
      <c r="D226" s="24">
        <v>110</v>
      </c>
      <c r="E226" s="24">
        <v>159</v>
      </c>
      <c r="F226" s="24">
        <v>69</v>
      </c>
      <c r="G226" s="24">
        <v>524</v>
      </c>
      <c r="H226" s="24">
        <v>119</v>
      </c>
      <c r="I226" s="24">
        <v>33</v>
      </c>
      <c r="J226" s="24">
        <v>75</v>
      </c>
      <c r="K226" s="24">
        <v>299</v>
      </c>
      <c r="L226" s="24">
        <v>73</v>
      </c>
      <c r="M226" s="24">
        <v>106</v>
      </c>
      <c r="N226" s="24">
        <v>59</v>
      </c>
      <c r="O226" s="24">
        <v>762</v>
      </c>
      <c r="P226" s="24">
        <v>74</v>
      </c>
      <c r="Q226" s="24">
        <v>326</v>
      </c>
      <c r="R226" s="24">
        <v>67</v>
      </c>
      <c r="S226" s="24">
        <v>471</v>
      </c>
      <c r="T226" s="24">
        <v>54</v>
      </c>
      <c r="U226" s="24">
        <v>428</v>
      </c>
      <c r="V226" s="24">
        <v>505</v>
      </c>
      <c r="W226" s="24">
        <v>7</v>
      </c>
      <c r="X226" s="24">
        <v>223</v>
      </c>
      <c r="Y226" s="24">
        <v>561</v>
      </c>
      <c r="Z226" s="24">
        <v>42</v>
      </c>
      <c r="AA226" s="24">
        <v>-181</v>
      </c>
    </row>
    <row r="227" spans="1:27">
      <c r="A227" s="24" t="s">
        <v>1197</v>
      </c>
      <c r="B227" s="24" t="s">
        <v>54</v>
      </c>
      <c r="C227" s="24" t="s">
        <v>1198</v>
      </c>
      <c r="D227" s="24">
        <v>105</v>
      </c>
      <c r="E227" s="24">
        <v>325</v>
      </c>
      <c r="F227" s="24">
        <v>77</v>
      </c>
      <c r="G227" s="24">
        <v>369</v>
      </c>
      <c r="H227" s="24">
        <v>88.5</v>
      </c>
      <c r="I227" s="24">
        <v>520</v>
      </c>
      <c r="J227" s="24">
        <v>81</v>
      </c>
      <c r="K227" s="24">
        <v>195</v>
      </c>
      <c r="L227" s="24">
        <v>66</v>
      </c>
      <c r="M227" s="24">
        <v>204</v>
      </c>
      <c r="N227" s="24">
        <v>87</v>
      </c>
      <c r="O227" s="24">
        <v>57</v>
      </c>
      <c r="P227" s="24">
        <v>66</v>
      </c>
      <c r="Q227" s="24">
        <v>604</v>
      </c>
      <c r="R227" s="24">
        <v>61</v>
      </c>
      <c r="S227" s="24">
        <v>703</v>
      </c>
      <c r="T227" s="24">
        <v>56</v>
      </c>
      <c r="U227" s="24">
        <v>352</v>
      </c>
      <c r="V227" s="24">
        <v>504.5</v>
      </c>
      <c r="W227" s="24">
        <v>8</v>
      </c>
      <c r="X227" s="24">
        <v>226</v>
      </c>
      <c r="Y227" s="24">
        <v>456</v>
      </c>
      <c r="Z227" s="24">
        <v>433</v>
      </c>
      <c r="AA227" s="24">
        <v>207</v>
      </c>
    </row>
    <row r="228" spans="1:27">
      <c r="A228" s="24" t="s">
        <v>2574</v>
      </c>
      <c r="B228" s="24" t="s">
        <v>131</v>
      </c>
      <c r="C228" s="24" t="s">
        <v>2575</v>
      </c>
      <c r="D228" s="24">
        <v>84</v>
      </c>
      <c r="E228" s="24">
        <v>891</v>
      </c>
      <c r="F228" s="24">
        <v>107</v>
      </c>
      <c r="G228" s="24">
        <v>46</v>
      </c>
      <c r="H228" s="24">
        <v>74.5</v>
      </c>
      <c r="I228" s="24">
        <v>785</v>
      </c>
      <c r="J228" s="24">
        <v>105</v>
      </c>
      <c r="K228" s="24">
        <v>7</v>
      </c>
      <c r="L228" s="24">
        <v>64</v>
      </c>
      <c r="M228" s="24">
        <v>244</v>
      </c>
      <c r="N228" s="24">
        <v>70</v>
      </c>
      <c r="O228" s="24">
        <v>485</v>
      </c>
      <c r="P228" s="24">
        <v>61</v>
      </c>
      <c r="Q228" s="24">
        <v>754</v>
      </c>
      <c r="R228" s="24">
        <v>78</v>
      </c>
      <c r="S228" s="24">
        <v>86</v>
      </c>
      <c r="T228" s="24">
        <v>52</v>
      </c>
      <c r="U228" s="24">
        <v>509</v>
      </c>
      <c r="V228" s="24">
        <v>504.5</v>
      </c>
      <c r="W228" s="24">
        <v>6</v>
      </c>
      <c r="X228" s="24">
        <v>226</v>
      </c>
      <c r="Y228" s="24">
        <v>512</v>
      </c>
      <c r="Z228" s="24">
        <v>162</v>
      </c>
      <c r="AA228" s="24">
        <v>-64</v>
      </c>
    </row>
    <row r="229" spans="1:27">
      <c r="A229" s="24" t="s">
        <v>388</v>
      </c>
      <c r="B229" s="24" t="s">
        <v>19</v>
      </c>
      <c r="C229" s="24" t="s">
        <v>126</v>
      </c>
      <c r="D229" s="24">
        <v>113</v>
      </c>
      <c r="E229" s="24">
        <v>95</v>
      </c>
      <c r="F229" s="24">
        <v>77</v>
      </c>
      <c r="G229" s="24">
        <v>369</v>
      </c>
      <c r="H229" s="24">
        <v>120.5</v>
      </c>
      <c r="I229" s="24">
        <v>25</v>
      </c>
      <c r="J229" s="24">
        <v>68</v>
      </c>
      <c r="K229" s="24">
        <v>453</v>
      </c>
      <c r="L229" s="24">
        <v>56</v>
      </c>
      <c r="M229" s="24">
        <v>433</v>
      </c>
      <c r="N229" s="24">
        <v>70</v>
      </c>
      <c r="O229" s="24">
        <v>485</v>
      </c>
      <c r="P229" s="24">
        <v>79</v>
      </c>
      <c r="Q229" s="24">
        <v>175</v>
      </c>
      <c r="R229" s="24">
        <v>71</v>
      </c>
      <c r="S229" s="24">
        <v>290</v>
      </c>
      <c r="T229" s="24">
        <v>50</v>
      </c>
      <c r="U229" s="24">
        <v>591</v>
      </c>
      <c r="V229" s="24">
        <v>504.5</v>
      </c>
      <c r="W229" s="24">
        <v>8</v>
      </c>
      <c r="X229" s="24">
        <v>226</v>
      </c>
      <c r="Y229" s="24">
        <v>498</v>
      </c>
      <c r="Z229" s="24">
        <v>221</v>
      </c>
      <c r="AA229" s="24">
        <v>-5</v>
      </c>
    </row>
    <row r="230" spans="1:27">
      <c r="A230" s="24" t="s">
        <v>2417</v>
      </c>
      <c r="B230" s="24" t="s">
        <v>7</v>
      </c>
      <c r="C230" s="24" t="s">
        <v>1773</v>
      </c>
      <c r="D230" s="24">
        <v>117</v>
      </c>
      <c r="E230" s="24">
        <v>40</v>
      </c>
      <c r="F230" s="24">
        <v>99</v>
      </c>
      <c r="G230" s="24">
        <v>93</v>
      </c>
      <c r="H230" s="24">
        <v>99.5</v>
      </c>
      <c r="I230" s="24">
        <v>269</v>
      </c>
      <c r="J230" s="24">
        <v>67</v>
      </c>
      <c r="K230" s="24">
        <v>468</v>
      </c>
      <c r="L230" s="24">
        <v>54</v>
      </c>
      <c r="M230" s="24">
        <v>494</v>
      </c>
      <c r="N230" s="24">
        <v>68</v>
      </c>
      <c r="O230" s="24">
        <v>555</v>
      </c>
      <c r="P230" s="24">
        <v>76</v>
      </c>
      <c r="Q230" s="24">
        <v>260</v>
      </c>
      <c r="R230" s="24">
        <v>68</v>
      </c>
      <c r="S230" s="24">
        <v>412</v>
      </c>
      <c r="T230" s="24">
        <v>58</v>
      </c>
      <c r="U230" s="24">
        <v>278</v>
      </c>
      <c r="V230" s="24">
        <v>504.5</v>
      </c>
      <c r="W230" s="24">
        <v>5</v>
      </c>
      <c r="X230" s="24">
        <v>226</v>
      </c>
      <c r="Y230" s="24">
        <v>485</v>
      </c>
      <c r="Z230" s="24">
        <v>286</v>
      </c>
      <c r="AA230" s="24">
        <v>60</v>
      </c>
    </row>
    <row r="231" spans="1:27">
      <c r="A231" s="24" t="s">
        <v>1367</v>
      </c>
      <c r="B231" s="24" t="s">
        <v>56</v>
      </c>
      <c r="C231" s="24" t="s">
        <v>83</v>
      </c>
      <c r="D231" s="24">
        <v>101</v>
      </c>
      <c r="E231" s="24">
        <v>481</v>
      </c>
      <c r="F231" s="24">
        <v>104</v>
      </c>
      <c r="G231" s="24">
        <v>61</v>
      </c>
      <c r="H231" s="24">
        <v>83</v>
      </c>
      <c r="I231" s="24">
        <v>643</v>
      </c>
      <c r="J231" s="24">
        <v>84</v>
      </c>
      <c r="K231" s="24">
        <v>147</v>
      </c>
      <c r="L231" s="24">
        <v>51</v>
      </c>
      <c r="M231" s="24">
        <v>571</v>
      </c>
      <c r="N231" s="24">
        <v>81</v>
      </c>
      <c r="O231" s="24">
        <v>183</v>
      </c>
      <c r="P231" s="24">
        <v>61</v>
      </c>
      <c r="Q231" s="24">
        <v>754</v>
      </c>
      <c r="R231" s="24">
        <v>60</v>
      </c>
      <c r="S231" s="24">
        <v>727</v>
      </c>
      <c r="T231" s="24">
        <v>63</v>
      </c>
      <c r="U231" s="24">
        <v>123</v>
      </c>
      <c r="V231" s="24">
        <v>504</v>
      </c>
      <c r="W231" s="24">
        <v>7</v>
      </c>
      <c r="X231" s="24">
        <v>230</v>
      </c>
      <c r="Y231" s="24">
        <v>446</v>
      </c>
      <c r="Z231" s="24">
        <v>491</v>
      </c>
      <c r="AA231" s="24">
        <v>261</v>
      </c>
    </row>
    <row r="232" spans="1:27">
      <c r="A232" s="24" t="s">
        <v>946</v>
      </c>
      <c r="B232" s="24" t="s">
        <v>60</v>
      </c>
      <c r="C232" s="24" t="s">
        <v>947</v>
      </c>
      <c r="D232" s="24">
        <v>99</v>
      </c>
      <c r="E232" s="24">
        <v>571</v>
      </c>
      <c r="F232" s="24">
        <v>80</v>
      </c>
      <c r="G232" s="24">
        <v>325</v>
      </c>
      <c r="H232" s="24">
        <v>116</v>
      </c>
      <c r="I232" s="24">
        <v>51</v>
      </c>
      <c r="J232" s="24">
        <v>64</v>
      </c>
      <c r="K232" s="24">
        <v>517</v>
      </c>
      <c r="L232" s="24">
        <v>66</v>
      </c>
      <c r="M232" s="24">
        <v>204</v>
      </c>
      <c r="N232" s="24">
        <v>79</v>
      </c>
      <c r="O232" s="24">
        <v>229</v>
      </c>
      <c r="P232" s="24">
        <v>77</v>
      </c>
      <c r="Q232" s="24">
        <v>240</v>
      </c>
      <c r="R232" s="24">
        <v>85</v>
      </c>
      <c r="S232" s="24">
        <v>11</v>
      </c>
      <c r="T232" s="24">
        <v>71</v>
      </c>
      <c r="U232" s="24">
        <v>32</v>
      </c>
      <c r="V232" s="24">
        <v>504</v>
      </c>
      <c r="W232" s="24">
        <v>8</v>
      </c>
      <c r="X232" s="24">
        <v>230</v>
      </c>
      <c r="Y232" s="24">
        <v>505</v>
      </c>
      <c r="Z232" s="24">
        <v>188</v>
      </c>
      <c r="AA232" s="24">
        <v>-42</v>
      </c>
    </row>
    <row r="233" spans="1:27">
      <c r="A233" s="24" t="s">
        <v>1056</v>
      </c>
      <c r="B233" s="24" t="s">
        <v>68</v>
      </c>
      <c r="C233" s="24" t="s">
        <v>43</v>
      </c>
      <c r="D233" s="24">
        <v>115</v>
      </c>
      <c r="E233" s="24">
        <v>65</v>
      </c>
      <c r="F233" s="24">
        <v>73</v>
      </c>
      <c r="G233" s="24">
        <v>438</v>
      </c>
      <c r="H233" s="24">
        <v>107.5</v>
      </c>
      <c r="I233" s="24">
        <v>141</v>
      </c>
      <c r="J233" s="24">
        <v>62</v>
      </c>
      <c r="K233" s="24">
        <v>564</v>
      </c>
      <c r="L233" s="24">
        <v>64</v>
      </c>
      <c r="M233" s="24">
        <v>244</v>
      </c>
      <c r="N233" s="24">
        <v>82</v>
      </c>
      <c r="O233" s="24">
        <v>166</v>
      </c>
      <c r="P233" s="24">
        <v>68</v>
      </c>
      <c r="Q233" s="24">
        <v>541</v>
      </c>
      <c r="R233" s="24">
        <v>79</v>
      </c>
      <c r="S233" s="24">
        <v>73</v>
      </c>
      <c r="T233" s="24">
        <v>56</v>
      </c>
      <c r="U233" s="24">
        <v>352</v>
      </c>
      <c r="V233" s="24">
        <v>503.5</v>
      </c>
      <c r="W233" s="24">
        <v>11</v>
      </c>
      <c r="X233" s="24">
        <v>232</v>
      </c>
      <c r="Y233" s="24">
        <v>505.5</v>
      </c>
      <c r="Z233" s="24">
        <v>186</v>
      </c>
      <c r="AA233" s="24">
        <v>-46</v>
      </c>
    </row>
    <row r="234" spans="1:27">
      <c r="A234" s="24" t="s">
        <v>1460</v>
      </c>
      <c r="B234" s="24" t="s">
        <v>56</v>
      </c>
      <c r="C234" s="24" t="s">
        <v>1461</v>
      </c>
      <c r="D234" s="24">
        <v>111</v>
      </c>
      <c r="E234" s="24">
        <v>136</v>
      </c>
      <c r="F234" s="24">
        <v>64</v>
      </c>
      <c r="G234" s="24">
        <v>627</v>
      </c>
      <c r="H234" s="24">
        <v>100</v>
      </c>
      <c r="I234" s="24">
        <v>258</v>
      </c>
      <c r="J234" s="24">
        <v>72</v>
      </c>
      <c r="K234" s="24">
        <v>358</v>
      </c>
      <c r="L234" s="24">
        <v>79</v>
      </c>
      <c r="M234" s="24">
        <v>49</v>
      </c>
      <c r="N234" s="24">
        <v>77</v>
      </c>
      <c r="O234" s="24">
        <v>275</v>
      </c>
      <c r="P234" s="24">
        <v>74</v>
      </c>
      <c r="Q234" s="24">
        <v>326</v>
      </c>
      <c r="R234" s="24">
        <v>63</v>
      </c>
      <c r="S234" s="24">
        <v>633</v>
      </c>
      <c r="T234" s="24">
        <v>56</v>
      </c>
      <c r="U234" s="24">
        <v>352</v>
      </c>
      <c r="V234" s="24">
        <v>503</v>
      </c>
      <c r="W234" s="24">
        <v>8</v>
      </c>
      <c r="X234" s="24">
        <v>233</v>
      </c>
      <c r="Y234" s="24">
        <v>519.5</v>
      </c>
      <c r="Z234" s="24">
        <v>138</v>
      </c>
      <c r="AA234" s="24">
        <v>-95</v>
      </c>
    </row>
    <row r="235" spans="1:27">
      <c r="A235" s="24" t="s">
        <v>396</v>
      </c>
      <c r="B235" s="24" t="s">
        <v>19</v>
      </c>
      <c r="C235" s="24" t="s">
        <v>397</v>
      </c>
      <c r="D235" s="24">
        <v>98</v>
      </c>
      <c r="E235" s="24">
        <v>611</v>
      </c>
      <c r="F235" s="24">
        <v>82</v>
      </c>
      <c r="G235" s="24">
        <v>290</v>
      </c>
      <c r="H235" s="24">
        <v>97</v>
      </c>
      <c r="I235" s="24">
        <v>327</v>
      </c>
      <c r="J235" s="24">
        <v>84</v>
      </c>
      <c r="K235" s="24">
        <v>147</v>
      </c>
      <c r="L235" s="24">
        <v>65</v>
      </c>
      <c r="M235" s="24">
        <v>223</v>
      </c>
      <c r="N235" s="24">
        <v>77</v>
      </c>
      <c r="O235" s="24">
        <v>275</v>
      </c>
      <c r="P235" s="24">
        <v>75</v>
      </c>
      <c r="Q235" s="24">
        <v>289</v>
      </c>
      <c r="R235" s="24">
        <v>73</v>
      </c>
      <c r="S235" s="24">
        <v>216</v>
      </c>
      <c r="T235" s="24">
        <v>58</v>
      </c>
      <c r="U235" s="24">
        <v>278</v>
      </c>
      <c r="V235" s="24">
        <v>503</v>
      </c>
      <c r="W235" s="24">
        <v>9</v>
      </c>
      <c r="X235" s="24">
        <v>233</v>
      </c>
      <c r="Y235" s="24">
        <v>511.5</v>
      </c>
      <c r="Z235" s="24">
        <v>165</v>
      </c>
      <c r="AA235" s="24">
        <v>-68</v>
      </c>
    </row>
    <row r="236" spans="1:27">
      <c r="A236" s="24" t="s">
        <v>643</v>
      </c>
      <c r="B236" s="24" t="s">
        <v>17</v>
      </c>
      <c r="C236" s="24" t="s">
        <v>644</v>
      </c>
      <c r="D236" s="24">
        <v>116</v>
      </c>
      <c r="E236" s="24">
        <v>47</v>
      </c>
      <c r="F236" s="24">
        <v>107</v>
      </c>
      <c r="G236" s="24">
        <v>46</v>
      </c>
      <c r="H236" s="24">
        <v>90</v>
      </c>
      <c r="I236" s="24">
        <v>482</v>
      </c>
      <c r="J236" s="24">
        <v>74</v>
      </c>
      <c r="K236" s="24">
        <v>317</v>
      </c>
      <c r="L236" s="24">
        <v>47</v>
      </c>
      <c r="M236" s="24">
        <v>673</v>
      </c>
      <c r="N236" s="24">
        <v>69</v>
      </c>
      <c r="O236" s="24">
        <v>523</v>
      </c>
      <c r="P236" s="24">
        <v>83</v>
      </c>
      <c r="Q236" s="24">
        <v>79</v>
      </c>
      <c r="R236" s="24">
        <v>58</v>
      </c>
      <c r="S236" s="24">
        <v>770</v>
      </c>
      <c r="T236" s="24">
        <v>53</v>
      </c>
      <c r="U236" s="24">
        <v>470</v>
      </c>
      <c r="V236" s="24">
        <v>503</v>
      </c>
      <c r="W236" s="24">
        <v>11</v>
      </c>
      <c r="X236" s="24">
        <v>233</v>
      </c>
      <c r="Y236" s="24">
        <v>483</v>
      </c>
      <c r="Z236" s="24">
        <v>293</v>
      </c>
      <c r="AA236" s="24">
        <v>60</v>
      </c>
    </row>
    <row r="237" spans="1:27">
      <c r="A237" s="24" t="s">
        <v>3322</v>
      </c>
      <c r="B237" s="24" t="s">
        <v>60</v>
      </c>
      <c r="C237" s="24" t="s">
        <v>179</v>
      </c>
      <c r="D237" s="24">
        <v>102</v>
      </c>
      <c r="E237" s="24">
        <v>442</v>
      </c>
      <c r="F237" s="24">
        <v>78</v>
      </c>
      <c r="G237" s="24">
        <v>353</v>
      </c>
      <c r="H237" s="24">
        <v>96.5</v>
      </c>
      <c r="I237" s="24">
        <v>337</v>
      </c>
      <c r="J237" s="24">
        <v>82</v>
      </c>
      <c r="K237" s="24">
        <v>174</v>
      </c>
      <c r="L237" s="24">
        <v>66</v>
      </c>
      <c r="M237" s="24">
        <v>204</v>
      </c>
      <c r="N237" s="24">
        <v>78</v>
      </c>
      <c r="O237" s="24">
        <v>250</v>
      </c>
      <c r="P237" s="24">
        <v>76</v>
      </c>
      <c r="Q237" s="24">
        <v>260</v>
      </c>
      <c r="R237" s="24">
        <v>73</v>
      </c>
      <c r="S237" s="24">
        <v>216</v>
      </c>
      <c r="T237" s="24">
        <v>58</v>
      </c>
      <c r="U237" s="24">
        <v>278</v>
      </c>
      <c r="V237" s="24">
        <v>502.5</v>
      </c>
      <c r="W237" s="24">
        <v>9</v>
      </c>
      <c r="X237" s="24">
        <v>236</v>
      </c>
      <c r="Y237" s="24">
        <v>500</v>
      </c>
      <c r="Z237" s="24">
        <v>211</v>
      </c>
      <c r="AA237" s="24">
        <v>-25</v>
      </c>
    </row>
    <row r="238" spans="1:27">
      <c r="A238" s="24" t="s">
        <v>413</v>
      </c>
      <c r="B238" s="24" t="s">
        <v>19</v>
      </c>
      <c r="C238" s="24" t="s">
        <v>1705</v>
      </c>
      <c r="D238" s="24">
        <v>111</v>
      </c>
      <c r="E238" s="24">
        <v>136</v>
      </c>
      <c r="F238" s="24">
        <v>81</v>
      </c>
      <c r="G238" s="24">
        <v>309</v>
      </c>
      <c r="H238" s="24">
        <v>90.5</v>
      </c>
      <c r="I238" s="24">
        <v>471</v>
      </c>
      <c r="J238" s="24">
        <v>81</v>
      </c>
      <c r="K238" s="24">
        <v>195</v>
      </c>
      <c r="L238" s="24">
        <v>71</v>
      </c>
      <c r="M238" s="24">
        <v>123</v>
      </c>
      <c r="N238" s="24">
        <v>68</v>
      </c>
      <c r="O238" s="24">
        <v>555</v>
      </c>
      <c r="P238" s="24">
        <v>61</v>
      </c>
      <c r="Q238" s="24">
        <v>754</v>
      </c>
      <c r="R238" s="24">
        <v>65</v>
      </c>
      <c r="S238" s="24">
        <v>548</v>
      </c>
      <c r="T238" s="24">
        <v>52</v>
      </c>
      <c r="U238" s="24">
        <v>509</v>
      </c>
      <c r="V238" s="24">
        <v>502.5</v>
      </c>
      <c r="W238" s="24">
        <v>10</v>
      </c>
      <c r="X238" s="24">
        <v>236</v>
      </c>
      <c r="Y238" s="24">
        <v>509.5</v>
      </c>
      <c r="Z238" s="24">
        <v>170</v>
      </c>
      <c r="AA238" s="24">
        <v>-66</v>
      </c>
    </row>
    <row r="239" spans="1:27">
      <c r="A239" s="24" t="s">
        <v>1463</v>
      </c>
      <c r="B239" s="24" t="s">
        <v>56</v>
      </c>
      <c r="C239" s="24" t="s">
        <v>1464</v>
      </c>
      <c r="D239" s="24">
        <v>105</v>
      </c>
      <c r="E239" s="24">
        <v>325</v>
      </c>
      <c r="F239" s="24">
        <v>47</v>
      </c>
      <c r="G239" s="24">
        <v>857</v>
      </c>
      <c r="H239" s="24">
        <v>127</v>
      </c>
      <c r="I239" s="24">
        <v>7</v>
      </c>
      <c r="J239" s="24">
        <v>70</v>
      </c>
      <c r="K239" s="24">
        <v>400</v>
      </c>
      <c r="L239" s="24">
        <v>75</v>
      </c>
      <c r="M239" s="24">
        <v>83</v>
      </c>
      <c r="N239" s="24">
        <v>78</v>
      </c>
      <c r="O239" s="24">
        <v>250</v>
      </c>
      <c r="P239" s="24">
        <v>66</v>
      </c>
      <c r="Q239" s="24">
        <v>604</v>
      </c>
      <c r="R239" s="24">
        <v>82</v>
      </c>
      <c r="S239" s="24">
        <v>31</v>
      </c>
      <c r="T239" s="24">
        <v>78</v>
      </c>
      <c r="U239" s="24">
        <v>5</v>
      </c>
      <c r="V239" s="24">
        <v>502</v>
      </c>
      <c r="W239" s="24">
        <v>9</v>
      </c>
      <c r="X239" s="24">
        <v>238</v>
      </c>
      <c r="Y239" s="24">
        <v>495.5</v>
      </c>
      <c r="Z239" s="24">
        <v>231</v>
      </c>
      <c r="AA239" s="24">
        <v>-7</v>
      </c>
    </row>
    <row r="240" spans="1:27">
      <c r="A240" s="24" t="s">
        <v>1431</v>
      </c>
      <c r="B240" s="24" t="s">
        <v>56</v>
      </c>
      <c r="C240" s="24" t="s">
        <v>1432</v>
      </c>
      <c r="D240" s="24">
        <v>106</v>
      </c>
      <c r="E240" s="24">
        <v>287</v>
      </c>
      <c r="F240" s="24">
        <v>86</v>
      </c>
      <c r="G240" s="24">
        <v>233</v>
      </c>
      <c r="H240" s="24">
        <v>106.5</v>
      </c>
      <c r="I240" s="24">
        <v>156</v>
      </c>
      <c r="J240" s="24">
        <v>71</v>
      </c>
      <c r="K240" s="24">
        <v>378</v>
      </c>
      <c r="L240" s="24">
        <v>59</v>
      </c>
      <c r="M240" s="24">
        <v>348</v>
      </c>
      <c r="N240" s="24">
        <v>73</v>
      </c>
      <c r="O240" s="24">
        <v>393</v>
      </c>
      <c r="P240" s="24">
        <v>73</v>
      </c>
      <c r="Q240" s="24">
        <v>359</v>
      </c>
      <c r="R240" s="24">
        <v>72</v>
      </c>
      <c r="S240" s="24">
        <v>256</v>
      </c>
      <c r="T240" s="24">
        <v>48</v>
      </c>
      <c r="U240" s="24">
        <v>671</v>
      </c>
      <c r="V240" s="24">
        <v>501.5</v>
      </c>
      <c r="W240" s="24">
        <v>10</v>
      </c>
      <c r="X240" s="24">
        <v>239</v>
      </c>
      <c r="Y240" s="24">
        <v>474.5</v>
      </c>
      <c r="Z240" s="24">
        <v>331</v>
      </c>
      <c r="AA240" s="24">
        <v>92</v>
      </c>
    </row>
    <row r="241" spans="1:27">
      <c r="A241" s="24" t="s">
        <v>1259</v>
      </c>
      <c r="B241" s="24" t="s">
        <v>54</v>
      </c>
      <c r="C241" s="24" t="s">
        <v>1260</v>
      </c>
      <c r="D241" s="24">
        <v>107</v>
      </c>
      <c r="E241" s="24">
        <v>242</v>
      </c>
      <c r="F241" s="24">
        <v>106</v>
      </c>
      <c r="G241" s="24">
        <v>54</v>
      </c>
      <c r="H241" s="24">
        <v>75.5</v>
      </c>
      <c r="I241" s="24">
        <v>764</v>
      </c>
      <c r="J241" s="24">
        <v>95</v>
      </c>
      <c r="K241" s="24">
        <v>50</v>
      </c>
      <c r="L241" s="24">
        <v>46</v>
      </c>
      <c r="M241" s="24">
        <v>702</v>
      </c>
      <c r="N241" s="24">
        <v>72</v>
      </c>
      <c r="O241" s="24">
        <v>433</v>
      </c>
      <c r="P241" s="24">
        <v>59</v>
      </c>
      <c r="Q241" s="24">
        <v>799</v>
      </c>
      <c r="R241" s="24">
        <v>70</v>
      </c>
      <c r="S241" s="24">
        <v>327</v>
      </c>
      <c r="T241" s="24">
        <v>51</v>
      </c>
      <c r="U241" s="24">
        <v>555</v>
      </c>
      <c r="V241" s="24">
        <v>501.5</v>
      </c>
      <c r="W241" s="24">
        <v>9</v>
      </c>
      <c r="X241" s="24">
        <v>239</v>
      </c>
      <c r="Y241" s="24">
        <v>474</v>
      </c>
      <c r="Z241" s="24">
        <v>335</v>
      </c>
      <c r="AA241" s="24">
        <v>96</v>
      </c>
    </row>
    <row r="242" spans="1:27">
      <c r="A242" s="24" t="s">
        <v>3311</v>
      </c>
      <c r="B242" s="24" t="s">
        <v>28</v>
      </c>
      <c r="C242" s="24" t="s">
        <v>128</v>
      </c>
      <c r="D242" s="24">
        <v>103</v>
      </c>
      <c r="E242" s="24">
        <v>400</v>
      </c>
      <c r="F242" s="24">
        <v>88</v>
      </c>
      <c r="G242" s="24">
        <v>206</v>
      </c>
      <c r="H242" s="24">
        <v>112</v>
      </c>
      <c r="I242" s="24">
        <v>88</v>
      </c>
      <c r="J242" s="24">
        <v>64</v>
      </c>
      <c r="K242" s="24">
        <v>517</v>
      </c>
      <c r="L242" s="24">
        <v>56</v>
      </c>
      <c r="M242" s="24">
        <v>433</v>
      </c>
      <c r="N242" s="24">
        <v>78</v>
      </c>
      <c r="O242" s="24">
        <v>250</v>
      </c>
      <c r="P242" s="24">
        <v>70</v>
      </c>
      <c r="Q242" s="24">
        <v>473</v>
      </c>
      <c r="R242" s="24">
        <v>64</v>
      </c>
      <c r="S242" s="24">
        <v>586</v>
      </c>
      <c r="T242" s="24">
        <v>59</v>
      </c>
      <c r="U242" s="24">
        <v>233</v>
      </c>
      <c r="V242" s="24">
        <v>501</v>
      </c>
      <c r="W242" s="24">
        <v>10</v>
      </c>
      <c r="X242" s="24">
        <v>241</v>
      </c>
      <c r="Y242" s="24">
        <v>509.5</v>
      </c>
      <c r="Z242" s="24">
        <v>170</v>
      </c>
      <c r="AA242" s="24">
        <v>-71</v>
      </c>
    </row>
    <row r="243" spans="1:27">
      <c r="A243" s="24" t="s">
        <v>232</v>
      </c>
      <c r="B243" s="24" t="s">
        <v>28</v>
      </c>
      <c r="C243" s="24" t="s">
        <v>233</v>
      </c>
      <c r="D243" s="24">
        <v>107</v>
      </c>
      <c r="E243" s="24">
        <v>242</v>
      </c>
      <c r="F243" s="24">
        <v>84</v>
      </c>
      <c r="G243" s="24">
        <v>251</v>
      </c>
      <c r="H243" s="24">
        <v>94</v>
      </c>
      <c r="I243" s="24">
        <v>382</v>
      </c>
      <c r="J243" s="24">
        <v>92</v>
      </c>
      <c r="K243" s="24">
        <v>74</v>
      </c>
      <c r="L243" s="24">
        <v>56</v>
      </c>
      <c r="M243" s="24">
        <v>433</v>
      </c>
      <c r="N243" s="24">
        <v>68</v>
      </c>
      <c r="O243" s="24">
        <v>555</v>
      </c>
      <c r="P243" s="24">
        <v>58</v>
      </c>
      <c r="Q243" s="24">
        <v>820</v>
      </c>
      <c r="R243" s="24">
        <v>62</v>
      </c>
      <c r="S243" s="24">
        <v>672</v>
      </c>
      <c r="T243" s="24">
        <v>48</v>
      </c>
      <c r="U243" s="24">
        <v>671</v>
      </c>
      <c r="V243" s="24">
        <v>501</v>
      </c>
      <c r="W243" s="24">
        <v>10</v>
      </c>
      <c r="X243" s="24">
        <v>241</v>
      </c>
      <c r="Y243" s="24">
        <v>434.5</v>
      </c>
      <c r="Z243" s="24">
        <v>547</v>
      </c>
      <c r="AA243" s="24">
        <v>306</v>
      </c>
    </row>
    <row r="244" spans="1:27">
      <c r="A244" s="24" t="s">
        <v>2054</v>
      </c>
      <c r="B244" s="24" t="s">
        <v>109</v>
      </c>
      <c r="C244" s="24" t="s">
        <v>2055</v>
      </c>
      <c r="D244" s="24">
        <v>105</v>
      </c>
      <c r="E244" s="24">
        <v>325</v>
      </c>
      <c r="F244" s="24">
        <v>94</v>
      </c>
      <c r="G244" s="24">
        <v>141</v>
      </c>
      <c r="H244" s="24">
        <v>111</v>
      </c>
      <c r="I244" s="24">
        <v>95</v>
      </c>
      <c r="J244" s="24">
        <v>63</v>
      </c>
      <c r="K244" s="24">
        <v>540</v>
      </c>
      <c r="L244" s="24">
        <v>61</v>
      </c>
      <c r="M244" s="24">
        <v>300</v>
      </c>
      <c r="N244" s="24">
        <v>67</v>
      </c>
      <c r="O244" s="24">
        <v>587</v>
      </c>
      <c r="P244" s="24">
        <v>81</v>
      </c>
      <c r="Q244" s="24">
        <v>124</v>
      </c>
      <c r="R244" s="24">
        <v>65</v>
      </c>
      <c r="S244" s="24">
        <v>548</v>
      </c>
      <c r="T244" s="24">
        <v>54</v>
      </c>
      <c r="U244" s="24">
        <v>428</v>
      </c>
      <c r="V244" s="24">
        <v>501</v>
      </c>
      <c r="W244" s="24">
        <v>14</v>
      </c>
      <c r="X244" s="24">
        <v>241</v>
      </c>
      <c r="Y244" s="24">
        <v>473</v>
      </c>
      <c r="Z244" s="24">
        <v>346</v>
      </c>
      <c r="AA244" s="24">
        <v>105</v>
      </c>
    </row>
    <row r="245" spans="1:27">
      <c r="A245" s="24" t="s">
        <v>2495</v>
      </c>
      <c r="B245" s="24" t="s">
        <v>131</v>
      </c>
      <c r="C245" s="24" t="s">
        <v>2496</v>
      </c>
      <c r="D245" s="24">
        <v>86</v>
      </c>
      <c r="E245" s="24">
        <v>867</v>
      </c>
      <c r="F245" s="24">
        <v>82</v>
      </c>
      <c r="G245" s="24">
        <v>290</v>
      </c>
      <c r="H245" s="24">
        <v>102.5</v>
      </c>
      <c r="I245" s="24">
        <v>210</v>
      </c>
      <c r="J245" s="24">
        <v>87</v>
      </c>
      <c r="K245" s="24">
        <v>114</v>
      </c>
      <c r="L245" s="24">
        <v>71</v>
      </c>
      <c r="M245" s="24">
        <v>123</v>
      </c>
      <c r="N245" s="24">
        <v>72</v>
      </c>
      <c r="O245" s="24">
        <v>433</v>
      </c>
      <c r="P245" s="24">
        <v>66</v>
      </c>
      <c r="Q245" s="24">
        <v>604</v>
      </c>
      <c r="R245" s="24">
        <v>63</v>
      </c>
      <c r="S245" s="24">
        <v>633</v>
      </c>
      <c r="T245" s="24">
        <v>61</v>
      </c>
      <c r="U245" s="24">
        <v>172</v>
      </c>
      <c r="V245" s="24">
        <v>500.5</v>
      </c>
      <c r="W245" s="24">
        <v>7</v>
      </c>
      <c r="X245" s="24">
        <v>244</v>
      </c>
      <c r="Y245" s="24">
        <v>487</v>
      </c>
      <c r="Z245" s="24">
        <v>275</v>
      </c>
      <c r="AA245" s="24">
        <v>31</v>
      </c>
    </row>
    <row r="246" spans="1:27">
      <c r="A246" s="24" t="s">
        <v>766</v>
      </c>
      <c r="B246" s="24" t="s">
        <v>117</v>
      </c>
      <c r="C246" s="24" t="s">
        <v>767</v>
      </c>
      <c r="D246" s="24">
        <v>109</v>
      </c>
      <c r="E246" s="24">
        <v>185</v>
      </c>
      <c r="F246" s="24">
        <v>97</v>
      </c>
      <c r="G246" s="24">
        <v>112</v>
      </c>
      <c r="H246" s="24">
        <v>101.5</v>
      </c>
      <c r="I246" s="24">
        <v>225</v>
      </c>
      <c r="J246" s="24">
        <v>76</v>
      </c>
      <c r="K246" s="24">
        <v>287</v>
      </c>
      <c r="L246" s="24">
        <v>58</v>
      </c>
      <c r="M246" s="24">
        <v>377</v>
      </c>
      <c r="N246" s="24">
        <v>59</v>
      </c>
      <c r="O246" s="24">
        <v>762</v>
      </c>
      <c r="P246" s="24">
        <v>75</v>
      </c>
      <c r="Q246" s="24">
        <v>289</v>
      </c>
      <c r="R246" s="24">
        <v>59</v>
      </c>
      <c r="S246" s="24">
        <v>746</v>
      </c>
      <c r="T246" s="24">
        <v>52</v>
      </c>
      <c r="U246" s="24">
        <v>509</v>
      </c>
      <c r="V246" s="24">
        <v>500.5</v>
      </c>
      <c r="W246" s="24">
        <v>8</v>
      </c>
      <c r="X246" s="24">
        <v>244</v>
      </c>
      <c r="Y246" s="24">
        <v>477.5</v>
      </c>
      <c r="Z246" s="24">
        <v>317</v>
      </c>
      <c r="AA246" s="24">
        <v>73</v>
      </c>
    </row>
    <row r="247" spans="1:27">
      <c r="A247" s="24" t="s">
        <v>2317</v>
      </c>
      <c r="B247" s="24" t="s">
        <v>7</v>
      </c>
      <c r="C247" s="24" t="s">
        <v>2321</v>
      </c>
      <c r="D247" s="24">
        <v>111</v>
      </c>
      <c r="E247" s="24">
        <v>136</v>
      </c>
      <c r="F247" s="24">
        <v>85</v>
      </c>
      <c r="G247" s="24">
        <v>244</v>
      </c>
      <c r="H247" s="24">
        <v>86</v>
      </c>
      <c r="I247" s="24">
        <v>581</v>
      </c>
      <c r="J247" s="24">
        <v>67</v>
      </c>
      <c r="K247" s="24">
        <v>468</v>
      </c>
      <c r="L247" s="24">
        <v>70</v>
      </c>
      <c r="M247" s="24">
        <v>136</v>
      </c>
      <c r="N247" s="24">
        <v>81</v>
      </c>
      <c r="O247" s="24">
        <v>183</v>
      </c>
      <c r="P247" s="24">
        <v>80</v>
      </c>
      <c r="Q247" s="24">
        <v>151</v>
      </c>
      <c r="R247" s="24">
        <v>83</v>
      </c>
      <c r="S247" s="24">
        <v>22</v>
      </c>
      <c r="T247" s="24">
        <v>61</v>
      </c>
      <c r="U247" s="24">
        <v>172</v>
      </c>
      <c r="V247" s="24">
        <v>500</v>
      </c>
      <c r="W247" s="24">
        <v>6</v>
      </c>
      <c r="X247" s="24">
        <v>246</v>
      </c>
      <c r="Y247" s="24">
        <v>468.5</v>
      </c>
      <c r="Z247" s="24">
        <v>377</v>
      </c>
      <c r="AA247" s="24">
        <v>131</v>
      </c>
    </row>
    <row r="248" spans="1:27">
      <c r="A248" s="24" t="s">
        <v>2438</v>
      </c>
      <c r="B248" s="24" t="s">
        <v>131</v>
      </c>
      <c r="C248" s="24" t="s">
        <v>2439</v>
      </c>
      <c r="D248" s="24">
        <v>107</v>
      </c>
      <c r="E248" s="24">
        <v>242</v>
      </c>
      <c r="F248" s="24">
        <v>90</v>
      </c>
      <c r="G248" s="24">
        <v>183</v>
      </c>
      <c r="H248" s="24">
        <v>77</v>
      </c>
      <c r="I248" s="24">
        <v>741</v>
      </c>
      <c r="J248" s="24">
        <v>90</v>
      </c>
      <c r="K248" s="24">
        <v>90</v>
      </c>
      <c r="L248" s="24">
        <v>55</v>
      </c>
      <c r="M248" s="24">
        <v>470</v>
      </c>
      <c r="N248" s="24">
        <v>81</v>
      </c>
      <c r="O248" s="24">
        <v>183</v>
      </c>
      <c r="P248" s="24">
        <v>70</v>
      </c>
      <c r="Q248" s="24">
        <v>473</v>
      </c>
      <c r="R248" s="24">
        <v>68</v>
      </c>
      <c r="S248" s="24">
        <v>412</v>
      </c>
      <c r="T248" s="24">
        <v>66</v>
      </c>
      <c r="U248" s="24">
        <v>80</v>
      </c>
      <c r="V248" s="24">
        <v>500</v>
      </c>
      <c r="W248" s="24">
        <v>8</v>
      </c>
      <c r="X248" s="24">
        <v>246</v>
      </c>
      <c r="Y248" s="24">
        <v>508.5</v>
      </c>
      <c r="Z248" s="24">
        <v>173</v>
      </c>
      <c r="AA248" s="24">
        <v>-73</v>
      </c>
    </row>
    <row r="249" spans="1:27">
      <c r="A249" s="24" t="s">
        <v>981</v>
      </c>
      <c r="B249" s="24" t="s">
        <v>60</v>
      </c>
      <c r="C249" s="24" t="s">
        <v>982</v>
      </c>
      <c r="D249" s="24">
        <v>90</v>
      </c>
      <c r="E249" s="24">
        <v>815</v>
      </c>
      <c r="F249" s="24">
        <v>98</v>
      </c>
      <c r="G249" s="24">
        <v>103</v>
      </c>
      <c r="H249" s="24">
        <v>68</v>
      </c>
      <c r="I249" s="24">
        <v>863</v>
      </c>
      <c r="J249" s="24">
        <v>95</v>
      </c>
      <c r="K249" s="24">
        <v>50</v>
      </c>
      <c r="L249" s="24">
        <v>71</v>
      </c>
      <c r="M249" s="24">
        <v>123</v>
      </c>
      <c r="N249" s="24">
        <v>78</v>
      </c>
      <c r="O249" s="24">
        <v>250</v>
      </c>
      <c r="P249" s="24">
        <v>66</v>
      </c>
      <c r="Q249" s="24">
        <v>604</v>
      </c>
      <c r="R249" s="24">
        <v>81</v>
      </c>
      <c r="S249" s="24">
        <v>42</v>
      </c>
      <c r="T249" s="24">
        <v>56</v>
      </c>
      <c r="U249" s="24">
        <v>352</v>
      </c>
      <c r="V249" s="24">
        <v>500</v>
      </c>
      <c r="W249" s="24">
        <v>10</v>
      </c>
      <c r="X249" s="24">
        <v>246</v>
      </c>
      <c r="Y249" s="24">
        <v>455.5</v>
      </c>
      <c r="Z249" s="24">
        <v>436</v>
      </c>
      <c r="AA249" s="24">
        <v>190</v>
      </c>
    </row>
    <row r="250" spans="1:27">
      <c r="A250" s="24" t="s">
        <v>461</v>
      </c>
      <c r="B250" s="24" t="s">
        <v>19</v>
      </c>
      <c r="C250" s="24" t="s">
        <v>465</v>
      </c>
      <c r="D250" s="24">
        <v>102</v>
      </c>
      <c r="E250" s="24">
        <v>442</v>
      </c>
      <c r="F250" s="24">
        <v>84</v>
      </c>
      <c r="G250" s="24">
        <v>251</v>
      </c>
      <c r="H250" s="24">
        <v>95</v>
      </c>
      <c r="I250" s="24">
        <v>364</v>
      </c>
      <c r="J250" s="24">
        <v>83</v>
      </c>
      <c r="K250" s="24">
        <v>163</v>
      </c>
      <c r="L250" s="24">
        <v>60</v>
      </c>
      <c r="M250" s="24">
        <v>322</v>
      </c>
      <c r="N250" s="24">
        <v>76</v>
      </c>
      <c r="O250" s="24">
        <v>308</v>
      </c>
      <c r="P250" s="24">
        <v>61</v>
      </c>
      <c r="Q250" s="24">
        <v>754</v>
      </c>
      <c r="R250" s="24">
        <v>65</v>
      </c>
      <c r="S250" s="24">
        <v>548</v>
      </c>
      <c r="T250" s="24">
        <v>63</v>
      </c>
      <c r="U250" s="24">
        <v>123</v>
      </c>
      <c r="V250" s="24">
        <v>500</v>
      </c>
      <c r="W250" s="24">
        <v>11</v>
      </c>
      <c r="X250" s="24">
        <v>246</v>
      </c>
      <c r="Y250" s="24">
        <v>475</v>
      </c>
      <c r="Z250" s="24">
        <v>326</v>
      </c>
      <c r="AA250" s="24">
        <v>80</v>
      </c>
    </row>
    <row r="251" spans="1:27">
      <c r="A251" s="24" t="s">
        <v>544</v>
      </c>
      <c r="B251" s="24" t="s">
        <v>17</v>
      </c>
      <c r="C251" s="24" t="s">
        <v>168</v>
      </c>
      <c r="D251" s="24">
        <v>118</v>
      </c>
      <c r="E251" s="24">
        <v>33</v>
      </c>
      <c r="F251" s="24">
        <v>65</v>
      </c>
      <c r="G251" s="24">
        <v>604</v>
      </c>
      <c r="H251" s="24">
        <v>116.5</v>
      </c>
      <c r="I251" s="24">
        <v>46</v>
      </c>
      <c r="J251" s="24">
        <v>62</v>
      </c>
      <c r="K251" s="24">
        <v>564</v>
      </c>
      <c r="L251" s="24">
        <v>62</v>
      </c>
      <c r="M251" s="24">
        <v>277</v>
      </c>
      <c r="N251" s="24">
        <v>76</v>
      </c>
      <c r="O251" s="24">
        <v>308</v>
      </c>
      <c r="P251" s="24">
        <v>81</v>
      </c>
      <c r="Q251" s="24">
        <v>124</v>
      </c>
      <c r="R251" s="24">
        <v>76</v>
      </c>
      <c r="S251" s="24">
        <v>125</v>
      </c>
      <c r="T251" s="24">
        <v>47</v>
      </c>
      <c r="U251" s="24">
        <v>719</v>
      </c>
      <c r="V251" s="24">
        <v>499.5</v>
      </c>
      <c r="W251" s="24">
        <v>12</v>
      </c>
      <c r="X251" s="24">
        <v>250</v>
      </c>
      <c r="Y251" s="24">
        <v>520</v>
      </c>
      <c r="Z251" s="24">
        <v>136</v>
      </c>
      <c r="AA251" s="24">
        <v>-114</v>
      </c>
    </row>
    <row r="252" spans="1:27">
      <c r="A252" s="24" t="s">
        <v>850</v>
      </c>
      <c r="B252" s="24" t="s">
        <v>117</v>
      </c>
      <c r="C252" s="24" t="s">
        <v>851</v>
      </c>
      <c r="D252" s="24">
        <v>116</v>
      </c>
      <c r="E252" s="24">
        <v>47</v>
      </c>
      <c r="F252" s="24">
        <v>80</v>
      </c>
      <c r="G252" s="24">
        <v>325</v>
      </c>
      <c r="H252" s="24">
        <v>96</v>
      </c>
      <c r="I252" s="24">
        <v>346</v>
      </c>
      <c r="J252" s="24">
        <v>65</v>
      </c>
      <c r="K252" s="24">
        <v>501</v>
      </c>
      <c r="L252" s="24">
        <v>60</v>
      </c>
      <c r="M252" s="24">
        <v>322</v>
      </c>
      <c r="N252" s="24">
        <v>82</v>
      </c>
      <c r="O252" s="24">
        <v>166</v>
      </c>
      <c r="P252" s="24">
        <v>84</v>
      </c>
      <c r="Q252" s="24">
        <v>59</v>
      </c>
      <c r="R252" s="24">
        <v>75</v>
      </c>
      <c r="S252" s="24">
        <v>146</v>
      </c>
      <c r="T252" s="24">
        <v>45</v>
      </c>
      <c r="U252" s="24">
        <v>781</v>
      </c>
      <c r="V252" s="24">
        <v>499</v>
      </c>
      <c r="W252" s="24">
        <v>9</v>
      </c>
      <c r="X252" s="24">
        <v>251</v>
      </c>
      <c r="Y252" s="24">
        <v>494.5</v>
      </c>
      <c r="Z252" s="24">
        <v>237</v>
      </c>
      <c r="AA252" s="24">
        <v>-14</v>
      </c>
    </row>
    <row r="253" spans="1:27">
      <c r="A253" s="24" t="s">
        <v>1916</v>
      </c>
      <c r="B253" s="24" t="s">
        <v>34</v>
      </c>
      <c r="C253" s="24" t="s">
        <v>1917</v>
      </c>
      <c r="D253" s="24">
        <v>100</v>
      </c>
      <c r="E253" s="24">
        <v>528</v>
      </c>
      <c r="F253" s="24">
        <v>102</v>
      </c>
      <c r="G253" s="24">
        <v>72</v>
      </c>
      <c r="H253" s="24">
        <v>93</v>
      </c>
      <c r="I253" s="24">
        <v>405</v>
      </c>
      <c r="J253" s="24">
        <v>59</v>
      </c>
      <c r="K253" s="24">
        <v>626</v>
      </c>
      <c r="L253" s="24">
        <v>71</v>
      </c>
      <c r="M253" s="24">
        <v>123</v>
      </c>
      <c r="N253" s="24">
        <v>74</v>
      </c>
      <c r="O253" s="24">
        <v>366</v>
      </c>
      <c r="P253" s="24">
        <v>62</v>
      </c>
      <c r="Q253" s="24">
        <v>729</v>
      </c>
      <c r="R253" s="24">
        <v>65</v>
      </c>
      <c r="S253" s="24">
        <v>548</v>
      </c>
      <c r="T253" s="24">
        <v>43</v>
      </c>
      <c r="U253" s="24">
        <v>824</v>
      </c>
      <c r="V253" s="24">
        <v>499</v>
      </c>
      <c r="W253" s="24">
        <v>10</v>
      </c>
      <c r="X253" s="24">
        <v>251</v>
      </c>
      <c r="Y253" s="24">
        <v>523.5</v>
      </c>
      <c r="Z253" s="24">
        <v>126</v>
      </c>
      <c r="AA253" s="24">
        <v>-125</v>
      </c>
    </row>
    <row r="254" spans="1:27">
      <c r="A254" s="24" t="s">
        <v>2480</v>
      </c>
      <c r="B254" s="24" t="s">
        <v>131</v>
      </c>
      <c r="C254" s="24" t="s">
        <v>2481</v>
      </c>
      <c r="D254" s="24">
        <v>103</v>
      </c>
      <c r="E254" s="24">
        <v>400</v>
      </c>
      <c r="F254" s="24">
        <v>90</v>
      </c>
      <c r="G254" s="24">
        <v>183</v>
      </c>
      <c r="H254" s="24">
        <v>97.5</v>
      </c>
      <c r="I254" s="24">
        <v>310</v>
      </c>
      <c r="J254" s="24">
        <v>77</v>
      </c>
      <c r="K254" s="24">
        <v>274</v>
      </c>
      <c r="L254" s="24">
        <v>53</v>
      </c>
      <c r="M254" s="24">
        <v>526</v>
      </c>
      <c r="N254" s="24">
        <v>78</v>
      </c>
      <c r="O254" s="24">
        <v>250</v>
      </c>
      <c r="P254" s="24">
        <v>72</v>
      </c>
      <c r="Q254" s="24">
        <v>396</v>
      </c>
      <c r="R254" s="24">
        <v>76</v>
      </c>
      <c r="S254" s="24">
        <v>125</v>
      </c>
      <c r="T254" s="24">
        <v>60</v>
      </c>
      <c r="U254" s="24">
        <v>203</v>
      </c>
      <c r="V254" s="24">
        <v>498.5</v>
      </c>
      <c r="W254" s="24">
        <v>9</v>
      </c>
      <c r="X254" s="24">
        <v>253</v>
      </c>
      <c r="Y254" s="24">
        <v>484</v>
      </c>
      <c r="Z254" s="24">
        <v>289</v>
      </c>
      <c r="AA254" s="24">
        <v>36</v>
      </c>
    </row>
    <row r="255" spans="1:27">
      <c r="A255" s="24" t="s">
        <v>675</v>
      </c>
      <c r="B255" s="24" t="s">
        <v>17</v>
      </c>
      <c r="C255" s="24" t="s">
        <v>676</v>
      </c>
      <c r="D255" s="24">
        <v>91</v>
      </c>
      <c r="E255" s="24">
        <v>799</v>
      </c>
      <c r="F255" s="24">
        <v>77</v>
      </c>
      <c r="G255" s="24">
        <v>369</v>
      </c>
      <c r="H255" s="24">
        <v>114.5</v>
      </c>
      <c r="I255" s="24">
        <v>61</v>
      </c>
      <c r="J255" s="24">
        <v>76</v>
      </c>
      <c r="K255" s="24">
        <v>287</v>
      </c>
      <c r="L255" s="24">
        <v>64</v>
      </c>
      <c r="M255" s="24">
        <v>244</v>
      </c>
      <c r="N255" s="24">
        <v>76</v>
      </c>
      <c r="O255" s="24">
        <v>308</v>
      </c>
      <c r="P255" s="24">
        <v>70</v>
      </c>
      <c r="Q255" s="24">
        <v>473</v>
      </c>
      <c r="R255" s="24">
        <v>68</v>
      </c>
      <c r="S255" s="24">
        <v>412</v>
      </c>
      <c r="T255" s="24">
        <v>49</v>
      </c>
      <c r="U255" s="24">
        <v>633</v>
      </c>
      <c r="V255" s="24">
        <v>498.5</v>
      </c>
      <c r="W255" s="24">
        <v>13</v>
      </c>
      <c r="X255" s="24">
        <v>253</v>
      </c>
      <c r="Y255" s="24">
        <v>459.5</v>
      </c>
      <c r="Z255" s="24">
        <v>418</v>
      </c>
      <c r="AA255" s="24">
        <v>165</v>
      </c>
    </row>
    <row r="256" spans="1:27">
      <c r="A256" s="24" t="s">
        <v>1996</v>
      </c>
      <c r="B256" s="24" t="s">
        <v>109</v>
      </c>
      <c r="C256" s="24" t="s">
        <v>1562</v>
      </c>
      <c r="D256" s="24">
        <v>104</v>
      </c>
      <c r="E256" s="24">
        <v>357</v>
      </c>
      <c r="F256" s="24">
        <v>72</v>
      </c>
      <c r="G256" s="24">
        <v>458</v>
      </c>
      <c r="H256" s="24">
        <v>100.5</v>
      </c>
      <c r="I256" s="24">
        <v>247</v>
      </c>
      <c r="J256" s="24">
        <v>78</v>
      </c>
      <c r="K256" s="24">
        <v>250</v>
      </c>
      <c r="L256" s="24">
        <v>69</v>
      </c>
      <c r="M256" s="24">
        <v>152</v>
      </c>
      <c r="N256" s="24">
        <v>75</v>
      </c>
      <c r="O256" s="24">
        <v>342</v>
      </c>
      <c r="P256" s="24">
        <v>64</v>
      </c>
      <c r="Q256" s="24">
        <v>680</v>
      </c>
      <c r="R256" s="24">
        <v>69</v>
      </c>
      <c r="S256" s="24">
        <v>367</v>
      </c>
      <c r="T256" s="24">
        <v>56</v>
      </c>
      <c r="U256" s="24">
        <v>352</v>
      </c>
      <c r="V256" s="24">
        <v>498.5</v>
      </c>
      <c r="W256" s="24">
        <v>15</v>
      </c>
      <c r="X256" s="24">
        <v>253</v>
      </c>
      <c r="Y256" s="24">
        <v>554</v>
      </c>
      <c r="Z256" s="24">
        <v>53</v>
      </c>
      <c r="AA256" s="24">
        <v>-200</v>
      </c>
    </row>
    <row r="257" spans="1:27">
      <c r="A257" s="24" t="s">
        <v>2530</v>
      </c>
      <c r="B257" s="24" t="s">
        <v>131</v>
      </c>
      <c r="C257" s="24" t="s">
        <v>2531</v>
      </c>
      <c r="D257" s="24">
        <v>109</v>
      </c>
      <c r="E257" s="24">
        <v>185</v>
      </c>
      <c r="F257" s="24">
        <v>69</v>
      </c>
      <c r="G257" s="24">
        <v>524</v>
      </c>
      <c r="H257" s="24">
        <v>96.5</v>
      </c>
      <c r="I257" s="24">
        <v>337</v>
      </c>
      <c r="J257" s="24">
        <v>80</v>
      </c>
      <c r="K257" s="24">
        <v>207</v>
      </c>
      <c r="L257" s="24">
        <v>63</v>
      </c>
      <c r="M257" s="24">
        <v>262</v>
      </c>
      <c r="N257" s="24">
        <v>80</v>
      </c>
      <c r="O257" s="24">
        <v>205</v>
      </c>
      <c r="P257" s="24">
        <v>75</v>
      </c>
      <c r="Q257" s="24">
        <v>289</v>
      </c>
      <c r="R257" s="24">
        <v>76</v>
      </c>
      <c r="S257" s="24">
        <v>125</v>
      </c>
      <c r="T257" s="24">
        <v>61</v>
      </c>
      <c r="U257" s="24">
        <v>172</v>
      </c>
      <c r="V257" s="24">
        <v>497.5</v>
      </c>
      <c r="W257" s="24">
        <v>10</v>
      </c>
      <c r="X257" s="24">
        <v>256</v>
      </c>
      <c r="Y257" s="24">
        <v>502.5</v>
      </c>
      <c r="Z257" s="24">
        <v>197</v>
      </c>
      <c r="AA257" s="24">
        <v>-59</v>
      </c>
    </row>
    <row r="258" spans="1:27">
      <c r="A258" s="24" t="s">
        <v>1341</v>
      </c>
      <c r="B258" s="24" t="s">
        <v>54</v>
      </c>
      <c r="C258" s="24" t="s">
        <v>1342</v>
      </c>
      <c r="D258" s="24">
        <v>107</v>
      </c>
      <c r="E258" s="24">
        <v>242</v>
      </c>
      <c r="F258" s="24">
        <v>71</v>
      </c>
      <c r="G258" s="24">
        <v>475</v>
      </c>
      <c r="H258" s="24">
        <v>100.5</v>
      </c>
      <c r="I258" s="24">
        <v>247</v>
      </c>
      <c r="J258" s="24">
        <v>80</v>
      </c>
      <c r="K258" s="24">
        <v>207</v>
      </c>
      <c r="L258" s="24">
        <v>67</v>
      </c>
      <c r="M258" s="24">
        <v>177</v>
      </c>
      <c r="N258" s="24">
        <v>72</v>
      </c>
      <c r="O258" s="24">
        <v>433</v>
      </c>
      <c r="P258" s="24">
        <v>53</v>
      </c>
      <c r="Q258" s="24">
        <v>888</v>
      </c>
      <c r="R258" s="24">
        <v>60</v>
      </c>
      <c r="S258" s="24">
        <v>727</v>
      </c>
      <c r="T258" s="24">
        <v>42</v>
      </c>
      <c r="U258" s="24">
        <v>845</v>
      </c>
      <c r="V258" s="24">
        <v>497.5</v>
      </c>
      <c r="W258" s="24">
        <v>10</v>
      </c>
      <c r="X258" s="24">
        <v>256</v>
      </c>
      <c r="Y258" s="24">
        <v>528</v>
      </c>
      <c r="Z258" s="24">
        <v>114</v>
      </c>
      <c r="AA258" s="24">
        <v>-142</v>
      </c>
    </row>
    <row r="259" spans="1:27">
      <c r="A259" s="24" t="s">
        <v>2644</v>
      </c>
      <c r="B259" s="24" t="s">
        <v>49</v>
      </c>
      <c r="C259" s="24" t="s">
        <v>2648</v>
      </c>
      <c r="D259" s="24">
        <v>106</v>
      </c>
      <c r="E259" s="24">
        <v>287</v>
      </c>
      <c r="F259" s="24">
        <v>81</v>
      </c>
      <c r="G259" s="24">
        <v>309</v>
      </c>
      <c r="H259" s="24">
        <v>93</v>
      </c>
      <c r="I259" s="24">
        <v>405</v>
      </c>
      <c r="J259" s="24">
        <v>77</v>
      </c>
      <c r="K259" s="24">
        <v>274</v>
      </c>
      <c r="L259" s="24">
        <v>63</v>
      </c>
      <c r="M259" s="24">
        <v>262</v>
      </c>
      <c r="N259" s="24">
        <v>77</v>
      </c>
      <c r="O259" s="24">
        <v>275</v>
      </c>
      <c r="P259" s="24">
        <v>79</v>
      </c>
      <c r="Q259" s="24">
        <v>175</v>
      </c>
      <c r="R259" s="24">
        <v>52</v>
      </c>
      <c r="S259" s="24">
        <v>879</v>
      </c>
      <c r="T259" s="24">
        <v>68</v>
      </c>
      <c r="U259" s="24">
        <v>54</v>
      </c>
      <c r="V259" s="24">
        <v>497</v>
      </c>
      <c r="W259" s="24">
        <v>16</v>
      </c>
      <c r="X259" s="24">
        <v>258</v>
      </c>
      <c r="Y259" s="24">
        <v>463.5</v>
      </c>
      <c r="Z259" s="24">
        <v>395</v>
      </c>
      <c r="AA259" s="24">
        <v>137</v>
      </c>
    </row>
    <row r="260" spans="1:27">
      <c r="A260" s="24" t="s">
        <v>2665</v>
      </c>
      <c r="B260" s="24" t="s">
        <v>49</v>
      </c>
      <c r="C260" s="24" t="s">
        <v>2666</v>
      </c>
      <c r="D260" s="24">
        <v>96</v>
      </c>
      <c r="E260" s="24">
        <v>676</v>
      </c>
      <c r="F260" s="24">
        <v>82</v>
      </c>
      <c r="G260" s="24">
        <v>290</v>
      </c>
      <c r="H260" s="24">
        <v>108</v>
      </c>
      <c r="I260" s="24">
        <v>134</v>
      </c>
      <c r="J260" s="24">
        <v>81</v>
      </c>
      <c r="K260" s="24">
        <v>195</v>
      </c>
      <c r="L260" s="24">
        <v>55</v>
      </c>
      <c r="M260" s="24">
        <v>470</v>
      </c>
      <c r="N260" s="24">
        <v>75</v>
      </c>
      <c r="O260" s="24">
        <v>342</v>
      </c>
      <c r="P260" s="24">
        <v>54</v>
      </c>
      <c r="Q260" s="24">
        <v>880</v>
      </c>
      <c r="R260" s="24">
        <v>65</v>
      </c>
      <c r="S260" s="24">
        <v>548</v>
      </c>
      <c r="T260" s="24">
        <v>35</v>
      </c>
      <c r="U260" s="24">
        <v>924</v>
      </c>
      <c r="V260" s="24">
        <v>497</v>
      </c>
      <c r="W260" s="24">
        <v>16</v>
      </c>
      <c r="X260" s="24">
        <v>258</v>
      </c>
      <c r="Y260" s="24">
        <v>504</v>
      </c>
      <c r="Z260" s="24">
        <v>193</v>
      </c>
      <c r="AA260" s="24">
        <v>-65</v>
      </c>
    </row>
    <row r="261" spans="1:27">
      <c r="A261" s="24" t="s">
        <v>754</v>
      </c>
      <c r="B261" s="24" t="s">
        <v>117</v>
      </c>
      <c r="C261" s="24" t="s">
        <v>755</v>
      </c>
      <c r="D261" s="24">
        <v>87</v>
      </c>
      <c r="E261" s="24">
        <v>857</v>
      </c>
      <c r="F261" s="24">
        <v>95</v>
      </c>
      <c r="G261" s="24">
        <v>128</v>
      </c>
      <c r="H261" s="24">
        <v>105</v>
      </c>
      <c r="I261" s="24">
        <v>172</v>
      </c>
      <c r="J261" s="24">
        <v>85</v>
      </c>
      <c r="K261" s="24">
        <v>135</v>
      </c>
      <c r="L261" s="24">
        <v>54</v>
      </c>
      <c r="M261" s="24">
        <v>494</v>
      </c>
      <c r="N261" s="24">
        <v>71</v>
      </c>
      <c r="O261" s="24">
        <v>462</v>
      </c>
      <c r="P261" s="24">
        <v>46</v>
      </c>
      <c r="Q261" s="24">
        <v>927</v>
      </c>
      <c r="R261" s="24">
        <v>62</v>
      </c>
      <c r="S261" s="24">
        <v>672</v>
      </c>
      <c r="T261" s="24">
        <v>51</v>
      </c>
      <c r="U261" s="24">
        <v>555</v>
      </c>
      <c r="V261" s="24">
        <v>497</v>
      </c>
      <c r="W261" s="24">
        <v>10</v>
      </c>
      <c r="X261" s="24">
        <v>258</v>
      </c>
      <c r="Y261" s="24">
        <v>433.5</v>
      </c>
      <c r="Z261" s="24">
        <v>554</v>
      </c>
      <c r="AA261" s="24">
        <v>296</v>
      </c>
    </row>
    <row r="262" spans="1:27">
      <c r="A262" s="24" t="s">
        <v>575</v>
      </c>
      <c r="B262" s="24" t="s">
        <v>17</v>
      </c>
      <c r="C262" s="24" t="s">
        <v>576</v>
      </c>
      <c r="D262" s="24">
        <v>97</v>
      </c>
      <c r="E262" s="24">
        <v>645</v>
      </c>
      <c r="F262" s="24">
        <v>93</v>
      </c>
      <c r="G262" s="24">
        <v>155</v>
      </c>
      <c r="H262" s="24">
        <v>108</v>
      </c>
      <c r="I262" s="24">
        <v>134</v>
      </c>
      <c r="J262" s="24">
        <v>80</v>
      </c>
      <c r="K262" s="24">
        <v>207</v>
      </c>
      <c r="L262" s="24">
        <v>49</v>
      </c>
      <c r="M262" s="24">
        <v>624</v>
      </c>
      <c r="N262" s="24">
        <v>70</v>
      </c>
      <c r="O262" s="24">
        <v>485</v>
      </c>
      <c r="P262" s="24">
        <v>77</v>
      </c>
      <c r="Q262" s="24">
        <v>240</v>
      </c>
      <c r="R262" s="24">
        <v>66</v>
      </c>
      <c r="S262" s="24">
        <v>511</v>
      </c>
      <c r="T262" s="24">
        <v>54</v>
      </c>
      <c r="U262" s="24">
        <v>428</v>
      </c>
      <c r="V262" s="24">
        <v>497</v>
      </c>
      <c r="W262" s="24">
        <v>14</v>
      </c>
      <c r="X262" s="24">
        <v>258</v>
      </c>
      <c r="Y262" s="24">
        <v>500</v>
      </c>
      <c r="Z262" s="24">
        <v>211</v>
      </c>
      <c r="AA262" s="24">
        <v>-47</v>
      </c>
    </row>
    <row r="263" spans="1:27">
      <c r="A263" s="24" t="s">
        <v>1204</v>
      </c>
      <c r="B263" s="24" t="s">
        <v>54</v>
      </c>
      <c r="C263" s="24" t="s">
        <v>1205</v>
      </c>
      <c r="D263" s="24">
        <v>103</v>
      </c>
      <c r="E263" s="24">
        <v>400</v>
      </c>
      <c r="F263" s="24">
        <v>74</v>
      </c>
      <c r="G263" s="24">
        <v>424</v>
      </c>
      <c r="H263" s="24">
        <v>108.5</v>
      </c>
      <c r="I263" s="24">
        <v>123</v>
      </c>
      <c r="J263" s="24">
        <v>86</v>
      </c>
      <c r="K263" s="24">
        <v>126</v>
      </c>
      <c r="L263" s="24">
        <v>54</v>
      </c>
      <c r="M263" s="24">
        <v>494</v>
      </c>
      <c r="N263" s="24">
        <v>71</v>
      </c>
      <c r="O263" s="24">
        <v>462</v>
      </c>
      <c r="P263" s="24">
        <v>75</v>
      </c>
      <c r="Q263" s="24">
        <v>289</v>
      </c>
      <c r="R263" s="24">
        <v>64</v>
      </c>
      <c r="S263" s="24">
        <v>586</v>
      </c>
      <c r="T263" s="24">
        <v>45</v>
      </c>
      <c r="U263" s="24">
        <v>781</v>
      </c>
      <c r="V263" s="24">
        <v>496.5</v>
      </c>
      <c r="W263" s="24">
        <v>11</v>
      </c>
      <c r="X263" s="24">
        <v>262</v>
      </c>
      <c r="Y263" s="24">
        <v>493</v>
      </c>
      <c r="Z263" s="24">
        <v>247</v>
      </c>
      <c r="AA263" s="24">
        <v>-15</v>
      </c>
    </row>
    <row r="264" spans="1:27">
      <c r="A264" s="24" t="s">
        <v>2704</v>
      </c>
      <c r="B264" s="24" t="s">
        <v>49</v>
      </c>
      <c r="C264" s="24" t="s">
        <v>2702</v>
      </c>
      <c r="D264" s="24">
        <v>93</v>
      </c>
      <c r="E264" s="24">
        <v>755</v>
      </c>
      <c r="F264" s="24">
        <v>110</v>
      </c>
      <c r="G264" s="24">
        <v>38</v>
      </c>
      <c r="H264" s="24">
        <v>73.5</v>
      </c>
      <c r="I264" s="24">
        <v>798</v>
      </c>
      <c r="J264" s="24">
        <v>98</v>
      </c>
      <c r="K264" s="24">
        <v>34</v>
      </c>
      <c r="L264" s="24">
        <v>59</v>
      </c>
      <c r="M264" s="24">
        <v>348</v>
      </c>
      <c r="N264" s="24">
        <v>63</v>
      </c>
      <c r="O264" s="24">
        <v>692</v>
      </c>
      <c r="P264" s="24">
        <v>65</v>
      </c>
      <c r="Q264" s="24">
        <v>651</v>
      </c>
      <c r="R264" s="24">
        <v>72</v>
      </c>
      <c r="S264" s="24">
        <v>256</v>
      </c>
      <c r="T264" s="24">
        <v>63</v>
      </c>
      <c r="U264" s="24">
        <v>123</v>
      </c>
      <c r="V264" s="24">
        <v>496.5</v>
      </c>
      <c r="W264" s="24">
        <v>18</v>
      </c>
      <c r="X264" s="24">
        <v>262</v>
      </c>
      <c r="Y264" s="24">
        <v>494</v>
      </c>
      <c r="Z264" s="24">
        <v>242</v>
      </c>
      <c r="AA264" s="24">
        <v>-20</v>
      </c>
    </row>
    <row r="265" spans="1:27">
      <c r="A265" s="24" t="s">
        <v>2513</v>
      </c>
      <c r="B265" s="24" t="s">
        <v>131</v>
      </c>
      <c r="C265" s="24" t="s">
        <v>2514</v>
      </c>
      <c r="D265" s="24">
        <v>99</v>
      </c>
      <c r="E265" s="24">
        <v>571</v>
      </c>
      <c r="F265" s="24">
        <v>79</v>
      </c>
      <c r="G265" s="24">
        <v>342</v>
      </c>
      <c r="H265" s="24">
        <v>106</v>
      </c>
      <c r="I265" s="24">
        <v>162</v>
      </c>
      <c r="J265" s="24">
        <v>79</v>
      </c>
      <c r="K265" s="24">
        <v>228</v>
      </c>
      <c r="L265" s="24">
        <v>54</v>
      </c>
      <c r="M265" s="24">
        <v>494</v>
      </c>
      <c r="N265" s="24">
        <v>79</v>
      </c>
      <c r="O265" s="24">
        <v>229</v>
      </c>
      <c r="P265" s="24">
        <v>68</v>
      </c>
      <c r="Q265" s="24">
        <v>541</v>
      </c>
      <c r="R265" s="24">
        <v>74</v>
      </c>
      <c r="S265" s="24">
        <v>174</v>
      </c>
      <c r="T265" s="24">
        <v>59</v>
      </c>
      <c r="U265" s="24">
        <v>233</v>
      </c>
      <c r="V265" s="24">
        <v>496</v>
      </c>
      <c r="W265" s="24">
        <v>11</v>
      </c>
      <c r="X265" s="24">
        <v>264</v>
      </c>
      <c r="Y265" s="24">
        <v>461</v>
      </c>
      <c r="Z265" s="24">
        <v>410</v>
      </c>
      <c r="AA265" s="24">
        <v>146</v>
      </c>
    </row>
    <row r="266" spans="1:27">
      <c r="A266" s="24" t="s">
        <v>1104</v>
      </c>
      <c r="B266" s="24" t="s">
        <v>68</v>
      </c>
      <c r="C266" s="24" t="s">
        <v>1105</v>
      </c>
      <c r="D266" s="24">
        <v>109</v>
      </c>
      <c r="E266" s="24">
        <v>185</v>
      </c>
      <c r="F266" s="24">
        <v>83</v>
      </c>
      <c r="G266" s="24">
        <v>267</v>
      </c>
      <c r="H266" s="24">
        <v>80.5</v>
      </c>
      <c r="I266" s="24">
        <v>688</v>
      </c>
      <c r="J266" s="24">
        <v>66</v>
      </c>
      <c r="K266" s="24">
        <v>484</v>
      </c>
      <c r="L266" s="24">
        <v>69</v>
      </c>
      <c r="M266" s="24">
        <v>152</v>
      </c>
      <c r="N266" s="24">
        <v>88</v>
      </c>
      <c r="O266" s="24">
        <v>44</v>
      </c>
      <c r="P266" s="24">
        <v>74</v>
      </c>
      <c r="Q266" s="24">
        <v>326</v>
      </c>
      <c r="R266" s="24">
        <v>73</v>
      </c>
      <c r="S266" s="24">
        <v>216</v>
      </c>
      <c r="T266" s="24">
        <v>54</v>
      </c>
      <c r="U266" s="24">
        <v>428</v>
      </c>
      <c r="V266" s="24">
        <v>495.5</v>
      </c>
      <c r="W266" s="24">
        <v>12</v>
      </c>
      <c r="X266" s="24">
        <v>265</v>
      </c>
      <c r="Y266" s="24">
        <v>487</v>
      </c>
      <c r="Z266" s="24">
        <v>275</v>
      </c>
      <c r="AA266" s="24">
        <v>10</v>
      </c>
    </row>
    <row r="267" spans="1:27">
      <c r="A267" s="24" t="s">
        <v>2633</v>
      </c>
      <c r="B267" s="24" t="s">
        <v>49</v>
      </c>
      <c r="C267" s="24" t="s">
        <v>50</v>
      </c>
      <c r="D267" s="24">
        <v>91</v>
      </c>
      <c r="E267" s="24">
        <v>799</v>
      </c>
      <c r="F267" s="24">
        <v>84</v>
      </c>
      <c r="G267" s="24">
        <v>251</v>
      </c>
      <c r="H267" s="24">
        <v>64</v>
      </c>
      <c r="I267" s="24">
        <v>887</v>
      </c>
      <c r="J267" s="24">
        <v>96</v>
      </c>
      <c r="K267" s="24">
        <v>43</v>
      </c>
      <c r="L267" s="24">
        <v>73</v>
      </c>
      <c r="M267" s="24">
        <v>106</v>
      </c>
      <c r="N267" s="24">
        <v>87</v>
      </c>
      <c r="O267" s="24">
        <v>57</v>
      </c>
      <c r="P267" s="24">
        <v>46</v>
      </c>
      <c r="Q267" s="24">
        <v>927</v>
      </c>
      <c r="R267" s="24">
        <v>59</v>
      </c>
      <c r="S267" s="24">
        <v>746</v>
      </c>
      <c r="T267" s="24">
        <v>61</v>
      </c>
      <c r="U267" s="24">
        <v>172</v>
      </c>
      <c r="V267" s="24">
        <v>495</v>
      </c>
      <c r="W267" s="24">
        <v>19</v>
      </c>
      <c r="X267" s="24">
        <v>266</v>
      </c>
      <c r="Y267" s="24">
        <v>480.5</v>
      </c>
      <c r="Z267" s="24">
        <v>307</v>
      </c>
      <c r="AA267" s="24">
        <v>41</v>
      </c>
    </row>
    <row r="268" spans="1:27">
      <c r="A268" s="24" t="s">
        <v>751</v>
      </c>
      <c r="B268" s="24" t="s">
        <v>117</v>
      </c>
      <c r="C268" s="24" t="s">
        <v>752</v>
      </c>
      <c r="D268" s="24">
        <v>91</v>
      </c>
      <c r="E268" s="24">
        <v>799</v>
      </c>
      <c r="F268" s="24">
        <v>104</v>
      </c>
      <c r="G268" s="24">
        <v>61</v>
      </c>
      <c r="H268" s="24">
        <v>82</v>
      </c>
      <c r="I268" s="24">
        <v>668</v>
      </c>
      <c r="J268" s="24">
        <v>78</v>
      </c>
      <c r="K268" s="24">
        <v>250</v>
      </c>
      <c r="L268" s="24">
        <v>67</v>
      </c>
      <c r="M268" s="24">
        <v>177</v>
      </c>
      <c r="N268" s="24">
        <v>73</v>
      </c>
      <c r="O268" s="24">
        <v>393</v>
      </c>
      <c r="P268" s="24">
        <v>72</v>
      </c>
      <c r="Q268" s="24">
        <v>396</v>
      </c>
      <c r="R268" s="24">
        <v>74</v>
      </c>
      <c r="S268" s="24">
        <v>174</v>
      </c>
      <c r="T268" s="24">
        <v>57</v>
      </c>
      <c r="U268" s="24">
        <v>306</v>
      </c>
      <c r="V268" s="24">
        <v>495</v>
      </c>
      <c r="W268" s="24">
        <v>11</v>
      </c>
      <c r="X268" s="24">
        <v>266</v>
      </c>
      <c r="Y268" s="24">
        <v>478.5</v>
      </c>
      <c r="Z268" s="24">
        <v>314</v>
      </c>
      <c r="AA268" s="24">
        <v>48</v>
      </c>
    </row>
    <row r="269" spans="1:27">
      <c r="A269" s="24" t="s">
        <v>2870</v>
      </c>
      <c r="B269" s="24" t="s">
        <v>38</v>
      </c>
      <c r="C269" s="24" t="s">
        <v>2871</v>
      </c>
      <c r="D269" s="24">
        <v>103</v>
      </c>
      <c r="E269" s="24">
        <v>400</v>
      </c>
      <c r="F269" s="24">
        <v>81</v>
      </c>
      <c r="G269" s="24">
        <v>309</v>
      </c>
      <c r="H269" s="24">
        <v>107</v>
      </c>
      <c r="I269" s="24">
        <v>148</v>
      </c>
      <c r="J269" s="24">
        <v>82</v>
      </c>
      <c r="K269" s="24">
        <v>174</v>
      </c>
      <c r="L269" s="24">
        <v>49</v>
      </c>
      <c r="M269" s="24">
        <v>624</v>
      </c>
      <c r="N269" s="24">
        <v>73</v>
      </c>
      <c r="O269" s="24">
        <v>393</v>
      </c>
      <c r="P269" s="24">
        <v>64</v>
      </c>
      <c r="Q269" s="24">
        <v>680</v>
      </c>
      <c r="R269" s="24">
        <v>75</v>
      </c>
      <c r="S269" s="24">
        <v>146</v>
      </c>
      <c r="T269" s="24">
        <v>60</v>
      </c>
      <c r="U269" s="24">
        <v>203</v>
      </c>
      <c r="V269" s="24">
        <v>495</v>
      </c>
      <c r="W269" s="24">
        <v>8</v>
      </c>
      <c r="X269" s="24">
        <v>266</v>
      </c>
      <c r="Y269" s="24">
        <v>485</v>
      </c>
      <c r="Z269" s="24">
        <v>286</v>
      </c>
      <c r="AA269" s="24">
        <v>20</v>
      </c>
    </row>
    <row r="270" spans="1:27">
      <c r="A270" s="24" t="s">
        <v>2016</v>
      </c>
      <c r="B270" s="24" t="s">
        <v>109</v>
      </c>
      <c r="C270" s="24" t="s">
        <v>2017</v>
      </c>
      <c r="D270" s="24">
        <v>86</v>
      </c>
      <c r="E270" s="24">
        <v>867</v>
      </c>
      <c r="F270" s="24">
        <v>88</v>
      </c>
      <c r="G270" s="24">
        <v>206</v>
      </c>
      <c r="H270" s="24">
        <v>75.5</v>
      </c>
      <c r="I270" s="24">
        <v>764</v>
      </c>
      <c r="J270" s="24">
        <v>82</v>
      </c>
      <c r="K270" s="24">
        <v>174</v>
      </c>
      <c r="L270" s="24">
        <v>76</v>
      </c>
      <c r="M270" s="24">
        <v>73</v>
      </c>
      <c r="N270" s="24">
        <v>87</v>
      </c>
      <c r="O270" s="24">
        <v>57</v>
      </c>
      <c r="P270" s="24">
        <v>49</v>
      </c>
      <c r="Q270" s="24">
        <v>919</v>
      </c>
      <c r="R270" s="24">
        <v>61</v>
      </c>
      <c r="S270" s="24">
        <v>703</v>
      </c>
      <c r="T270" s="24">
        <v>56</v>
      </c>
      <c r="U270" s="24">
        <v>352</v>
      </c>
      <c r="V270" s="24">
        <v>494.5</v>
      </c>
      <c r="W270" s="24">
        <v>16</v>
      </c>
      <c r="X270" s="24">
        <v>269</v>
      </c>
      <c r="Y270" s="24">
        <v>462.5</v>
      </c>
      <c r="Z270" s="24">
        <v>403</v>
      </c>
      <c r="AA270" s="24">
        <v>134</v>
      </c>
    </row>
    <row r="271" spans="1:27">
      <c r="A271" s="24" t="s">
        <v>2194</v>
      </c>
      <c r="B271" s="24" t="s">
        <v>73</v>
      </c>
      <c r="C271" s="24" t="s">
        <v>2195</v>
      </c>
      <c r="D271" s="24">
        <v>101</v>
      </c>
      <c r="E271" s="24">
        <v>481</v>
      </c>
      <c r="F271" s="24">
        <v>85</v>
      </c>
      <c r="G271" s="24">
        <v>244</v>
      </c>
      <c r="H271" s="24">
        <v>80.5</v>
      </c>
      <c r="I271" s="24">
        <v>688</v>
      </c>
      <c r="J271" s="24">
        <v>78</v>
      </c>
      <c r="K271" s="24">
        <v>250</v>
      </c>
      <c r="L271" s="24">
        <v>68</v>
      </c>
      <c r="M271" s="24">
        <v>165</v>
      </c>
      <c r="N271" s="24">
        <v>82</v>
      </c>
      <c r="O271" s="24">
        <v>166</v>
      </c>
      <c r="P271" s="24">
        <v>67</v>
      </c>
      <c r="Q271" s="24">
        <v>570</v>
      </c>
      <c r="R271" s="24">
        <v>65</v>
      </c>
      <c r="S271" s="24">
        <v>548</v>
      </c>
      <c r="T271" s="24">
        <v>61</v>
      </c>
      <c r="U271" s="24">
        <v>172</v>
      </c>
      <c r="V271" s="24">
        <v>494.5</v>
      </c>
      <c r="W271" s="24">
        <v>10</v>
      </c>
      <c r="X271" s="24">
        <v>269</v>
      </c>
      <c r="Y271" s="24">
        <v>500.5</v>
      </c>
      <c r="Z271" s="24">
        <v>207</v>
      </c>
      <c r="AA271" s="24">
        <v>-62</v>
      </c>
    </row>
    <row r="272" spans="1:27">
      <c r="A272" s="24" t="s">
        <v>2314</v>
      </c>
      <c r="B272" s="24" t="s">
        <v>7</v>
      </c>
      <c r="C272" s="24" t="s">
        <v>2318</v>
      </c>
      <c r="D272" s="24">
        <v>101</v>
      </c>
      <c r="E272" s="24">
        <v>481</v>
      </c>
      <c r="F272" s="24">
        <v>74</v>
      </c>
      <c r="G272" s="24">
        <v>424</v>
      </c>
      <c r="H272" s="24">
        <v>99.5</v>
      </c>
      <c r="I272" s="24">
        <v>269</v>
      </c>
      <c r="J272" s="24">
        <v>70</v>
      </c>
      <c r="K272" s="24">
        <v>400</v>
      </c>
      <c r="L272" s="24">
        <v>71</v>
      </c>
      <c r="M272" s="24">
        <v>123</v>
      </c>
      <c r="N272" s="24">
        <v>79</v>
      </c>
      <c r="O272" s="24">
        <v>229</v>
      </c>
      <c r="P272" s="24">
        <v>90</v>
      </c>
      <c r="Q272" s="24">
        <v>4</v>
      </c>
      <c r="R272" s="24">
        <v>69</v>
      </c>
      <c r="S272" s="24">
        <v>367</v>
      </c>
      <c r="T272" s="24">
        <v>69</v>
      </c>
      <c r="U272" s="24">
        <v>43</v>
      </c>
      <c r="V272" s="24">
        <v>494.5</v>
      </c>
      <c r="W272" s="24">
        <v>7</v>
      </c>
      <c r="X272" s="24">
        <v>269</v>
      </c>
      <c r="Y272" s="24">
        <v>490</v>
      </c>
      <c r="Z272" s="24">
        <v>260</v>
      </c>
      <c r="AA272" s="24">
        <v>-9</v>
      </c>
    </row>
    <row r="273" spans="1:27">
      <c r="A273" s="24" t="s">
        <v>2138</v>
      </c>
      <c r="B273" s="24" t="s">
        <v>73</v>
      </c>
      <c r="C273" s="24" t="s">
        <v>2139</v>
      </c>
      <c r="D273" s="24">
        <v>106</v>
      </c>
      <c r="E273" s="24">
        <v>287</v>
      </c>
      <c r="F273" s="24">
        <v>75</v>
      </c>
      <c r="G273" s="24">
        <v>409</v>
      </c>
      <c r="H273" s="24">
        <v>106.5</v>
      </c>
      <c r="I273" s="24">
        <v>156</v>
      </c>
      <c r="J273" s="24">
        <v>76</v>
      </c>
      <c r="K273" s="24">
        <v>287</v>
      </c>
      <c r="L273" s="24">
        <v>61</v>
      </c>
      <c r="M273" s="24">
        <v>300</v>
      </c>
      <c r="N273" s="24">
        <v>70</v>
      </c>
      <c r="O273" s="24">
        <v>485</v>
      </c>
      <c r="P273" s="24">
        <v>71</v>
      </c>
      <c r="Q273" s="24">
        <v>439</v>
      </c>
      <c r="R273" s="24">
        <v>56</v>
      </c>
      <c r="S273" s="24">
        <v>817</v>
      </c>
      <c r="T273" s="24">
        <v>49</v>
      </c>
      <c r="U273" s="24">
        <v>633</v>
      </c>
      <c r="V273" s="24">
        <v>494.5</v>
      </c>
      <c r="W273" s="24">
        <v>10</v>
      </c>
      <c r="X273" s="24">
        <v>269</v>
      </c>
      <c r="Y273" s="24">
        <v>411.5</v>
      </c>
      <c r="Z273" s="24">
        <v>674</v>
      </c>
      <c r="AA273" s="24">
        <v>405</v>
      </c>
    </row>
    <row r="274" spans="1:27">
      <c r="A274" s="24" t="s">
        <v>1493</v>
      </c>
      <c r="B274" s="24" t="s">
        <v>56</v>
      </c>
      <c r="C274" s="24" t="s">
        <v>1494</v>
      </c>
      <c r="D274" s="24">
        <v>109</v>
      </c>
      <c r="E274" s="24">
        <v>185</v>
      </c>
      <c r="F274" s="24">
        <v>88</v>
      </c>
      <c r="G274" s="24">
        <v>206</v>
      </c>
      <c r="H274" s="24">
        <v>90.5</v>
      </c>
      <c r="I274" s="24">
        <v>471</v>
      </c>
      <c r="J274" s="24">
        <v>67</v>
      </c>
      <c r="K274" s="24">
        <v>468</v>
      </c>
      <c r="L274" s="24">
        <v>57</v>
      </c>
      <c r="M274" s="24">
        <v>409</v>
      </c>
      <c r="N274" s="24">
        <v>82</v>
      </c>
      <c r="O274" s="24">
        <v>166</v>
      </c>
      <c r="P274" s="24">
        <v>72</v>
      </c>
      <c r="Q274" s="24">
        <v>396</v>
      </c>
      <c r="R274" s="24">
        <v>71</v>
      </c>
      <c r="S274" s="24">
        <v>290</v>
      </c>
      <c r="T274" s="24">
        <v>47</v>
      </c>
      <c r="U274" s="24">
        <v>719</v>
      </c>
      <c r="V274" s="24">
        <v>493.5</v>
      </c>
      <c r="W274" s="24">
        <v>11</v>
      </c>
      <c r="X274" s="24">
        <v>273</v>
      </c>
      <c r="Y274" s="24">
        <v>449</v>
      </c>
      <c r="Z274" s="24">
        <v>473</v>
      </c>
      <c r="AA274" s="24">
        <v>200</v>
      </c>
    </row>
    <row r="275" spans="1:27">
      <c r="A275" s="24" t="s">
        <v>365</v>
      </c>
      <c r="B275" s="24" t="s">
        <v>28</v>
      </c>
      <c r="C275" s="24" t="s">
        <v>366</v>
      </c>
      <c r="D275" s="24">
        <v>109</v>
      </c>
      <c r="E275" s="24">
        <v>185</v>
      </c>
      <c r="F275" s="24">
        <v>77</v>
      </c>
      <c r="G275" s="24">
        <v>369</v>
      </c>
      <c r="H275" s="24">
        <v>102</v>
      </c>
      <c r="I275" s="24">
        <v>219</v>
      </c>
      <c r="J275" s="24">
        <v>70</v>
      </c>
      <c r="K275" s="24">
        <v>400</v>
      </c>
      <c r="L275" s="24">
        <v>58</v>
      </c>
      <c r="M275" s="24">
        <v>377</v>
      </c>
      <c r="N275" s="24">
        <v>77</v>
      </c>
      <c r="O275" s="24">
        <v>275</v>
      </c>
      <c r="P275" s="24">
        <v>50</v>
      </c>
      <c r="Q275" s="24">
        <v>911</v>
      </c>
      <c r="R275" s="24">
        <v>72</v>
      </c>
      <c r="S275" s="24">
        <v>256</v>
      </c>
      <c r="T275" s="24">
        <v>59</v>
      </c>
      <c r="U275" s="24">
        <v>233</v>
      </c>
      <c r="V275" s="24">
        <v>493</v>
      </c>
      <c r="W275" s="24">
        <v>12</v>
      </c>
      <c r="X275" s="24">
        <v>274</v>
      </c>
      <c r="Y275" s="24">
        <v>457</v>
      </c>
      <c r="Z275" s="24">
        <v>428</v>
      </c>
      <c r="AA275" s="24">
        <v>154</v>
      </c>
    </row>
    <row r="276" spans="1:27">
      <c r="A276" s="24" t="s">
        <v>903</v>
      </c>
      <c r="B276" s="24" t="s">
        <v>60</v>
      </c>
      <c r="C276" s="24" t="s">
        <v>1714</v>
      </c>
      <c r="D276" s="24">
        <v>106</v>
      </c>
      <c r="E276" s="24">
        <v>287</v>
      </c>
      <c r="F276" s="24">
        <v>103</v>
      </c>
      <c r="G276" s="24">
        <v>70</v>
      </c>
      <c r="H276" s="24">
        <v>92</v>
      </c>
      <c r="I276" s="24">
        <v>426</v>
      </c>
      <c r="J276" s="24">
        <v>56</v>
      </c>
      <c r="K276" s="24">
        <v>682</v>
      </c>
      <c r="L276" s="24">
        <v>68</v>
      </c>
      <c r="M276" s="24">
        <v>165</v>
      </c>
      <c r="N276" s="24">
        <v>68</v>
      </c>
      <c r="O276" s="24">
        <v>555</v>
      </c>
      <c r="P276" s="24">
        <v>70</v>
      </c>
      <c r="Q276" s="24">
        <v>473</v>
      </c>
      <c r="R276" s="24">
        <v>67</v>
      </c>
      <c r="S276" s="24">
        <v>471</v>
      </c>
      <c r="T276" s="24">
        <v>48</v>
      </c>
      <c r="U276" s="24">
        <v>671</v>
      </c>
      <c r="V276" s="24">
        <v>493</v>
      </c>
      <c r="W276" s="24">
        <v>11</v>
      </c>
      <c r="X276" s="24">
        <v>274</v>
      </c>
      <c r="Y276" s="24">
        <v>492.5</v>
      </c>
      <c r="Z276" s="24">
        <v>250</v>
      </c>
      <c r="AA276" s="24">
        <v>-24</v>
      </c>
    </row>
    <row r="277" spans="1:27">
      <c r="A277" s="24" t="s">
        <v>926</v>
      </c>
      <c r="B277" s="24" t="s">
        <v>60</v>
      </c>
      <c r="C277" s="24" t="s">
        <v>927</v>
      </c>
      <c r="D277" s="24">
        <v>101</v>
      </c>
      <c r="E277" s="24">
        <v>481</v>
      </c>
      <c r="F277" s="24">
        <v>101</v>
      </c>
      <c r="G277" s="24">
        <v>81</v>
      </c>
      <c r="H277" s="24">
        <v>92</v>
      </c>
      <c r="I277" s="24">
        <v>426</v>
      </c>
      <c r="J277" s="24">
        <v>85</v>
      </c>
      <c r="K277" s="24">
        <v>135</v>
      </c>
      <c r="L277" s="24">
        <v>52</v>
      </c>
      <c r="M277" s="24">
        <v>551</v>
      </c>
      <c r="N277" s="24">
        <v>62</v>
      </c>
      <c r="O277" s="24">
        <v>716</v>
      </c>
      <c r="P277" s="24">
        <v>67</v>
      </c>
      <c r="Q277" s="24">
        <v>570</v>
      </c>
      <c r="R277" s="24">
        <v>64</v>
      </c>
      <c r="S277" s="24">
        <v>586</v>
      </c>
      <c r="T277" s="24">
        <v>51</v>
      </c>
      <c r="U277" s="24">
        <v>555</v>
      </c>
      <c r="V277" s="24">
        <v>493</v>
      </c>
      <c r="W277" s="24">
        <v>11</v>
      </c>
      <c r="X277" s="24">
        <v>274</v>
      </c>
      <c r="Y277" s="24">
        <v>486</v>
      </c>
      <c r="Z277" s="24">
        <v>282</v>
      </c>
      <c r="AA277" s="24">
        <v>8</v>
      </c>
    </row>
    <row r="278" spans="1:27">
      <c r="A278" s="24" t="s">
        <v>1887</v>
      </c>
      <c r="B278" s="24" t="s">
        <v>34</v>
      </c>
      <c r="C278" s="24" t="s">
        <v>1888</v>
      </c>
      <c r="D278" s="24">
        <v>96</v>
      </c>
      <c r="E278" s="24">
        <v>676</v>
      </c>
      <c r="F278" s="24">
        <v>89</v>
      </c>
      <c r="G278" s="24">
        <v>196</v>
      </c>
      <c r="H278" s="24">
        <v>74.5</v>
      </c>
      <c r="I278" s="24">
        <v>785</v>
      </c>
      <c r="J278" s="24">
        <v>73</v>
      </c>
      <c r="K278" s="24">
        <v>339</v>
      </c>
      <c r="L278" s="24">
        <v>74</v>
      </c>
      <c r="M278" s="24">
        <v>94</v>
      </c>
      <c r="N278" s="24">
        <v>86</v>
      </c>
      <c r="O278" s="24">
        <v>77</v>
      </c>
      <c r="P278" s="24">
        <v>67</v>
      </c>
      <c r="Q278" s="24">
        <v>570</v>
      </c>
      <c r="R278" s="24">
        <v>62</v>
      </c>
      <c r="S278" s="24">
        <v>672</v>
      </c>
      <c r="T278" s="24">
        <v>58</v>
      </c>
      <c r="U278" s="24">
        <v>278</v>
      </c>
      <c r="V278" s="24">
        <v>492.5</v>
      </c>
      <c r="W278" s="24">
        <v>11</v>
      </c>
      <c r="X278" s="24">
        <v>277</v>
      </c>
      <c r="Y278" s="24">
        <v>524</v>
      </c>
      <c r="Z278" s="24">
        <v>124</v>
      </c>
      <c r="AA278" s="24">
        <v>-153</v>
      </c>
    </row>
    <row r="279" spans="1:27">
      <c r="A279" s="24" t="s">
        <v>473</v>
      </c>
      <c r="B279" s="24" t="s">
        <v>19</v>
      </c>
      <c r="C279" s="24" t="s">
        <v>477</v>
      </c>
      <c r="D279" s="24">
        <v>108</v>
      </c>
      <c r="E279" s="24">
        <v>212</v>
      </c>
      <c r="F279" s="24">
        <v>83</v>
      </c>
      <c r="G279" s="24">
        <v>267</v>
      </c>
      <c r="H279" s="24">
        <v>83.5</v>
      </c>
      <c r="I279" s="24">
        <v>633</v>
      </c>
      <c r="J279" s="24">
        <v>69</v>
      </c>
      <c r="K279" s="24">
        <v>428</v>
      </c>
      <c r="L279" s="24">
        <v>66</v>
      </c>
      <c r="M279" s="24">
        <v>204</v>
      </c>
      <c r="N279" s="24">
        <v>83</v>
      </c>
      <c r="O279" s="24">
        <v>145</v>
      </c>
      <c r="P279" s="24">
        <v>76</v>
      </c>
      <c r="Q279" s="24">
        <v>260</v>
      </c>
      <c r="R279" s="24">
        <v>82</v>
      </c>
      <c r="S279" s="24">
        <v>31</v>
      </c>
      <c r="T279" s="24">
        <v>57</v>
      </c>
      <c r="U279" s="24">
        <v>306</v>
      </c>
      <c r="V279" s="24">
        <v>492.5</v>
      </c>
      <c r="W279" s="24">
        <v>12</v>
      </c>
      <c r="X279" s="24">
        <v>277</v>
      </c>
      <c r="Y279" s="24">
        <v>488</v>
      </c>
      <c r="Z279" s="24">
        <v>269</v>
      </c>
      <c r="AA279" s="24">
        <v>-8</v>
      </c>
    </row>
    <row r="280" spans="1:27">
      <c r="A280" s="24" t="s">
        <v>1985</v>
      </c>
      <c r="B280" s="24" t="s">
        <v>109</v>
      </c>
      <c r="C280" s="24" t="s">
        <v>1670</v>
      </c>
      <c r="D280" s="24">
        <v>106</v>
      </c>
      <c r="E280" s="24">
        <v>287</v>
      </c>
      <c r="F280" s="24">
        <v>79</v>
      </c>
      <c r="G280" s="24">
        <v>342</v>
      </c>
      <c r="H280" s="24">
        <v>97.5</v>
      </c>
      <c r="I280" s="24">
        <v>310</v>
      </c>
      <c r="J280" s="24">
        <v>81</v>
      </c>
      <c r="K280" s="24">
        <v>195</v>
      </c>
      <c r="L280" s="24">
        <v>59</v>
      </c>
      <c r="M280" s="24">
        <v>348</v>
      </c>
      <c r="N280" s="24">
        <v>70</v>
      </c>
      <c r="O280" s="24">
        <v>485</v>
      </c>
      <c r="P280" s="24">
        <v>83</v>
      </c>
      <c r="Q280" s="24">
        <v>79</v>
      </c>
      <c r="R280" s="24">
        <v>47</v>
      </c>
      <c r="S280" s="24">
        <v>916</v>
      </c>
      <c r="T280" s="24">
        <v>42</v>
      </c>
      <c r="U280" s="24">
        <v>845</v>
      </c>
      <c r="V280" s="24">
        <v>492.5</v>
      </c>
      <c r="W280" s="24">
        <v>17</v>
      </c>
      <c r="X280" s="24">
        <v>277</v>
      </c>
      <c r="Y280" s="24">
        <v>529.5</v>
      </c>
      <c r="Z280" s="24">
        <v>106</v>
      </c>
      <c r="AA280" s="24">
        <v>-171</v>
      </c>
    </row>
    <row r="281" spans="1:27">
      <c r="A281" s="24" t="s">
        <v>883</v>
      </c>
      <c r="B281" s="24" t="s">
        <v>60</v>
      </c>
      <c r="C281" s="24" t="s">
        <v>1651</v>
      </c>
      <c r="D281" s="24">
        <v>106</v>
      </c>
      <c r="E281" s="24">
        <v>287</v>
      </c>
      <c r="F281" s="24">
        <v>71</v>
      </c>
      <c r="G281" s="24">
        <v>475</v>
      </c>
      <c r="H281" s="24">
        <v>92</v>
      </c>
      <c r="I281" s="24">
        <v>426</v>
      </c>
      <c r="J281" s="24">
        <v>79</v>
      </c>
      <c r="K281" s="24">
        <v>228</v>
      </c>
      <c r="L281" s="24">
        <v>68</v>
      </c>
      <c r="M281" s="24">
        <v>165</v>
      </c>
      <c r="N281" s="24">
        <v>76</v>
      </c>
      <c r="O281" s="24">
        <v>308</v>
      </c>
      <c r="P281" s="24">
        <v>79</v>
      </c>
      <c r="Q281" s="24">
        <v>175</v>
      </c>
      <c r="R281" s="24">
        <v>68</v>
      </c>
      <c r="S281" s="24">
        <v>412</v>
      </c>
      <c r="T281" s="24">
        <v>56</v>
      </c>
      <c r="U281" s="24">
        <v>352</v>
      </c>
      <c r="V281" s="24">
        <v>492</v>
      </c>
      <c r="W281" s="24">
        <v>13</v>
      </c>
      <c r="X281" s="24">
        <v>280</v>
      </c>
      <c r="Y281" s="24">
        <v>489</v>
      </c>
      <c r="Z281" s="24">
        <v>265</v>
      </c>
      <c r="AA281" s="24">
        <v>-15</v>
      </c>
    </row>
    <row r="282" spans="1:27">
      <c r="A282" s="24" t="s">
        <v>697</v>
      </c>
      <c r="B282" s="24" t="s">
        <v>117</v>
      </c>
      <c r="C282" s="24" t="s">
        <v>698</v>
      </c>
      <c r="D282" s="24">
        <v>87</v>
      </c>
      <c r="E282" s="24">
        <v>857</v>
      </c>
      <c r="F282" s="24">
        <v>82</v>
      </c>
      <c r="G282" s="24">
        <v>290</v>
      </c>
      <c r="H282" s="24">
        <v>109</v>
      </c>
      <c r="I282" s="24">
        <v>114</v>
      </c>
      <c r="J282" s="24">
        <v>73</v>
      </c>
      <c r="K282" s="24">
        <v>339</v>
      </c>
      <c r="L282" s="24">
        <v>65</v>
      </c>
      <c r="M282" s="24">
        <v>223</v>
      </c>
      <c r="N282" s="24">
        <v>76</v>
      </c>
      <c r="O282" s="24">
        <v>308</v>
      </c>
      <c r="P282" s="24">
        <v>76</v>
      </c>
      <c r="Q282" s="24">
        <v>260</v>
      </c>
      <c r="R282" s="24">
        <v>67</v>
      </c>
      <c r="S282" s="24">
        <v>471</v>
      </c>
      <c r="T282" s="24">
        <v>53</v>
      </c>
      <c r="U282" s="24">
        <v>470</v>
      </c>
      <c r="V282" s="24">
        <v>492</v>
      </c>
      <c r="W282" s="24">
        <v>12</v>
      </c>
      <c r="X282" s="24">
        <v>280</v>
      </c>
      <c r="Y282" s="24">
        <v>495</v>
      </c>
      <c r="Z282" s="24">
        <v>234</v>
      </c>
      <c r="AA282" s="24">
        <v>-46</v>
      </c>
    </row>
    <row r="283" spans="1:27">
      <c r="A283" s="24" t="s">
        <v>929</v>
      </c>
      <c r="B283" s="24" t="s">
        <v>60</v>
      </c>
      <c r="C283" s="24" t="s">
        <v>930</v>
      </c>
      <c r="D283" s="24">
        <v>107</v>
      </c>
      <c r="E283" s="24">
        <v>242</v>
      </c>
      <c r="F283" s="24">
        <v>73</v>
      </c>
      <c r="G283" s="24">
        <v>438</v>
      </c>
      <c r="H283" s="24">
        <v>98</v>
      </c>
      <c r="I283" s="24">
        <v>294</v>
      </c>
      <c r="J283" s="24">
        <v>79</v>
      </c>
      <c r="K283" s="24">
        <v>228</v>
      </c>
      <c r="L283" s="24">
        <v>60</v>
      </c>
      <c r="M283" s="24">
        <v>322</v>
      </c>
      <c r="N283" s="24">
        <v>75</v>
      </c>
      <c r="O283" s="24">
        <v>342</v>
      </c>
      <c r="P283" s="24">
        <v>62</v>
      </c>
      <c r="Q283" s="24">
        <v>729</v>
      </c>
      <c r="R283" s="24">
        <v>80</v>
      </c>
      <c r="S283" s="24">
        <v>54</v>
      </c>
      <c r="T283" s="24">
        <v>61</v>
      </c>
      <c r="U283" s="24">
        <v>172</v>
      </c>
      <c r="V283" s="24">
        <v>492</v>
      </c>
      <c r="W283" s="24">
        <v>13</v>
      </c>
      <c r="X283" s="24">
        <v>280</v>
      </c>
      <c r="Y283" s="24">
        <v>474</v>
      </c>
      <c r="Z283" s="24">
        <v>335</v>
      </c>
      <c r="AA283" s="24">
        <v>55</v>
      </c>
    </row>
    <row r="284" spans="1:27">
      <c r="A284" s="24" t="s">
        <v>1386</v>
      </c>
      <c r="B284" s="24" t="s">
        <v>56</v>
      </c>
      <c r="C284" s="24" t="s">
        <v>63</v>
      </c>
      <c r="D284" s="24">
        <v>87</v>
      </c>
      <c r="E284" s="24">
        <v>857</v>
      </c>
      <c r="F284" s="24">
        <v>90</v>
      </c>
      <c r="G284" s="24">
        <v>183</v>
      </c>
      <c r="H284" s="24">
        <v>88.5</v>
      </c>
      <c r="I284" s="24">
        <v>520</v>
      </c>
      <c r="J284" s="24">
        <v>72</v>
      </c>
      <c r="K284" s="24">
        <v>358</v>
      </c>
      <c r="L284" s="24">
        <v>66</v>
      </c>
      <c r="M284" s="24">
        <v>204</v>
      </c>
      <c r="N284" s="24">
        <v>88</v>
      </c>
      <c r="O284" s="24">
        <v>44</v>
      </c>
      <c r="P284" s="24">
        <v>87</v>
      </c>
      <c r="Q284" s="24">
        <v>25</v>
      </c>
      <c r="R284" s="24">
        <v>74</v>
      </c>
      <c r="S284" s="24">
        <v>174</v>
      </c>
      <c r="T284" s="24">
        <v>49</v>
      </c>
      <c r="U284" s="24">
        <v>633</v>
      </c>
      <c r="V284" s="24">
        <v>491.5</v>
      </c>
      <c r="W284" s="24">
        <v>12</v>
      </c>
      <c r="X284" s="24">
        <v>283</v>
      </c>
      <c r="Y284" s="24">
        <v>507.5</v>
      </c>
      <c r="Z284" s="24">
        <v>180</v>
      </c>
      <c r="AA284" s="24">
        <v>-103</v>
      </c>
    </row>
    <row r="285" spans="1:27">
      <c r="A285" s="24" t="s">
        <v>1251</v>
      </c>
      <c r="B285" s="24" t="s">
        <v>54</v>
      </c>
      <c r="C285" s="24" t="s">
        <v>1686</v>
      </c>
      <c r="D285" s="24">
        <v>112</v>
      </c>
      <c r="E285" s="24">
        <v>114</v>
      </c>
      <c r="F285" s="24">
        <v>86</v>
      </c>
      <c r="G285" s="24">
        <v>233</v>
      </c>
      <c r="H285" s="24">
        <v>108.5</v>
      </c>
      <c r="I285" s="24">
        <v>123</v>
      </c>
      <c r="J285" s="24">
        <v>54</v>
      </c>
      <c r="K285" s="24">
        <v>718</v>
      </c>
      <c r="L285" s="24">
        <v>54</v>
      </c>
      <c r="M285" s="24">
        <v>494</v>
      </c>
      <c r="N285" s="24">
        <v>77</v>
      </c>
      <c r="O285" s="24">
        <v>275</v>
      </c>
      <c r="P285" s="24">
        <v>67</v>
      </c>
      <c r="Q285" s="24">
        <v>570</v>
      </c>
      <c r="R285" s="24">
        <v>75</v>
      </c>
      <c r="S285" s="24">
        <v>146</v>
      </c>
      <c r="T285" s="24">
        <v>61</v>
      </c>
      <c r="U285" s="24">
        <v>172</v>
      </c>
      <c r="V285" s="24">
        <v>491.5</v>
      </c>
      <c r="W285" s="24">
        <v>12</v>
      </c>
      <c r="X285" s="24">
        <v>283</v>
      </c>
      <c r="Y285" s="24">
        <v>470</v>
      </c>
      <c r="Z285" s="24">
        <v>364</v>
      </c>
      <c r="AA285" s="24">
        <v>81</v>
      </c>
    </row>
    <row r="286" spans="1:27">
      <c r="A286" s="24" t="s">
        <v>2692</v>
      </c>
      <c r="B286" s="24" t="s">
        <v>49</v>
      </c>
      <c r="C286" s="24" t="s">
        <v>2690</v>
      </c>
      <c r="D286" s="24">
        <v>88</v>
      </c>
      <c r="E286" s="24">
        <v>851</v>
      </c>
      <c r="F286" s="24">
        <v>94</v>
      </c>
      <c r="G286" s="24">
        <v>141</v>
      </c>
      <c r="H286" s="24">
        <v>99.5</v>
      </c>
      <c r="I286" s="24">
        <v>269</v>
      </c>
      <c r="J286" s="24">
        <v>91</v>
      </c>
      <c r="K286" s="24">
        <v>84</v>
      </c>
      <c r="L286" s="24">
        <v>50</v>
      </c>
      <c r="M286" s="24">
        <v>599</v>
      </c>
      <c r="N286" s="24">
        <v>69</v>
      </c>
      <c r="O286" s="24">
        <v>523</v>
      </c>
      <c r="P286" s="24">
        <v>65</v>
      </c>
      <c r="Q286" s="24">
        <v>651</v>
      </c>
      <c r="R286" s="24">
        <v>68</v>
      </c>
      <c r="S286" s="24">
        <v>412</v>
      </c>
      <c r="T286" s="24">
        <v>53</v>
      </c>
      <c r="U286" s="24">
        <v>470</v>
      </c>
      <c r="V286" s="24">
        <v>491.5</v>
      </c>
      <c r="W286" s="24">
        <v>20</v>
      </c>
      <c r="X286" s="24">
        <v>283</v>
      </c>
      <c r="Y286" s="24">
        <v>441</v>
      </c>
      <c r="Z286" s="24">
        <v>522</v>
      </c>
      <c r="AA286" s="24">
        <v>239</v>
      </c>
    </row>
    <row r="287" spans="1:27">
      <c r="A287" s="24" t="s">
        <v>2355</v>
      </c>
      <c r="B287" s="24" t="s">
        <v>7</v>
      </c>
      <c r="C287" s="24" t="s">
        <v>2365</v>
      </c>
      <c r="D287" s="24">
        <v>103</v>
      </c>
      <c r="E287" s="24">
        <v>400</v>
      </c>
      <c r="F287" s="24">
        <v>100</v>
      </c>
      <c r="G287" s="24">
        <v>86</v>
      </c>
      <c r="H287" s="24">
        <v>87.5</v>
      </c>
      <c r="I287" s="24">
        <v>542</v>
      </c>
      <c r="J287" s="24">
        <v>78</v>
      </c>
      <c r="K287" s="24">
        <v>250</v>
      </c>
      <c r="L287" s="24">
        <v>56</v>
      </c>
      <c r="M287" s="24">
        <v>433</v>
      </c>
      <c r="N287" s="24">
        <v>67</v>
      </c>
      <c r="O287" s="24">
        <v>587</v>
      </c>
      <c r="P287" s="24">
        <v>62</v>
      </c>
      <c r="Q287" s="24">
        <v>729</v>
      </c>
      <c r="R287" s="24">
        <v>68</v>
      </c>
      <c r="S287" s="24">
        <v>412</v>
      </c>
      <c r="T287" s="24">
        <v>49</v>
      </c>
      <c r="U287" s="24">
        <v>633</v>
      </c>
      <c r="V287" s="24">
        <v>491.5</v>
      </c>
      <c r="W287" s="24">
        <v>8</v>
      </c>
      <c r="X287" s="24">
        <v>283</v>
      </c>
      <c r="Y287" s="24">
        <v>520.5</v>
      </c>
      <c r="Z287" s="24">
        <v>134</v>
      </c>
      <c r="AA287" s="24">
        <v>-149</v>
      </c>
    </row>
    <row r="288" spans="1:27">
      <c r="A288" s="24" t="s">
        <v>2809</v>
      </c>
      <c r="B288" s="24" t="s">
        <v>38</v>
      </c>
      <c r="C288" s="24" t="s">
        <v>2810</v>
      </c>
      <c r="D288" s="24">
        <v>109</v>
      </c>
      <c r="E288" s="24">
        <v>185</v>
      </c>
      <c r="F288" s="24">
        <v>69</v>
      </c>
      <c r="G288" s="24">
        <v>524</v>
      </c>
      <c r="H288" s="24">
        <v>81</v>
      </c>
      <c r="I288" s="24">
        <v>680</v>
      </c>
      <c r="J288" s="24">
        <v>90</v>
      </c>
      <c r="K288" s="24">
        <v>90</v>
      </c>
      <c r="L288" s="24">
        <v>63</v>
      </c>
      <c r="M288" s="24">
        <v>262</v>
      </c>
      <c r="N288" s="24">
        <v>79</v>
      </c>
      <c r="O288" s="24">
        <v>229</v>
      </c>
      <c r="P288" s="24">
        <v>74</v>
      </c>
      <c r="Q288" s="24">
        <v>326</v>
      </c>
      <c r="R288" s="24">
        <v>68</v>
      </c>
      <c r="S288" s="24">
        <v>412</v>
      </c>
      <c r="T288" s="24">
        <v>51</v>
      </c>
      <c r="U288" s="24">
        <v>555</v>
      </c>
      <c r="V288" s="24">
        <v>491</v>
      </c>
      <c r="W288" s="24">
        <v>9</v>
      </c>
      <c r="X288" s="24">
        <v>287</v>
      </c>
      <c r="Y288" s="24">
        <v>486</v>
      </c>
      <c r="Z288" s="24">
        <v>282</v>
      </c>
      <c r="AA288" s="24">
        <v>-5</v>
      </c>
    </row>
    <row r="289" spans="1:27">
      <c r="A289" s="24" t="s">
        <v>1149</v>
      </c>
      <c r="B289" s="24" t="s">
        <v>68</v>
      </c>
      <c r="C289" s="24" t="s">
        <v>1150</v>
      </c>
      <c r="D289" s="24">
        <v>104</v>
      </c>
      <c r="E289" s="24">
        <v>357</v>
      </c>
      <c r="F289" s="24">
        <v>94</v>
      </c>
      <c r="G289" s="24">
        <v>141</v>
      </c>
      <c r="H289" s="24">
        <v>89</v>
      </c>
      <c r="I289" s="24">
        <v>510</v>
      </c>
      <c r="J289" s="24">
        <v>64</v>
      </c>
      <c r="K289" s="24">
        <v>517</v>
      </c>
      <c r="L289" s="24">
        <v>67</v>
      </c>
      <c r="M289" s="24">
        <v>177</v>
      </c>
      <c r="N289" s="24">
        <v>73</v>
      </c>
      <c r="O289" s="24">
        <v>393</v>
      </c>
      <c r="P289" s="24">
        <v>64</v>
      </c>
      <c r="Q289" s="24">
        <v>680</v>
      </c>
      <c r="R289" s="24">
        <v>69</v>
      </c>
      <c r="S289" s="24">
        <v>367</v>
      </c>
      <c r="T289" s="24">
        <v>49</v>
      </c>
      <c r="U289" s="24">
        <v>633</v>
      </c>
      <c r="V289" s="24">
        <v>491</v>
      </c>
      <c r="W289" s="24">
        <v>13</v>
      </c>
      <c r="X289" s="24">
        <v>287</v>
      </c>
      <c r="Y289" s="24">
        <v>435</v>
      </c>
      <c r="Z289" s="24">
        <v>544</v>
      </c>
      <c r="AA289" s="24">
        <v>257</v>
      </c>
    </row>
    <row r="290" spans="1:27">
      <c r="A290" s="24" t="s">
        <v>2608</v>
      </c>
      <c r="B290" s="24" t="s">
        <v>49</v>
      </c>
      <c r="C290" s="24" t="s">
        <v>101</v>
      </c>
      <c r="D290" s="24">
        <v>113</v>
      </c>
      <c r="E290" s="24">
        <v>95</v>
      </c>
      <c r="F290" s="24">
        <v>76</v>
      </c>
      <c r="G290" s="24">
        <v>391</v>
      </c>
      <c r="H290" s="24">
        <v>101</v>
      </c>
      <c r="I290" s="24">
        <v>234</v>
      </c>
      <c r="J290" s="24">
        <v>75</v>
      </c>
      <c r="K290" s="24">
        <v>299</v>
      </c>
      <c r="L290" s="24">
        <v>58</v>
      </c>
      <c r="M290" s="24">
        <v>377</v>
      </c>
      <c r="N290" s="24">
        <v>68</v>
      </c>
      <c r="O290" s="24">
        <v>555</v>
      </c>
      <c r="P290" s="24">
        <v>70</v>
      </c>
      <c r="Q290" s="24">
        <v>473</v>
      </c>
      <c r="R290" s="24">
        <v>69</v>
      </c>
      <c r="S290" s="24">
        <v>367</v>
      </c>
      <c r="T290" s="24">
        <v>62</v>
      </c>
      <c r="U290" s="24">
        <v>146</v>
      </c>
      <c r="V290" s="24">
        <v>491</v>
      </c>
      <c r="W290" s="24">
        <v>21</v>
      </c>
      <c r="X290" s="24">
        <v>287</v>
      </c>
      <c r="Y290" s="24">
        <v>480.5</v>
      </c>
      <c r="Z290" s="24">
        <v>307</v>
      </c>
      <c r="AA290" s="24">
        <v>20</v>
      </c>
    </row>
    <row r="291" spans="1:27">
      <c r="A291" s="24" t="s">
        <v>692</v>
      </c>
      <c r="B291" s="24" t="s">
        <v>17</v>
      </c>
      <c r="C291" s="24" t="s">
        <v>145</v>
      </c>
      <c r="D291" s="24">
        <v>108</v>
      </c>
      <c r="E291" s="24">
        <v>212</v>
      </c>
      <c r="F291" s="24">
        <v>83</v>
      </c>
      <c r="G291" s="24">
        <v>267</v>
      </c>
      <c r="H291" s="24">
        <v>74.5</v>
      </c>
      <c r="I291" s="24">
        <v>785</v>
      </c>
      <c r="J291" s="24">
        <v>82</v>
      </c>
      <c r="K291" s="24">
        <v>174</v>
      </c>
      <c r="L291" s="24">
        <v>59</v>
      </c>
      <c r="M291" s="24">
        <v>348</v>
      </c>
      <c r="N291" s="24">
        <v>84</v>
      </c>
      <c r="O291" s="24">
        <v>123</v>
      </c>
      <c r="P291" s="24">
        <v>72</v>
      </c>
      <c r="Q291" s="24">
        <v>396</v>
      </c>
      <c r="R291" s="24">
        <v>68</v>
      </c>
      <c r="S291" s="24">
        <v>412</v>
      </c>
      <c r="T291" s="24">
        <v>62</v>
      </c>
      <c r="U291" s="24">
        <v>146</v>
      </c>
      <c r="V291" s="24">
        <v>490.5</v>
      </c>
      <c r="W291" s="24">
        <v>15</v>
      </c>
      <c r="X291" s="24">
        <v>290</v>
      </c>
      <c r="Y291" s="24">
        <v>478.5</v>
      </c>
      <c r="Z291" s="24">
        <v>314</v>
      </c>
      <c r="AA291" s="24">
        <v>24</v>
      </c>
    </row>
    <row r="292" spans="1:27">
      <c r="A292" s="24" t="s">
        <v>247</v>
      </c>
      <c r="B292" s="24" t="s">
        <v>28</v>
      </c>
      <c r="C292" s="24" t="s">
        <v>248</v>
      </c>
      <c r="D292" s="24">
        <v>103</v>
      </c>
      <c r="E292" s="24">
        <v>400</v>
      </c>
      <c r="F292" s="24">
        <v>89</v>
      </c>
      <c r="G292" s="24">
        <v>196</v>
      </c>
      <c r="H292" s="24">
        <v>93.5</v>
      </c>
      <c r="I292" s="24">
        <v>393</v>
      </c>
      <c r="J292" s="24">
        <v>63</v>
      </c>
      <c r="K292" s="24">
        <v>540</v>
      </c>
      <c r="L292" s="24">
        <v>58</v>
      </c>
      <c r="M292" s="24">
        <v>377</v>
      </c>
      <c r="N292" s="24">
        <v>84</v>
      </c>
      <c r="O292" s="24">
        <v>123</v>
      </c>
      <c r="P292" s="24">
        <v>64</v>
      </c>
      <c r="Q292" s="24">
        <v>680</v>
      </c>
      <c r="R292" s="24">
        <v>63</v>
      </c>
      <c r="S292" s="24">
        <v>633</v>
      </c>
      <c r="T292" s="24">
        <v>68</v>
      </c>
      <c r="U292" s="24">
        <v>54</v>
      </c>
      <c r="V292" s="24">
        <v>490.5</v>
      </c>
      <c r="W292" s="24">
        <v>13</v>
      </c>
      <c r="X292" s="24">
        <v>290</v>
      </c>
      <c r="Y292" s="24">
        <v>469</v>
      </c>
      <c r="Z292" s="24">
        <v>372</v>
      </c>
      <c r="AA292" s="24">
        <v>82</v>
      </c>
    </row>
    <row r="293" spans="1:27">
      <c r="A293" s="24" t="s">
        <v>1059</v>
      </c>
      <c r="B293" s="24" t="s">
        <v>68</v>
      </c>
      <c r="C293" s="24" t="s">
        <v>1060</v>
      </c>
      <c r="D293" s="24">
        <v>119</v>
      </c>
      <c r="E293" s="24">
        <v>30</v>
      </c>
      <c r="F293" s="24">
        <v>80</v>
      </c>
      <c r="G293" s="24">
        <v>325</v>
      </c>
      <c r="H293" s="24">
        <v>98.5</v>
      </c>
      <c r="I293" s="24">
        <v>285</v>
      </c>
      <c r="J293" s="24">
        <v>57</v>
      </c>
      <c r="K293" s="24">
        <v>665</v>
      </c>
      <c r="L293" s="24">
        <v>62</v>
      </c>
      <c r="M293" s="24">
        <v>277</v>
      </c>
      <c r="N293" s="24">
        <v>74</v>
      </c>
      <c r="O293" s="24">
        <v>366</v>
      </c>
      <c r="P293" s="24">
        <v>60</v>
      </c>
      <c r="Q293" s="24">
        <v>777</v>
      </c>
      <c r="R293" s="24">
        <v>56</v>
      </c>
      <c r="S293" s="24">
        <v>817</v>
      </c>
      <c r="T293" s="24">
        <v>48</v>
      </c>
      <c r="U293" s="24">
        <v>671</v>
      </c>
      <c r="V293" s="24">
        <v>490.5</v>
      </c>
      <c r="W293" s="24">
        <v>14</v>
      </c>
      <c r="X293" s="24">
        <v>290</v>
      </c>
      <c r="Y293" s="24">
        <v>459.5</v>
      </c>
      <c r="Z293" s="24">
        <v>418</v>
      </c>
      <c r="AA293" s="24">
        <v>128</v>
      </c>
    </row>
    <row r="294" spans="1:27">
      <c r="A294" s="24" t="s">
        <v>2346</v>
      </c>
      <c r="B294" s="24" t="s">
        <v>7</v>
      </c>
      <c r="C294" s="24" t="s">
        <v>2353</v>
      </c>
      <c r="D294" s="24">
        <v>103</v>
      </c>
      <c r="E294" s="24">
        <v>400</v>
      </c>
      <c r="F294" s="24">
        <v>70</v>
      </c>
      <c r="G294" s="24">
        <v>505</v>
      </c>
      <c r="H294" s="24">
        <v>95</v>
      </c>
      <c r="I294" s="24">
        <v>364</v>
      </c>
      <c r="J294" s="24">
        <v>69</v>
      </c>
      <c r="K294" s="24">
        <v>428</v>
      </c>
      <c r="L294" s="24">
        <v>67</v>
      </c>
      <c r="M294" s="24">
        <v>177</v>
      </c>
      <c r="N294" s="24">
        <v>86</v>
      </c>
      <c r="O294" s="24">
        <v>77</v>
      </c>
      <c r="P294" s="24">
        <v>82</v>
      </c>
      <c r="Q294" s="24">
        <v>100</v>
      </c>
      <c r="R294" s="24">
        <v>70</v>
      </c>
      <c r="S294" s="24">
        <v>327</v>
      </c>
      <c r="T294" s="24">
        <v>58</v>
      </c>
      <c r="U294" s="24">
        <v>278</v>
      </c>
      <c r="V294" s="24">
        <v>490</v>
      </c>
      <c r="W294" s="24">
        <v>9</v>
      </c>
      <c r="X294" s="24">
        <v>293</v>
      </c>
      <c r="Y294" s="24">
        <v>515.5</v>
      </c>
      <c r="Z294" s="24">
        <v>152</v>
      </c>
      <c r="AA294" s="24">
        <v>-141</v>
      </c>
    </row>
    <row r="295" spans="1:27">
      <c r="A295" s="24" t="s">
        <v>1369</v>
      </c>
      <c r="B295" s="24" t="s">
        <v>56</v>
      </c>
      <c r="C295" s="24" t="s">
        <v>1370</v>
      </c>
      <c r="D295" s="24">
        <v>95</v>
      </c>
      <c r="E295" s="24">
        <v>710</v>
      </c>
      <c r="F295" s="24">
        <v>77</v>
      </c>
      <c r="G295" s="24">
        <v>369</v>
      </c>
      <c r="H295" s="24">
        <v>84</v>
      </c>
      <c r="I295" s="24">
        <v>623</v>
      </c>
      <c r="J295" s="24">
        <v>86</v>
      </c>
      <c r="K295" s="24">
        <v>126</v>
      </c>
      <c r="L295" s="24">
        <v>65</v>
      </c>
      <c r="M295" s="24">
        <v>223</v>
      </c>
      <c r="N295" s="24">
        <v>83</v>
      </c>
      <c r="O295" s="24">
        <v>145</v>
      </c>
      <c r="P295" s="24">
        <v>80</v>
      </c>
      <c r="Q295" s="24">
        <v>151</v>
      </c>
      <c r="R295" s="24">
        <v>68</v>
      </c>
      <c r="S295" s="24">
        <v>412</v>
      </c>
      <c r="T295" s="24">
        <v>52</v>
      </c>
      <c r="U295" s="24">
        <v>509</v>
      </c>
      <c r="V295" s="24">
        <v>490</v>
      </c>
      <c r="W295" s="24">
        <v>13</v>
      </c>
      <c r="X295" s="24">
        <v>293</v>
      </c>
      <c r="Y295" s="24">
        <v>488</v>
      </c>
      <c r="Z295" s="24">
        <v>269</v>
      </c>
      <c r="AA295" s="24">
        <v>-24</v>
      </c>
    </row>
    <row r="296" spans="1:27">
      <c r="A296" s="24" t="s">
        <v>1970</v>
      </c>
      <c r="B296" s="24" t="s">
        <v>109</v>
      </c>
      <c r="C296" s="24" t="s">
        <v>1971</v>
      </c>
      <c r="D296" s="24">
        <v>114</v>
      </c>
      <c r="E296" s="24">
        <v>80</v>
      </c>
      <c r="F296" s="24">
        <v>88</v>
      </c>
      <c r="G296" s="24">
        <v>206</v>
      </c>
      <c r="H296" s="24">
        <v>100.5</v>
      </c>
      <c r="I296" s="24">
        <v>247</v>
      </c>
      <c r="J296" s="24">
        <v>70</v>
      </c>
      <c r="K296" s="24">
        <v>400</v>
      </c>
      <c r="L296" s="24">
        <v>45</v>
      </c>
      <c r="M296" s="24">
        <v>720</v>
      </c>
      <c r="N296" s="24">
        <v>72</v>
      </c>
      <c r="O296" s="24">
        <v>433</v>
      </c>
      <c r="P296" s="24">
        <v>75</v>
      </c>
      <c r="Q296" s="24">
        <v>289</v>
      </c>
      <c r="R296" s="24">
        <v>68</v>
      </c>
      <c r="S296" s="24">
        <v>412</v>
      </c>
      <c r="T296" s="24">
        <v>43</v>
      </c>
      <c r="U296" s="24">
        <v>824</v>
      </c>
      <c r="V296" s="24">
        <v>489.5</v>
      </c>
      <c r="W296" s="24">
        <v>18</v>
      </c>
      <c r="X296" s="24">
        <v>295</v>
      </c>
      <c r="Y296" s="24">
        <v>434</v>
      </c>
      <c r="Z296" s="24">
        <v>551</v>
      </c>
      <c r="AA296" s="24">
        <v>256</v>
      </c>
    </row>
    <row r="297" spans="1:27">
      <c r="A297" s="24" t="s">
        <v>2208</v>
      </c>
      <c r="B297" s="24" t="s">
        <v>73</v>
      </c>
      <c r="C297" s="24" t="s">
        <v>2209</v>
      </c>
      <c r="D297" s="24">
        <v>95</v>
      </c>
      <c r="E297" s="24">
        <v>710</v>
      </c>
      <c r="F297" s="24">
        <v>83</v>
      </c>
      <c r="G297" s="24">
        <v>267</v>
      </c>
      <c r="H297" s="24">
        <v>85</v>
      </c>
      <c r="I297" s="24">
        <v>593</v>
      </c>
      <c r="J297" s="24">
        <v>95</v>
      </c>
      <c r="K297" s="24">
        <v>50</v>
      </c>
      <c r="L297" s="24">
        <v>63</v>
      </c>
      <c r="M297" s="24">
        <v>262</v>
      </c>
      <c r="N297" s="24">
        <v>68</v>
      </c>
      <c r="O297" s="24">
        <v>555</v>
      </c>
      <c r="P297" s="24">
        <v>61</v>
      </c>
      <c r="Q297" s="24">
        <v>754</v>
      </c>
      <c r="R297" s="24">
        <v>58</v>
      </c>
      <c r="S297" s="24">
        <v>770</v>
      </c>
      <c r="T297" s="24">
        <v>46</v>
      </c>
      <c r="U297" s="24">
        <v>755</v>
      </c>
      <c r="V297" s="24">
        <v>489</v>
      </c>
      <c r="W297" s="24">
        <v>12</v>
      </c>
      <c r="X297" s="24">
        <v>296</v>
      </c>
      <c r="Y297" s="24">
        <v>471.5</v>
      </c>
      <c r="Z297" s="24">
        <v>355</v>
      </c>
      <c r="AA297" s="24">
        <v>59</v>
      </c>
    </row>
    <row r="298" spans="1:27">
      <c r="A298" s="24" t="s">
        <v>1755</v>
      </c>
      <c r="B298" s="24" t="s">
        <v>9</v>
      </c>
      <c r="C298" s="24" t="s">
        <v>199</v>
      </c>
      <c r="D298" s="24">
        <v>99</v>
      </c>
      <c r="E298" s="24">
        <v>571</v>
      </c>
      <c r="F298" s="24">
        <v>71</v>
      </c>
      <c r="G298" s="24">
        <v>475</v>
      </c>
      <c r="H298" s="24">
        <v>105.5</v>
      </c>
      <c r="I298" s="24">
        <v>168</v>
      </c>
      <c r="J298" s="24">
        <v>62</v>
      </c>
      <c r="K298" s="24">
        <v>564</v>
      </c>
      <c r="L298" s="24">
        <v>73</v>
      </c>
      <c r="M298" s="24">
        <v>106</v>
      </c>
      <c r="N298" s="24">
        <v>78</v>
      </c>
      <c r="O298" s="24">
        <v>250</v>
      </c>
      <c r="P298" s="24">
        <v>79</v>
      </c>
      <c r="Q298" s="24">
        <v>175</v>
      </c>
      <c r="R298" s="24">
        <v>75</v>
      </c>
      <c r="S298" s="24">
        <v>146</v>
      </c>
      <c r="T298" s="24">
        <v>75</v>
      </c>
      <c r="U298" s="24">
        <v>10</v>
      </c>
      <c r="V298" s="24">
        <v>488.5</v>
      </c>
      <c r="W298" s="24">
        <v>49</v>
      </c>
      <c r="X298" s="24">
        <v>297</v>
      </c>
      <c r="Y298" s="24">
        <v>498.5</v>
      </c>
      <c r="Z298" s="24">
        <v>217</v>
      </c>
      <c r="AA298" s="24">
        <v>-80</v>
      </c>
    </row>
    <row r="299" spans="1:27">
      <c r="A299" s="24" t="s">
        <v>1295</v>
      </c>
      <c r="B299" s="24" t="s">
        <v>54</v>
      </c>
      <c r="C299" s="24" t="s">
        <v>55</v>
      </c>
      <c r="D299" s="24">
        <v>121</v>
      </c>
      <c r="E299" s="24">
        <v>13</v>
      </c>
      <c r="F299" s="24">
        <v>76</v>
      </c>
      <c r="G299" s="24">
        <v>391</v>
      </c>
      <c r="H299" s="24">
        <v>103.5</v>
      </c>
      <c r="I299" s="24">
        <v>200</v>
      </c>
      <c r="J299" s="24">
        <v>55</v>
      </c>
      <c r="K299" s="24">
        <v>694</v>
      </c>
      <c r="L299" s="24">
        <v>56</v>
      </c>
      <c r="M299" s="24">
        <v>433</v>
      </c>
      <c r="N299" s="24">
        <v>77</v>
      </c>
      <c r="O299" s="24">
        <v>275</v>
      </c>
      <c r="P299" s="24">
        <v>82</v>
      </c>
      <c r="Q299" s="24">
        <v>100</v>
      </c>
      <c r="R299" s="24">
        <v>63</v>
      </c>
      <c r="S299" s="24">
        <v>633</v>
      </c>
      <c r="T299" s="24">
        <v>47</v>
      </c>
      <c r="U299" s="24">
        <v>719</v>
      </c>
      <c r="V299" s="24">
        <v>488.5</v>
      </c>
      <c r="W299" s="24">
        <v>13</v>
      </c>
      <c r="X299" s="24">
        <v>297</v>
      </c>
      <c r="Y299" s="24">
        <v>469</v>
      </c>
      <c r="Z299" s="24">
        <v>372</v>
      </c>
      <c r="AA299" s="24">
        <v>75</v>
      </c>
    </row>
    <row r="300" spans="1:27">
      <c r="A300" s="24" t="s">
        <v>435</v>
      </c>
      <c r="B300" s="24" t="s">
        <v>19</v>
      </c>
      <c r="C300" s="24" t="s">
        <v>436</v>
      </c>
      <c r="D300" s="24">
        <v>96</v>
      </c>
      <c r="E300" s="24">
        <v>676</v>
      </c>
      <c r="F300" s="24">
        <v>71</v>
      </c>
      <c r="G300" s="24">
        <v>475</v>
      </c>
      <c r="H300" s="24">
        <v>107.5</v>
      </c>
      <c r="I300" s="24">
        <v>141</v>
      </c>
      <c r="J300" s="24">
        <v>78</v>
      </c>
      <c r="K300" s="24">
        <v>250</v>
      </c>
      <c r="L300" s="24">
        <v>62</v>
      </c>
      <c r="M300" s="24">
        <v>277</v>
      </c>
      <c r="N300" s="24">
        <v>74</v>
      </c>
      <c r="O300" s="24">
        <v>366</v>
      </c>
      <c r="P300" s="24">
        <v>67</v>
      </c>
      <c r="Q300" s="24">
        <v>570</v>
      </c>
      <c r="R300" s="24">
        <v>64</v>
      </c>
      <c r="S300" s="24">
        <v>586</v>
      </c>
      <c r="T300" s="24">
        <v>38</v>
      </c>
      <c r="U300" s="24">
        <v>905</v>
      </c>
      <c r="V300" s="24">
        <v>488.5</v>
      </c>
      <c r="W300" s="24">
        <v>13</v>
      </c>
      <c r="X300" s="24">
        <v>297</v>
      </c>
      <c r="Y300" s="24">
        <v>473</v>
      </c>
      <c r="Z300" s="24">
        <v>346</v>
      </c>
      <c r="AA300" s="24">
        <v>49</v>
      </c>
    </row>
    <row r="301" spans="1:27">
      <c r="A301" s="24" t="s">
        <v>724</v>
      </c>
      <c r="B301" s="24" t="s">
        <v>117</v>
      </c>
      <c r="C301" s="24" t="s">
        <v>725</v>
      </c>
      <c r="D301" s="24">
        <v>106</v>
      </c>
      <c r="E301" s="24">
        <v>287</v>
      </c>
      <c r="F301" s="24">
        <v>91</v>
      </c>
      <c r="G301" s="24">
        <v>176</v>
      </c>
      <c r="H301" s="24">
        <v>90.5</v>
      </c>
      <c r="I301" s="24">
        <v>471</v>
      </c>
      <c r="J301" s="24">
        <v>67</v>
      </c>
      <c r="K301" s="24">
        <v>468</v>
      </c>
      <c r="L301" s="24">
        <v>70</v>
      </c>
      <c r="M301" s="24">
        <v>136</v>
      </c>
      <c r="N301" s="24">
        <v>64</v>
      </c>
      <c r="O301" s="24">
        <v>667</v>
      </c>
      <c r="P301" s="24">
        <v>66</v>
      </c>
      <c r="Q301" s="24">
        <v>604</v>
      </c>
      <c r="R301" s="24">
        <v>64</v>
      </c>
      <c r="S301" s="24">
        <v>586</v>
      </c>
      <c r="T301" s="24">
        <v>50</v>
      </c>
      <c r="U301" s="24">
        <v>591</v>
      </c>
      <c r="V301" s="24">
        <v>488.5</v>
      </c>
      <c r="W301" s="24">
        <v>13</v>
      </c>
      <c r="X301" s="24">
        <v>297</v>
      </c>
      <c r="Y301" s="24">
        <v>485.5</v>
      </c>
      <c r="Z301" s="24">
        <v>285</v>
      </c>
      <c r="AA301" s="24">
        <v>-12</v>
      </c>
    </row>
    <row r="302" spans="1:27">
      <c r="A302" s="24" t="s">
        <v>757</v>
      </c>
      <c r="B302" s="24" t="s">
        <v>117</v>
      </c>
      <c r="C302" s="24" t="s">
        <v>758</v>
      </c>
      <c r="D302" s="24">
        <v>98</v>
      </c>
      <c r="E302" s="24">
        <v>611</v>
      </c>
      <c r="F302" s="24">
        <v>79</v>
      </c>
      <c r="G302" s="24">
        <v>342</v>
      </c>
      <c r="H302" s="24">
        <v>89.5</v>
      </c>
      <c r="I302" s="24">
        <v>494</v>
      </c>
      <c r="J302" s="24">
        <v>90</v>
      </c>
      <c r="K302" s="24">
        <v>90</v>
      </c>
      <c r="L302" s="24">
        <v>55</v>
      </c>
      <c r="M302" s="24">
        <v>470</v>
      </c>
      <c r="N302" s="24">
        <v>76</v>
      </c>
      <c r="O302" s="24">
        <v>308</v>
      </c>
      <c r="P302" s="24">
        <v>65</v>
      </c>
      <c r="Q302" s="24">
        <v>651</v>
      </c>
      <c r="R302" s="24">
        <v>68</v>
      </c>
      <c r="S302" s="24">
        <v>412</v>
      </c>
      <c r="T302" s="24">
        <v>56</v>
      </c>
      <c r="U302" s="24">
        <v>352</v>
      </c>
      <c r="V302" s="24">
        <v>487.5</v>
      </c>
      <c r="W302" s="24">
        <v>14</v>
      </c>
      <c r="X302" s="24">
        <v>301</v>
      </c>
      <c r="Y302" s="24">
        <v>468</v>
      </c>
      <c r="Z302" s="24">
        <v>380</v>
      </c>
      <c r="AA302" s="24">
        <v>79</v>
      </c>
    </row>
    <row r="303" spans="1:27">
      <c r="A303" s="24" t="s">
        <v>2444</v>
      </c>
      <c r="B303" s="24" t="s">
        <v>131</v>
      </c>
      <c r="C303" s="24" t="s">
        <v>2445</v>
      </c>
      <c r="D303" s="24">
        <v>103</v>
      </c>
      <c r="E303" s="24">
        <v>400</v>
      </c>
      <c r="F303" s="24">
        <v>72</v>
      </c>
      <c r="G303" s="24">
        <v>458</v>
      </c>
      <c r="H303" s="24">
        <v>88.5</v>
      </c>
      <c r="I303" s="24">
        <v>520</v>
      </c>
      <c r="J303" s="24">
        <v>88</v>
      </c>
      <c r="K303" s="24">
        <v>106</v>
      </c>
      <c r="L303" s="24">
        <v>62</v>
      </c>
      <c r="M303" s="24">
        <v>277</v>
      </c>
      <c r="N303" s="24">
        <v>74</v>
      </c>
      <c r="O303" s="24">
        <v>366</v>
      </c>
      <c r="P303" s="24">
        <v>56</v>
      </c>
      <c r="Q303" s="24">
        <v>849</v>
      </c>
      <c r="R303" s="24">
        <v>64</v>
      </c>
      <c r="S303" s="24">
        <v>586</v>
      </c>
      <c r="T303" s="24">
        <v>53</v>
      </c>
      <c r="U303" s="24">
        <v>470</v>
      </c>
      <c r="V303" s="24">
        <v>487.5</v>
      </c>
      <c r="W303" s="24">
        <v>12</v>
      </c>
      <c r="X303" s="24">
        <v>301</v>
      </c>
      <c r="Y303" s="24">
        <v>475</v>
      </c>
      <c r="Z303" s="24">
        <v>326</v>
      </c>
      <c r="AA303" s="24">
        <v>25</v>
      </c>
    </row>
    <row r="304" spans="1:27">
      <c r="A304" s="24" t="s">
        <v>2483</v>
      </c>
      <c r="B304" s="24" t="s">
        <v>131</v>
      </c>
      <c r="C304" s="24" t="s">
        <v>2484</v>
      </c>
      <c r="D304" s="24">
        <v>80</v>
      </c>
      <c r="E304" s="24">
        <v>909</v>
      </c>
      <c r="F304" s="24">
        <v>78</v>
      </c>
      <c r="G304" s="24">
        <v>353</v>
      </c>
      <c r="H304" s="24">
        <v>107.5</v>
      </c>
      <c r="I304" s="24">
        <v>141</v>
      </c>
      <c r="J304" s="24">
        <v>80</v>
      </c>
      <c r="K304" s="24">
        <v>207</v>
      </c>
      <c r="L304" s="24">
        <v>63</v>
      </c>
      <c r="M304" s="24">
        <v>262</v>
      </c>
      <c r="N304" s="24">
        <v>78</v>
      </c>
      <c r="O304" s="24">
        <v>250</v>
      </c>
      <c r="P304" s="24">
        <v>70</v>
      </c>
      <c r="Q304" s="24">
        <v>473</v>
      </c>
      <c r="R304" s="24">
        <v>65</v>
      </c>
      <c r="S304" s="24">
        <v>548</v>
      </c>
      <c r="T304" s="24">
        <v>68</v>
      </c>
      <c r="U304" s="24">
        <v>54</v>
      </c>
      <c r="V304" s="24">
        <v>486.5</v>
      </c>
      <c r="W304" s="24">
        <v>13</v>
      </c>
      <c r="X304" s="24">
        <v>303</v>
      </c>
      <c r="Y304" s="24">
        <v>491.5</v>
      </c>
      <c r="Z304" s="24">
        <v>255</v>
      </c>
      <c r="AA304" s="24">
        <v>-48</v>
      </c>
    </row>
    <row r="305" spans="1:27">
      <c r="A305" s="24" t="s">
        <v>429</v>
      </c>
      <c r="B305" s="24" t="s">
        <v>19</v>
      </c>
      <c r="C305" s="24" t="s">
        <v>430</v>
      </c>
      <c r="D305" s="24">
        <v>102</v>
      </c>
      <c r="E305" s="24">
        <v>442</v>
      </c>
      <c r="F305" s="24">
        <v>73</v>
      </c>
      <c r="G305" s="24">
        <v>438</v>
      </c>
      <c r="H305" s="24">
        <v>89.5</v>
      </c>
      <c r="I305" s="24">
        <v>494</v>
      </c>
      <c r="J305" s="24">
        <v>80</v>
      </c>
      <c r="K305" s="24">
        <v>207</v>
      </c>
      <c r="L305" s="24">
        <v>65</v>
      </c>
      <c r="M305" s="24">
        <v>223</v>
      </c>
      <c r="N305" s="24">
        <v>77</v>
      </c>
      <c r="O305" s="24">
        <v>275</v>
      </c>
      <c r="P305" s="24">
        <v>66</v>
      </c>
      <c r="Q305" s="24">
        <v>604</v>
      </c>
      <c r="R305" s="24">
        <v>63</v>
      </c>
      <c r="S305" s="24">
        <v>633</v>
      </c>
      <c r="T305" s="24">
        <v>53</v>
      </c>
      <c r="U305" s="24">
        <v>470</v>
      </c>
      <c r="V305" s="24">
        <v>486.5</v>
      </c>
      <c r="W305" s="24">
        <v>14</v>
      </c>
      <c r="X305" s="24">
        <v>303</v>
      </c>
      <c r="Y305" s="24">
        <v>473.5</v>
      </c>
      <c r="Z305" s="24">
        <v>342</v>
      </c>
      <c r="AA305" s="24">
        <v>39</v>
      </c>
    </row>
    <row r="306" spans="1:27">
      <c r="A306" s="24" t="s">
        <v>678</v>
      </c>
      <c r="B306" s="24" t="s">
        <v>17</v>
      </c>
      <c r="C306" s="24" t="s">
        <v>679</v>
      </c>
      <c r="D306" s="24">
        <v>93</v>
      </c>
      <c r="E306" s="24">
        <v>755</v>
      </c>
      <c r="F306" s="24">
        <v>97</v>
      </c>
      <c r="G306" s="24">
        <v>112</v>
      </c>
      <c r="H306" s="24">
        <v>51</v>
      </c>
      <c r="I306" s="24">
        <v>929</v>
      </c>
      <c r="J306" s="24">
        <v>72</v>
      </c>
      <c r="K306" s="24">
        <v>358</v>
      </c>
      <c r="L306" s="24">
        <v>86</v>
      </c>
      <c r="M306" s="24">
        <v>17</v>
      </c>
      <c r="N306" s="24">
        <v>87</v>
      </c>
      <c r="O306" s="24">
        <v>57</v>
      </c>
      <c r="P306" s="24">
        <v>80</v>
      </c>
      <c r="Q306" s="24">
        <v>151</v>
      </c>
      <c r="R306" s="24">
        <v>77</v>
      </c>
      <c r="S306" s="24">
        <v>102</v>
      </c>
      <c r="T306" s="24">
        <v>68</v>
      </c>
      <c r="U306" s="24">
        <v>54</v>
      </c>
      <c r="V306" s="24">
        <v>486</v>
      </c>
      <c r="W306" s="24">
        <v>16</v>
      </c>
      <c r="X306" s="24">
        <v>305</v>
      </c>
      <c r="Y306" s="24">
        <v>478.5</v>
      </c>
      <c r="Z306" s="24">
        <v>314</v>
      </c>
      <c r="AA306" s="24">
        <v>9</v>
      </c>
    </row>
    <row r="307" spans="1:27">
      <c r="A307" s="24" t="s">
        <v>2285</v>
      </c>
      <c r="B307" s="24" t="s">
        <v>7</v>
      </c>
      <c r="C307" s="24" t="s">
        <v>2286</v>
      </c>
      <c r="D307" s="24">
        <v>96</v>
      </c>
      <c r="E307" s="24">
        <v>676</v>
      </c>
      <c r="F307" s="24">
        <v>83</v>
      </c>
      <c r="G307" s="24">
        <v>267</v>
      </c>
      <c r="H307" s="24">
        <v>77</v>
      </c>
      <c r="I307" s="24">
        <v>741</v>
      </c>
      <c r="J307" s="24">
        <v>87</v>
      </c>
      <c r="K307" s="24">
        <v>114</v>
      </c>
      <c r="L307" s="24">
        <v>58</v>
      </c>
      <c r="M307" s="24">
        <v>377</v>
      </c>
      <c r="N307" s="24">
        <v>85</v>
      </c>
      <c r="O307" s="24">
        <v>96</v>
      </c>
      <c r="P307" s="24">
        <v>75</v>
      </c>
      <c r="Q307" s="24">
        <v>289</v>
      </c>
      <c r="R307" s="24">
        <v>72</v>
      </c>
      <c r="S307" s="24">
        <v>256</v>
      </c>
      <c r="T307" s="24">
        <v>55</v>
      </c>
      <c r="U307" s="24">
        <v>392</v>
      </c>
      <c r="V307" s="24">
        <v>486</v>
      </c>
      <c r="W307" s="24">
        <v>10</v>
      </c>
      <c r="X307" s="24">
        <v>305</v>
      </c>
      <c r="Y307" s="24">
        <v>508</v>
      </c>
      <c r="Z307" s="24">
        <v>176</v>
      </c>
      <c r="AA307" s="24">
        <v>-129</v>
      </c>
    </row>
    <row r="308" spans="1:27">
      <c r="A308" s="24" t="s">
        <v>877</v>
      </c>
      <c r="B308" s="24" t="s">
        <v>60</v>
      </c>
      <c r="C308" s="24" t="s">
        <v>878</v>
      </c>
      <c r="D308" s="24">
        <v>97</v>
      </c>
      <c r="E308" s="24">
        <v>645</v>
      </c>
      <c r="F308" s="24">
        <v>87</v>
      </c>
      <c r="G308" s="24">
        <v>220</v>
      </c>
      <c r="H308" s="24">
        <v>63</v>
      </c>
      <c r="I308" s="24">
        <v>896</v>
      </c>
      <c r="J308" s="24">
        <v>97</v>
      </c>
      <c r="K308" s="24">
        <v>37</v>
      </c>
      <c r="L308" s="24">
        <v>67</v>
      </c>
      <c r="M308" s="24">
        <v>177</v>
      </c>
      <c r="N308" s="24">
        <v>75</v>
      </c>
      <c r="O308" s="24">
        <v>342</v>
      </c>
      <c r="P308" s="24">
        <v>59</v>
      </c>
      <c r="Q308" s="24">
        <v>799</v>
      </c>
      <c r="R308" s="24">
        <v>81</v>
      </c>
      <c r="S308" s="24">
        <v>42</v>
      </c>
      <c r="T308" s="24">
        <v>41</v>
      </c>
      <c r="U308" s="24">
        <v>866</v>
      </c>
      <c r="V308" s="24">
        <v>486</v>
      </c>
      <c r="W308" s="24">
        <v>15</v>
      </c>
      <c r="X308" s="24">
        <v>305</v>
      </c>
      <c r="Y308" s="24">
        <v>464.5</v>
      </c>
      <c r="Z308" s="24">
        <v>392</v>
      </c>
      <c r="AA308" s="24">
        <v>87</v>
      </c>
    </row>
    <row r="309" spans="1:27">
      <c r="A309" s="24" t="s">
        <v>1925</v>
      </c>
      <c r="B309" s="24" t="s">
        <v>34</v>
      </c>
      <c r="C309" s="24" t="s">
        <v>1926</v>
      </c>
      <c r="D309" s="24">
        <v>113</v>
      </c>
      <c r="E309" s="24">
        <v>95</v>
      </c>
      <c r="F309" s="24">
        <v>75</v>
      </c>
      <c r="G309" s="24">
        <v>409</v>
      </c>
      <c r="H309" s="24">
        <v>95</v>
      </c>
      <c r="I309" s="24">
        <v>364</v>
      </c>
      <c r="J309" s="24">
        <v>72</v>
      </c>
      <c r="K309" s="24">
        <v>358</v>
      </c>
      <c r="L309" s="24">
        <v>62</v>
      </c>
      <c r="M309" s="24">
        <v>277</v>
      </c>
      <c r="N309" s="24">
        <v>69</v>
      </c>
      <c r="O309" s="24">
        <v>523</v>
      </c>
      <c r="P309" s="24">
        <v>88</v>
      </c>
      <c r="Q309" s="24">
        <v>15</v>
      </c>
      <c r="R309" s="24">
        <v>74</v>
      </c>
      <c r="S309" s="24">
        <v>174</v>
      </c>
      <c r="T309" s="24">
        <v>64</v>
      </c>
      <c r="U309" s="24">
        <v>103</v>
      </c>
      <c r="V309" s="24">
        <v>486</v>
      </c>
      <c r="W309" s="24">
        <v>12</v>
      </c>
      <c r="X309" s="24">
        <v>305</v>
      </c>
      <c r="Y309" s="24">
        <v>490.5</v>
      </c>
      <c r="Z309" s="24">
        <v>256</v>
      </c>
      <c r="AA309" s="24">
        <v>-49</v>
      </c>
    </row>
    <row r="310" spans="1:27">
      <c r="A310" s="24" t="s">
        <v>2668</v>
      </c>
      <c r="B310" s="24" t="s">
        <v>49</v>
      </c>
      <c r="C310" s="24" t="s">
        <v>2669</v>
      </c>
      <c r="D310" s="24">
        <v>115</v>
      </c>
      <c r="E310" s="24">
        <v>65</v>
      </c>
      <c r="F310" s="24">
        <v>60</v>
      </c>
      <c r="G310" s="24">
        <v>696</v>
      </c>
      <c r="H310" s="24">
        <v>104.5</v>
      </c>
      <c r="I310" s="24">
        <v>177</v>
      </c>
      <c r="J310" s="24">
        <v>82</v>
      </c>
      <c r="K310" s="24">
        <v>174</v>
      </c>
      <c r="L310" s="24">
        <v>58</v>
      </c>
      <c r="M310" s="24">
        <v>377</v>
      </c>
      <c r="N310" s="24">
        <v>66</v>
      </c>
      <c r="O310" s="24">
        <v>611</v>
      </c>
      <c r="P310" s="24">
        <v>66</v>
      </c>
      <c r="Q310" s="24">
        <v>604</v>
      </c>
      <c r="R310" s="24">
        <v>69</v>
      </c>
      <c r="S310" s="24">
        <v>367</v>
      </c>
      <c r="T310" s="24">
        <v>44</v>
      </c>
      <c r="U310" s="24">
        <v>804</v>
      </c>
      <c r="V310" s="24">
        <v>485.5</v>
      </c>
      <c r="W310" s="24">
        <v>22</v>
      </c>
      <c r="X310" s="24">
        <v>309</v>
      </c>
      <c r="Y310" s="24">
        <v>468.5</v>
      </c>
      <c r="Z310" s="24">
        <v>377</v>
      </c>
      <c r="AA310" s="24">
        <v>68</v>
      </c>
    </row>
    <row r="311" spans="1:27">
      <c r="A311" s="24" t="s">
        <v>631</v>
      </c>
      <c r="B311" s="24" t="s">
        <v>17</v>
      </c>
      <c r="C311" s="24" t="s">
        <v>632</v>
      </c>
      <c r="D311" s="24">
        <v>89</v>
      </c>
      <c r="E311" s="24">
        <v>835</v>
      </c>
      <c r="F311" s="24">
        <v>89</v>
      </c>
      <c r="G311" s="24">
        <v>196</v>
      </c>
      <c r="H311" s="24">
        <v>98</v>
      </c>
      <c r="I311" s="24">
        <v>294</v>
      </c>
      <c r="J311" s="24">
        <v>69</v>
      </c>
      <c r="K311" s="24">
        <v>428</v>
      </c>
      <c r="L311" s="24">
        <v>55</v>
      </c>
      <c r="M311" s="24">
        <v>470</v>
      </c>
      <c r="N311" s="24">
        <v>85</v>
      </c>
      <c r="O311" s="24">
        <v>96</v>
      </c>
      <c r="P311" s="24">
        <v>69</v>
      </c>
      <c r="Q311" s="24">
        <v>504</v>
      </c>
      <c r="R311" s="24">
        <v>68</v>
      </c>
      <c r="S311" s="24">
        <v>412</v>
      </c>
      <c r="T311" s="24">
        <v>60</v>
      </c>
      <c r="U311" s="24">
        <v>203</v>
      </c>
      <c r="V311" s="24">
        <v>485</v>
      </c>
      <c r="W311" s="24">
        <v>17</v>
      </c>
      <c r="X311" s="24">
        <v>310</v>
      </c>
      <c r="Y311" s="24">
        <v>484</v>
      </c>
      <c r="Z311" s="24">
        <v>289</v>
      </c>
      <c r="AA311" s="24">
        <v>-21</v>
      </c>
    </row>
    <row r="312" spans="1:27">
      <c r="A312" s="24" t="s">
        <v>1332</v>
      </c>
      <c r="B312" s="24" t="s">
        <v>54</v>
      </c>
      <c r="C312" s="24" t="s">
        <v>1333</v>
      </c>
      <c r="D312" s="24">
        <v>113</v>
      </c>
      <c r="E312" s="24">
        <v>95</v>
      </c>
      <c r="F312" s="24">
        <v>66</v>
      </c>
      <c r="G312" s="24">
        <v>584</v>
      </c>
      <c r="H312" s="24">
        <v>104</v>
      </c>
      <c r="I312" s="24">
        <v>188</v>
      </c>
      <c r="J312" s="24">
        <v>66</v>
      </c>
      <c r="K312" s="24">
        <v>484</v>
      </c>
      <c r="L312" s="24">
        <v>55</v>
      </c>
      <c r="M312" s="24">
        <v>470</v>
      </c>
      <c r="N312" s="24">
        <v>81</v>
      </c>
      <c r="O312" s="24">
        <v>183</v>
      </c>
      <c r="P312" s="24">
        <v>64</v>
      </c>
      <c r="Q312" s="24">
        <v>680</v>
      </c>
      <c r="R312" s="24">
        <v>74</v>
      </c>
      <c r="S312" s="24">
        <v>174</v>
      </c>
      <c r="T312" s="24">
        <v>49</v>
      </c>
      <c r="U312" s="24">
        <v>633</v>
      </c>
      <c r="V312" s="24">
        <v>485</v>
      </c>
      <c r="W312" s="24">
        <v>14</v>
      </c>
      <c r="X312" s="24">
        <v>310</v>
      </c>
      <c r="Y312" s="24">
        <v>449.5</v>
      </c>
      <c r="Z312" s="24">
        <v>468</v>
      </c>
      <c r="AA312" s="24">
        <v>158</v>
      </c>
    </row>
    <row r="313" spans="1:27">
      <c r="A313" s="24" t="s">
        <v>447</v>
      </c>
      <c r="B313" s="24" t="s">
        <v>19</v>
      </c>
      <c r="C313" s="24" t="s">
        <v>448</v>
      </c>
      <c r="D313" s="24">
        <v>119</v>
      </c>
      <c r="E313" s="24">
        <v>30</v>
      </c>
      <c r="F313" s="24">
        <v>74</v>
      </c>
      <c r="G313" s="24">
        <v>424</v>
      </c>
      <c r="H313" s="24">
        <v>116.5</v>
      </c>
      <c r="I313" s="24">
        <v>46</v>
      </c>
      <c r="J313" s="24">
        <v>61</v>
      </c>
      <c r="K313" s="24">
        <v>587</v>
      </c>
      <c r="L313" s="24">
        <v>47</v>
      </c>
      <c r="M313" s="24">
        <v>673</v>
      </c>
      <c r="N313" s="24">
        <v>67</v>
      </c>
      <c r="O313" s="24">
        <v>587</v>
      </c>
      <c r="P313" s="24">
        <v>84</v>
      </c>
      <c r="Q313" s="24">
        <v>59</v>
      </c>
      <c r="R313" s="24">
        <v>73</v>
      </c>
      <c r="S313" s="24">
        <v>216</v>
      </c>
      <c r="T313" s="24">
        <v>58</v>
      </c>
      <c r="U313" s="24">
        <v>278</v>
      </c>
      <c r="V313" s="24">
        <v>484.5</v>
      </c>
      <c r="W313" s="24">
        <v>15</v>
      </c>
      <c r="X313" s="24">
        <v>312</v>
      </c>
      <c r="Y313" s="24">
        <v>473</v>
      </c>
      <c r="Z313" s="24">
        <v>346</v>
      </c>
      <c r="AA313" s="24">
        <v>34</v>
      </c>
    </row>
    <row r="314" spans="1:27">
      <c r="A314" s="24" t="s">
        <v>941</v>
      </c>
      <c r="B314" s="24" t="s">
        <v>60</v>
      </c>
      <c r="C314" s="24" t="s">
        <v>1692</v>
      </c>
      <c r="D314" s="24">
        <v>112</v>
      </c>
      <c r="E314" s="24">
        <v>114</v>
      </c>
      <c r="F314" s="24">
        <v>76</v>
      </c>
      <c r="G314" s="24">
        <v>391</v>
      </c>
      <c r="H314" s="24">
        <v>106.5</v>
      </c>
      <c r="I314" s="24">
        <v>156</v>
      </c>
      <c r="J314" s="24">
        <v>60</v>
      </c>
      <c r="K314" s="24">
        <v>607</v>
      </c>
      <c r="L314" s="24">
        <v>67</v>
      </c>
      <c r="M314" s="24">
        <v>177</v>
      </c>
      <c r="N314" s="24">
        <v>63</v>
      </c>
      <c r="O314" s="24">
        <v>692</v>
      </c>
      <c r="P314" s="24">
        <v>76</v>
      </c>
      <c r="Q314" s="24">
        <v>260</v>
      </c>
      <c r="R314" s="24">
        <v>66</v>
      </c>
      <c r="S314" s="24">
        <v>511</v>
      </c>
      <c r="T314" s="24">
        <v>48</v>
      </c>
      <c r="U314" s="24">
        <v>671</v>
      </c>
      <c r="V314" s="24">
        <v>484.5</v>
      </c>
      <c r="W314" s="24">
        <v>16</v>
      </c>
      <c r="X314" s="24">
        <v>312</v>
      </c>
      <c r="Y314" s="24">
        <v>500</v>
      </c>
      <c r="Z314" s="24">
        <v>211</v>
      </c>
      <c r="AA314" s="24">
        <v>-101</v>
      </c>
    </row>
    <row r="315" spans="1:27">
      <c r="A315" s="24" t="s">
        <v>1110</v>
      </c>
      <c r="B315" s="24" t="s">
        <v>68</v>
      </c>
      <c r="C315" s="24" t="s">
        <v>1659</v>
      </c>
      <c r="D315" s="24">
        <v>86</v>
      </c>
      <c r="E315" s="24">
        <v>867</v>
      </c>
      <c r="F315" s="24">
        <v>86</v>
      </c>
      <c r="G315" s="24">
        <v>233</v>
      </c>
      <c r="H315" s="24">
        <v>99</v>
      </c>
      <c r="I315" s="24">
        <v>277</v>
      </c>
      <c r="J315" s="24">
        <v>82</v>
      </c>
      <c r="K315" s="24">
        <v>174</v>
      </c>
      <c r="L315" s="24">
        <v>59</v>
      </c>
      <c r="M315" s="24">
        <v>348</v>
      </c>
      <c r="N315" s="24">
        <v>72</v>
      </c>
      <c r="O315" s="24">
        <v>433</v>
      </c>
      <c r="P315" s="24">
        <v>60</v>
      </c>
      <c r="Q315" s="24">
        <v>777</v>
      </c>
      <c r="R315" s="24">
        <v>56</v>
      </c>
      <c r="S315" s="24">
        <v>817</v>
      </c>
      <c r="T315" s="24">
        <v>46</v>
      </c>
      <c r="U315" s="24">
        <v>755</v>
      </c>
      <c r="V315" s="24">
        <v>484</v>
      </c>
      <c r="W315" s="24">
        <v>15</v>
      </c>
      <c r="X315" s="24">
        <v>314</v>
      </c>
      <c r="Y315" s="24">
        <v>457.5</v>
      </c>
      <c r="Z315" s="24">
        <v>424</v>
      </c>
      <c r="AA315" s="24">
        <v>110</v>
      </c>
    </row>
    <row r="316" spans="1:27">
      <c r="A316" s="24" t="s">
        <v>1135</v>
      </c>
      <c r="B316" s="24" t="s">
        <v>68</v>
      </c>
      <c r="C316" s="24" t="s">
        <v>1136</v>
      </c>
      <c r="D316" s="24">
        <v>116</v>
      </c>
      <c r="E316" s="24">
        <v>47</v>
      </c>
      <c r="F316" s="24">
        <v>85</v>
      </c>
      <c r="G316" s="24">
        <v>244</v>
      </c>
      <c r="H316" s="24">
        <v>88</v>
      </c>
      <c r="I316" s="24">
        <v>535</v>
      </c>
      <c r="J316" s="24">
        <v>67</v>
      </c>
      <c r="K316" s="24">
        <v>468</v>
      </c>
      <c r="L316" s="24">
        <v>57</v>
      </c>
      <c r="M316" s="24">
        <v>409</v>
      </c>
      <c r="N316" s="24">
        <v>71</v>
      </c>
      <c r="O316" s="24">
        <v>462</v>
      </c>
      <c r="P316" s="24">
        <v>76</v>
      </c>
      <c r="Q316" s="24">
        <v>260</v>
      </c>
      <c r="R316" s="24">
        <v>76</v>
      </c>
      <c r="S316" s="24">
        <v>125</v>
      </c>
      <c r="T316" s="24">
        <v>59</v>
      </c>
      <c r="U316" s="24">
        <v>233</v>
      </c>
      <c r="V316" s="24">
        <v>484</v>
      </c>
      <c r="W316" s="24">
        <v>15</v>
      </c>
      <c r="X316" s="24">
        <v>314</v>
      </c>
      <c r="Y316" s="24">
        <v>484</v>
      </c>
      <c r="Z316" s="24">
        <v>289</v>
      </c>
      <c r="AA316" s="24">
        <v>-25</v>
      </c>
    </row>
    <row r="317" spans="1:27">
      <c r="A317" s="24" t="s">
        <v>938</v>
      </c>
      <c r="B317" s="24" t="s">
        <v>60</v>
      </c>
      <c r="C317" s="24" t="s">
        <v>939</v>
      </c>
      <c r="D317" s="24">
        <v>108</v>
      </c>
      <c r="E317" s="24">
        <v>212</v>
      </c>
      <c r="F317" s="24">
        <v>64</v>
      </c>
      <c r="G317" s="24">
        <v>627</v>
      </c>
      <c r="H317" s="24">
        <v>90</v>
      </c>
      <c r="I317" s="24">
        <v>482</v>
      </c>
      <c r="J317" s="24">
        <v>84</v>
      </c>
      <c r="K317" s="24">
        <v>147</v>
      </c>
      <c r="L317" s="24">
        <v>68</v>
      </c>
      <c r="M317" s="24">
        <v>165</v>
      </c>
      <c r="N317" s="24">
        <v>70</v>
      </c>
      <c r="O317" s="24">
        <v>485</v>
      </c>
      <c r="P317" s="24">
        <v>65</v>
      </c>
      <c r="Q317" s="24">
        <v>651</v>
      </c>
      <c r="R317" s="24">
        <v>58</v>
      </c>
      <c r="S317" s="24">
        <v>770</v>
      </c>
      <c r="T317" s="24">
        <v>53</v>
      </c>
      <c r="U317" s="24">
        <v>470</v>
      </c>
      <c r="V317" s="24">
        <v>484</v>
      </c>
      <c r="W317" s="24">
        <v>17</v>
      </c>
      <c r="X317" s="24">
        <v>314</v>
      </c>
      <c r="Y317" s="24">
        <v>497</v>
      </c>
      <c r="Z317" s="24">
        <v>225</v>
      </c>
      <c r="AA317" s="24">
        <v>-89</v>
      </c>
    </row>
    <row r="318" spans="1:27">
      <c r="A318" s="24" t="s">
        <v>1101</v>
      </c>
      <c r="B318" s="24" t="s">
        <v>68</v>
      </c>
      <c r="C318" s="24" t="s">
        <v>1102</v>
      </c>
      <c r="D318" s="24">
        <v>98</v>
      </c>
      <c r="E318" s="24">
        <v>611</v>
      </c>
      <c r="F318" s="24">
        <v>81</v>
      </c>
      <c r="G318" s="24">
        <v>309</v>
      </c>
      <c r="H318" s="24">
        <v>83</v>
      </c>
      <c r="I318" s="24">
        <v>643</v>
      </c>
      <c r="J318" s="24">
        <v>89</v>
      </c>
      <c r="K318" s="24">
        <v>97</v>
      </c>
      <c r="L318" s="24">
        <v>64</v>
      </c>
      <c r="M318" s="24">
        <v>244</v>
      </c>
      <c r="N318" s="24">
        <v>69</v>
      </c>
      <c r="O318" s="24">
        <v>523</v>
      </c>
      <c r="P318" s="24">
        <v>26</v>
      </c>
      <c r="Q318" s="24">
        <v>935</v>
      </c>
      <c r="R318" s="24">
        <v>47</v>
      </c>
      <c r="S318" s="24">
        <v>916</v>
      </c>
      <c r="T318" s="24">
        <v>30</v>
      </c>
      <c r="U318" s="24">
        <v>932</v>
      </c>
      <c r="V318" s="24">
        <v>484</v>
      </c>
      <c r="W318" s="24">
        <v>15</v>
      </c>
      <c r="X318" s="24">
        <v>314</v>
      </c>
      <c r="Y318" s="24">
        <v>460</v>
      </c>
      <c r="Z318" s="24">
        <v>414</v>
      </c>
      <c r="AA318" s="24">
        <v>100</v>
      </c>
    </row>
    <row r="319" spans="1:27">
      <c r="A319" s="24" t="s">
        <v>999</v>
      </c>
      <c r="B319" s="24" t="s">
        <v>60</v>
      </c>
      <c r="C319" s="24" t="s">
        <v>1000</v>
      </c>
      <c r="D319" s="24">
        <v>107</v>
      </c>
      <c r="E319" s="24">
        <v>242</v>
      </c>
      <c r="F319" s="24">
        <v>94</v>
      </c>
      <c r="G319" s="24">
        <v>141</v>
      </c>
      <c r="H319" s="24">
        <v>95</v>
      </c>
      <c r="I319" s="24">
        <v>364</v>
      </c>
      <c r="J319" s="24">
        <v>67</v>
      </c>
      <c r="K319" s="24">
        <v>468</v>
      </c>
      <c r="L319" s="24">
        <v>56</v>
      </c>
      <c r="M319" s="24">
        <v>433</v>
      </c>
      <c r="N319" s="24">
        <v>65</v>
      </c>
      <c r="O319" s="24">
        <v>643</v>
      </c>
      <c r="P319" s="24">
        <v>73</v>
      </c>
      <c r="Q319" s="24">
        <v>359</v>
      </c>
      <c r="R319" s="24">
        <v>60</v>
      </c>
      <c r="S319" s="24">
        <v>727</v>
      </c>
      <c r="T319" s="24">
        <v>52</v>
      </c>
      <c r="U319" s="24">
        <v>509</v>
      </c>
      <c r="V319" s="24">
        <v>484</v>
      </c>
      <c r="W319" s="24">
        <v>17</v>
      </c>
      <c r="X319" s="24">
        <v>314</v>
      </c>
      <c r="Y319" s="24">
        <v>453.5</v>
      </c>
      <c r="Z319" s="24">
        <v>446</v>
      </c>
      <c r="AA319" s="24">
        <v>132</v>
      </c>
    </row>
    <row r="320" spans="1:27">
      <c r="A320" s="24" t="s">
        <v>2894</v>
      </c>
      <c r="B320" s="24" t="s">
        <v>38</v>
      </c>
      <c r="C320" s="24" t="s">
        <v>203</v>
      </c>
      <c r="D320" s="24">
        <v>112</v>
      </c>
      <c r="E320" s="24">
        <v>114</v>
      </c>
      <c r="F320" s="24">
        <v>70</v>
      </c>
      <c r="G320" s="24">
        <v>505</v>
      </c>
      <c r="H320" s="24">
        <v>108.5</v>
      </c>
      <c r="I320" s="24">
        <v>123</v>
      </c>
      <c r="J320" s="24">
        <v>69</v>
      </c>
      <c r="K320" s="24">
        <v>428</v>
      </c>
      <c r="L320" s="24">
        <v>55</v>
      </c>
      <c r="M320" s="24">
        <v>470</v>
      </c>
      <c r="N320" s="24">
        <v>69</v>
      </c>
      <c r="O320" s="24">
        <v>523</v>
      </c>
      <c r="P320" s="24">
        <v>69</v>
      </c>
      <c r="Q320" s="24">
        <v>504</v>
      </c>
      <c r="R320" s="24">
        <v>75</v>
      </c>
      <c r="S320" s="24">
        <v>146</v>
      </c>
      <c r="T320" s="24">
        <v>48</v>
      </c>
      <c r="U320" s="24">
        <v>671</v>
      </c>
      <c r="V320" s="24">
        <v>483.5</v>
      </c>
      <c r="W320" s="24">
        <v>10</v>
      </c>
      <c r="X320" s="24">
        <v>319</v>
      </c>
      <c r="Y320" s="24">
        <v>475.5</v>
      </c>
      <c r="Z320" s="24">
        <v>323</v>
      </c>
      <c r="AA320" s="24">
        <v>4</v>
      </c>
    </row>
    <row r="321" spans="1:27">
      <c r="A321" s="24" t="s">
        <v>2171</v>
      </c>
      <c r="B321" s="24" t="s">
        <v>73</v>
      </c>
      <c r="C321" s="24" t="s">
        <v>2172</v>
      </c>
      <c r="D321" s="24">
        <v>100</v>
      </c>
      <c r="E321" s="24">
        <v>528</v>
      </c>
      <c r="F321" s="24">
        <v>91</v>
      </c>
      <c r="G321" s="24">
        <v>176</v>
      </c>
      <c r="H321" s="24">
        <v>92.5</v>
      </c>
      <c r="I321" s="24">
        <v>414</v>
      </c>
      <c r="J321" s="24">
        <v>74</v>
      </c>
      <c r="K321" s="24">
        <v>317</v>
      </c>
      <c r="L321" s="24">
        <v>59</v>
      </c>
      <c r="M321" s="24">
        <v>348</v>
      </c>
      <c r="N321" s="24">
        <v>67</v>
      </c>
      <c r="O321" s="24">
        <v>587</v>
      </c>
      <c r="P321" s="24">
        <v>72</v>
      </c>
      <c r="Q321" s="24">
        <v>396</v>
      </c>
      <c r="R321" s="24">
        <v>64</v>
      </c>
      <c r="S321" s="24">
        <v>586</v>
      </c>
      <c r="T321" s="24">
        <v>60</v>
      </c>
      <c r="U321" s="24">
        <v>203</v>
      </c>
      <c r="V321" s="24">
        <v>483.5</v>
      </c>
      <c r="W321" s="24">
        <v>13</v>
      </c>
      <c r="X321" s="24">
        <v>319</v>
      </c>
      <c r="Y321" s="24">
        <v>495.5</v>
      </c>
      <c r="Z321" s="24">
        <v>231</v>
      </c>
      <c r="AA321" s="24">
        <v>-88</v>
      </c>
    </row>
    <row r="322" spans="1:27">
      <c r="A322" s="24" t="s">
        <v>226</v>
      </c>
      <c r="B322" s="24" t="s">
        <v>28</v>
      </c>
      <c r="C322" s="24" t="s">
        <v>227</v>
      </c>
      <c r="D322" s="24">
        <v>114</v>
      </c>
      <c r="E322" s="24">
        <v>80</v>
      </c>
      <c r="F322" s="24">
        <v>54</v>
      </c>
      <c r="G322" s="24">
        <v>782</v>
      </c>
      <c r="H322" s="24">
        <v>98</v>
      </c>
      <c r="I322" s="24">
        <v>294</v>
      </c>
      <c r="J322" s="24">
        <v>71</v>
      </c>
      <c r="K322" s="24">
        <v>378</v>
      </c>
      <c r="L322" s="24">
        <v>61</v>
      </c>
      <c r="M322" s="24">
        <v>300</v>
      </c>
      <c r="N322" s="24">
        <v>85</v>
      </c>
      <c r="O322" s="24">
        <v>96</v>
      </c>
      <c r="P322" s="24">
        <v>67</v>
      </c>
      <c r="Q322" s="24">
        <v>570</v>
      </c>
      <c r="R322" s="24">
        <v>90</v>
      </c>
      <c r="S322" s="24">
        <v>1</v>
      </c>
      <c r="T322" s="24">
        <v>53</v>
      </c>
      <c r="U322" s="24">
        <v>470</v>
      </c>
      <c r="V322" s="24">
        <v>483</v>
      </c>
      <c r="W322" s="24">
        <v>14</v>
      </c>
      <c r="X322" s="24">
        <v>321</v>
      </c>
      <c r="Y322" s="24">
        <v>500.5</v>
      </c>
      <c r="Z322" s="24">
        <v>207</v>
      </c>
      <c r="AA322" s="24">
        <v>-114</v>
      </c>
    </row>
    <row r="323" spans="1:27">
      <c r="A323" s="24" t="s">
        <v>825</v>
      </c>
      <c r="B323" s="24" t="s">
        <v>117</v>
      </c>
      <c r="C323" s="24" t="s">
        <v>122</v>
      </c>
      <c r="D323" s="24">
        <v>102</v>
      </c>
      <c r="E323" s="24">
        <v>442</v>
      </c>
      <c r="F323" s="24">
        <v>66</v>
      </c>
      <c r="G323" s="24">
        <v>584</v>
      </c>
      <c r="H323" s="24">
        <v>118</v>
      </c>
      <c r="I323" s="24">
        <v>40</v>
      </c>
      <c r="J323" s="24">
        <v>80</v>
      </c>
      <c r="K323" s="24">
        <v>207</v>
      </c>
      <c r="L323" s="24">
        <v>55</v>
      </c>
      <c r="M323" s="24">
        <v>470</v>
      </c>
      <c r="N323" s="24">
        <v>62</v>
      </c>
      <c r="O323" s="24">
        <v>716</v>
      </c>
      <c r="P323" s="24">
        <v>75</v>
      </c>
      <c r="Q323" s="24">
        <v>289</v>
      </c>
      <c r="R323" s="24">
        <v>79</v>
      </c>
      <c r="S323" s="24">
        <v>73</v>
      </c>
      <c r="T323" s="24">
        <v>62</v>
      </c>
      <c r="U323" s="24">
        <v>146</v>
      </c>
      <c r="V323" s="24">
        <v>483</v>
      </c>
      <c r="W323" s="24">
        <v>15</v>
      </c>
      <c r="X323" s="24">
        <v>321</v>
      </c>
      <c r="Y323" s="24">
        <v>529.5</v>
      </c>
      <c r="Z323" s="24">
        <v>106</v>
      </c>
      <c r="AA323" s="24">
        <v>-215</v>
      </c>
    </row>
    <row r="324" spans="1:27">
      <c r="A324" s="24" t="s">
        <v>1420</v>
      </c>
      <c r="B324" s="24" t="s">
        <v>56</v>
      </c>
      <c r="C324" s="24" t="s">
        <v>1421</v>
      </c>
      <c r="D324" s="24">
        <v>108</v>
      </c>
      <c r="E324" s="24">
        <v>212</v>
      </c>
      <c r="F324" s="24">
        <v>68</v>
      </c>
      <c r="G324" s="24">
        <v>540</v>
      </c>
      <c r="H324" s="24">
        <v>74.5</v>
      </c>
      <c r="I324" s="24">
        <v>785</v>
      </c>
      <c r="J324" s="24">
        <v>87</v>
      </c>
      <c r="K324" s="24">
        <v>114</v>
      </c>
      <c r="L324" s="24">
        <v>66</v>
      </c>
      <c r="M324" s="24">
        <v>204</v>
      </c>
      <c r="N324" s="24">
        <v>79</v>
      </c>
      <c r="O324" s="24">
        <v>229</v>
      </c>
      <c r="P324" s="24">
        <v>76</v>
      </c>
      <c r="Q324" s="24">
        <v>260</v>
      </c>
      <c r="R324" s="24">
        <v>74</v>
      </c>
      <c r="S324" s="24">
        <v>174</v>
      </c>
      <c r="T324" s="24">
        <v>52</v>
      </c>
      <c r="U324" s="24">
        <v>509</v>
      </c>
      <c r="V324" s="24">
        <v>482.5</v>
      </c>
      <c r="W324" s="24">
        <v>14</v>
      </c>
      <c r="X324" s="24">
        <v>323</v>
      </c>
      <c r="Y324" s="24">
        <v>433.5</v>
      </c>
      <c r="Z324" s="24">
        <v>554</v>
      </c>
      <c r="AA324" s="24">
        <v>231</v>
      </c>
    </row>
    <row r="325" spans="1:27">
      <c r="A325" s="24" t="s">
        <v>518</v>
      </c>
      <c r="B325" s="24" t="s">
        <v>19</v>
      </c>
      <c r="C325" s="24" t="s">
        <v>528</v>
      </c>
      <c r="D325" s="24">
        <v>88</v>
      </c>
      <c r="E325" s="24">
        <v>851</v>
      </c>
      <c r="F325" s="24">
        <v>75</v>
      </c>
      <c r="G325" s="24">
        <v>409</v>
      </c>
      <c r="H325" s="24">
        <v>86.5</v>
      </c>
      <c r="I325" s="24">
        <v>566</v>
      </c>
      <c r="J325" s="24">
        <v>97</v>
      </c>
      <c r="K325" s="24">
        <v>37</v>
      </c>
      <c r="L325" s="24">
        <v>60</v>
      </c>
      <c r="M325" s="24">
        <v>322</v>
      </c>
      <c r="N325" s="24">
        <v>76</v>
      </c>
      <c r="O325" s="24">
        <v>308</v>
      </c>
      <c r="P325" s="24">
        <v>58</v>
      </c>
      <c r="Q325" s="24">
        <v>820</v>
      </c>
      <c r="R325" s="24">
        <v>64</v>
      </c>
      <c r="S325" s="24">
        <v>586</v>
      </c>
      <c r="T325" s="24">
        <v>63</v>
      </c>
      <c r="U325" s="24">
        <v>123</v>
      </c>
      <c r="V325" s="24">
        <v>482.5</v>
      </c>
      <c r="W325" s="24">
        <v>16</v>
      </c>
      <c r="X325" s="24">
        <v>323</v>
      </c>
      <c r="Y325" s="24">
        <v>479</v>
      </c>
      <c r="Z325" s="24">
        <v>313</v>
      </c>
      <c r="AA325" s="24">
        <v>-10</v>
      </c>
    </row>
    <row r="326" spans="1:27">
      <c r="A326" s="24" t="s">
        <v>622</v>
      </c>
      <c r="B326" s="24" t="s">
        <v>17</v>
      </c>
      <c r="C326" s="24" t="s">
        <v>623</v>
      </c>
      <c r="D326" s="24">
        <v>93</v>
      </c>
      <c r="E326" s="24">
        <v>755</v>
      </c>
      <c r="F326" s="24">
        <v>70</v>
      </c>
      <c r="G326" s="24">
        <v>505</v>
      </c>
      <c r="H326" s="24">
        <v>95.5</v>
      </c>
      <c r="I326" s="24">
        <v>357</v>
      </c>
      <c r="J326" s="24">
        <v>77</v>
      </c>
      <c r="K326" s="24">
        <v>274</v>
      </c>
      <c r="L326" s="24">
        <v>74</v>
      </c>
      <c r="M326" s="24">
        <v>94</v>
      </c>
      <c r="N326" s="24">
        <v>73</v>
      </c>
      <c r="O326" s="24">
        <v>393</v>
      </c>
      <c r="P326" s="24">
        <v>66</v>
      </c>
      <c r="Q326" s="24">
        <v>604</v>
      </c>
      <c r="R326" s="24">
        <v>72</v>
      </c>
      <c r="S326" s="24">
        <v>256</v>
      </c>
      <c r="T326" s="24">
        <v>58</v>
      </c>
      <c r="U326" s="24">
        <v>278</v>
      </c>
      <c r="V326" s="24">
        <v>482.5</v>
      </c>
      <c r="W326" s="24">
        <v>18</v>
      </c>
      <c r="X326" s="24">
        <v>323</v>
      </c>
      <c r="Y326" s="24">
        <v>499.5</v>
      </c>
      <c r="Z326" s="24">
        <v>215</v>
      </c>
      <c r="AA326" s="24">
        <v>-108</v>
      </c>
    </row>
    <row r="327" spans="1:27">
      <c r="A327" s="24" t="s">
        <v>2028</v>
      </c>
      <c r="B327" s="24" t="s">
        <v>109</v>
      </c>
      <c r="C327" s="24" t="s">
        <v>1765</v>
      </c>
      <c r="D327" s="24">
        <v>121</v>
      </c>
      <c r="E327" s="24">
        <v>13</v>
      </c>
      <c r="F327" s="24">
        <v>83</v>
      </c>
      <c r="G327" s="24">
        <v>267</v>
      </c>
      <c r="H327" s="24">
        <v>86.5</v>
      </c>
      <c r="I327" s="24">
        <v>566</v>
      </c>
      <c r="J327" s="24">
        <v>72</v>
      </c>
      <c r="K327" s="24">
        <v>358</v>
      </c>
      <c r="L327" s="24">
        <v>47</v>
      </c>
      <c r="M327" s="24">
        <v>673</v>
      </c>
      <c r="N327" s="24">
        <v>73</v>
      </c>
      <c r="O327" s="24">
        <v>393</v>
      </c>
      <c r="P327" s="24">
        <v>78</v>
      </c>
      <c r="Q327" s="24">
        <v>209</v>
      </c>
      <c r="R327" s="24">
        <v>68</v>
      </c>
      <c r="S327" s="24">
        <v>412</v>
      </c>
      <c r="T327" s="24">
        <v>36</v>
      </c>
      <c r="U327" s="24">
        <v>918</v>
      </c>
      <c r="V327" s="24">
        <v>482.5</v>
      </c>
      <c r="W327" s="24">
        <v>19</v>
      </c>
      <c r="X327" s="24">
        <v>323</v>
      </c>
      <c r="Y327" s="24">
        <v>438.5</v>
      </c>
      <c r="Z327" s="24">
        <v>531</v>
      </c>
      <c r="AA327" s="24">
        <v>208</v>
      </c>
    </row>
    <row r="328" spans="1:27">
      <c r="A328" s="24" t="s">
        <v>628</v>
      </c>
      <c r="B328" s="24" t="s">
        <v>17</v>
      </c>
      <c r="C328" s="24" t="s">
        <v>629</v>
      </c>
      <c r="D328" s="24">
        <v>112</v>
      </c>
      <c r="E328" s="24">
        <v>114</v>
      </c>
      <c r="F328" s="24">
        <v>73</v>
      </c>
      <c r="G328" s="24">
        <v>438</v>
      </c>
      <c r="H328" s="24">
        <v>101.5</v>
      </c>
      <c r="I328" s="24">
        <v>225</v>
      </c>
      <c r="J328" s="24">
        <v>72</v>
      </c>
      <c r="K328" s="24">
        <v>358</v>
      </c>
      <c r="L328" s="24">
        <v>57</v>
      </c>
      <c r="M328" s="24">
        <v>409</v>
      </c>
      <c r="N328" s="24">
        <v>67</v>
      </c>
      <c r="O328" s="24">
        <v>587</v>
      </c>
      <c r="P328" s="24">
        <v>82</v>
      </c>
      <c r="Q328" s="24">
        <v>100</v>
      </c>
      <c r="R328" s="24">
        <v>59</v>
      </c>
      <c r="S328" s="24">
        <v>746</v>
      </c>
      <c r="T328" s="24">
        <v>53</v>
      </c>
      <c r="U328" s="24">
        <v>470</v>
      </c>
      <c r="V328" s="24">
        <v>482.5</v>
      </c>
      <c r="W328" s="24">
        <v>18</v>
      </c>
      <c r="X328" s="24">
        <v>323</v>
      </c>
      <c r="Y328" s="24">
        <v>476</v>
      </c>
      <c r="Z328" s="24">
        <v>320</v>
      </c>
      <c r="AA328" s="24">
        <v>-3</v>
      </c>
    </row>
    <row r="329" spans="1:27">
      <c r="A329" s="24" t="s">
        <v>1893</v>
      </c>
      <c r="B329" s="24" t="s">
        <v>34</v>
      </c>
      <c r="C329" s="24" t="s">
        <v>1731</v>
      </c>
      <c r="D329" s="24">
        <v>115</v>
      </c>
      <c r="E329" s="24">
        <v>65</v>
      </c>
      <c r="F329" s="24">
        <v>82</v>
      </c>
      <c r="G329" s="24">
        <v>290</v>
      </c>
      <c r="H329" s="24">
        <v>89.5</v>
      </c>
      <c r="I329" s="24">
        <v>494</v>
      </c>
      <c r="J329" s="24">
        <v>71</v>
      </c>
      <c r="K329" s="24">
        <v>378</v>
      </c>
      <c r="L329" s="24">
        <v>59</v>
      </c>
      <c r="M329" s="24">
        <v>348</v>
      </c>
      <c r="N329" s="24">
        <v>66</v>
      </c>
      <c r="O329" s="24">
        <v>611</v>
      </c>
      <c r="P329" s="24">
        <v>87</v>
      </c>
      <c r="Q329" s="24">
        <v>25</v>
      </c>
      <c r="R329" s="24">
        <v>67</v>
      </c>
      <c r="S329" s="24">
        <v>471</v>
      </c>
      <c r="T329" s="24">
        <v>54</v>
      </c>
      <c r="U329" s="24">
        <v>428</v>
      </c>
      <c r="V329" s="24">
        <v>482.5</v>
      </c>
      <c r="W329" s="24">
        <v>13</v>
      </c>
      <c r="X329" s="24">
        <v>323</v>
      </c>
      <c r="Y329" s="24">
        <v>450.5</v>
      </c>
      <c r="Z329" s="24">
        <v>462</v>
      </c>
      <c r="AA329" s="24">
        <v>139</v>
      </c>
    </row>
    <row r="330" spans="1:27">
      <c r="A330" s="24" t="s">
        <v>2101</v>
      </c>
      <c r="B330" s="24" t="s">
        <v>73</v>
      </c>
      <c r="C330" s="24" t="s">
        <v>1635</v>
      </c>
      <c r="D330" s="24">
        <v>100</v>
      </c>
      <c r="E330" s="24">
        <v>528</v>
      </c>
      <c r="F330" s="24">
        <v>77</v>
      </c>
      <c r="G330" s="24">
        <v>369</v>
      </c>
      <c r="H330" s="24">
        <v>99.5</v>
      </c>
      <c r="I330" s="24">
        <v>269</v>
      </c>
      <c r="J330" s="24">
        <v>71</v>
      </c>
      <c r="K330" s="24">
        <v>378</v>
      </c>
      <c r="L330" s="24">
        <v>53</v>
      </c>
      <c r="M330" s="24">
        <v>526</v>
      </c>
      <c r="N330" s="24">
        <v>81</v>
      </c>
      <c r="O330" s="24">
        <v>183</v>
      </c>
      <c r="P330" s="24">
        <v>73</v>
      </c>
      <c r="Q330" s="24">
        <v>359</v>
      </c>
      <c r="R330" s="24">
        <v>71</v>
      </c>
      <c r="S330" s="24">
        <v>290</v>
      </c>
      <c r="T330" s="24">
        <v>61</v>
      </c>
      <c r="U330" s="24">
        <v>172</v>
      </c>
      <c r="V330" s="24">
        <v>481.5</v>
      </c>
      <c r="W330" s="24">
        <v>14</v>
      </c>
      <c r="X330" s="24">
        <v>329</v>
      </c>
      <c r="Y330" s="24">
        <v>511.5</v>
      </c>
      <c r="Z330" s="24">
        <v>165</v>
      </c>
      <c r="AA330" s="24">
        <v>-164</v>
      </c>
    </row>
    <row r="331" spans="1:27">
      <c r="A331" s="24" t="s">
        <v>1783</v>
      </c>
      <c r="B331" s="24" t="s">
        <v>34</v>
      </c>
      <c r="C331" s="24" t="s">
        <v>1784</v>
      </c>
      <c r="D331" s="24">
        <v>99</v>
      </c>
      <c r="E331" s="24">
        <v>571</v>
      </c>
      <c r="F331" s="24">
        <v>63</v>
      </c>
      <c r="G331" s="24">
        <v>642</v>
      </c>
      <c r="H331" s="24">
        <v>102.5</v>
      </c>
      <c r="I331" s="24">
        <v>210</v>
      </c>
      <c r="J331" s="24">
        <v>75</v>
      </c>
      <c r="K331" s="24">
        <v>299</v>
      </c>
      <c r="L331" s="24">
        <v>67</v>
      </c>
      <c r="M331" s="24">
        <v>177</v>
      </c>
      <c r="N331" s="24">
        <v>75</v>
      </c>
      <c r="O331" s="24">
        <v>342</v>
      </c>
      <c r="P331" s="24">
        <v>67</v>
      </c>
      <c r="Q331" s="24">
        <v>570</v>
      </c>
      <c r="R331" s="24">
        <v>64</v>
      </c>
      <c r="S331" s="24">
        <v>586</v>
      </c>
      <c r="T331" s="24">
        <v>55</v>
      </c>
      <c r="U331" s="24">
        <v>392</v>
      </c>
      <c r="V331" s="24">
        <v>481.5</v>
      </c>
      <c r="W331" s="24">
        <v>14</v>
      </c>
      <c r="X331" s="24">
        <v>329</v>
      </c>
      <c r="Y331" s="24">
        <v>509</v>
      </c>
      <c r="Z331" s="24">
        <v>172</v>
      </c>
      <c r="AA331" s="24">
        <v>-157</v>
      </c>
    </row>
    <row r="332" spans="1:27">
      <c r="A332" s="24" t="s">
        <v>1120</v>
      </c>
      <c r="B332" s="24" t="s">
        <v>68</v>
      </c>
      <c r="C332" s="24" t="s">
        <v>1121</v>
      </c>
      <c r="D332" s="24">
        <v>108</v>
      </c>
      <c r="E332" s="24">
        <v>212</v>
      </c>
      <c r="F332" s="24">
        <v>73</v>
      </c>
      <c r="G332" s="24">
        <v>438</v>
      </c>
      <c r="H332" s="24">
        <v>105.5</v>
      </c>
      <c r="I332" s="24">
        <v>168</v>
      </c>
      <c r="J332" s="24">
        <v>80</v>
      </c>
      <c r="K332" s="24">
        <v>207</v>
      </c>
      <c r="L332" s="24">
        <v>52</v>
      </c>
      <c r="M332" s="24">
        <v>551</v>
      </c>
      <c r="N332" s="24">
        <v>63</v>
      </c>
      <c r="O332" s="24">
        <v>692</v>
      </c>
      <c r="P332" s="24">
        <v>74</v>
      </c>
      <c r="Q332" s="24">
        <v>326</v>
      </c>
      <c r="R332" s="24">
        <v>71</v>
      </c>
      <c r="S332" s="24">
        <v>290</v>
      </c>
      <c r="T332" s="24">
        <v>52</v>
      </c>
      <c r="U332" s="24">
        <v>509</v>
      </c>
      <c r="V332" s="24">
        <v>481.5</v>
      </c>
      <c r="W332" s="24">
        <v>18</v>
      </c>
      <c r="X332" s="24">
        <v>329</v>
      </c>
      <c r="Y332" s="24">
        <v>435</v>
      </c>
      <c r="Z332" s="24">
        <v>544</v>
      </c>
      <c r="AA332" s="24">
        <v>215</v>
      </c>
    </row>
    <row r="333" spans="1:27">
      <c r="A333" s="24" t="s">
        <v>1185</v>
      </c>
      <c r="B333" s="24" t="s">
        <v>68</v>
      </c>
      <c r="C333" s="24" t="s">
        <v>1186</v>
      </c>
      <c r="D333" s="24">
        <v>93</v>
      </c>
      <c r="E333" s="24">
        <v>755</v>
      </c>
      <c r="F333" s="24">
        <v>87</v>
      </c>
      <c r="G333" s="24">
        <v>220</v>
      </c>
      <c r="H333" s="24">
        <v>66</v>
      </c>
      <c r="I333" s="24">
        <v>877</v>
      </c>
      <c r="J333" s="24">
        <v>93</v>
      </c>
      <c r="K333" s="24">
        <v>68</v>
      </c>
      <c r="L333" s="24">
        <v>55</v>
      </c>
      <c r="M333" s="24">
        <v>470</v>
      </c>
      <c r="N333" s="24">
        <v>87</v>
      </c>
      <c r="O333" s="24">
        <v>57</v>
      </c>
      <c r="P333" s="24">
        <v>66</v>
      </c>
      <c r="Q333" s="24">
        <v>604</v>
      </c>
      <c r="R333" s="24">
        <v>66</v>
      </c>
      <c r="S333" s="24">
        <v>511</v>
      </c>
      <c r="T333" s="24">
        <v>59</v>
      </c>
      <c r="U333" s="24">
        <v>233</v>
      </c>
      <c r="V333" s="24">
        <v>481</v>
      </c>
      <c r="W333" s="24">
        <v>19</v>
      </c>
      <c r="X333" s="24">
        <v>332</v>
      </c>
      <c r="Y333" s="24">
        <v>446</v>
      </c>
      <c r="Z333" s="24">
        <v>491</v>
      </c>
      <c r="AA333" s="24">
        <v>159</v>
      </c>
    </row>
    <row r="334" spans="1:27">
      <c r="A334" s="24" t="s">
        <v>1437</v>
      </c>
      <c r="B334" s="24" t="s">
        <v>56</v>
      </c>
      <c r="C334" s="24" t="s">
        <v>1438</v>
      </c>
      <c r="D334" s="24">
        <v>115</v>
      </c>
      <c r="E334" s="24">
        <v>65</v>
      </c>
      <c r="F334" s="24">
        <v>88</v>
      </c>
      <c r="G334" s="24">
        <v>206</v>
      </c>
      <c r="H334" s="24">
        <v>89</v>
      </c>
      <c r="I334" s="24">
        <v>510</v>
      </c>
      <c r="J334" s="24">
        <v>61</v>
      </c>
      <c r="K334" s="24">
        <v>587</v>
      </c>
      <c r="L334" s="24">
        <v>42</v>
      </c>
      <c r="M334" s="24">
        <v>774</v>
      </c>
      <c r="N334" s="24">
        <v>86</v>
      </c>
      <c r="O334" s="24">
        <v>77</v>
      </c>
      <c r="P334" s="24">
        <v>85</v>
      </c>
      <c r="Q334" s="24">
        <v>45</v>
      </c>
      <c r="R334" s="24">
        <v>64</v>
      </c>
      <c r="S334" s="24">
        <v>586</v>
      </c>
      <c r="T334" s="24">
        <v>52</v>
      </c>
      <c r="U334" s="24">
        <v>509</v>
      </c>
      <c r="V334" s="24">
        <v>481</v>
      </c>
      <c r="W334" s="24">
        <v>15</v>
      </c>
      <c r="X334" s="24">
        <v>332</v>
      </c>
      <c r="Y334" s="24">
        <v>430.5</v>
      </c>
      <c r="Z334" s="24">
        <v>570</v>
      </c>
      <c r="AA334" s="24">
        <v>238</v>
      </c>
    </row>
    <row r="335" spans="1:27">
      <c r="A335" s="24" t="s">
        <v>241</v>
      </c>
      <c r="B335" s="24" t="s">
        <v>28</v>
      </c>
      <c r="C335" s="24" t="s">
        <v>242</v>
      </c>
      <c r="D335" s="24">
        <v>97</v>
      </c>
      <c r="E335" s="24">
        <v>645</v>
      </c>
      <c r="F335" s="24">
        <v>100</v>
      </c>
      <c r="G335" s="24">
        <v>86</v>
      </c>
      <c r="H335" s="24">
        <v>78</v>
      </c>
      <c r="I335" s="24">
        <v>723</v>
      </c>
      <c r="J335" s="24">
        <v>83</v>
      </c>
      <c r="K335" s="24">
        <v>163</v>
      </c>
      <c r="L335" s="24">
        <v>45</v>
      </c>
      <c r="M335" s="24">
        <v>720</v>
      </c>
      <c r="N335" s="24">
        <v>78</v>
      </c>
      <c r="O335" s="24">
        <v>250</v>
      </c>
      <c r="P335" s="24">
        <v>77</v>
      </c>
      <c r="Q335" s="24">
        <v>240</v>
      </c>
      <c r="R335" s="24">
        <v>69</v>
      </c>
      <c r="S335" s="24">
        <v>367</v>
      </c>
      <c r="T335" s="24">
        <v>71</v>
      </c>
      <c r="U335" s="24">
        <v>32</v>
      </c>
      <c r="V335" s="24">
        <v>481</v>
      </c>
      <c r="W335" s="24">
        <v>15</v>
      </c>
      <c r="X335" s="24">
        <v>332</v>
      </c>
      <c r="Y335" s="24">
        <v>430</v>
      </c>
      <c r="Z335" s="24">
        <v>573</v>
      </c>
      <c r="AA335" s="24">
        <v>241</v>
      </c>
    </row>
    <row r="336" spans="1:27">
      <c r="A336" s="24" t="s">
        <v>2045</v>
      </c>
      <c r="B336" s="24" t="s">
        <v>109</v>
      </c>
      <c r="C336" s="24" t="s">
        <v>2046</v>
      </c>
      <c r="D336" s="24">
        <v>107</v>
      </c>
      <c r="E336" s="24">
        <v>242</v>
      </c>
      <c r="F336" s="24">
        <v>68</v>
      </c>
      <c r="G336" s="24">
        <v>540</v>
      </c>
      <c r="H336" s="24">
        <v>94</v>
      </c>
      <c r="I336" s="24">
        <v>382</v>
      </c>
      <c r="J336" s="24">
        <v>75</v>
      </c>
      <c r="K336" s="24">
        <v>299</v>
      </c>
      <c r="L336" s="24">
        <v>61</v>
      </c>
      <c r="M336" s="24">
        <v>300</v>
      </c>
      <c r="N336" s="24">
        <v>76</v>
      </c>
      <c r="O336" s="24">
        <v>308</v>
      </c>
      <c r="P336" s="24">
        <v>79</v>
      </c>
      <c r="Q336" s="24">
        <v>175</v>
      </c>
      <c r="R336" s="24">
        <v>70</v>
      </c>
      <c r="S336" s="24">
        <v>327</v>
      </c>
      <c r="T336" s="24">
        <v>55</v>
      </c>
      <c r="U336" s="24">
        <v>392</v>
      </c>
      <c r="V336" s="24">
        <v>481</v>
      </c>
      <c r="W336" s="24">
        <v>20</v>
      </c>
      <c r="X336" s="24">
        <v>332</v>
      </c>
      <c r="Y336" s="24">
        <v>501.5</v>
      </c>
      <c r="Z336" s="24">
        <v>204</v>
      </c>
      <c r="AA336" s="24">
        <v>-128</v>
      </c>
    </row>
    <row r="337" spans="1:27">
      <c r="A337" s="24" t="s">
        <v>1998</v>
      </c>
      <c r="B337" s="24" t="s">
        <v>109</v>
      </c>
      <c r="C337" s="24" t="s">
        <v>1999</v>
      </c>
      <c r="D337" s="24">
        <v>93</v>
      </c>
      <c r="E337" s="24">
        <v>755</v>
      </c>
      <c r="F337" s="24">
        <v>69</v>
      </c>
      <c r="G337" s="24">
        <v>524</v>
      </c>
      <c r="H337" s="24">
        <v>94.5</v>
      </c>
      <c r="I337" s="24">
        <v>377</v>
      </c>
      <c r="J337" s="24">
        <v>87</v>
      </c>
      <c r="K337" s="24">
        <v>114</v>
      </c>
      <c r="L337" s="24">
        <v>54</v>
      </c>
      <c r="M337" s="24">
        <v>494</v>
      </c>
      <c r="N337" s="24">
        <v>83</v>
      </c>
      <c r="O337" s="24">
        <v>145</v>
      </c>
      <c r="P337" s="24">
        <v>67</v>
      </c>
      <c r="Q337" s="24">
        <v>570</v>
      </c>
      <c r="R337" s="24">
        <v>66</v>
      </c>
      <c r="S337" s="24">
        <v>511</v>
      </c>
      <c r="T337" s="24">
        <v>48</v>
      </c>
      <c r="U337" s="24">
        <v>671</v>
      </c>
      <c r="V337" s="24">
        <v>480.5</v>
      </c>
      <c r="W337" s="24">
        <v>21</v>
      </c>
      <c r="X337" s="24">
        <v>336</v>
      </c>
      <c r="Y337" s="24">
        <v>482</v>
      </c>
      <c r="Z337" s="24">
        <v>296</v>
      </c>
      <c r="AA337" s="24">
        <v>-40</v>
      </c>
    </row>
    <row r="338" spans="1:27">
      <c r="A338" s="24" t="s">
        <v>2901</v>
      </c>
      <c r="B338" s="24" t="s">
        <v>38</v>
      </c>
      <c r="C338" s="24" t="s">
        <v>2902</v>
      </c>
      <c r="D338" s="24">
        <v>120</v>
      </c>
      <c r="E338" s="24">
        <v>21</v>
      </c>
      <c r="F338" s="24">
        <v>68</v>
      </c>
      <c r="G338" s="24">
        <v>540</v>
      </c>
      <c r="H338" s="24">
        <v>89.5</v>
      </c>
      <c r="I338" s="24">
        <v>494</v>
      </c>
      <c r="J338" s="24">
        <v>47</v>
      </c>
      <c r="K338" s="24">
        <v>825</v>
      </c>
      <c r="L338" s="24">
        <v>74</v>
      </c>
      <c r="M338" s="24">
        <v>94</v>
      </c>
      <c r="N338" s="24">
        <v>82</v>
      </c>
      <c r="O338" s="24">
        <v>166</v>
      </c>
      <c r="P338" s="24">
        <v>73</v>
      </c>
      <c r="Q338" s="24">
        <v>359</v>
      </c>
      <c r="R338" s="24">
        <v>70</v>
      </c>
      <c r="S338" s="24">
        <v>327</v>
      </c>
      <c r="T338" s="24">
        <v>39</v>
      </c>
      <c r="U338" s="24">
        <v>895</v>
      </c>
      <c r="V338" s="24">
        <v>480.5</v>
      </c>
      <c r="W338" s="24">
        <v>11</v>
      </c>
      <c r="X338" s="24">
        <v>336</v>
      </c>
      <c r="Y338" s="24">
        <v>497.5</v>
      </c>
      <c r="Z338" s="24">
        <v>223</v>
      </c>
      <c r="AA338" s="24">
        <v>-113</v>
      </c>
    </row>
    <row r="339" spans="1:27">
      <c r="A339" s="24" t="s">
        <v>775</v>
      </c>
      <c r="B339" s="24" t="s">
        <v>117</v>
      </c>
      <c r="C339" s="24" t="s">
        <v>776</v>
      </c>
      <c r="D339" s="24">
        <v>100</v>
      </c>
      <c r="E339" s="24">
        <v>528</v>
      </c>
      <c r="F339" s="24">
        <v>90</v>
      </c>
      <c r="G339" s="24">
        <v>183</v>
      </c>
      <c r="H339" s="24">
        <v>97.5</v>
      </c>
      <c r="I339" s="24">
        <v>310</v>
      </c>
      <c r="J339" s="24">
        <v>62</v>
      </c>
      <c r="K339" s="24">
        <v>564</v>
      </c>
      <c r="L339" s="24">
        <v>60</v>
      </c>
      <c r="M339" s="24">
        <v>322</v>
      </c>
      <c r="N339" s="24">
        <v>71</v>
      </c>
      <c r="O339" s="24">
        <v>462</v>
      </c>
      <c r="P339" s="24">
        <v>67</v>
      </c>
      <c r="Q339" s="24">
        <v>570</v>
      </c>
      <c r="R339" s="24">
        <v>79</v>
      </c>
      <c r="S339" s="24">
        <v>73</v>
      </c>
      <c r="T339" s="24">
        <v>52</v>
      </c>
      <c r="U339" s="24">
        <v>509</v>
      </c>
      <c r="V339" s="24">
        <v>480.5</v>
      </c>
      <c r="W339" s="24">
        <v>16</v>
      </c>
      <c r="X339" s="24">
        <v>336</v>
      </c>
      <c r="Y339" s="24">
        <v>463</v>
      </c>
      <c r="Z339" s="24">
        <v>398</v>
      </c>
      <c r="AA339" s="24">
        <v>62</v>
      </c>
    </row>
    <row r="340" spans="1:27">
      <c r="A340" s="24" t="s">
        <v>1045</v>
      </c>
      <c r="B340" s="24" t="s">
        <v>68</v>
      </c>
      <c r="C340" s="24" t="s">
        <v>1630</v>
      </c>
      <c r="D340" s="24">
        <v>108</v>
      </c>
      <c r="E340" s="24">
        <v>212</v>
      </c>
      <c r="F340" s="24">
        <v>77</v>
      </c>
      <c r="G340" s="24">
        <v>369</v>
      </c>
      <c r="H340" s="24">
        <v>86</v>
      </c>
      <c r="I340" s="24">
        <v>581</v>
      </c>
      <c r="J340" s="24">
        <v>75</v>
      </c>
      <c r="K340" s="24">
        <v>299</v>
      </c>
      <c r="L340" s="24">
        <v>57</v>
      </c>
      <c r="M340" s="24">
        <v>409</v>
      </c>
      <c r="N340" s="24">
        <v>77</v>
      </c>
      <c r="O340" s="24">
        <v>275</v>
      </c>
      <c r="P340" s="24">
        <v>79</v>
      </c>
      <c r="Q340" s="24">
        <v>175</v>
      </c>
      <c r="R340" s="24">
        <v>62</v>
      </c>
      <c r="S340" s="24">
        <v>672</v>
      </c>
      <c r="T340" s="24">
        <v>63</v>
      </c>
      <c r="U340" s="24">
        <v>123</v>
      </c>
      <c r="V340" s="24">
        <v>480</v>
      </c>
      <c r="W340" s="24">
        <v>20</v>
      </c>
      <c r="X340" s="24">
        <v>339</v>
      </c>
      <c r="Y340" s="24">
        <v>495</v>
      </c>
      <c r="Z340" s="24">
        <v>234</v>
      </c>
      <c r="AA340" s="24">
        <v>-105</v>
      </c>
    </row>
    <row r="341" spans="1:27">
      <c r="A341" s="24" t="s">
        <v>2432</v>
      </c>
      <c r="B341" s="24" t="s">
        <v>131</v>
      </c>
      <c r="C341" s="24" t="s">
        <v>2433</v>
      </c>
      <c r="D341" s="24">
        <v>101</v>
      </c>
      <c r="E341" s="24">
        <v>481</v>
      </c>
      <c r="F341" s="24">
        <v>79</v>
      </c>
      <c r="G341" s="24">
        <v>342</v>
      </c>
      <c r="H341" s="24">
        <v>78.5</v>
      </c>
      <c r="I341" s="24">
        <v>712</v>
      </c>
      <c r="J341" s="24">
        <v>71</v>
      </c>
      <c r="K341" s="24">
        <v>378</v>
      </c>
      <c r="L341" s="24">
        <v>71</v>
      </c>
      <c r="M341" s="24">
        <v>123</v>
      </c>
      <c r="N341" s="24">
        <v>79</v>
      </c>
      <c r="O341" s="24">
        <v>229</v>
      </c>
      <c r="P341" s="24">
        <v>84</v>
      </c>
      <c r="Q341" s="24">
        <v>59</v>
      </c>
      <c r="R341" s="24">
        <v>83</v>
      </c>
      <c r="S341" s="24">
        <v>22</v>
      </c>
      <c r="T341" s="24">
        <v>67</v>
      </c>
      <c r="U341" s="24">
        <v>66</v>
      </c>
      <c r="V341" s="24">
        <v>479.5</v>
      </c>
      <c r="W341" s="24">
        <v>14</v>
      </c>
      <c r="X341" s="24">
        <v>340</v>
      </c>
      <c r="Y341" s="24">
        <v>492</v>
      </c>
      <c r="Z341" s="24">
        <v>253</v>
      </c>
      <c r="AA341" s="24">
        <v>-87</v>
      </c>
    </row>
    <row r="342" spans="1:27">
      <c r="A342" s="24" t="s">
        <v>1308</v>
      </c>
      <c r="B342" s="24" t="s">
        <v>54</v>
      </c>
      <c r="C342" s="24" t="s">
        <v>1309</v>
      </c>
      <c r="D342" s="24">
        <v>116</v>
      </c>
      <c r="E342" s="24">
        <v>47</v>
      </c>
      <c r="F342" s="24">
        <v>76</v>
      </c>
      <c r="G342" s="24">
        <v>391</v>
      </c>
      <c r="H342" s="24">
        <v>91.5</v>
      </c>
      <c r="I342" s="24">
        <v>444</v>
      </c>
      <c r="J342" s="24">
        <v>56</v>
      </c>
      <c r="K342" s="24">
        <v>682</v>
      </c>
      <c r="L342" s="24">
        <v>64</v>
      </c>
      <c r="M342" s="24">
        <v>244</v>
      </c>
      <c r="N342" s="24">
        <v>76</v>
      </c>
      <c r="O342" s="24">
        <v>308</v>
      </c>
      <c r="P342" s="24">
        <v>75</v>
      </c>
      <c r="Q342" s="24">
        <v>289</v>
      </c>
      <c r="R342" s="24">
        <v>74</v>
      </c>
      <c r="S342" s="24">
        <v>174</v>
      </c>
      <c r="T342" s="24">
        <v>45</v>
      </c>
      <c r="U342" s="24">
        <v>781</v>
      </c>
      <c r="V342" s="24">
        <v>479.5</v>
      </c>
      <c r="W342" s="24">
        <v>15</v>
      </c>
      <c r="X342" s="24">
        <v>340</v>
      </c>
      <c r="Y342" s="24">
        <v>495</v>
      </c>
      <c r="Z342" s="24">
        <v>234</v>
      </c>
      <c r="AA342" s="24">
        <v>-106</v>
      </c>
    </row>
    <row r="343" spans="1:27">
      <c r="A343" s="24" t="s">
        <v>2092</v>
      </c>
      <c r="B343" s="24" t="s">
        <v>109</v>
      </c>
      <c r="C343" s="24" t="s">
        <v>1740</v>
      </c>
      <c r="D343" s="24">
        <v>107</v>
      </c>
      <c r="E343" s="24">
        <v>242</v>
      </c>
      <c r="F343" s="24">
        <v>79</v>
      </c>
      <c r="G343" s="24">
        <v>342</v>
      </c>
      <c r="H343" s="24">
        <v>91.5</v>
      </c>
      <c r="I343" s="24">
        <v>444</v>
      </c>
      <c r="J343" s="24">
        <v>72</v>
      </c>
      <c r="K343" s="24">
        <v>358</v>
      </c>
      <c r="L343" s="24">
        <v>58</v>
      </c>
      <c r="M343" s="24">
        <v>377</v>
      </c>
      <c r="N343" s="24">
        <v>72</v>
      </c>
      <c r="O343" s="24">
        <v>433</v>
      </c>
      <c r="P343" s="24">
        <v>67</v>
      </c>
      <c r="Q343" s="24">
        <v>570</v>
      </c>
      <c r="R343" s="24">
        <v>75</v>
      </c>
      <c r="S343" s="24">
        <v>146</v>
      </c>
      <c r="T343" s="24">
        <v>56</v>
      </c>
      <c r="U343" s="24">
        <v>352</v>
      </c>
      <c r="V343" s="24">
        <v>479.5</v>
      </c>
      <c r="W343" s="24">
        <v>22</v>
      </c>
      <c r="X343" s="24">
        <v>340</v>
      </c>
      <c r="Y343" s="24">
        <v>524</v>
      </c>
      <c r="Z343" s="24">
        <v>124</v>
      </c>
      <c r="AA343" s="24">
        <v>-216</v>
      </c>
    </row>
    <row r="344" spans="1:27">
      <c r="A344" s="24" t="s">
        <v>1864</v>
      </c>
      <c r="B344" s="24" t="s">
        <v>34</v>
      </c>
      <c r="C344" s="24" t="s">
        <v>1865</v>
      </c>
      <c r="D344" s="24">
        <v>111</v>
      </c>
      <c r="E344" s="24">
        <v>136</v>
      </c>
      <c r="F344" s="24">
        <v>78</v>
      </c>
      <c r="G344" s="24">
        <v>353</v>
      </c>
      <c r="H344" s="24">
        <v>103.5</v>
      </c>
      <c r="I344" s="24">
        <v>200</v>
      </c>
      <c r="J344" s="24">
        <v>61</v>
      </c>
      <c r="K344" s="24">
        <v>587</v>
      </c>
      <c r="L344" s="24">
        <v>57</v>
      </c>
      <c r="M344" s="24">
        <v>409</v>
      </c>
      <c r="N344" s="24">
        <v>69</v>
      </c>
      <c r="O344" s="24">
        <v>523</v>
      </c>
      <c r="P344" s="24">
        <v>80</v>
      </c>
      <c r="Q344" s="24">
        <v>151</v>
      </c>
      <c r="R344" s="24">
        <v>69</v>
      </c>
      <c r="S344" s="24">
        <v>367</v>
      </c>
      <c r="T344" s="24">
        <v>51</v>
      </c>
      <c r="U344" s="24">
        <v>555</v>
      </c>
      <c r="V344" s="24">
        <v>479.5</v>
      </c>
      <c r="W344" s="24">
        <v>15</v>
      </c>
      <c r="X344" s="24">
        <v>340</v>
      </c>
      <c r="Y344" s="24">
        <v>500</v>
      </c>
      <c r="Z344" s="24">
        <v>211</v>
      </c>
      <c r="AA344" s="24">
        <v>-129</v>
      </c>
    </row>
    <row r="345" spans="1:27">
      <c r="A345" s="24" t="s">
        <v>2486</v>
      </c>
      <c r="B345" s="24" t="s">
        <v>131</v>
      </c>
      <c r="C345" s="24" t="s">
        <v>2487</v>
      </c>
      <c r="D345" s="24">
        <v>105</v>
      </c>
      <c r="E345" s="24">
        <v>325</v>
      </c>
      <c r="F345" s="24">
        <v>74</v>
      </c>
      <c r="G345" s="24">
        <v>424</v>
      </c>
      <c r="H345" s="24">
        <v>97</v>
      </c>
      <c r="I345" s="24">
        <v>327</v>
      </c>
      <c r="J345" s="24">
        <v>70</v>
      </c>
      <c r="K345" s="24">
        <v>400</v>
      </c>
      <c r="L345" s="24">
        <v>49</v>
      </c>
      <c r="M345" s="24">
        <v>624</v>
      </c>
      <c r="N345" s="24">
        <v>84</v>
      </c>
      <c r="O345" s="24">
        <v>123</v>
      </c>
      <c r="P345" s="24">
        <v>70</v>
      </c>
      <c r="Q345" s="24">
        <v>473</v>
      </c>
      <c r="R345" s="24">
        <v>85</v>
      </c>
      <c r="S345" s="24">
        <v>11</v>
      </c>
      <c r="T345" s="24">
        <v>52</v>
      </c>
      <c r="U345" s="24">
        <v>509</v>
      </c>
      <c r="V345" s="24">
        <v>479</v>
      </c>
      <c r="W345" s="24">
        <v>15</v>
      </c>
      <c r="X345" s="24">
        <v>344</v>
      </c>
      <c r="Y345" s="24">
        <v>464.5</v>
      </c>
      <c r="Z345" s="24">
        <v>392</v>
      </c>
      <c r="AA345" s="24">
        <v>48</v>
      </c>
    </row>
    <row r="346" spans="1:27">
      <c r="A346" s="24" t="s">
        <v>2298</v>
      </c>
      <c r="B346" s="24" t="s">
        <v>7</v>
      </c>
      <c r="C346" s="24" t="s">
        <v>1541</v>
      </c>
      <c r="D346" s="24">
        <v>107</v>
      </c>
      <c r="E346" s="24">
        <v>242</v>
      </c>
      <c r="F346" s="24">
        <v>65</v>
      </c>
      <c r="G346" s="24">
        <v>604</v>
      </c>
      <c r="H346" s="24">
        <v>99</v>
      </c>
      <c r="I346" s="24">
        <v>277</v>
      </c>
      <c r="J346" s="24">
        <v>55</v>
      </c>
      <c r="K346" s="24">
        <v>694</v>
      </c>
      <c r="L346" s="24">
        <v>70</v>
      </c>
      <c r="M346" s="24">
        <v>136</v>
      </c>
      <c r="N346" s="24">
        <v>83</v>
      </c>
      <c r="O346" s="24">
        <v>145</v>
      </c>
      <c r="P346" s="24">
        <v>84</v>
      </c>
      <c r="Q346" s="24">
        <v>59</v>
      </c>
      <c r="R346" s="24">
        <v>73</v>
      </c>
      <c r="S346" s="24">
        <v>216</v>
      </c>
      <c r="T346" s="24">
        <v>64</v>
      </c>
      <c r="U346" s="24">
        <v>103</v>
      </c>
      <c r="V346" s="24">
        <v>479</v>
      </c>
      <c r="W346" s="24">
        <v>11</v>
      </c>
      <c r="X346" s="24">
        <v>344</v>
      </c>
      <c r="Y346" s="24">
        <v>528.5</v>
      </c>
      <c r="Z346" s="24">
        <v>110</v>
      </c>
      <c r="AA346" s="24">
        <v>-234</v>
      </c>
    </row>
    <row r="347" spans="1:27">
      <c r="A347" s="24" t="s">
        <v>2069</v>
      </c>
      <c r="B347" s="24" t="s">
        <v>109</v>
      </c>
      <c r="C347" s="24" t="s">
        <v>2070</v>
      </c>
      <c r="D347" s="24">
        <v>101</v>
      </c>
      <c r="E347" s="24">
        <v>481</v>
      </c>
      <c r="F347" s="24">
        <v>97</v>
      </c>
      <c r="G347" s="24">
        <v>112</v>
      </c>
      <c r="H347" s="24">
        <v>73</v>
      </c>
      <c r="I347" s="24">
        <v>809</v>
      </c>
      <c r="J347" s="24">
        <v>72</v>
      </c>
      <c r="K347" s="24">
        <v>358</v>
      </c>
      <c r="L347" s="24">
        <v>62</v>
      </c>
      <c r="M347" s="24">
        <v>277</v>
      </c>
      <c r="N347" s="24">
        <v>74</v>
      </c>
      <c r="O347" s="24">
        <v>366</v>
      </c>
      <c r="P347" s="24">
        <v>58</v>
      </c>
      <c r="Q347" s="24">
        <v>820</v>
      </c>
      <c r="R347" s="24">
        <v>55</v>
      </c>
      <c r="S347" s="24">
        <v>835</v>
      </c>
      <c r="T347" s="24">
        <v>44</v>
      </c>
      <c r="U347" s="24">
        <v>804</v>
      </c>
      <c r="V347" s="24">
        <v>479</v>
      </c>
      <c r="W347" s="24">
        <v>23</v>
      </c>
      <c r="X347" s="24">
        <v>344</v>
      </c>
      <c r="Y347" s="24">
        <v>439.5</v>
      </c>
      <c r="Z347" s="24">
        <v>526</v>
      </c>
      <c r="AA347" s="24">
        <v>182</v>
      </c>
    </row>
    <row r="348" spans="1:27">
      <c r="A348" s="24" t="s">
        <v>920</v>
      </c>
      <c r="B348" s="24" t="s">
        <v>60</v>
      </c>
      <c r="C348" s="24" t="s">
        <v>921</v>
      </c>
      <c r="D348" s="24">
        <v>110</v>
      </c>
      <c r="E348" s="24">
        <v>159</v>
      </c>
      <c r="F348" s="24">
        <v>85</v>
      </c>
      <c r="G348" s="24">
        <v>244</v>
      </c>
      <c r="H348" s="24">
        <v>77</v>
      </c>
      <c r="I348" s="24">
        <v>741</v>
      </c>
      <c r="J348" s="24">
        <v>79</v>
      </c>
      <c r="K348" s="24">
        <v>228</v>
      </c>
      <c r="L348" s="24">
        <v>58</v>
      </c>
      <c r="M348" s="24">
        <v>377</v>
      </c>
      <c r="N348" s="24">
        <v>70</v>
      </c>
      <c r="O348" s="24">
        <v>485</v>
      </c>
      <c r="P348" s="24">
        <v>77</v>
      </c>
      <c r="Q348" s="24">
        <v>240</v>
      </c>
      <c r="R348" s="24">
        <v>65</v>
      </c>
      <c r="S348" s="24">
        <v>548</v>
      </c>
      <c r="T348" s="24">
        <v>52</v>
      </c>
      <c r="U348" s="24">
        <v>509</v>
      </c>
      <c r="V348" s="24">
        <v>479</v>
      </c>
      <c r="W348" s="24">
        <v>19</v>
      </c>
      <c r="X348" s="24">
        <v>344</v>
      </c>
      <c r="Y348" s="24">
        <v>428.5</v>
      </c>
      <c r="Z348" s="24">
        <v>582</v>
      </c>
      <c r="AA348" s="24">
        <v>238</v>
      </c>
    </row>
    <row r="349" spans="1:27">
      <c r="A349" s="24" t="s">
        <v>736</v>
      </c>
      <c r="B349" s="24" t="s">
        <v>117</v>
      </c>
      <c r="C349" s="24" t="s">
        <v>737</v>
      </c>
      <c r="D349" s="24">
        <v>111</v>
      </c>
      <c r="E349" s="24">
        <v>136</v>
      </c>
      <c r="F349" s="24">
        <v>65</v>
      </c>
      <c r="G349" s="24">
        <v>604</v>
      </c>
      <c r="H349" s="24">
        <v>101.5</v>
      </c>
      <c r="I349" s="24">
        <v>225</v>
      </c>
      <c r="J349" s="24">
        <v>53</v>
      </c>
      <c r="K349" s="24">
        <v>739</v>
      </c>
      <c r="L349" s="24">
        <v>56</v>
      </c>
      <c r="M349" s="24">
        <v>433</v>
      </c>
      <c r="N349" s="24">
        <v>92</v>
      </c>
      <c r="O349" s="24">
        <v>10</v>
      </c>
      <c r="P349" s="24">
        <v>78</v>
      </c>
      <c r="Q349" s="24">
        <v>209</v>
      </c>
      <c r="R349" s="24">
        <v>58</v>
      </c>
      <c r="S349" s="24">
        <v>770</v>
      </c>
      <c r="T349" s="24">
        <v>52</v>
      </c>
      <c r="U349" s="24">
        <v>509</v>
      </c>
      <c r="V349" s="24">
        <v>478.5</v>
      </c>
      <c r="W349" s="24">
        <v>17</v>
      </c>
      <c r="X349" s="24">
        <v>348</v>
      </c>
      <c r="Y349" s="24">
        <v>407</v>
      </c>
      <c r="Z349" s="24">
        <v>695</v>
      </c>
      <c r="AA349" s="24">
        <v>347</v>
      </c>
    </row>
    <row r="350" spans="1:27">
      <c r="A350" s="24" t="s">
        <v>1699</v>
      </c>
      <c r="B350" s="24" t="s">
        <v>9</v>
      </c>
      <c r="C350" s="24" t="s">
        <v>119</v>
      </c>
      <c r="D350" s="24">
        <v>101</v>
      </c>
      <c r="E350" s="24">
        <v>481</v>
      </c>
      <c r="F350" s="24">
        <v>71</v>
      </c>
      <c r="G350" s="24">
        <v>475</v>
      </c>
      <c r="H350" s="24">
        <v>105.5</v>
      </c>
      <c r="I350" s="24">
        <v>168</v>
      </c>
      <c r="J350" s="24">
        <v>55</v>
      </c>
      <c r="K350" s="24">
        <v>694</v>
      </c>
      <c r="L350" s="24">
        <v>65</v>
      </c>
      <c r="M350" s="24">
        <v>223</v>
      </c>
      <c r="N350" s="24">
        <v>81</v>
      </c>
      <c r="O350" s="24">
        <v>183</v>
      </c>
      <c r="P350" s="24">
        <v>83</v>
      </c>
      <c r="Q350" s="24">
        <v>79</v>
      </c>
      <c r="R350" s="24">
        <v>71</v>
      </c>
      <c r="S350" s="24">
        <v>290</v>
      </c>
      <c r="T350" s="24">
        <v>61</v>
      </c>
      <c r="U350" s="24">
        <v>172</v>
      </c>
      <c r="V350" s="24">
        <v>478.5</v>
      </c>
      <c r="W350" s="24">
        <v>50</v>
      </c>
      <c r="X350" s="24">
        <v>348</v>
      </c>
      <c r="Y350" s="24">
        <v>539.5</v>
      </c>
      <c r="Z350" s="24">
        <v>88</v>
      </c>
      <c r="AA350" s="24">
        <v>-260</v>
      </c>
    </row>
    <row r="351" spans="1:27">
      <c r="A351" s="24" t="s">
        <v>2089</v>
      </c>
      <c r="B351" s="24" t="s">
        <v>109</v>
      </c>
      <c r="C351" s="24" t="s">
        <v>2090</v>
      </c>
      <c r="D351" s="24">
        <v>123</v>
      </c>
      <c r="E351" s="24">
        <v>10</v>
      </c>
      <c r="F351" s="24">
        <v>61</v>
      </c>
      <c r="G351" s="24">
        <v>678</v>
      </c>
      <c r="H351" s="24">
        <v>106.5</v>
      </c>
      <c r="I351" s="24">
        <v>156</v>
      </c>
      <c r="J351" s="24">
        <v>55</v>
      </c>
      <c r="K351" s="24">
        <v>694</v>
      </c>
      <c r="L351" s="24">
        <v>60</v>
      </c>
      <c r="M351" s="24">
        <v>322</v>
      </c>
      <c r="N351" s="24">
        <v>73</v>
      </c>
      <c r="O351" s="24">
        <v>393</v>
      </c>
      <c r="P351" s="24">
        <v>84</v>
      </c>
      <c r="Q351" s="24">
        <v>59</v>
      </c>
      <c r="R351" s="24">
        <v>84</v>
      </c>
      <c r="S351" s="24">
        <v>16</v>
      </c>
      <c r="T351" s="24">
        <v>61</v>
      </c>
      <c r="U351" s="24">
        <v>172</v>
      </c>
      <c r="V351" s="24">
        <v>478.5</v>
      </c>
      <c r="W351" s="24">
        <v>24</v>
      </c>
      <c r="X351" s="24">
        <v>348</v>
      </c>
      <c r="Y351" s="24">
        <v>461.5</v>
      </c>
      <c r="Z351" s="24">
        <v>407</v>
      </c>
      <c r="AA351" s="24">
        <v>59</v>
      </c>
    </row>
    <row r="352" spans="1:27">
      <c r="A352" s="24" t="s">
        <v>652</v>
      </c>
      <c r="B352" s="24" t="s">
        <v>17</v>
      </c>
      <c r="C352" s="24" t="s">
        <v>653</v>
      </c>
      <c r="D352" s="24">
        <v>107</v>
      </c>
      <c r="E352" s="24">
        <v>242</v>
      </c>
      <c r="F352" s="24">
        <v>82</v>
      </c>
      <c r="G352" s="24">
        <v>290</v>
      </c>
      <c r="H352" s="24">
        <v>84</v>
      </c>
      <c r="I352" s="24">
        <v>623</v>
      </c>
      <c r="J352" s="24">
        <v>57</v>
      </c>
      <c r="K352" s="24">
        <v>665</v>
      </c>
      <c r="L352" s="24">
        <v>63</v>
      </c>
      <c r="M352" s="24">
        <v>262</v>
      </c>
      <c r="N352" s="24">
        <v>85</v>
      </c>
      <c r="O352" s="24">
        <v>96</v>
      </c>
      <c r="P352" s="24">
        <v>73</v>
      </c>
      <c r="Q352" s="24">
        <v>359</v>
      </c>
      <c r="R352" s="24">
        <v>73</v>
      </c>
      <c r="S352" s="24">
        <v>216</v>
      </c>
      <c r="T352" s="24">
        <v>59</v>
      </c>
      <c r="U352" s="24">
        <v>233</v>
      </c>
      <c r="V352" s="24">
        <v>478</v>
      </c>
      <c r="W352" s="24">
        <v>20</v>
      </c>
      <c r="X352" s="24">
        <v>351</v>
      </c>
      <c r="Y352" s="24">
        <v>458</v>
      </c>
      <c r="Z352" s="24">
        <v>423</v>
      </c>
      <c r="AA352" s="24">
        <v>72</v>
      </c>
    </row>
    <row r="353" spans="1:27">
      <c r="A353" s="24" t="s">
        <v>2103</v>
      </c>
      <c r="B353" s="24" t="s">
        <v>73</v>
      </c>
      <c r="C353" s="24" t="s">
        <v>2104</v>
      </c>
      <c r="D353" s="24">
        <v>104</v>
      </c>
      <c r="E353" s="24">
        <v>357</v>
      </c>
      <c r="F353" s="24">
        <v>63</v>
      </c>
      <c r="G353" s="24">
        <v>642</v>
      </c>
      <c r="H353" s="24">
        <v>101</v>
      </c>
      <c r="I353" s="24">
        <v>234</v>
      </c>
      <c r="J353" s="24">
        <v>73</v>
      </c>
      <c r="K353" s="24">
        <v>339</v>
      </c>
      <c r="L353" s="24">
        <v>58</v>
      </c>
      <c r="M353" s="24">
        <v>377</v>
      </c>
      <c r="N353" s="24">
        <v>79</v>
      </c>
      <c r="O353" s="24">
        <v>229</v>
      </c>
      <c r="P353" s="24">
        <v>81</v>
      </c>
      <c r="Q353" s="24">
        <v>124</v>
      </c>
      <c r="R353" s="24">
        <v>75</v>
      </c>
      <c r="S353" s="24">
        <v>146</v>
      </c>
      <c r="T353" s="24">
        <v>58</v>
      </c>
      <c r="U353" s="24">
        <v>278</v>
      </c>
      <c r="V353" s="24">
        <v>478</v>
      </c>
      <c r="W353" s="24">
        <v>15</v>
      </c>
      <c r="X353" s="24">
        <v>351</v>
      </c>
      <c r="Y353" s="24">
        <v>492.5</v>
      </c>
      <c r="Z353" s="24">
        <v>250</v>
      </c>
      <c r="AA353" s="24">
        <v>-101</v>
      </c>
    </row>
    <row r="354" spans="1:27">
      <c r="A354" s="24" t="s">
        <v>778</v>
      </c>
      <c r="B354" s="24" t="s">
        <v>117</v>
      </c>
      <c r="C354" s="24" t="s">
        <v>779</v>
      </c>
      <c r="D354" s="24">
        <v>104</v>
      </c>
      <c r="E354" s="24">
        <v>357</v>
      </c>
      <c r="F354" s="24">
        <v>76</v>
      </c>
      <c r="G354" s="24">
        <v>391</v>
      </c>
      <c r="H354" s="24">
        <v>104</v>
      </c>
      <c r="I354" s="24">
        <v>188</v>
      </c>
      <c r="J354" s="24">
        <v>68</v>
      </c>
      <c r="K354" s="24">
        <v>453</v>
      </c>
      <c r="L354" s="24">
        <v>53</v>
      </c>
      <c r="M354" s="24">
        <v>526</v>
      </c>
      <c r="N354" s="24">
        <v>73</v>
      </c>
      <c r="O354" s="24">
        <v>393</v>
      </c>
      <c r="P354" s="24">
        <v>79</v>
      </c>
      <c r="Q354" s="24">
        <v>175</v>
      </c>
      <c r="R354" s="24">
        <v>64</v>
      </c>
      <c r="S354" s="24">
        <v>586</v>
      </c>
      <c r="T354" s="24">
        <v>63</v>
      </c>
      <c r="U354" s="24">
        <v>123</v>
      </c>
      <c r="V354" s="24">
        <v>478</v>
      </c>
      <c r="W354" s="24">
        <v>18</v>
      </c>
      <c r="X354" s="24">
        <v>351</v>
      </c>
      <c r="Y354" s="24">
        <v>482</v>
      </c>
      <c r="Z354" s="24">
        <v>296</v>
      </c>
      <c r="AA354" s="24">
        <v>-55</v>
      </c>
    </row>
    <row r="355" spans="1:27">
      <c r="A355" s="24" t="s">
        <v>2435</v>
      </c>
      <c r="B355" s="24" t="s">
        <v>131</v>
      </c>
      <c r="C355" s="24" t="s">
        <v>2436</v>
      </c>
      <c r="D355" s="24">
        <v>118</v>
      </c>
      <c r="E355" s="24">
        <v>33</v>
      </c>
      <c r="F355" s="24">
        <v>60</v>
      </c>
      <c r="G355" s="24">
        <v>696</v>
      </c>
      <c r="H355" s="24">
        <v>96</v>
      </c>
      <c r="I355" s="24">
        <v>346</v>
      </c>
      <c r="J355" s="24">
        <v>70</v>
      </c>
      <c r="K355" s="24">
        <v>400</v>
      </c>
      <c r="L355" s="24">
        <v>65</v>
      </c>
      <c r="M355" s="24">
        <v>223</v>
      </c>
      <c r="N355" s="24">
        <v>69</v>
      </c>
      <c r="O355" s="24">
        <v>523</v>
      </c>
      <c r="P355" s="24">
        <v>78</v>
      </c>
      <c r="Q355" s="24">
        <v>209</v>
      </c>
      <c r="R355" s="24">
        <v>71</v>
      </c>
      <c r="S355" s="24">
        <v>290</v>
      </c>
      <c r="T355" s="24">
        <v>54</v>
      </c>
      <c r="U355" s="24">
        <v>428</v>
      </c>
      <c r="V355" s="24">
        <v>478</v>
      </c>
      <c r="W355" s="24">
        <v>16</v>
      </c>
      <c r="X355" s="24">
        <v>351</v>
      </c>
      <c r="Y355" s="24">
        <v>481</v>
      </c>
      <c r="Z355" s="24">
        <v>304</v>
      </c>
      <c r="AA355" s="24">
        <v>-47</v>
      </c>
    </row>
    <row r="356" spans="1:27">
      <c r="A356" s="24" t="s">
        <v>1816</v>
      </c>
      <c r="B356" s="24" t="s">
        <v>34</v>
      </c>
      <c r="C356" s="24" t="s">
        <v>1817</v>
      </c>
      <c r="D356" s="24">
        <v>116</v>
      </c>
      <c r="E356" s="24">
        <v>47</v>
      </c>
      <c r="F356" s="24">
        <v>72</v>
      </c>
      <c r="G356" s="24">
        <v>458</v>
      </c>
      <c r="H356" s="24">
        <v>103</v>
      </c>
      <c r="I356" s="24">
        <v>205</v>
      </c>
      <c r="J356" s="24">
        <v>66</v>
      </c>
      <c r="K356" s="24">
        <v>484</v>
      </c>
      <c r="L356" s="24">
        <v>58</v>
      </c>
      <c r="M356" s="24">
        <v>377</v>
      </c>
      <c r="N356" s="24">
        <v>63</v>
      </c>
      <c r="O356" s="24">
        <v>692</v>
      </c>
      <c r="P356" s="24">
        <v>79</v>
      </c>
      <c r="Q356" s="24">
        <v>175</v>
      </c>
      <c r="R356" s="24">
        <v>68</v>
      </c>
      <c r="S356" s="24">
        <v>412</v>
      </c>
      <c r="T356" s="24">
        <v>53</v>
      </c>
      <c r="U356" s="24">
        <v>470</v>
      </c>
      <c r="V356" s="24">
        <v>478</v>
      </c>
      <c r="W356" s="24">
        <v>16</v>
      </c>
      <c r="X356" s="24">
        <v>351</v>
      </c>
      <c r="Y356" s="24">
        <v>517</v>
      </c>
      <c r="Z356" s="24">
        <v>146</v>
      </c>
      <c r="AA356" s="24">
        <v>-205</v>
      </c>
    </row>
    <row r="357" spans="1:27">
      <c r="A357" s="24" t="s">
        <v>2124</v>
      </c>
      <c r="B357" s="24" t="s">
        <v>73</v>
      </c>
      <c r="C357" s="24" t="s">
        <v>2125</v>
      </c>
      <c r="D357" s="24">
        <v>110</v>
      </c>
      <c r="E357" s="24">
        <v>159</v>
      </c>
      <c r="F357" s="24">
        <v>80</v>
      </c>
      <c r="G357" s="24">
        <v>325</v>
      </c>
      <c r="H357" s="24">
        <v>75.5</v>
      </c>
      <c r="I357" s="24">
        <v>764</v>
      </c>
      <c r="J357" s="24">
        <v>99</v>
      </c>
      <c r="K357" s="24">
        <v>25</v>
      </c>
      <c r="L357" s="24">
        <v>47</v>
      </c>
      <c r="M357" s="24">
        <v>673</v>
      </c>
      <c r="N357" s="24">
        <v>66</v>
      </c>
      <c r="O357" s="24">
        <v>611</v>
      </c>
      <c r="P357" s="24">
        <v>57</v>
      </c>
      <c r="Q357" s="24">
        <v>838</v>
      </c>
      <c r="R357" s="24">
        <v>62</v>
      </c>
      <c r="S357" s="24">
        <v>672</v>
      </c>
      <c r="T357" s="24">
        <v>44</v>
      </c>
      <c r="U357" s="24">
        <v>804</v>
      </c>
      <c r="V357" s="24">
        <v>477.5</v>
      </c>
      <c r="W357" s="24">
        <v>16</v>
      </c>
      <c r="X357" s="24">
        <v>356</v>
      </c>
      <c r="Y357" s="24">
        <v>425.5</v>
      </c>
      <c r="Z357" s="24">
        <v>602</v>
      </c>
      <c r="AA357" s="24">
        <v>246</v>
      </c>
    </row>
    <row r="358" spans="1:27">
      <c r="A358" s="24" t="s">
        <v>1873</v>
      </c>
      <c r="B358" s="24" t="s">
        <v>34</v>
      </c>
      <c r="C358" s="24" t="s">
        <v>185</v>
      </c>
      <c r="D358" s="24">
        <v>100</v>
      </c>
      <c r="E358" s="24">
        <v>528</v>
      </c>
      <c r="F358" s="24">
        <v>82</v>
      </c>
      <c r="G358" s="24">
        <v>290</v>
      </c>
      <c r="H358" s="24">
        <v>99</v>
      </c>
      <c r="I358" s="24">
        <v>277</v>
      </c>
      <c r="J358" s="24">
        <v>70</v>
      </c>
      <c r="K358" s="24">
        <v>400</v>
      </c>
      <c r="L358" s="24">
        <v>58</v>
      </c>
      <c r="M358" s="24">
        <v>377</v>
      </c>
      <c r="N358" s="24">
        <v>68</v>
      </c>
      <c r="O358" s="24">
        <v>555</v>
      </c>
      <c r="P358" s="24">
        <v>84</v>
      </c>
      <c r="Q358" s="24">
        <v>59</v>
      </c>
      <c r="R358" s="24">
        <v>67</v>
      </c>
      <c r="S358" s="24">
        <v>471</v>
      </c>
      <c r="T358" s="24">
        <v>59</v>
      </c>
      <c r="U358" s="24">
        <v>233</v>
      </c>
      <c r="V358" s="24">
        <v>477</v>
      </c>
      <c r="W358" s="24">
        <v>17</v>
      </c>
      <c r="X358" s="24">
        <v>357</v>
      </c>
      <c r="Y358" s="24">
        <v>507</v>
      </c>
      <c r="Z358" s="24">
        <v>181</v>
      </c>
      <c r="AA358" s="24">
        <v>-176</v>
      </c>
    </row>
    <row r="359" spans="1:27">
      <c r="A359" s="24" t="s">
        <v>1417</v>
      </c>
      <c r="B359" s="24" t="s">
        <v>56</v>
      </c>
      <c r="C359" s="24" t="s">
        <v>1418</v>
      </c>
      <c r="D359" s="24">
        <v>103</v>
      </c>
      <c r="E359" s="24">
        <v>400</v>
      </c>
      <c r="F359" s="24">
        <v>58</v>
      </c>
      <c r="G359" s="24">
        <v>734</v>
      </c>
      <c r="H359" s="24">
        <v>100</v>
      </c>
      <c r="I359" s="24">
        <v>258</v>
      </c>
      <c r="J359" s="24">
        <v>71</v>
      </c>
      <c r="K359" s="24">
        <v>378</v>
      </c>
      <c r="L359" s="24">
        <v>57</v>
      </c>
      <c r="M359" s="24">
        <v>409</v>
      </c>
      <c r="N359" s="24">
        <v>87</v>
      </c>
      <c r="O359" s="24">
        <v>57</v>
      </c>
      <c r="P359" s="24">
        <v>71</v>
      </c>
      <c r="Q359" s="24">
        <v>439</v>
      </c>
      <c r="R359" s="24">
        <v>64</v>
      </c>
      <c r="S359" s="24">
        <v>586</v>
      </c>
      <c r="T359" s="24">
        <v>59</v>
      </c>
      <c r="U359" s="24">
        <v>233</v>
      </c>
      <c r="V359" s="24">
        <v>476</v>
      </c>
      <c r="W359" s="24">
        <v>16</v>
      </c>
      <c r="X359" s="24">
        <v>358</v>
      </c>
      <c r="Y359" s="24">
        <v>466</v>
      </c>
      <c r="Z359" s="24">
        <v>387</v>
      </c>
      <c r="AA359" s="24">
        <v>29</v>
      </c>
    </row>
    <row r="360" spans="1:27">
      <c r="A360" s="24" t="s">
        <v>2057</v>
      </c>
      <c r="B360" s="24" t="s">
        <v>109</v>
      </c>
      <c r="C360" s="24" t="s">
        <v>2058</v>
      </c>
      <c r="D360" s="24">
        <v>103</v>
      </c>
      <c r="E360" s="24">
        <v>400</v>
      </c>
      <c r="F360" s="24">
        <v>76</v>
      </c>
      <c r="G360" s="24">
        <v>391</v>
      </c>
      <c r="H360" s="24">
        <v>91</v>
      </c>
      <c r="I360" s="24">
        <v>459</v>
      </c>
      <c r="J360" s="24">
        <v>62</v>
      </c>
      <c r="K360" s="24">
        <v>564</v>
      </c>
      <c r="L360" s="24">
        <v>60</v>
      </c>
      <c r="M360" s="24">
        <v>322</v>
      </c>
      <c r="N360" s="24">
        <v>84</v>
      </c>
      <c r="O360" s="24">
        <v>123</v>
      </c>
      <c r="P360" s="24">
        <v>64</v>
      </c>
      <c r="Q360" s="24">
        <v>680</v>
      </c>
      <c r="R360" s="24">
        <v>71</v>
      </c>
      <c r="S360" s="24">
        <v>290</v>
      </c>
      <c r="T360" s="24">
        <v>35</v>
      </c>
      <c r="U360" s="24">
        <v>924</v>
      </c>
      <c r="V360" s="24">
        <v>476</v>
      </c>
      <c r="W360" s="24">
        <v>25</v>
      </c>
      <c r="X360" s="24">
        <v>358</v>
      </c>
      <c r="Y360" s="24">
        <v>436.5</v>
      </c>
      <c r="Z360" s="24">
        <v>538</v>
      </c>
      <c r="AA360" s="24">
        <v>180</v>
      </c>
    </row>
    <row r="361" spans="1:27">
      <c r="A361" s="24" t="s">
        <v>2873</v>
      </c>
      <c r="B361" s="24" t="s">
        <v>38</v>
      </c>
      <c r="C361" s="24" t="s">
        <v>2874</v>
      </c>
      <c r="D361" s="24">
        <v>89</v>
      </c>
      <c r="E361" s="24">
        <v>835</v>
      </c>
      <c r="F361" s="24">
        <v>69</v>
      </c>
      <c r="G361" s="24">
        <v>524</v>
      </c>
      <c r="H361" s="24">
        <v>85</v>
      </c>
      <c r="I361" s="24">
        <v>593</v>
      </c>
      <c r="J361" s="24">
        <v>73</v>
      </c>
      <c r="K361" s="24">
        <v>339</v>
      </c>
      <c r="L361" s="24">
        <v>79</v>
      </c>
      <c r="M361" s="24">
        <v>49</v>
      </c>
      <c r="N361" s="24">
        <v>81</v>
      </c>
      <c r="O361" s="24">
        <v>183</v>
      </c>
      <c r="P361" s="24">
        <v>70</v>
      </c>
      <c r="Q361" s="24">
        <v>473</v>
      </c>
      <c r="R361" s="24">
        <v>88</v>
      </c>
      <c r="S361" s="24">
        <v>3</v>
      </c>
      <c r="T361" s="24">
        <v>68</v>
      </c>
      <c r="U361" s="24">
        <v>54</v>
      </c>
      <c r="V361" s="24">
        <v>476</v>
      </c>
      <c r="W361" s="24">
        <v>12</v>
      </c>
      <c r="X361" s="24">
        <v>358</v>
      </c>
      <c r="Y361" s="24">
        <v>458.5</v>
      </c>
      <c r="Z361" s="24">
        <v>421</v>
      </c>
      <c r="AA361" s="24">
        <v>63</v>
      </c>
    </row>
    <row r="362" spans="1:27">
      <c r="A362" s="24" t="s">
        <v>1253</v>
      </c>
      <c r="B362" s="24" t="s">
        <v>54</v>
      </c>
      <c r="C362" s="24" t="s">
        <v>1254</v>
      </c>
      <c r="D362" s="24">
        <v>96</v>
      </c>
      <c r="E362" s="24">
        <v>676</v>
      </c>
      <c r="F362" s="24">
        <v>70</v>
      </c>
      <c r="G362" s="24">
        <v>505</v>
      </c>
      <c r="H362" s="24">
        <v>92</v>
      </c>
      <c r="I362" s="24">
        <v>426</v>
      </c>
      <c r="J362" s="24">
        <v>76</v>
      </c>
      <c r="K362" s="24">
        <v>287</v>
      </c>
      <c r="L362" s="24">
        <v>69</v>
      </c>
      <c r="M362" s="24">
        <v>152</v>
      </c>
      <c r="N362" s="24">
        <v>73</v>
      </c>
      <c r="O362" s="24">
        <v>393</v>
      </c>
      <c r="P362" s="24">
        <v>75</v>
      </c>
      <c r="Q362" s="24">
        <v>289</v>
      </c>
      <c r="R362" s="24">
        <v>86</v>
      </c>
      <c r="S362" s="24">
        <v>9</v>
      </c>
      <c r="T362" s="24">
        <v>69</v>
      </c>
      <c r="U362" s="24">
        <v>43</v>
      </c>
      <c r="V362" s="24">
        <v>476</v>
      </c>
      <c r="W362" s="24">
        <v>16</v>
      </c>
      <c r="X362" s="24">
        <v>358</v>
      </c>
      <c r="Y362" s="24">
        <v>487</v>
      </c>
      <c r="Z362" s="24">
        <v>275</v>
      </c>
      <c r="AA362" s="24">
        <v>-83</v>
      </c>
    </row>
    <row r="363" spans="1:27">
      <c r="A363" s="24" t="s">
        <v>1446</v>
      </c>
      <c r="B363" s="24" t="s">
        <v>56</v>
      </c>
      <c r="C363" s="24" t="s">
        <v>1447</v>
      </c>
      <c r="D363" s="24">
        <v>102</v>
      </c>
      <c r="E363" s="24">
        <v>442</v>
      </c>
      <c r="F363" s="24">
        <v>83</v>
      </c>
      <c r="G363" s="24">
        <v>267</v>
      </c>
      <c r="H363" s="24">
        <v>85</v>
      </c>
      <c r="I363" s="24">
        <v>593</v>
      </c>
      <c r="J363" s="24">
        <v>84</v>
      </c>
      <c r="K363" s="24">
        <v>147</v>
      </c>
      <c r="L363" s="24">
        <v>49</v>
      </c>
      <c r="M363" s="24">
        <v>624</v>
      </c>
      <c r="N363" s="24">
        <v>73</v>
      </c>
      <c r="O363" s="24">
        <v>393</v>
      </c>
      <c r="P363" s="24">
        <v>89</v>
      </c>
      <c r="Q363" s="24">
        <v>8</v>
      </c>
      <c r="R363" s="24">
        <v>64</v>
      </c>
      <c r="S363" s="24">
        <v>586</v>
      </c>
      <c r="T363" s="24">
        <v>51</v>
      </c>
      <c r="U363" s="24">
        <v>555</v>
      </c>
      <c r="V363" s="24">
        <v>476</v>
      </c>
      <c r="W363" s="24">
        <v>16</v>
      </c>
      <c r="X363" s="24">
        <v>358</v>
      </c>
      <c r="Y363" s="24">
        <v>461</v>
      </c>
      <c r="Z363" s="24">
        <v>410</v>
      </c>
      <c r="AA363" s="24">
        <v>52</v>
      </c>
    </row>
    <row r="364" spans="1:27">
      <c r="A364" s="24" t="s">
        <v>2504</v>
      </c>
      <c r="B364" s="24" t="s">
        <v>131</v>
      </c>
      <c r="C364" s="24" t="s">
        <v>2505</v>
      </c>
      <c r="D364" s="24">
        <v>94</v>
      </c>
      <c r="E364" s="24">
        <v>733</v>
      </c>
      <c r="F364" s="24">
        <v>81</v>
      </c>
      <c r="G364" s="24">
        <v>309</v>
      </c>
      <c r="H364" s="24">
        <v>104</v>
      </c>
      <c r="I364" s="24">
        <v>188</v>
      </c>
      <c r="J364" s="24">
        <v>66</v>
      </c>
      <c r="K364" s="24">
        <v>484</v>
      </c>
      <c r="L364" s="24">
        <v>61</v>
      </c>
      <c r="M364" s="24">
        <v>300</v>
      </c>
      <c r="N364" s="24">
        <v>70</v>
      </c>
      <c r="O364" s="24">
        <v>485</v>
      </c>
      <c r="P364" s="24">
        <v>62</v>
      </c>
      <c r="Q364" s="24">
        <v>729</v>
      </c>
      <c r="R364" s="24">
        <v>60</v>
      </c>
      <c r="S364" s="24">
        <v>727</v>
      </c>
      <c r="T364" s="24">
        <v>50</v>
      </c>
      <c r="U364" s="24">
        <v>591</v>
      </c>
      <c r="V364" s="24">
        <v>476</v>
      </c>
      <c r="W364" s="24">
        <v>17</v>
      </c>
      <c r="X364" s="24">
        <v>358</v>
      </c>
      <c r="Y364" s="24">
        <v>487.5</v>
      </c>
      <c r="Z364" s="24">
        <v>274</v>
      </c>
      <c r="AA364" s="24">
        <v>-84</v>
      </c>
    </row>
    <row r="365" spans="1:27">
      <c r="A365" s="24" t="s">
        <v>2118</v>
      </c>
      <c r="B365" s="24" t="s">
        <v>73</v>
      </c>
      <c r="C365" s="24" t="s">
        <v>2119</v>
      </c>
      <c r="D365" s="24">
        <v>94</v>
      </c>
      <c r="E365" s="24">
        <v>733</v>
      </c>
      <c r="F365" s="24">
        <v>68</v>
      </c>
      <c r="G365" s="24">
        <v>540</v>
      </c>
      <c r="H365" s="24">
        <v>98</v>
      </c>
      <c r="I365" s="24">
        <v>294</v>
      </c>
      <c r="J365" s="24">
        <v>82</v>
      </c>
      <c r="K365" s="24">
        <v>174</v>
      </c>
      <c r="L365" s="24">
        <v>67</v>
      </c>
      <c r="M365" s="24">
        <v>177</v>
      </c>
      <c r="N365" s="24">
        <v>67</v>
      </c>
      <c r="O365" s="24">
        <v>587</v>
      </c>
      <c r="P365" s="24">
        <v>69</v>
      </c>
      <c r="Q365" s="24">
        <v>504</v>
      </c>
      <c r="R365" s="24">
        <v>71</v>
      </c>
      <c r="S365" s="24">
        <v>290</v>
      </c>
      <c r="T365" s="24">
        <v>58</v>
      </c>
      <c r="U365" s="24">
        <v>278</v>
      </c>
      <c r="V365" s="24">
        <v>476</v>
      </c>
      <c r="W365" s="24">
        <v>17</v>
      </c>
      <c r="X365" s="24">
        <v>358</v>
      </c>
      <c r="Y365" s="24">
        <v>450</v>
      </c>
      <c r="Z365" s="24">
        <v>466</v>
      </c>
      <c r="AA365" s="24">
        <v>108</v>
      </c>
    </row>
    <row r="366" spans="1:27">
      <c r="A366" s="24" t="s">
        <v>2507</v>
      </c>
      <c r="B366" s="24" t="s">
        <v>131</v>
      </c>
      <c r="C366" s="24" t="s">
        <v>2508</v>
      </c>
      <c r="D366" s="24">
        <v>104</v>
      </c>
      <c r="E366" s="24">
        <v>357</v>
      </c>
      <c r="F366" s="24">
        <v>89</v>
      </c>
      <c r="G366" s="24">
        <v>196</v>
      </c>
      <c r="H366" s="24">
        <v>104</v>
      </c>
      <c r="I366" s="24">
        <v>188</v>
      </c>
      <c r="J366" s="24">
        <v>62</v>
      </c>
      <c r="K366" s="24">
        <v>564</v>
      </c>
      <c r="L366" s="24">
        <v>52</v>
      </c>
      <c r="M366" s="24">
        <v>551</v>
      </c>
      <c r="N366" s="24">
        <v>65</v>
      </c>
      <c r="O366" s="24">
        <v>643</v>
      </c>
      <c r="P366" s="24">
        <v>64</v>
      </c>
      <c r="Q366" s="24">
        <v>680</v>
      </c>
      <c r="R366" s="24">
        <v>71</v>
      </c>
      <c r="S366" s="24">
        <v>290</v>
      </c>
      <c r="T366" s="24">
        <v>53</v>
      </c>
      <c r="U366" s="24">
        <v>470</v>
      </c>
      <c r="V366" s="24">
        <v>476</v>
      </c>
      <c r="W366" s="24">
        <v>17</v>
      </c>
      <c r="X366" s="24">
        <v>358</v>
      </c>
      <c r="Y366" s="24">
        <v>455.5</v>
      </c>
      <c r="Z366" s="24">
        <v>436</v>
      </c>
      <c r="AA366" s="24">
        <v>78</v>
      </c>
    </row>
    <row r="367" spans="1:27">
      <c r="A367" s="24" t="s">
        <v>1329</v>
      </c>
      <c r="B367" s="24" t="s">
        <v>54</v>
      </c>
      <c r="C367" s="24" t="s">
        <v>1330</v>
      </c>
      <c r="D367" s="24">
        <v>110</v>
      </c>
      <c r="E367" s="24">
        <v>159</v>
      </c>
      <c r="F367" s="24">
        <v>92</v>
      </c>
      <c r="G367" s="24">
        <v>166</v>
      </c>
      <c r="H367" s="24">
        <v>75.5</v>
      </c>
      <c r="I367" s="24">
        <v>764</v>
      </c>
      <c r="J367" s="24">
        <v>58</v>
      </c>
      <c r="K367" s="24">
        <v>649</v>
      </c>
      <c r="L367" s="24">
        <v>64</v>
      </c>
      <c r="M367" s="24">
        <v>244</v>
      </c>
      <c r="N367" s="24">
        <v>76</v>
      </c>
      <c r="O367" s="24">
        <v>308</v>
      </c>
      <c r="P367" s="24">
        <v>67</v>
      </c>
      <c r="Q367" s="24">
        <v>570</v>
      </c>
      <c r="R367" s="24">
        <v>45</v>
      </c>
      <c r="S367" s="24">
        <v>923</v>
      </c>
      <c r="T367" s="24">
        <v>53</v>
      </c>
      <c r="U367" s="24">
        <v>470</v>
      </c>
      <c r="V367" s="24">
        <v>475.5</v>
      </c>
      <c r="W367" s="24">
        <v>17</v>
      </c>
      <c r="X367" s="24">
        <v>366</v>
      </c>
      <c r="Y367" s="24">
        <v>448.5</v>
      </c>
      <c r="Z367" s="24">
        <v>477</v>
      </c>
      <c r="AA367" s="24">
        <v>111</v>
      </c>
    </row>
    <row r="368" spans="1:27">
      <c r="A368" s="24" t="s">
        <v>2203</v>
      </c>
      <c r="B368" s="24" t="s">
        <v>73</v>
      </c>
      <c r="C368" s="24" t="s">
        <v>107</v>
      </c>
      <c r="D368" s="24">
        <v>99</v>
      </c>
      <c r="E368" s="24">
        <v>571</v>
      </c>
      <c r="F368" s="24">
        <v>71</v>
      </c>
      <c r="G368" s="24">
        <v>475</v>
      </c>
      <c r="H368" s="24">
        <v>99.5</v>
      </c>
      <c r="I368" s="24">
        <v>269</v>
      </c>
      <c r="J368" s="24">
        <v>54</v>
      </c>
      <c r="K368" s="24">
        <v>718</v>
      </c>
      <c r="L368" s="24">
        <v>83</v>
      </c>
      <c r="M368" s="24">
        <v>30</v>
      </c>
      <c r="N368" s="24">
        <v>69</v>
      </c>
      <c r="O368" s="24">
        <v>523</v>
      </c>
      <c r="P368" s="24">
        <v>60</v>
      </c>
      <c r="Q368" s="24">
        <v>777</v>
      </c>
      <c r="R368" s="24">
        <v>43</v>
      </c>
      <c r="S368" s="24">
        <v>928</v>
      </c>
      <c r="T368" s="24">
        <v>37</v>
      </c>
      <c r="U368" s="24">
        <v>912</v>
      </c>
      <c r="V368" s="24">
        <v>475.5</v>
      </c>
      <c r="W368" s="24">
        <v>18</v>
      </c>
      <c r="X368" s="24">
        <v>366</v>
      </c>
      <c r="Y368" s="24">
        <v>474.5</v>
      </c>
      <c r="Z368" s="24">
        <v>331</v>
      </c>
      <c r="AA368" s="24">
        <v>-35</v>
      </c>
    </row>
    <row r="369" spans="1:27">
      <c r="A369" s="24" t="s">
        <v>288</v>
      </c>
      <c r="B369" s="24" t="s">
        <v>28</v>
      </c>
      <c r="C369" s="24" t="s">
        <v>289</v>
      </c>
      <c r="D369" s="24">
        <v>124</v>
      </c>
      <c r="E369" s="24">
        <v>4</v>
      </c>
      <c r="F369" s="24">
        <v>79</v>
      </c>
      <c r="G369" s="24">
        <v>342</v>
      </c>
      <c r="H369" s="24">
        <v>64</v>
      </c>
      <c r="I369" s="24">
        <v>887</v>
      </c>
      <c r="J369" s="24">
        <v>63</v>
      </c>
      <c r="K369" s="24">
        <v>540</v>
      </c>
      <c r="L369" s="24">
        <v>59</v>
      </c>
      <c r="M369" s="24">
        <v>348</v>
      </c>
      <c r="N369" s="24">
        <v>86</v>
      </c>
      <c r="O369" s="24">
        <v>77</v>
      </c>
      <c r="P369" s="24">
        <v>87</v>
      </c>
      <c r="Q369" s="24">
        <v>25</v>
      </c>
      <c r="R369" s="24">
        <v>84</v>
      </c>
      <c r="S369" s="24">
        <v>16</v>
      </c>
      <c r="T369" s="24">
        <v>64</v>
      </c>
      <c r="U369" s="24">
        <v>103</v>
      </c>
      <c r="V369" s="24">
        <v>475</v>
      </c>
      <c r="W369" s="24">
        <v>16</v>
      </c>
      <c r="X369" s="24">
        <v>368</v>
      </c>
      <c r="Y369" s="24">
        <v>423</v>
      </c>
      <c r="Z369" s="24">
        <v>618</v>
      </c>
      <c r="AA369" s="24">
        <v>250</v>
      </c>
    </row>
    <row r="370" spans="1:27">
      <c r="A370" s="24" t="s">
        <v>1039</v>
      </c>
      <c r="B370" s="24" t="s">
        <v>68</v>
      </c>
      <c r="C370" s="24" t="s">
        <v>1040</v>
      </c>
      <c r="D370" s="24">
        <v>101</v>
      </c>
      <c r="E370" s="24">
        <v>481</v>
      </c>
      <c r="F370" s="24">
        <v>85</v>
      </c>
      <c r="G370" s="24">
        <v>244</v>
      </c>
      <c r="H370" s="24">
        <v>87</v>
      </c>
      <c r="I370" s="24">
        <v>554</v>
      </c>
      <c r="J370" s="24">
        <v>66</v>
      </c>
      <c r="K370" s="24">
        <v>484</v>
      </c>
      <c r="L370" s="24">
        <v>58</v>
      </c>
      <c r="M370" s="24">
        <v>377</v>
      </c>
      <c r="N370" s="24">
        <v>78</v>
      </c>
      <c r="O370" s="24">
        <v>250</v>
      </c>
      <c r="P370" s="24">
        <v>89</v>
      </c>
      <c r="Q370" s="24">
        <v>8</v>
      </c>
      <c r="R370" s="24">
        <v>67</v>
      </c>
      <c r="S370" s="24">
        <v>471</v>
      </c>
      <c r="T370" s="24">
        <v>63</v>
      </c>
      <c r="U370" s="24">
        <v>123</v>
      </c>
      <c r="V370" s="24">
        <v>475</v>
      </c>
      <c r="W370" s="24">
        <v>21</v>
      </c>
      <c r="X370" s="24">
        <v>368</v>
      </c>
      <c r="Y370" s="24">
        <v>502</v>
      </c>
      <c r="Z370" s="24">
        <v>199</v>
      </c>
      <c r="AA370" s="24">
        <v>-169</v>
      </c>
    </row>
    <row r="371" spans="1:27">
      <c r="A371" s="24" t="s">
        <v>2498</v>
      </c>
      <c r="B371" s="24" t="s">
        <v>131</v>
      </c>
      <c r="C371" s="24" t="s">
        <v>2499</v>
      </c>
      <c r="D371" s="24">
        <v>104</v>
      </c>
      <c r="E371" s="24">
        <v>357</v>
      </c>
      <c r="F371" s="24">
        <v>78</v>
      </c>
      <c r="G371" s="24">
        <v>353</v>
      </c>
      <c r="H371" s="24">
        <v>81.5</v>
      </c>
      <c r="I371" s="24">
        <v>674</v>
      </c>
      <c r="J371" s="24">
        <v>76</v>
      </c>
      <c r="K371" s="24">
        <v>287</v>
      </c>
      <c r="L371" s="24">
        <v>57</v>
      </c>
      <c r="M371" s="24">
        <v>409</v>
      </c>
      <c r="N371" s="24">
        <v>78</v>
      </c>
      <c r="O371" s="24">
        <v>250</v>
      </c>
      <c r="P371" s="24">
        <v>67</v>
      </c>
      <c r="Q371" s="24">
        <v>570</v>
      </c>
      <c r="R371" s="24">
        <v>71</v>
      </c>
      <c r="S371" s="24">
        <v>290</v>
      </c>
      <c r="T371" s="24">
        <v>67</v>
      </c>
      <c r="U371" s="24">
        <v>66</v>
      </c>
      <c r="V371" s="24">
        <v>474.5</v>
      </c>
      <c r="W371" s="24">
        <v>19</v>
      </c>
      <c r="X371" s="24">
        <v>370</v>
      </c>
      <c r="Y371" s="24">
        <v>440</v>
      </c>
      <c r="Z371" s="24">
        <v>524</v>
      </c>
      <c r="AA371" s="24">
        <v>154</v>
      </c>
    </row>
    <row r="372" spans="1:27">
      <c r="A372" s="24" t="s">
        <v>1300</v>
      </c>
      <c r="B372" s="24" t="s">
        <v>54</v>
      </c>
      <c r="C372" s="24" t="s">
        <v>1301</v>
      </c>
      <c r="D372" s="24">
        <v>112</v>
      </c>
      <c r="E372" s="24">
        <v>114</v>
      </c>
      <c r="F372" s="24">
        <v>67</v>
      </c>
      <c r="G372" s="24">
        <v>565</v>
      </c>
      <c r="H372" s="24">
        <v>79.5</v>
      </c>
      <c r="I372" s="24">
        <v>699</v>
      </c>
      <c r="J372" s="24">
        <v>72</v>
      </c>
      <c r="K372" s="24">
        <v>358</v>
      </c>
      <c r="L372" s="24">
        <v>67</v>
      </c>
      <c r="M372" s="24">
        <v>177</v>
      </c>
      <c r="N372" s="24">
        <v>77</v>
      </c>
      <c r="O372" s="24">
        <v>275</v>
      </c>
      <c r="P372" s="24">
        <v>69</v>
      </c>
      <c r="Q372" s="24">
        <v>504</v>
      </c>
      <c r="R372" s="24">
        <v>62</v>
      </c>
      <c r="S372" s="24">
        <v>672</v>
      </c>
      <c r="T372" s="24">
        <v>49</v>
      </c>
      <c r="U372" s="24">
        <v>633</v>
      </c>
      <c r="V372" s="24">
        <v>474.5</v>
      </c>
      <c r="W372" s="24">
        <v>18</v>
      </c>
      <c r="X372" s="24">
        <v>370</v>
      </c>
      <c r="Y372" s="24">
        <v>470.5</v>
      </c>
      <c r="Z372" s="24">
        <v>362</v>
      </c>
      <c r="AA372" s="24">
        <v>-8</v>
      </c>
    </row>
    <row r="373" spans="1:27">
      <c r="A373" s="24" t="s">
        <v>238</v>
      </c>
      <c r="B373" s="24" t="s">
        <v>28</v>
      </c>
      <c r="C373" s="24" t="s">
        <v>239</v>
      </c>
      <c r="D373" s="24">
        <v>102</v>
      </c>
      <c r="E373" s="24">
        <v>442</v>
      </c>
      <c r="F373" s="24">
        <v>84</v>
      </c>
      <c r="G373" s="24">
        <v>251</v>
      </c>
      <c r="H373" s="24">
        <v>80.5</v>
      </c>
      <c r="I373" s="24">
        <v>688</v>
      </c>
      <c r="J373" s="24">
        <v>73</v>
      </c>
      <c r="K373" s="24">
        <v>339</v>
      </c>
      <c r="L373" s="24">
        <v>62</v>
      </c>
      <c r="M373" s="24">
        <v>277</v>
      </c>
      <c r="N373" s="24">
        <v>73</v>
      </c>
      <c r="O373" s="24">
        <v>393</v>
      </c>
      <c r="P373" s="24">
        <v>75</v>
      </c>
      <c r="Q373" s="24">
        <v>289</v>
      </c>
      <c r="R373" s="24">
        <v>75</v>
      </c>
      <c r="S373" s="24">
        <v>146</v>
      </c>
      <c r="T373" s="24">
        <v>67</v>
      </c>
      <c r="U373" s="24">
        <v>66</v>
      </c>
      <c r="V373" s="24">
        <v>474.5</v>
      </c>
      <c r="W373" s="24">
        <v>17</v>
      </c>
      <c r="X373" s="24">
        <v>370</v>
      </c>
      <c r="Y373" s="24">
        <v>460</v>
      </c>
      <c r="Z373" s="24">
        <v>414</v>
      </c>
      <c r="AA373" s="24">
        <v>44</v>
      </c>
    </row>
    <row r="374" spans="1:27">
      <c r="A374" s="24" t="s">
        <v>663</v>
      </c>
      <c r="B374" s="24" t="s">
        <v>17</v>
      </c>
      <c r="C374" s="24" t="s">
        <v>664</v>
      </c>
      <c r="D374" s="24">
        <v>106</v>
      </c>
      <c r="E374" s="24">
        <v>287</v>
      </c>
      <c r="F374" s="24">
        <v>77</v>
      </c>
      <c r="G374" s="24">
        <v>369</v>
      </c>
      <c r="H374" s="24">
        <v>89</v>
      </c>
      <c r="I374" s="24">
        <v>510</v>
      </c>
      <c r="J374" s="24">
        <v>71</v>
      </c>
      <c r="K374" s="24">
        <v>378</v>
      </c>
      <c r="L374" s="24">
        <v>55</v>
      </c>
      <c r="M374" s="24">
        <v>470</v>
      </c>
      <c r="N374" s="24">
        <v>76</v>
      </c>
      <c r="O374" s="24">
        <v>308</v>
      </c>
      <c r="P374" s="24">
        <v>72</v>
      </c>
      <c r="Q374" s="24">
        <v>396</v>
      </c>
      <c r="R374" s="24">
        <v>68</v>
      </c>
      <c r="S374" s="24">
        <v>412</v>
      </c>
      <c r="T374" s="24">
        <v>50</v>
      </c>
      <c r="U374" s="24">
        <v>591</v>
      </c>
      <c r="V374" s="24">
        <v>474</v>
      </c>
      <c r="W374" s="24">
        <v>21</v>
      </c>
      <c r="X374" s="24">
        <v>373</v>
      </c>
      <c r="Y374" s="24">
        <v>433.5</v>
      </c>
      <c r="Z374" s="24">
        <v>554</v>
      </c>
      <c r="AA374" s="24">
        <v>181</v>
      </c>
    </row>
    <row r="375" spans="1:27">
      <c r="A375" s="24" t="s">
        <v>2403</v>
      </c>
      <c r="B375" s="24" t="s">
        <v>7</v>
      </c>
      <c r="C375" s="24" t="s">
        <v>2409</v>
      </c>
      <c r="D375" s="24">
        <v>110</v>
      </c>
      <c r="E375" s="24">
        <v>159</v>
      </c>
      <c r="F375" s="24">
        <v>87</v>
      </c>
      <c r="G375" s="24">
        <v>220</v>
      </c>
      <c r="H375" s="24">
        <v>91</v>
      </c>
      <c r="I375" s="24">
        <v>459</v>
      </c>
      <c r="J375" s="24">
        <v>67</v>
      </c>
      <c r="K375" s="24">
        <v>468</v>
      </c>
      <c r="L375" s="24">
        <v>49</v>
      </c>
      <c r="M375" s="24">
        <v>624</v>
      </c>
      <c r="N375" s="24">
        <v>70</v>
      </c>
      <c r="O375" s="24">
        <v>485</v>
      </c>
      <c r="P375" s="24">
        <v>69</v>
      </c>
      <c r="Q375" s="24">
        <v>504</v>
      </c>
      <c r="R375" s="24">
        <v>58</v>
      </c>
      <c r="S375" s="24">
        <v>770</v>
      </c>
      <c r="T375" s="24">
        <v>47</v>
      </c>
      <c r="U375" s="24">
        <v>719</v>
      </c>
      <c r="V375" s="24">
        <v>474</v>
      </c>
      <c r="W375" s="24">
        <v>12</v>
      </c>
      <c r="X375" s="24">
        <v>373</v>
      </c>
      <c r="Y375" s="24">
        <v>469</v>
      </c>
      <c r="Z375" s="24">
        <v>372</v>
      </c>
      <c r="AA375" s="24">
        <v>-1</v>
      </c>
    </row>
    <row r="376" spans="1:27">
      <c r="A376" s="24" t="s">
        <v>548</v>
      </c>
      <c r="B376" s="24" t="s">
        <v>17</v>
      </c>
      <c r="C376" s="24" t="s">
        <v>549</v>
      </c>
      <c r="D376" s="24">
        <v>105</v>
      </c>
      <c r="E376" s="24">
        <v>325</v>
      </c>
      <c r="F376" s="24">
        <v>82</v>
      </c>
      <c r="G376" s="24">
        <v>290</v>
      </c>
      <c r="H376" s="24">
        <v>93</v>
      </c>
      <c r="I376" s="24">
        <v>405</v>
      </c>
      <c r="J376" s="24">
        <v>71</v>
      </c>
      <c r="K376" s="24">
        <v>378</v>
      </c>
      <c r="L376" s="24">
        <v>56</v>
      </c>
      <c r="M376" s="24">
        <v>433</v>
      </c>
      <c r="N376" s="24">
        <v>67</v>
      </c>
      <c r="O376" s="24">
        <v>587</v>
      </c>
      <c r="P376" s="24">
        <v>75</v>
      </c>
      <c r="Q376" s="24">
        <v>289</v>
      </c>
      <c r="R376" s="24">
        <v>67</v>
      </c>
      <c r="S376" s="24">
        <v>471</v>
      </c>
      <c r="T376" s="24">
        <v>55</v>
      </c>
      <c r="U376" s="24">
        <v>392</v>
      </c>
      <c r="V376" s="24">
        <v>474</v>
      </c>
      <c r="W376" s="24">
        <v>21</v>
      </c>
      <c r="X376" s="24">
        <v>373</v>
      </c>
      <c r="Y376" s="24">
        <v>431</v>
      </c>
      <c r="Z376" s="24">
        <v>569</v>
      </c>
      <c r="AA376" s="24">
        <v>196</v>
      </c>
    </row>
    <row r="377" spans="1:27">
      <c r="A377" s="24" t="s">
        <v>1414</v>
      </c>
      <c r="B377" s="24" t="s">
        <v>56</v>
      </c>
      <c r="C377" s="24" t="s">
        <v>1415</v>
      </c>
      <c r="D377" s="24">
        <v>114</v>
      </c>
      <c r="E377" s="24">
        <v>80</v>
      </c>
      <c r="F377" s="24">
        <v>68</v>
      </c>
      <c r="G377" s="24">
        <v>540</v>
      </c>
      <c r="H377" s="24">
        <v>94.5</v>
      </c>
      <c r="I377" s="24">
        <v>377</v>
      </c>
      <c r="J377" s="24">
        <v>69</v>
      </c>
      <c r="K377" s="24">
        <v>428</v>
      </c>
      <c r="L377" s="24">
        <v>48</v>
      </c>
      <c r="M377" s="24">
        <v>649</v>
      </c>
      <c r="N377" s="24">
        <v>80</v>
      </c>
      <c r="O377" s="24">
        <v>205</v>
      </c>
      <c r="P377" s="24">
        <v>74</v>
      </c>
      <c r="Q377" s="24">
        <v>326</v>
      </c>
      <c r="R377" s="24">
        <v>74</v>
      </c>
      <c r="S377" s="24">
        <v>174</v>
      </c>
      <c r="T377" s="24">
        <v>58</v>
      </c>
      <c r="U377" s="24">
        <v>278</v>
      </c>
      <c r="V377" s="24">
        <v>473.5</v>
      </c>
      <c r="W377" s="24">
        <v>18</v>
      </c>
      <c r="X377" s="24">
        <v>376</v>
      </c>
      <c r="Y377" s="24">
        <v>494.5</v>
      </c>
      <c r="Z377" s="24">
        <v>237</v>
      </c>
      <c r="AA377" s="24">
        <v>-139</v>
      </c>
    </row>
    <row r="378" spans="1:27">
      <c r="A378" s="24" t="s">
        <v>886</v>
      </c>
      <c r="B378" s="24" t="s">
        <v>60</v>
      </c>
      <c r="C378" s="24" t="s">
        <v>887</v>
      </c>
      <c r="D378" s="24">
        <v>103</v>
      </c>
      <c r="E378" s="24">
        <v>400</v>
      </c>
      <c r="F378" s="24">
        <v>90</v>
      </c>
      <c r="G378" s="24">
        <v>183</v>
      </c>
      <c r="H378" s="24">
        <v>83</v>
      </c>
      <c r="I378" s="24">
        <v>643</v>
      </c>
      <c r="J378" s="24">
        <v>54</v>
      </c>
      <c r="K378" s="24">
        <v>718</v>
      </c>
      <c r="L378" s="24">
        <v>62</v>
      </c>
      <c r="M378" s="24">
        <v>277</v>
      </c>
      <c r="N378" s="24">
        <v>81</v>
      </c>
      <c r="O378" s="24">
        <v>183</v>
      </c>
      <c r="P378" s="24">
        <v>59</v>
      </c>
      <c r="Q378" s="24">
        <v>799</v>
      </c>
      <c r="R378" s="24">
        <v>58</v>
      </c>
      <c r="S378" s="24">
        <v>770</v>
      </c>
      <c r="T378" s="24">
        <v>32</v>
      </c>
      <c r="U378" s="24">
        <v>930</v>
      </c>
      <c r="V378" s="24">
        <v>473</v>
      </c>
      <c r="W378" s="24">
        <v>20</v>
      </c>
      <c r="X378" s="24">
        <v>377</v>
      </c>
      <c r="Y378" s="24">
        <v>475</v>
      </c>
      <c r="Z378" s="24">
        <v>326</v>
      </c>
      <c r="AA378" s="24">
        <v>-51</v>
      </c>
    </row>
    <row r="379" spans="1:27">
      <c r="A379" s="24" t="s">
        <v>259</v>
      </c>
      <c r="B379" s="24" t="s">
        <v>28</v>
      </c>
      <c r="C379" s="24" t="s">
        <v>260</v>
      </c>
      <c r="D379" s="24">
        <v>115</v>
      </c>
      <c r="E379" s="24">
        <v>65</v>
      </c>
      <c r="F379" s="24">
        <v>77</v>
      </c>
      <c r="G379" s="24">
        <v>369</v>
      </c>
      <c r="H379" s="24">
        <v>88</v>
      </c>
      <c r="I379" s="24">
        <v>535</v>
      </c>
      <c r="J379" s="24">
        <v>69</v>
      </c>
      <c r="K379" s="24">
        <v>428</v>
      </c>
      <c r="L379" s="24">
        <v>48</v>
      </c>
      <c r="M379" s="24">
        <v>649</v>
      </c>
      <c r="N379" s="24">
        <v>76</v>
      </c>
      <c r="O379" s="24">
        <v>308</v>
      </c>
      <c r="P379" s="24">
        <v>81</v>
      </c>
      <c r="Q379" s="24">
        <v>124</v>
      </c>
      <c r="R379" s="24">
        <v>68</v>
      </c>
      <c r="S379" s="24">
        <v>412</v>
      </c>
      <c r="T379" s="24">
        <v>55</v>
      </c>
      <c r="U379" s="24">
        <v>392</v>
      </c>
      <c r="V379" s="24">
        <v>473</v>
      </c>
      <c r="W379" s="24">
        <v>18</v>
      </c>
      <c r="X379" s="24">
        <v>377</v>
      </c>
      <c r="Y379" s="24">
        <v>421.5</v>
      </c>
      <c r="Z379" s="24">
        <v>627</v>
      </c>
      <c r="AA379" s="24">
        <v>250</v>
      </c>
    </row>
    <row r="380" spans="1:27">
      <c r="A380" s="24" t="s">
        <v>2320</v>
      </c>
      <c r="B380" s="24" t="s">
        <v>7</v>
      </c>
      <c r="C380" s="24" t="s">
        <v>2324</v>
      </c>
      <c r="D380" s="24">
        <v>108</v>
      </c>
      <c r="E380" s="24">
        <v>212</v>
      </c>
      <c r="F380" s="24">
        <v>83</v>
      </c>
      <c r="G380" s="24">
        <v>267</v>
      </c>
      <c r="H380" s="24">
        <v>87</v>
      </c>
      <c r="I380" s="24">
        <v>554</v>
      </c>
      <c r="J380" s="24">
        <v>81</v>
      </c>
      <c r="K380" s="24">
        <v>195</v>
      </c>
      <c r="L380" s="24">
        <v>60</v>
      </c>
      <c r="M380" s="24">
        <v>322</v>
      </c>
      <c r="N380" s="24">
        <v>54</v>
      </c>
      <c r="O380" s="24">
        <v>845</v>
      </c>
      <c r="P380" s="24">
        <v>82</v>
      </c>
      <c r="Q380" s="24">
        <v>100</v>
      </c>
      <c r="R380" s="24">
        <v>63</v>
      </c>
      <c r="S380" s="24">
        <v>633</v>
      </c>
      <c r="T380" s="24">
        <v>55</v>
      </c>
      <c r="U380" s="24">
        <v>392</v>
      </c>
      <c r="V380" s="24">
        <v>473</v>
      </c>
      <c r="W380" s="24">
        <v>13</v>
      </c>
      <c r="X380" s="24">
        <v>377</v>
      </c>
      <c r="Y380" s="24">
        <v>469.5</v>
      </c>
      <c r="Z380" s="24">
        <v>368</v>
      </c>
      <c r="AA380" s="24">
        <v>-9</v>
      </c>
    </row>
    <row r="381" spans="1:27">
      <c r="A381" s="24" t="s">
        <v>479</v>
      </c>
      <c r="B381" s="24" t="s">
        <v>19</v>
      </c>
      <c r="C381" s="24" t="s">
        <v>483</v>
      </c>
      <c r="D381" s="24">
        <v>112</v>
      </c>
      <c r="E381" s="24">
        <v>114</v>
      </c>
      <c r="F381" s="24">
        <v>64</v>
      </c>
      <c r="G381" s="24">
        <v>627</v>
      </c>
      <c r="H381" s="24">
        <v>113.5</v>
      </c>
      <c r="I381" s="24">
        <v>71</v>
      </c>
      <c r="J381" s="24">
        <v>64</v>
      </c>
      <c r="K381" s="24">
        <v>517</v>
      </c>
      <c r="L381" s="24">
        <v>52</v>
      </c>
      <c r="M381" s="24">
        <v>551</v>
      </c>
      <c r="N381" s="24">
        <v>67</v>
      </c>
      <c r="O381" s="24">
        <v>587</v>
      </c>
      <c r="P381" s="24">
        <v>75</v>
      </c>
      <c r="Q381" s="24">
        <v>289</v>
      </c>
      <c r="R381" s="24">
        <v>76</v>
      </c>
      <c r="S381" s="24">
        <v>125</v>
      </c>
      <c r="T381" s="24">
        <v>60</v>
      </c>
      <c r="U381" s="24">
        <v>203</v>
      </c>
      <c r="V381" s="24">
        <v>472.5</v>
      </c>
      <c r="W381" s="24">
        <v>17</v>
      </c>
      <c r="X381" s="24">
        <v>380</v>
      </c>
      <c r="Y381" s="24">
        <v>433</v>
      </c>
      <c r="Z381" s="24">
        <v>562</v>
      </c>
      <c r="AA381" s="24">
        <v>182</v>
      </c>
    </row>
    <row r="382" spans="1:27">
      <c r="A382" s="24" t="s">
        <v>1323</v>
      </c>
      <c r="B382" s="24" t="s">
        <v>54</v>
      </c>
      <c r="C382" s="24" t="s">
        <v>1324</v>
      </c>
      <c r="D382" s="24">
        <v>102</v>
      </c>
      <c r="E382" s="24">
        <v>442</v>
      </c>
      <c r="F382" s="24">
        <v>91</v>
      </c>
      <c r="G382" s="24">
        <v>176</v>
      </c>
      <c r="H382" s="24">
        <v>79</v>
      </c>
      <c r="I382" s="24">
        <v>710</v>
      </c>
      <c r="J382" s="24">
        <v>73</v>
      </c>
      <c r="K382" s="24">
        <v>339</v>
      </c>
      <c r="L382" s="24">
        <v>47</v>
      </c>
      <c r="M382" s="24">
        <v>673</v>
      </c>
      <c r="N382" s="24">
        <v>80</v>
      </c>
      <c r="O382" s="24">
        <v>205</v>
      </c>
      <c r="P382" s="24">
        <v>74</v>
      </c>
      <c r="Q382" s="24">
        <v>326</v>
      </c>
      <c r="R382" s="24">
        <v>74</v>
      </c>
      <c r="S382" s="24">
        <v>174</v>
      </c>
      <c r="T382" s="24">
        <v>55</v>
      </c>
      <c r="U382" s="24">
        <v>392</v>
      </c>
      <c r="V382" s="24">
        <v>472</v>
      </c>
      <c r="W382" s="24">
        <v>19</v>
      </c>
      <c r="X382" s="24">
        <v>381</v>
      </c>
      <c r="Y382" s="24">
        <v>466.5</v>
      </c>
      <c r="Z382" s="24">
        <v>384</v>
      </c>
      <c r="AA382" s="24">
        <v>3</v>
      </c>
    </row>
    <row r="383" spans="1:27">
      <c r="A383" s="24" t="s">
        <v>2527</v>
      </c>
      <c r="B383" s="24" t="s">
        <v>131</v>
      </c>
      <c r="C383" s="24" t="s">
        <v>2528</v>
      </c>
      <c r="D383" s="24">
        <v>102</v>
      </c>
      <c r="E383" s="24">
        <v>442</v>
      </c>
      <c r="F383" s="24">
        <v>71</v>
      </c>
      <c r="G383" s="24">
        <v>475</v>
      </c>
      <c r="H383" s="24">
        <v>95</v>
      </c>
      <c r="I383" s="24">
        <v>364</v>
      </c>
      <c r="J383" s="24">
        <v>80</v>
      </c>
      <c r="K383" s="24">
        <v>207</v>
      </c>
      <c r="L383" s="24">
        <v>44</v>
      </c>
      <c r="M383" s="24">
        <v>736</v>
      </c>
      <c r="N383" s="24">
        <v>80</v>
      </c>
      <c r="O383" s="24">
        <v>205</v>
      </c>
      <c r="P383" s="24">
        <v>73</v>
      </c>
      <c r="Q383" s="24">
        <v>359</v>
      </c>
      <c r="R383" s="24">
        <v>73</v>
      </c>
      <c r="S383" s="24">
        <v>216</v>
      </c>
      <c r="T383" s="24">
        <v>65</v>
      </c>
      <c r="U383" s="24">
        <v>89</v>
      </c>
      <c r="V383" s="24">
        <v>472</v>
      </c>
      <c r="W383" s="24">
        <v>20</v>
      </c>
      <c r="X383" s="24">
        <v>381</v>
      </c>
      <c r="Y383" s="24">
        <v>474.5</v>
      </c>
      <c r="Z383" s="24">
        <v>331</v>
      </c>
      <c r="AA383" s="24">
        <v>-50</v>
      </c>
    </row>
    <row r="384" spans="1:27">
      <c r="A384" s="24" t="s">
        <v>345</v>
      </c>
      <c r="B384" s="24" t="s">
        <v>28</v>
      </c>
      <c r="C384" s="24" t="s">
        <v>346</v>
      </c>
      <c r="D384" s="24">
        <v>104</v>
      </c>
      <c r="E384" s="24">
        <v>357</v>
      </c>
      <c r="F384" s="24">
        <v>86</v>
      </c>
      <c r="G384" s="24">
        <v>233</v>
      </c>
      <c r="H384" s="24">
        <v>56</v>
      </c>
      <c r="I384" s="24">
        <v>924</v>
      </c>
      <c r="J384" s="24">
        <v>81</v>
      </c>
      <c r="K384" s="24">
        <v>195</v>
      </c>
      <c r="L384" s="24">
        <v>67</v>
      </c>
      <c r="M384" s="24">
        <v>177</v>
      </c>
      <c r="N384" s="24">
        <v>78</v>
      </c>
      <c r="O384" s="24">
        <v>250</v>
      </c>
      <c r="P384" s="24">
        <v>76</v>
      </c>
      <c r="Q384" s="24">
        <v>260</v>
      </c>
      <c r="R384" s="24">
        <v>79</v>
      </c>
      <c r="S384" s="24">
        <v>73</v>
      </c>
      <c r="T384" s="24">
        <v>66</v>
      </c>
      <c r="U384" s="24">
        <v>80</v>
      </c>
      <c r="V384" s="24">
        <v>472</v>
      </c>
      <c r="W384" s="24">
        <v>19</v>
      </c>
      <c r="X384" s="24">
        <v>381</v>
      </c>
      <c r="Y384" s="24">
        <v>431.5</v>
      </c>
      <c r="Z384" s="24">
        <v>567</v>
      </c>
      <c r="AA384" s="24">
        <v>186</v>
      </c>
    </row>
    <row r="385" spans="1:27">
      <c r="A385" s="24" t="s">
        <v>2522</v>
      </c>
      <c r="B385" s="24" t="s">
        <v>131</v>
      </c>
      <c r="C385" s="24" t="s">
        <v>1656</v>
      </c>
      <c r="D385" s="24">
        <v>94</v>
      </c>
      <c r="E385" s="24">
        <v>733</v>
      </c>
      <c r="F385" s="24">
        <v>76</v>
      </c>
      <c r="G385" s="24">
        <v>391</v>
      </c>
      <c r="H385" s="24">
        <v>91.5</v>
      </c>
      <c r="I385" s="24">
        <v>444</v>
      </c>
      <c r="J385" s="24">
        <v>75</v>
      </c>
      <c r="K385" s="24">
        <v>299</v>
      </c>
      <c r="L385" s="24">
        <v>52</v>
      </c>
      <c r="M385" s="24">
        <v>551</v>
      </c>
      <c r="N385" s="24">
        <v>83</v>
      </c>
      <c r="O385" s="24">
        <v>145</v>
      </c>
      <c r="P385" s="24">
        <v>82</v>
      </c>
      <c r="Q385" s="24">
        <v>100</v>
      </c>
      <c r="R385" s="24">
        <v>67</v>
      </c>
      <c r="S385" s="24">
        <v>471</v>
      </c>
      <c r="T385" s="24">
        <v>61</v>
      </c>
      <c r="U385" s="24">
        <v>172</v>
      </c>
      <c r="V385" s="24">
        <v>471.5</v>
      </c>
      <c r="W385" s="24">
        <v>21</v>
      </c>
      <c r="X385" s="24">
        <v>384</v>
      </c>
      <c r="Y385" s="24">
        <v>482.5</v>
      </c>
      <c r="Z385" s="24">
        <v>294</v>
      </c>
      <c r="AA385" s="24">
        <v>-90</v>
      </c>
    </row>
    <row r="386" spans="1:27">
      <c r="A386" s="24" t="s">
        <v>217</v>
      </c>
      <c r="B386" s="24" t="s">
        <v>28</v>
      </c>
      <c r="C386" s="24" t="s">
        <v>218</v>
      </c>
      <c r="D386" s="24">
        <v>90</v>
      </c>
      <c r="E386" s="24">
        <v>815</v>
      </c>
      <c r="F386" s="24">
        <v>76</v>
      </c>
      <c r="G386" s="24">
        <v>391</v>
      </c>
      <c r="H386" s="24">
        <v>102.5</v>
      </c>
      <c r="I386" s="24">
        <v>210</v>
      </c>
      <c r="J386" s="24">
        <v>78</v>
      </c>
      <c r="K386" s="24">
        <v>250</v>
      </c>
      <c r="L386" s="24">
        <v>53</v>
      </c>
      <c r="M386" s="24">
        <v>526</v>
      </c>
      <c r="N386" s="24">
        <v>72</v>
      </c>
      <c r="O386" s="24">
        <v>433</v>
      </c>
      <c r="P386" s="24">
        <v>76</v>
      </c>
      <c r="Q386" s="24">
        <v>260</v>
      </c>
      <c r="R386" s="24">
        <v>69</v>
      </c>
      <c r="S386" s="24">
        <v>367</v>
      </c>
      <c r="T386" s="24">
        <v>61</v>
      </c>
      <c r="U386" s="24">
        <v>172</v>
      </c>
      <c r="V386" s="24">
        <v>471.5</v>
      </c>
      <c r="W386" s="24">
        <v>20</v>
      </c>
      <c r="X386" s="24">
        <v>384</v>
      </c>
      <c r="Y386" s="24">
        <v>488.5</v>
      </c>
      <c r="Z386" s="24">
        <v>267</v>
      </c>
      <c r="AA386" s="24">
        <v>-117</v>
      </c>
    </row>
    <row r="387" spans="1:27">
      <c r="A387" s="24" t="s">
        <v>798</v>
      </c>
      <c r="B387" s="24" t="s">
        <v>117</v>
      </c>
      <c r="C387" s="24" t="s">
        <v>799</v>
      </c>
      <c r="D387" s="24">
        <v>105</v>
      </c>
      <c r="E387" s="24">
        <v>325</v>
      </c>
      <c r="F387" s="24">
        <v>61</v>
      </c>
      <c r="G387" s="24">
        <v>678</v>
      </c>
      <c r="H387" s="24">
        <v>93</v>
      </c>
      <c r="I387" s="24">
        <v>405</v>
      </c>
      <c r="J387" s="24">
        <v>74</v>
      </c>
      <c r="K387" s="24">
        <v>317</v>
      </c>
      <c r="L387" s="24">
        <v>61</v>
      </c>
      <c r="M387" s="24">
        <v>300</v>
      </c>
      <c r="N387" s="24">
        <v>77</v>
      </c>
      <c r="O387" s="24">
        <v>275</v>
      </c>
      <c r="P387" s="24">
        <v>85</v>
      </c>
      <c r="Q387" s="24">
        <v>45</v>
      </c>
      <c r="R387" s="24">
        <v>83</v>
      </c>
      <c r="S387" s="24">
        <v>22</v>
      </c>
      <c r="T387" s="24">
        <v>50</v>
      </c>
      <c r="U387" s="24">
        <v>591</v>
      </c>
      <c r="V387" s="24">
        <v>471</v>
      </c>
      <c r="W387" s="24">
        <v>19</v>
      </c>
      <c r="X387" s="24">
        <v>386</v>
      </c>
      <c r="Y387" s="24">
        <v>424.5</v>
      </c>
      <c r="Z387" s="24">
        <v>609</v>
      </c>
      <c r="AA387" s="24">
        <v>223</v>
      </c>
    </row>
    <row r="388" spans="1:27">
      <c r="A388" s="24" t="s">
        <v>282</v>
      </c>
      <c r="B388" s="24" t="s">
        <v>28</v>
      </c>
      <c r="C388" s="24" t="s">
        <v>283</v>
      </c>
      <c r="D388" s="24">
        <v>101</v>
      </c>
      <c r="E388" s="24">
        <v>481</v>
      </c>
      <c r="F388" s="24">
        <v>76</v>
      </c>
      <c r="G388" s="24">
        <v>391</v>
      </c>
      <c r="H388" s="24">
        <v>95</v>
      </c>
      <c r="I388" s="24">
        <v>364</v>
      </c>
      <c r="J388" s="24">
        <v>74</v>
      </c>
      <c r="K388" s="24">
        <v>317</v>
      </c>
      <c r="L388" s="24">
        <v>50</v>
      </c>
      <c r="M388" s="24">
        <v>599</v>
      </c>
      <c r="N388" s="24">
        <v>75</v>
      </c>
      <c r="O388" s="24">
        <v>342</v>
      </c>
      <c r="P388" s="24">
        <v>79</v>
      </c>
      <c r="Q388" s="24">
        <v>175</v>
      </c>
      <c r="R388" s="24">
        <v>69</v>
      </c>
      <c r="S388" s="24">
        <v>367</v>
      </c>
      <c r="T388" s="24">
        <v>63</v>
      </c>
      <c r="U388" s="24">
        <v>123</v>
      </c>
      <c r="V388" s="24">
        <v>471</v>
      </c>
      <c r="W388" s="24">
        <v>21</v>
      </c>
      <c r="X388" s="24">
        <v>386</v>
      </c>
      <c r="Y388" s="24">
        <v>481.5</v>
      </c>
      <c r="Z388" s="24">
        <v>298</v>
      </c>
      <c r="AA388" s="24">
        <v>-88</v>
      </c>
    </row>
    <row r="389" spans="1:27">
      <c r="A389" s="24" t="s">
        <v>2405</v>
      </c>
      <c r="B389" s="24" t="s">
        <v>7</v>
      </c>
      <c r="C389" s="24" t="s">
        <v>2412</v>
      </c>
      <c r="D389" s="24">
        <v>99</v>
      </c>
      <c r="E389" s="24">
        <v>571</v>
      </c>
      <c r="F389" s="24">
        <v>70</v>
      </c>
      <c r="G389" s="24">
        <v>505</v>
      </c>
      <c r="H389" s="24">
        <v>105</v>
      </c>
      <c r="I389" s="24">
        <v>172</v>
      </c>
      <c r="J389" s="24">
        <v>68</v>
      </c>
      <c r="K389" s="24">
        <v>453</v>
      </c>
      <c r="L389" s="24">
        <v>57</v>
      </c>
      <c r="M389" s="24">
        <v>409</v>
      </c>
      <c r="N389" s="24">
        <v>72</v>
      </c>
      <c r="O389" s="24">
        <v>433</v>
      </c>
      <c r="P389" s="24">
        <v>78</v>
      </c>
      <c r="Q389" s="24">
        <v>209</v>
      </c>
      <c r="R389" s="24">
        <v>49</v>
      </c>
      <c r="S389" s="24">
        <v>904</v>
      </c>
      <c r="T389" s="24">
        <v>48</v>
      </c>
      <c r="U389" s="24">
        <v>671</v>
      </c>
      <c r="V389" s="24">
        <v>471</v>
      </c>
      <c r="W389" s="24">
        <v>14</v>
      </c>
      <c r="X389" s="24">
        <v>386</v>
      </c>
      <c r="Y389" s="24">
        <v>426.5</v>
      </c>
      <c r="Z389" s="24">
        <v>595</v>
      </c>
      <c r="AA389" s="24">
        <v>209</v>
      </c>
    </row>
    <row r="390" spans="1:27">
      <c r="A390" s="24" t="s">
        <v>2235</v>
      </c>
      <c r="B390" s="24" t="s">
        <v>73</v>
      </c>
      <c r="C390" s="24" t="s">
        <v>1600</v>
      </c>
      <c r="D390" s="24">
        <v>103</v>
      </c>
      <c r="E390" s="24">
        <v>400</v>
      </c>
      <c r="F390" s="24">
        <v>63</v>
      </c>
      <c r="G390" s="24">
        <v>642</v>
      </c>
      <c r="H390" s="24">
        <v>105</v>
      </c>
      <c r="I390" s="24">
        <v>172</v>
      </c>
      <c r="J390" s="24">
        <v>87</v>
      </c>
      <c r="K390" s="24">
        <v>114</v>
      </c>
      <c r="L390" s="24">
        <v>51</v>
      </c>
      <c r="M390" s="24">
        <v>571</v>
      </c>
      <c r="N390" s="24">
        <v>62</v>
      </c>
      <c r="O390" s="24">
        <v>716</v>
      </c>
      <c r="P390" s="24">
        <v>69</v>
      </c>
      <c r="Q390" s="24">
        <v>504</v>
      </c>
      <c r="R390" s="24">
        <v>72</v>
      </c>
      <c r="S390" s="24">
        <v>256</v>
      </c>
      <c r="T390" s="24">
        <v>58</v>
      </c>
      <c r="U390" s="24">
        <v>278</v>
      </c>
      <c r="V390" s="24">
        <v>471</v>
      </c>
      <c r="W390" s="24">
        <v>19</v>
      </c>
      <c r="X390" s="24">
        <v>386</v>
      </c>
      <c r="Y390" s="24">
        <v>460</v>
      </c>
      <c r="Z390" s="24">
        <v>414</v>
      </c>
      <c r="AA390" s="24">
        <v>28</v>
      </c>
    </row>
    <row r="391" spans="1:27">
      <c r="A391" s="24" t="s">
        <v>2300</v>
      </c>
      <c r="B391" s="24" t="s">
        <v>7</v>
      </c>
      <c r="C391" s="24" t="s">
        <v>2301</v>
      </c>
      <c r="D391" s="24">
        <v>105</v>
      </c>
      <c r="E391" s="24">
        <v>325</v>
      </c>
      <c r="F391" s="24">
        <v>63</v>
      </c>
      <c r="G391" s="24">
        <v>642</v>
      </c>
      <c r="H391" s="24">
        <v>97.5</v>
      </c>
      <c r="I391" s="24">
        <v>310</v>
      </c>
      <c r="J391" s="24">
        <v>74</v>
      </c>
      <c r="K391" s="24">
        <v>317</v>
      </c>
      <c r="L391" s="24">
        <v>54</v>
      </c>
      <c r="M391" s="24">
        <v>494</v>
      </c>
      <c r="N391" s="24">
        <v>77</v>
      </c>
      <c r="O391" s="24">
        <v>275</v>
      </c>
      <c r="P391" s="24">
        <v>81</v>
      </c>
      <c r="Q391" s="24">
        <v>124</v>
      </c>
      <c r="R391" s="24">
        <v>67</v>
      </c>
      <c r="S391" s="24">
        <v>471</v>
      </c>
      <c r="T391" s="24">
        <v>60</v>
      </c>
      <c r="U391" s="24">
        <v>203</v>
      </c>
      <c r="V391" s="24">
        <v>470.5</v>
      </c>
      <c r="W391" s="24">
        <v>15</v>
      </c>
      <c r="X391" s="24">
        <v>390</v>
      </c>
      <c r="Y391" s="24">
        <v>470</v>
      </c>
      <c r="Z391" s="24">
        <v>364</v>
      </c>
      <c r="AA391" s="24">
        <v>-26</v>
      </c>
    </row>
    <row r="392" spans="1:27">
      <c r="A392" s="24" t="s">
        <v>506</v>
      </c>
      <c r="B392" s="24" t="s">
        <v>19</v>
      </c>
      <c r="C392" s="24" t="s">
        <v>516</v>
      </c>
      <c r="D392" s="24">
        <v>103</v>
      </c>
      <c r="E392" s="24">
        <v>400</v>
      </c>
      <c r="F392" s="24">
        <v>86</v>
      </c>
      <c r="G392" s="24">
        <v>233</v>
      </c>
      <c r="H392" s="24">
        <v>82.5</v>
      </c>
      <c r="I392" s="24">
        <v>658</v>
      </c>
      <c r="J392" s="24">
        <v>64</v>
      </c>
      <c r="K392" s="24">
        <v>517</v>
      </c>
      <c r="L392" s="24">
        <v>63</v>
      </c>
      <c r="M392" s="24">
        <v>262</v>
      </c>
      <c r="N392" s="24">
        <v>72</v>
      </c>
      <c r="O392" s="24">
        <v>433</v>
      </c>
      <c r="P392" s="24">
        <v>69</v>
      </c>
      <c r="Q392" s="24">
        <v>504</v>
      </c>
      <c r="R392" s="24">
        <v>65</v>
      </c>
      <c r="S392" s="24">
        <v>548</v>
      </c>
      <c r="T392" s="24">
        <v>61</v>
      </c>
      <c r="U392" s="24">
        <v>172</v>
      </c>
      <c r="V392" s="24">
        <v>470.5</v>
      </c>
      <c r="W392" s="24">
        <v>18</v>
      </c>
      <c r="X392" s="24">
        <v>390</v>
      </c>
      <c r="Y392" s="24">
        <v>467</v>
      </c>
      <c r="Z392" s="24">
        <v>383</v>
      </c>
      <c r="AA392" s="24">
        <v>-7</v>
      </c>
    </row>
    <row r="393" spans="1:27">
      <c r="A393" s="24" t="s">
        <v>2168</v>
      </c>
      <c r="B393" s="24" t="s">
        <v>73</v>
      </c>
      <c r="C393" s="24" t="s">
        <v>2169</v>
      </c>
      <c r="D393" s="24">
        <v>124</v>
      </c>
      <c r="E393" s="24">
        <v>4</v>
      </c>
      <c r="F393" s="24">
        <v>67</v>
      </c>
      <c r="G393" s="24">
        <v>565</v>
      </c>
      <c r="H393" s="24">
        <v>88.5</v>
      </c>
      <c r="I393" s="24">
        <v>520</v>
      </c>
      <c r="J393" s="24">
        <v>63</v>
      </c>
      <c r="K393" s="24">
        <v>540</v>
      </c>
      <c r="L393" s="24">
        <v>56</v>
      </c>
      <c r="M393" s="24">
        <v>433</v>
      </c>
      <c r="N393" s="24">
        <v>72</v>
      </c>
      <c r="O393" s="24">
        <v>433</v>
      </c>
      <c r="P393" s="24">
        <v>75</v>
      </c>
      <c r="Q393" s="24">
        <v>289</v>
      </c>
      <c r="R393" s="24">
        <v>76</v>
      </c>
      <c r="S393" s="24">
        <v>125</v>
      </c>
      <c r="T393" s="24">
        <v>57</v>
      </c>
      <c r="U393" s="24">
        <v>306</v>
      </c>
      <c r="V393" s="24">
        <v>470.5</v>
      </c>
      <c r="W393" s="24">
        <v>20</v>
      </c>
      <c r="X393" s="24">
        <v>390</v>
      </c>
      <c r="Y393" s="24">
        <v>485</v>
      </c>
      <c r="Z393" s="24">
        <v>286</v>
      </c>
      <c r="AA393" s="24">
        <v>-104</v>
      </c>
    </row>
    <row r="394" spans="1:27">
      <c r="A394" s="24" t="s">
        <v>1849</v>
      </c>
      <c r="B394" s="24" t="s">
        <v>34</v>
      </c>
      <c r="C394" s="24" t="s">
        <v>1850</v>
      </c>
      <c r="D394" s="24">
        <v>123</v>
      </c>
      <c r="E394" s="24">
        <v>10</v>
      </c>
      <c r="F394" s="24">
        <v>68</v>
      </c>
      <c r="G394" s="24">
        <v>540</v>
      </c>
      <c r="H394" s="24">
        <v>85</v>
      </c>
      <c r="I394" s="24">
        <v>593</v>
      </c>
      <c r="J394" s="24">
        <v>66</v>
      </c>
      <c r="K394" s="24">
        <v>484</v>
      </c>
      <c r="L394" s="24">
        <v>52</v>
      </c>
      <c r="M394" s="24">
        <v>551</v>
      </c>
      <c r="N394" s="24">
        <v>76</v>
      </c>
      <c r="O394" s="24">
        <v>308</v>
      </c>
      <c r="P394" s="24">
        <v>76</v>
      </c>
      <c r="Q394" s="24">
        <v>260</v>
      </c>
      <c r="R394" s="24">
        <v>67</v>
      </c>
      <c r="S394" s="24">
        <v>471</v>
      </c>
      <c r="T394" s="24">
        <v>50</v>
      </c>
      <c r="U394" s="24">
        <v>591</v>
      </c>
      <c r="V394" s="24">
        <v>470</v>
      </c>
      <c r="W394" s="24">
        <v>18</v>
      </c>
      <c r="X394" s="24">
        <v>393</v>
      </c>
      <c r="Y394" s="24">
        <v>410.5</v>
      </c>
      <c r="Z394" s="24">
        <v>681</v>
      </c>
      <c r="AA394" s="24">
        <v>288</v>
      </c>
    </row>
    <row r="395" spans="1:27">
      <c r="A395" s="24" t="s">
        <v>1194</v>
      </c>
      <c r="B395" s="24" t="s">
        <v>54</v>
      </c>
      <c r="C395" s="24" t="s">
        <v>1195</v>
      </c>
      <c r="D395" s="24">
        <v>110</v>
      </c>
      <c r="E395" s="24">
        <v>159</v>
      </c>
      <c r="F395" s="24">
        <v>90</v>
      </c>
      <c r="G395" s="24">
        <v>183</v>
      </c>
      <c r="H395" s="24">
        <v>74</v>
      </c>
      <c r="I395" s="24">
        <v>792</v>
      </c>
      <c r="J395" s="24">
        <v>62</v>
      </c>
      <c r="K395" s="24">
        <v>564</v>
      </c>
      <c r="L395" s="24">
        <v>65</v>
      </c>
      <c r="M395" s="24">
        <v>223</v>
      </c>
      <c r="N395" s="24">
        <v>69</v>
      </c>
      <c r="O395" s="24">
        <v>523</v>
      </c>
      <c r="P395" s="24">
        <v>53</v>
      </c>
      <c r="Q395" s="24">
        <v>888</v>
      </c>
      <c r="R395" s="24">
        <v>77</v>
      </c>
      <c r="S395" s="24">
        <v>102</v>
      </c>
      <c r="T395" s="24">
        <v>49</v>
      </c>
      <c r="U395" s="24">
        <v>633</v>
      </c>
      <c r="V395" s="24">
        <v>470</v>
      </c>
      <c r="W395" s="24">
        <v>20</v>
      </c>
      <c r="X395" s="24">
        <v>393</v>
      </c>
      <c r="Y395" s="24">
        <v>471.5</v>
      </c>
      <c r="Z395" s="24">
        <v>355</v>
      </c>
      <c r="AA395" s="24">
        <v>-38</v>
      </c>
    </row>
    <row r="396" spans="1:27">
      <c r="A396" s="24" t="s">
        <v>1375</v>
      </c>
      <c r="B396" s="24" t="s">
        <v>56</v>
      </c>
      <c r="C396" s="24" t="s">
        <v>1376</v>
      </c>
      <c r="D396" s="24">
        <v>96</v>
      </c>
      <c r="E396" s="24">
        <v>676</v>
      </c>
      <c r="F396" s="24">
        <v>90</v>
      </c>
      <c r="G396" s="24">
        <v>183</v>
      </c>
      <c r="H396" s="24">
        <v>68.5</v>
      </c>
      <c r="I396" s="24">
        <v>858</v>
      </c>
      <c r="J396" s="24">
        <v>82</v>
      </c>
      <c r="K396" s="24">
        <v>174</v>
      </c>
      <c r="L396" s="24">
        <v>50</v>
      </c>
      <c r="M396" s="24">
        <v>599</v>
      </c>
      <c r="N396" s="24">
        <v>83</v>
      </c>
      <c r="O396" s="24">
        <v>145</v>
      </c>
      <c r="P396" s="24">
        <v>81</v>
      </c>
      <c r="Q396" s="24">
        <v>124</v>
      </c>
      <c r="R396" s="24">
        <v>61</v>
      </c>
      <c r="S396" s="24">
        <v>703</v>
      </c>
      <c r="T396" s="24">
        <v>43</v>
      </c>
      <c r="U396" s="24">
        <v>824</v>
      </c>
      <c r="V396" s="24">
        <v>469.5</v>
      </c>
      <c r="W396" s="24">
        <v>19</v>
      </c>
      <c r="X396" s="24">
        <v>395</v>
      </c>
      <c r="Y396" s="24">
        <v>415</v>
      </c>
      <c r="Z396" s="24">
        <v>659</v>
      </c>
      <c r="AA396" s="24">
        <v>264</v>
      </c>
    </row>
    <row r="397" spans="1:27">
      <c r="A397" s="24" t="s">
        <v>1393</v>
      </c>
      <c r="B397" s="24" t="s">
        <v>56</v>
      </c>
      <c r="C397" s="24" t="s">
        <v>1394</v>
      </c>
      <c r="D397" s="24">
        <v>107</v>
      </c>
      <c r="E397" s="24">
        <v>242</v>
      </c>
      <c r="F397" s="24">
        <v>65</v>
      </c>
      <c r="G397" s="24">
        <v>604</v>
      </c>
      <c r="H397" s="24">
        <v>102.5</v>
      </c>
      <c r="I397" s="24">
        <v>210</v>
      </c>
      <c r="J397" s="24">
        <v>60</v>
      </c>
      <c r="K397" s="24">
        <v>607</v>
      </c>
      <c r="L397" s="24">
        <v>56</v>
      </c>
      <c r="M397" s="24">
        <v>433</v>
      </c>
      <c r="N397" s="24">
        <v>79</v>
      </c>
      <c r="O397" s="24">
        <v>229</v>
      </c>
      <c r="P397" s="24">
        <v>72</v>
      </c>
      <c r="Q397" s="24">
        <v>396</v>
      </c>
      <c r="R397" s="24">
        <v>75</v>
      </c>
      <c r="S397" s="24">
        <v>146</v>
      </c>
      <c r="T397" s="24">
        <v>50</v>
      </c>
      <c r="U397" s="24">
        <v>591</v>
      </c>
      <c r="V397" s="24">
        <v>469.5</v>
      </c>
      <c r="W397" s="24">
        <v>19</v>
      </c>
      <c r="X397" s="24">
        <v>395</v>
      </c>
      <c r="Y397" s="24">
        <v>468.5</v>
      </c>
      <c r="Z397" s="24">
        <v>377</v>
      </c>
      <c r="AA397" s="24">
        <v>-18</v>
      </c>
    </row>
    <row r="398" spans="1:27">
      <c r="A398" s="24" t="s">
        <v>432</v>
      </c>
      <c r="B398" s="24" t="s">
        <v>19</v>
      </c>
      <c r="C398" s="24" t="s">
        <v>433</v>
      </c>
      <c r="D398" s="24">
        <v>95</v>
      </c>
      <c r="E398" s="24">
        <v>710</v>
      </c>
      <c r="F398" s="24">
        <v>44</v>
      </c>
      <c r="G398" s="24">
        <v>877</v>
      </c>
      <c r="H398" s="24">
        <v>92</v>
      </c>
      <c r="I398" s="24">
        <v>426</v>
      </c>
      <c r="J398" s="24">
        <v>88</v>
      </c>
      <c r="K398" s="24">
        <v>106</v>
      </c>
      <c r="L398" s="24">
        <v>67</v>
      </c>
      <c r="M398" s="24">
        <v>177</v>
      </c>
      <c r="N398" s="24">
        <v>83</v>
      </c>
      <c r="O398" s="24">
        <v>145</v>
      </c>
      <c r="P398" s="24">
        <v>54</v>
      </c>
      <c r="Q398" s="24">
        <v>880</v>
      </c>
      <c r="R398" s="24">
        <v>68</v>
      </c>
      <c r="S398" s="24">
        <v>412</v>
      </c>
      <c r="T398" s="24">
        <v>55</v>
      </c>
      <c r="U398" s="24">
        <v>392</v>
      </c>
      <c r="V398" s="24">
        <v>469</v>
      </c>
      <c r="W398" s="24">
        <v>19</v>
      </c>
      <c r="X398" s="24">
        <v>397</v>
      </c>
      <c r="Y398" s="24">
        <v>493.5</v>
      </c>
      <c r="Z398" s="24">
        <v>246</v>
      </c>
      <c r="AA398" s="24">
        <v>-151</v>
      </c>
    </row>
    <row r="399" spans="1:27">
      <c r="A399" s="24" t="s">
        <v>1020</v>
      </c>
      <c r="B399" s="24" t="s">
        <v>60</v>
      </c>
      <c r="C399" s="24" t="s">
        <v>1021</v>
      </c>
      <c r="D399" s="24">
        <v>98</v>
      </c>
      <c r="E399" s="24">
        <v>611</v>
      </c>
      <c r="F399" s="24">
        <v>105</v>
      </c>
      <c r="G399" s="24">
        <v>57</v>
      </c>
      <c r="H399" s="24">
        <v>73</v>
      </c>
      <c r="I399" s="24">
        <v>809</v>
      </c>
      <c r="J399" s="24">
        <v>61</v>
      </c>
      <c r="K399" s="24">
        <v>587</v>
      </c>
      <c r="L399" s="24">
        <v>57</v>
      </c>
      <c r="M399" s="24">
        <v>409</v>
      </c>
      <c r="N399" s="24">
        <v>75</v>
      </c>
      <c r="O399" s="24">
        <v>342</v>
      </c>
      <c r="P399" s="24">
        <v>69</v>
      </c>
      <c r="Q399" s="24">
        <v>504</v>
      </c>
      <c r="R399" s="24">
        <v>73</v>
      </c>
      <c r="S399" s="24">
        <v>216</v>
      </c>
      <c r="T399" s="24">
        <v>54</v>
      </c>
      <c r="U399" s="24">
        <v>428</v>
      </c>
      <c r="V399" s="24">
        <v>469</v>
      </c>
      <c r="W399" s="24">
        <v>21</v>
      </c>
      <c r="X399" s="24">
        <v>397</v>
      </c>
      <c r="Y399" s="24">
        <v>461.5</v>
      </c>
      <c r="Z399" s="24">
        <v>407</v>
      </c>
      <c r="AA399" s="24">
        <v>10</v>
      </c>
    </row>
    <row r="400" spans="1:27">
      <c r="A400" s="24" t="s">
        <v>1822</v>
      </c>
      <c r="B400" s="24" t="s">
        <v>34</v>
      </c>
      <c r="C400" s="24" t="s">
        <v>1823</v>
      </c>
      <c r="D400" s="24">
        <v>110</v>
      </c>
      <c r="E400" s="24">
        <v>159</v>
      </c>
      <c r="F400" s="24">
        <v>55</v>
      </c>
      <c r="G400" s="24">
        <v>766</v>
      </c>
      <c r="H400" s="24">
        <v>94</v>
      </c>
      <c r="I400" s="24">
        <v>382</v>
      </c>
      <c r="J400" s="24">
        <v>77</v>
      </c>
      <c r="K400" s="24">
        <v>274</v>
      </c>
      <c r="L400" s="24">
        <v>59</v>
      </c>
      <c r="M400" s="24">
        <v>348</v>
      </c>
      <c r="N400" s="24">
        <v>74</v>
      </c>
      <c r="O400" s="24">
        <v>366</v>
      </c>
      <c r="P400" s="24">
        <v>83</v>
      </c>
      <c r="Q400" s="24">
        <v>79</v>
      </c>
      <c r="R400" s="24">
        <v>76</v>
      </c>
      <c r="S400" s="24">
        <v>125</v>
      </c>
      <c r="T400" s="24">
        <v>50</v>
      </c>
      <c r="U400" s="24">
        <v>591</v>
      </c>
      <c r="V400" s="24">
        <v>469</v>
      </c>
      <c r="W400" s="24">
        <v>19</v>
      </c>
      <c r="X400" s="24">
        <v>397</v>
      </c>
      <c r="Y400" s="24">
        <v>425</v>
      </c>
      <c r="Z400" s="24">
        <v>607</v>
      </c>
      <c r="AA400" s="24">
        <v>210</v>
      </c>
    </row>
    <row r="401" spans="1:27">
      <c r="A401" s="24" t="s">
        <v>781</v>
      </c>
      <c r="B401" s="24" t="s">
        <v>117</v>
      </c>
      <c r="C401" s="24" t="s">
        <v>1689</v>
      </c>
      <c r="D401" s="24">
        <v>104</v>
      </c>
      <c r="E401" s="24">
        <v>357</v>
      </c>
      <c r="F401" s="24">
        <v>74</v>
      </c>
      <c r="G401" s="24">
        <v>424</v>
      </c>
      <c r="H401" s="24">
        <v>84</v>
      </c>
      <c r="I401" s="24">
        <v>623</v>
      </c>
      <c r="J401" s="24">
        <v>75</v>
      </c>
      <c r="K401" s="24">
        <v>299</v>
      </c>
      <c r="L401" s="24">
        <v>59</v>
      </c>
      <c r="M401" s="24">
        <v>348</v>
      </c>
      <c r="N401" s="24">
        <v>73</v>
      </c>
      <c r="O401" s="24">
        <v>393</v>
      </c>
      <c r="P401" s="24">
        <v>56</v>
      </c>
      <c r="Q401" s="24">
        <v>849</v>
      </c>
      <c r="R401" s="24">
        <v>60</v>
      </c>
      <c r="S401" s="24">
        <v>727</v>
      </c>
      <c r="T401" s="24">
        <v>36</v>
      </c>
      <c r="U401" s="24">
        <v>918</v>
      </c>
      <c r="V401" s="24">
        <v>469</v>
      </c>
      <c r="W401" s="24">
        <v>20</v>
      </c>
      <c r="X401" s="24">
        <v>397</v>
      </c>
      <c r="Y401" s="24">
        <v>410</v>
      </c>
      <c r="Z401" s="24">
        <v>685</v>
      </c>
      <c r="AA401" s="24">
        <v>288</v>
      </c>
    </row>
    <row r="402" spans="1:27">
      <c r="A402" s="24" t="s">
        <v>371</v>
      </c>
      <c r="B402" s="24" t="s">
        <v>28</v>
      </c>
      <c r="C402" s="24" t="s">
        <v>372</v>
      </c>
      <c r="D402" s="24">
        <v>101</v>
      </c>
      <c r="E402" s="24">
        <v>481</v>
      </c>
      <c r="F402" s="24">
        <v>70</v>
      </c>
      <c r="G402" s="24">
        <v>505</v>
      </c>
      <c r="H402" s="24">
        <v>85.5</v>
      </c>
      <c r="I402" s="24">
        <v>586</v>
      </c>
      <c r="J402" s="24">
        <v>75</v>
      </c>
      <c r="K402" s="24">
        <v>299</v>
      </c>
      <c r="L402" s="24">
        <v>56</v>
      </c>
      <c r="M402" s="24">
        <v>433</v>
      </c>
      <c r="N402" s="24">
        <v>81</v>
      </c>
      <c r="O402" s="24">
        <v>183</v>
      </c>
      <c r="P402" s="24">
        <v>83</v>
      </c>
      <c r="Q402" s="24">
        <v>79</v>
      </c>
      <c r="R402" s="24">
        <v>74</v>
      </c>
      <c r="S402" s="24">
        <v>174</v>
      </c>
      <c r="T402" s="24">
        <v>64</v>
      </c>
      <c r="U402" s="24">
        <v>103</v>
      </c>
      <c r="V402" s="24">
        <v>468.5</v>
      </c>
      <c r="W402" s="24">
        <v>22</v>
      </c>
      <c r="X402" s="24">
        <v>401</v>
      </c>
      <c r="Y402" s="24">
        <v>474</v>
      </c>
      <c r="Z402" s="24">
        <v>335</v>
      </c>
      <c r="AA402" s="24">
        <v>-66</v>
      </c>
    </row>
    <row r="403" spans="1:27">
      <c r="A403" s="24" t="s">
        <v>2861</v>
      </c>
      <c r="B403" s="24" t="s">
        <v>38</v>
      </c>
      <c r="C403" s="24" t="s">
        <v>2862</v>
      </c>
      <c r="D403" s="24">
        <v>106</v>
      </c>
      <c r="E403" s="24">
        <v>287</v>
      </c>
      <c r="F403" s="24">
        <v>71</v>
      </c>
      <c r="G403" s="24">
        <v>475</v>
      </c>
      <c r="H403" s="24">
        <v>98.5</v>
      </c>
      <c r="I403" s="24">
        <v>285</v>
      </c>
      <c r="J403" s="24">
        <v>70</v>
      </c>
      <c r="K403" s="24">
        <v>400</v>
      </c>
      <c r="L403" s="24">
        <v>50</v>
      </c>
      <c r="M403" s="24">
        <v>599</v>
      </c>
      <c r="N403" s="24">
        <v>73</v>
      </c>
      <c r="O403" s="24">
        <v>393</v>
      </c>
      <c r="P403" s="24">
        <v>62</v>
      </c>
      <c r="Q403" s="24">
        <v>729</v>
      </c>
      <c r="R403" s="24">
        <v>67</v>
      </c>
      <c r="S403" s="24">
        <v>471</v>
      </c>
      <c r="T403" s="24">
        <v>54</v>
      </c>
      <c r="U403" s="24">
        <v>428</v>
      </c>
      <c r="V403" s="24">
        <v>468.5</v>
      </c>
      <c r="W403" s="24">
        <v>13</v>
      </c>
      <c r="X403" s="24">
        <v>401</v>
      </c>
      <c r="Y403" s="24">
        <v>446.5</v>
      </c>
      <c r="Z403" s="24">
        <v>485</v>
      </c>
      <c r="AA403" s="24">
        <v>84</v>
      </c>
    </row>
    <row r="404" spans="1:27">
      <c r="A404" s="24" t="s">
        <v>2066</v>
      </c>
      <c r="B404" s="24" t="s">
        <v>109</v>
      </c>
      <c r="C404" s="24" t="s">
        <v>2067</v>
      </c>
      <c r="D404" s="24">
        <v>109</v>
      </c>
      <c r="E404" s="24">
        <v>185</v>
      </c>
      <c r="F404" s="24">
        <v>62</v>
      </c>
      <c r="G404" s="24">
        <v>665</v>
      </c>
      <c r="H404" s="24">
        <v>119.5</v>
      </c>
      <c r="I404" s="24">
        <v>32</v>
      </c>
      <c r="J404" s="24">
        <v>61</v>
      </c>
      <c r="K404" s="24">
        <v>587</v>
      </c>
      <c r="L404" s="24">
        <v>50</v>
      </c>
      <c r="M404" s="24">
        <v>599</v>
      </c>
      <c r="N404" s="24">
        <v>67</v>
      </c>
      <c r="O404" s="24">
        <v>587</v>
      </c>
      <c r="P404" s="24">
        <v>82</v>
      </c>
      <c r="Q404" s="24">
        <v>100</v>
      </c>
      <c r="R404" s="24">
        <v>68</v>
      </c>
      <c r="S404" s="24">
        <v>412</v>
      </c>
      <c r="T404" s="24">
        <v>58</v>
      </c>
      <c r="U404" s="24">
        <v>278</v>
      </c>
      <c r="V404" s="24">
        <v>468.5</v>
      </c>
      <c r="W404" s="24">
        <v>26</v>
      </c>
      <c r="X404" s="24">
        <v>401</v>
      </c>
      <c r="Y404" s="24">
        <v>494.5</v>
      </c>
      <c r="Z404" s="24">
        <v>237</v>
      </c>
      <c r="AA404" s="24">
        <v>-164</v>
      </c>
    </row>
    <row r="405" spans="1:27">
      <c r="A405" s="24" t="s">
        <v>1173</v>
      </c>
      <c r="B405" s="24" t="s">
        <v>68</v>
      </c>
      <c r="C405" s="24" t="s">
        <v>1174</v>
      </c>
      <c r="D405" s="24">
        <v>107</v>
      </c>
      <c r="E405" s="24">
        <v>242</v>
      </c>
      <c r="F405" s="24">
        <v>105</v>
      </c>
      <c r="G405" s="24">
        <v>57</v>
      </c>
      <c r="H405" s="24">
        <v>73.5</v>
      </c>
      <c r="I405" s="24">
        <v>798</v>
      </c>
      <c r="J405" s="24">
        <v>74</v>
      </c>
      <c r="K405" s="24">
        <v>317</v>
      </c>
      <c r="L405" s="24">
        <v>52</v>
      </c>
      <c r="M405" s="24">
        <v>551</v>
      </c>
      <c r="N405" s="24">
        <v>57</v>
      </c>
      <c r="O405" s="24">
        <v>801</v>
      </c>
      <c r="P405" s="24">
        <v>49</v>
      </c>
      <c r="Q405" s="24">
        <v>919</v>
      </c>
      <c r="R405" s="24">
        <v>67</v>
      </c>
      <c r="S405" s="24">
        <v>471</v>
      </c>
      <c r="T405" s="24">
        <v>43</v>
      </c>
      <c r="U405" s="24">
        <v>824</v>
      </c>
      <c r="V405" s="24">
        <v>468.5</v>
      </c>
      <c r="W405" s="24">
        <v>22</v>
      </c>
      <c r="X405" s="24">
        <v>401</v>
      </c>
      <c r="Y405" s="24">
        <v>476</v>
      </c>
      <c r="Z405" s="24">
        <v>320</v>
      </c>
      <c r="AA405" s="24">
        <v>-81</v>
      </c>
    </row>
    <row r="406" spans="1:27">
      <c r="A406" s="24" t="s">
        <v>1289</v>
      </c>
      <c r="B406" s="24" t="s">
        <v>54</v>
      </c>
      <c r="C406" s="24" t="s">
        <v>1290</v>
      </c>
      <c r="D406" s="24">
        <v>104</v>
      </c>
      <c r="E406" s="24">
        <v>357</v>
      </c>
      <c r="F406" s="24">
        <v>60</v>
      </c>
      <c r="G406" s="24">
        <v>696</v>
      </c>
      <c r="H406" s="24">
        <v>98</v>
      </c>
      <c r="I406" s="24">
        <v>294</v>
      </c>
      <c r="J406" s="24">
        <v>62</v>
      </c>
      <c r="K406" s="24">
        <v>564</v>
      </c>
      <c r="L406" s="24">
        <v>61</v>
      </c>
      <c r="M406" s="24">
        <v>300</v>
      </c>
      <c r="N406" s="24">
        <v>83</v>
      </c>
      <c r="O406" s="24">
        <v>145</v>
      </c>
      <c r="P406" s="24">
        <v>76</v>
      </c>
      <c r="Q406" s="24">
        <v>260</v>
      </c>
      <c r="R406" s="24">
        <v>62</v>
      </c>
      <c r="S406" s="24">
        <v>672</v>
      </c>
      <c r="T406" s="24">
        <v>48</v>
      </c>
      <c r="U406" s="24">
        <v>671</v>
      </c>
      <c r="V406" s="24">
        <v>468</v>
      </c>
      <c r="W406" s="24">
        <v>21</v>
      </c>
      <c r="X406" s="24">
        <v>405</v>
      </c>
      <c r="Y406" s="24">
        <v>494</v>
      </c>
      <c r="Z406" s="24">
        <v>242</v>
      </c>
      <c r="AA406" s="24">
        <v>-163</v>
      </c>
    </row>
    <row r="407" spans="1:27">
      <c r="A407" s="24" t="s">
        <v>1353</v>
      </c>
      <c r="B407" s="24" t="s">
        <v>54</v>
      </c>
      <c r="C407" s="24" t="s">
        <v>1354</v>
      </c>
      <c r="D407" s="24">
        <v>104</v>
      </c>
      <c r="E407" s="24">
        <v>357</v>
      </c>
      <c r="F407" s="24">
        <v>55</v>
      </c>
      <c r="G407" s="24">
        <v>766</v>
      </c>
      <c r="H407" s="24">
        <v>119</v>
      </c>
      <c r="I407" s="24">
        <v>33</v>
      </c>
      <c r="J407" s="24">
        <v>59</v>
      </c>
      <c r="K407" s="24">
        <v>626</v>
      </c>
      <c r="L407" s="24">
        <v>54</v>
      </c>
      <c r="M407" s="24">
        <v>494</v>
      </c>
      <c r="N407" s="24">
        <v>77</v>
      </c>
      <c r="O407" s="24">
        <v>275</v>
      </c>
      <c r="P407" s="24">
        <v>69</v>
      </c>
      <c r="Q407" s="24">
        <v>504</v>
      </c>
      <c r="R407" s="24">
        <v>58</v>
      </c>
      <c r="S407" s="24">
        <v>770</v>
      </c>
      <c r="T407" s="24">
        <v>40</v>
      </c>
      <c r="U407" s="24">
        <v>881</v>
      </c>
      <c r="V407" s="24">
        <v>468</v>
      </c>
      <c r="W407" s="24">
        <v>21</v>
      </c>
      <c r="X407" s="24">
        <v>405</v>
      </c>
      <c r="Y407" s="24">
        <v>397.5</v>
      </c>
      <c r="Z407" s="24">
        <v>743</v>
      </c>
      <c r="AA407" s="24">
        <v>338</v>
      </c>
    </row>
    <row r="408" spans="1:27">
      <c r="A408" s="24" t="s">
        <v>1384</v>
      </c>
      <c r="B408" s="24" t="s">
        <v>56</v>
      </c>
      <c r="C408" s="24" t="s">
        <v>1552</v>
      </c>
      <c r="D408" s="24">
        <v>96</v>
      </c>
      <c r="E408" s="24">
        <v>676</v>
      </c>
      <c r="F408" s="24">
        <v>85</v>
      </c>
      <c r="G408" s="24">
        <v>244</v>
      </c>
      <c r="H408" s="24">
        <v>107</v>
      </c>
      <c r="I408" s="24">
        <v>148</v>
      </c>
      <c r="J408" s="24">
        <v>64</v>
      </c>
      <c r="K408" s="24">
        <v>517</v>
      </c>
      <c r="L408" s="24">
        <v>40</v>
      </c>
      <c r="M408" s="24">
        <v>811</v>
      </c>
      <c r="N408" s="24">
        <v>76</v>
      </c>
      <c r="O408" s="24">
        <v>308</v>
      </c>
      <c r="P408" s="24">
        <v>69</v>
      </c>
      <c r="Q408" s="24">
        <v>504</v>
      </c>
      <c r="R408" s="24">
        <v>64</v>
      </c>
      <c r="S408" s="24">
        <v>586</v>
      </c>
      <c r="T408" s="24">
        <v>50</v>
      </c>
      <c r="U408" s="24">
        <v>591</v>
      </c>
      <c r="V408" s="24">
        <v>468</v>
      </c>
      <c r="W408" s="24">
        <v>21</v>
      </c>
      <c r="X408" s="24">
        <v>405</v>
      </c>
      <c r="Y408" s="24">
        <v>489.5</v>
      </c>
      <c r="Z408" s="24">
        <v>261</v>
      </c>
      <c r="AA408" s="24">
        <v>-144</v>
      </c>
    </row>
    <row r="409" spans="1:27">
      <c r="A409" s="24" t="s">
        <v>2165</v>
      </c>
      <c r="B409" s="24" t="s">
        <v>73</v>
      </c>
      <c r="C409" s="24" t="s">
        <v>2166</v>
      </c>
      <c r="D409" s="24">
        <v>103</v>
      </c>
      <c r="E409" s="24">
        <v>400</v>
      </c>
      <c r="F409" s="24">
        <v>68</v>
      </c>
      <c r="G409" s="24">
        <v>540</v>
      </c>
      <c r="H409" s="24">
        <v>97</v>
      </c>
      <c r="I409" s="24">
        <v>327</v>
      </c>
      <c r="J409" s="24">
        <v>60</v>
      </c>
      <c r="K409" s="24">
        <v>607</v>
      </c>
      <c r="L409" s="24">
        <v>70</v>
      </c>
      <c r="M409" s="24">
        <v>136</v>
      </c>
      <c r="N409" s="24">
        <v>70</v>
      </c>
      <c r="O409" s="24">
        <v>485</v>
      </c>
      <c r="P409" s="24">
        <v>71</v>
      </c>
      <c r="Q409" s="24">
        <v>439</v>
      </c>
      <c r="R409" s="24">
        <v>63</v>
      </c>
      <c r="S409" s="24">
        <v>633</v>
      </c>
      <c r="T409" s="24">
        <v>47</v>
      </c>
      <c r="U409" s="24">
        <v>719</v>
      </c>
      <c r="V409" s="24">
        <v>468</v>
      </c>
      <c r="W409" s="24">
        <v>21</v>
      </c>
      <c r="X409" s="24">
        <v>405</v>
      </c>
      <c r="Y409" s="24">
        <v>453.5</v>
      </c>
      <c r="Z409" s="24">
        <v>446</v>
      </c>
      <c r="AA409" s="24">
        <v>41</v>
      </c>
    </row>
    <row r="410" spans="1:27">
      <c r="A410" s="24" t="s">
        <v>908</v>
      </c>
      <c r="B410" s="24" t="s">
        <v>60</v>
      </c>
      <c r="C410" s="24" t="s">
        <v>1597</v>
      </c>
      <c r="D410" s="24">
        <v>103</v>
      </c>
      <c r="E410" s="24">
        <v>400</v>
      </c>
      <c r="F410" s="24">
        <v>69</v>
      </c>
      <c r="G410" s="24">
        <v>524</v>
      </c>
      <c r="H410" s="24">
        <v>98</v>
      </c>
      <c r="I410" s="24">
        <v>294</v>
      </c>
      <c r="J410" s="24">
        <v>84</v>
      </c>
      <c r="K410" s="24">
        <v>147</v>
      </c>
      <c r="L410" s="24">
        <v>54</v>
      </c>
      <c r="M410" s="24">
        <v>494</v>
      </c>
      <c r="N410" s="24">
        <v>60</v>
      </c>
      <c r="O410" s="24">
        <v>748</v>
      </c>
      <c r="P410" s="24">
        <v>74</v>
      </c>
      <c r="Q410" s="24">
        <v>326</v>
      </c>
      <c r="R410" s="24">
        <v>72</v>
      </c>
      <c r="S410" s="24">
        <v>256</v>
      </c>
      <c r="T410" s="24">
        <v>53</v>
      </c>
      <c r="U410" s="24">
        <v>470</v>
      </c>
      <c r="V410" s="24">
        <v>468</v>
      </c>
      <c r="W410" s="24">
        <v>22</v>
      </c>
      <c r="X410" s="24">
        <v>405</v>
      </c>
      <c r="Y410" s="24">
        <v>454.5</v>
      </c>
      <c r="Z410" s="24">
        <v>442</v>
      </c>
      <c r="AA410" s="24">
        <v>37</v>
      </c>
    </row>
    <row r="411" spans="1:27">
      <c r="A411" s="24" t="s">
        <v>2826</v>
      </c>
      <c r="B411" s="24" t="s">
        <v>38</v>
      </c>
      <c r="C411" s="24" t="s">
        <v>2827</v>
      </c>
      <c r="D411" s="24">
        <v>104</v>
      </c>
      <c r="E411" s="24">
        <v>357</v>
      </c>
      <c r="F411" s="24">
        <v>76</v>
      </c>
      <c r="G411" s="24">
        <v>391</v>
      </c>
      <c r="H411" s="24">
        <v>89.5</v>
      </c>
      <c r="I411" s="24">
        <v>494</v>
      </c>
      <c r="J411" s="24">
        <v>65</v>
      </c>
      <c r="K411" s="24">
        <v>501</v>
      </c>
      <c r="L411" s="24">
        <v>62</v>
      </c>
      <c r="M411" s="24">
        <v>277</v>
      </c>
      <c r="N411" s="24">
        <v>71</v>
      </c>
      <c r="O411" s="24">
        <v>462</v>
      </c>
      <c r="P411" s="24">
        <v>71</v>
      </c>
      <c r="Q411" s="24">
        <v>439</v>
      </c>
      <c r="R411" s="24">
        <v>63</v>
      </c>
      <c r="S411" s="24">
        <v>633</v>
      </c>
      <c r="T411" s="24">
        <v>55</v>
      </c>
      <c r="U411" s="24">
        <v>392</v>
      </c>
      <c r="V411" s="24">
        <v>467.5</v>
      </c>
      <c r="W411" s="24">
        <v>14</v>
      </c>
      <c r="X411" s="24">
        <v>410</v>
      </c>
      <c r="Y411" s="24">
        <v>462</v>
      </c>
      <c r="Z411" s="24">
        <v>404</v>
      </c>
      <c r="AA411" s="24">
        <v>-6</v>
      </c>
    </row>
    <row r="412" spans="1:27">
      <c r="A412" s="24" t="s">
        <v>2477</v>
      </c>
      <c r="B412" s="24" t="s">
        <v>131</v>
      </c>
      <c r="C412" s="24" t="s">
        <v>2478</v>
      </c>
      <c r="D412" s="24">
        <v>94</v>
      </c>
      <c r="E412" s="24">
        <v>733</v>
      </c>
      <c r="F412" s="24">
        <v>71</v>
      </c>
      <c r="G412" s="24">
        <v>475</v>
      </c>
      <c r="H412" s="24">
        <v>81</v>
      </c>
      <c r="I412" s="24">
        <v>680</v>
      </c>
      <c r="J412" s="24">
        <v>74</v>
      </c>
      <c r="K412" s="24">
        <v>317</v>
      </c>
      <c r="L412" s="24">
        <v>67</v>
      </c>
      <c r="M412" s="24">
        <v>177</v>
      </c>
      <c r="N412" s="24">
        <v>80</v>
      </c>
      <c r="O412" s="24">
        <v>205</v>
      </c>
      <c r="P412" s="24">
        <v>59</v>
      </c>
      <c r="Q412" s="24">
        <v>799</v>
      </c>
      <c r="R412" s="24">
        <v>63</v>
      </c>
      <c r="S412" s="24">
        <v>633</v>
      </c>
      <c r="T412" s="24">
        <v>55</v>
      </c>
      <c r="U412" s="24">
        <v>392</v>
      </c>
      <c r="V412" s="24">
        <v>467</v>
      </c>
      <c r="W412" s="24">
        <v>22</v>
      </c>
      <c r="X412" s="24">
        <v>411</v>
      </c>
      <c r="Y412" s="24">
        <v>475.5</v>
      </c>
      <c r="Z412" s="24">
        <v>323</v>
      </c>
      <c r="AA412" s="24">
        <v>-88</v>
      </c>
    </row>
    <row r="413" spans="1:27">
      <c r="A413" s="24" t="s">
        <v>2121</v>
      </c>
      <c r="B413" s="24" t="s">
        <v>73</v>
      </c>
      <c r="C413" s="24" t="s">
        <v>2122</v>
      </c>
      <c r="D413" s="24">
        <v>105</v>
      </c>
      <c r="E413" s="24">
        <v>325</v>
      </c>
      <c r="F413" s="24">
        <v>66</v>
      </c>
      <c r="G413" s="24">
        <v>584</v>
      </c>
      <c r="H413" s="24">
        <v>95</v>
      </c>
      <c r="I413" s="24">
        <v>364</v>
      </c>
      <c r="J413" s="24">
        <v>63</v>
      </c>
      <c r="K413" s="24">
        <v>540</v>
      </c>
      <c r="L413" s="24">
        <v>58</v>
      </c>
      <c r="M413" s="24">
        <v>377</v>
      </c>
      <c r="N413" s="24">
        <v>80</v>
      </c>
      <c r="O413" s="24">
        <v>205</v>
      </c>
      <c r="P413" s="24">
        <v>58</v>
      </c>
      <c r="Q413" s="24">
        <v>820</v>
      </c>
      <c r="R413" s="24">
        <v>68</v>
      </c>
      <c r="S413" s="24">
        <v>412</v>
      </c>
      <c r="T413" s="24">
        <v>61</v>
      </c>
      <c r="U413" s="24">
        <v>172</v>
      </c>
      <c r="V413" s="24">
        <v>467</v>
      </c>
      <c r="W413" s="24">
        <v>22</v>
      </c>
      <c r="X413" s="24">
        <v>411</v>
      </c>
      <c r="Y413" s="24">
        <v>463.5</v>
      </c>
      <c r="Z413" s="24">
        <v>395</v>
      </c>
      <c r="AA413" s="24">
        <v>-16</v>
      </c>
    </row>
    <row r="414" spans="1:27">
      <c r="A414" s="24" t="s">
        <v>2261</v>
      </c>
      <c r="B414" s="24" t="s">
        <v>7</v>
      </c>
      <c r="C414" s="24" t="s">
        <v>2262</v>
      </c>
      <c r="D414" s="24">
        <v>112</v>
      </c>
      <c r="E414" s="24">
        <v>114</v>
      </c>
      <c r="F414" s="24">
        <v>60</v>
      </c>
      <c r="G414" s="24">
        <v>696</v>
      </c>
      <c r="H414" s="24">
        <v>109</v>
      </c>
      <c r="I414" s="24">
        <v>114</v>
      </c>
      <c r="J414" s="24">
        <v>65</v>
      </c>
      <c r="K414" s="24">
        <v>501</v>
      </c>
      <c r="L414" s="24">
        <v>51</v>
      </c>
      <c r="M414" s="24">
        <v>571</v>
      </c>
      <c r="N414" s="24">
        <v>70</v>
      </c>
      <c r="O414" s="24">
        <v>485</v>
      </c>
      <c r="P414" s="24">
        <v>90</v>
      </c>
      <c r="Q414" s="24">
        <v>4</v>
      </c>
      <c r="R414" s="24">
        <v>71</v>
      </c>
      <c r="S414" s="24">
        <v>290</v>
      </c>
      <c r="T414" s="24">
        <v>54</v>
      </c>
      <c r="U414" s="24">
        <v>428</v>
      </c>
      <c r="V414" s="24">
        <v>467</v>
      </c>
      <c r="W414" s="24">
        <v>16</v>
      </c>
      <c r="X414" s="24">
        <v>411</v>
      </c>
      <c r="Y414" s="24">
        <v>455</v>
      </c>
      <c r="Z414" s="24">
        <v>439</v>
      </c>
      <c r="AA414" s="24">
        <v>28</v>
      </c>
    </row>
    <row r="415" spans="1:27">
      <c r="A415" s="24" t="s">
        <v>1317</v>
      </c>
      <c r="B415" s="24" t="s">
        <v>54</v>
      </c>
      <c r="C415" s="24" t="s">
        <v>1318</v>
      </c>
      <c r="D415" s="24">
        <v>99</v>
      </c>
      <c r="E415" s="24">
        <v>571</v>
      </c>
      <c r="F415" s="24">
        <v>73</v>
      </c>
      <c r="G415" s="24">
        <v>438</v>
      </c>
      <c r="H415" s="24">
        <v>79.5</v>
      </c>
      <c r="I415" s="24">
        <v>699</v>
      </c>
      <c r="J415" s="24">
        <v>69</v>
      </c>
      <c r="K415" s="24">
        <v>428</v>
      </c>
      <c r="L415" s="24">
        <v>64</v>
      </c>
      <c r="M415" s="24">
        <v>244</v>
      </c>
      <c r="N415" s="24">
        <v>82</v>
      </c>
      <c r="O415" s="24">
        <v>166</v>
      </c>
      <c r="P415" s="24">
        <v>82</v>
      </c>
      <c r="Q415" s="24">
        <v>100</v>
      </c>
      <c r="R415" s="24">
        <v>67</v>
      </c>
      <c r="S415" s="24">
        <v>471</v>
      </c>
      <c r="T415" s="24">
        <v>49</v>
      </c>
      <c r="U415" s="24">
        <v>633</v>
      </c>
      <c r="V415" s="24">
        <v>466.5</v>
      </c>
      <c r="W415" s="24">
        <v>23</v>
      </c>
      <c r="X415" s="24">
        <v>414</v>
      </c>
      <c r="Y415" s="24">
        <v>468</v>
      </c>
      <c r="Z415" s="24">
        <v>380</v>
      </c>
      <c r="AA415" s="24">
        <v>-34</v>
      </c>
    </row>
    <row r="416" spans="1:27">
      <c r="A416" s="24" t="s">
        <v>2074</v>
      </c>
      <c r="B416" s="24" t="s">
        <v>109</v>
      </c>
      <c r="C416" s="24" t="s">
        <v>2075</v>
      </c>
      <c r="D416" s="24">
        <v>96</v>
      </c>
      <c r="E416" s="24">
        <v>676</v>
      </c>
      <c r="F416" s="24">
        <v>77</v>
      </c>
      <c r="G416" s="24">
        <v>369</v>
      </c>
      <c r="H416" s="24">
        <v>84.5</v>
      </c>
      <c r="I416" s="24">
        <v>607</v>
      </c>
      <c r="J416" s="24">
        <v>93</v>
      </c>
      <c r="K416" s="24">
        <v>68</v>
      </c>
      <c r="L416" s="24">
        <v>43</v>
      </c>
      <c r="M416" s="24">
        <v>757</v>
      </c>
      <c r="N416" s="24">
        <v>73</v>
      </c>
      <c r="O416" s="24">
        <v>393</v>
      </c>
      <c r="P416" s="24">
        <v>73</v>
      </c>
      <c r="Q416" s="24">
        <v>359</v>
      </c>
      <c r="R416" s="24">
        <v>58</v>
      </c>
      <c r="S416" s="24">
        <v>770</v>
      </c>
      <c r="T416" s="24">
        <v>57</v>
      </c>
      <c r="U416" s="24">
        <v>306</v>
      </c>
      <c r="V416" s="24">
        <v>466.5</v>
      </c>
      <c r="W416" s="24">
        <v>27</v>
      </c>
      <c r="X416" s="24">
        <v>414</v>
      </c>
      <c r="Y416" s="24">
        <v>408.5</v>
      </c>
      <c r="Z416" s="24">
        <v>690</v>
      </c>
      <c r="AA416" s="24">
        <v>276</v>
      </c>
    </row>
    <row r="417" spans="1:27">
      <c r="A417" s="24" t="s">
        <v>822</v>
      </c>
      <c r="B417" s="24" t="s">
        <v>117</v>
      </c>
      <c r="C417" s="24" t="s">
        <v>823</v>
      </c>
      <c r="D417" s="24">
        <v>96</v>
      </c>
      <c r="E417" s="24">
        <v>676</v>
      </c>
      <c r="F417" s="24">
        <v>73</v>
      </c>
      <c r="G417" s="24">
        <v>438</v>
      </c>
      <c r="H417" s="24">
        <v>92</v>
      </c>
      <c r="I417" s="24">
        <v>426</v>
      </c>
      <c r="J417" s="24">
        <v>73</v>
      </c>
      <c r="K417" s="24">
        <v>339</v>
      </c>
      <c r="L417" s="24">
        <v>54</v>
      </c>
      <c r="M417" s="24">
        <v>494</v>
      </c>
      <c r="N417" s="24">
        <v>78</v>
      </c>
      <c r="O417" s="24">
        <v>250</v>
      </c>
      <c r="P417" s="24">
        <v>86</v>
      </c>
      <c r="Q417" s="24">
        <v>34</v>
      </c>
      <c r="R417" s="24">
        <v>74</v>
      </c>
      <c r="S417" s="24">
        <v>174</v>
      </c>
      <c r="T417" s="24">
        <v>64</v>
      </c>
      <c r="U417" s="24">
        <v>103</v>
      </c>
      <c r="V417" s="24">
        <v>466</v>
      </c>
      <c r="W417" s="24">
        <v>21</v>
      </c>
      <c r="X417" s="24">
        <v>416</v>
      </c>
      <c r="Y417" s="24">
        <v>507</v>
      </c>
      <c r="Z417" s="24">
        <v>181</v>
      </c>
      <c r="AA417" s="24">
        <v>-235</v>
      </c>
    </row>
    <row r="418" spans="1:27">
      <c r="A418" s="24" t="s">
        <v>1080</v>
      </c>
      <c r="B418" s="24" t="s">
        <v>68</v>
      </c>
      <c r="C418" s="24" t="s">
        <v>1081</v>
      </c>
      <c r="D418" s="24">
        <v>107</v>
      </c>
      <c r="E418" s="24">
        <v>242</v>
      </c>
      <c r="F418" s="24">
        <v>77</v>
      </c>
      <c r="G418" s="24">
        <v>369</v>
      </c>
      <c r="H418" s="24">
        <v>86</v>
      </c>
      <c r="I418" s="24">
        <v>581</v>
      </c>
      <c r="J418" s="24">
        <v>73</v>
      </c>
      <c r="K418" s="24">
        <v>339</v>
      </c>
      <c r="L418" s="24">
        <v>53</v>
      </c>
      <c r="M418" s="24">
        <v>526</v>
      </c>
      <c r="N418" s="24">
        <v>70</v>
      </c>
      <c r="O418" s="24">
        <v>485</v>
      </c>
      <c r="P418" s="24">
        <v>83</v>
      </c>
      <c r="Q418" s="24">
        <v>79</v>
      </c>
      <c r="R418" s="24">
        <v>76</v>
      </c>
      <c r="S418" s="24">
        <v>125</v>
      </c>
      <c r="T418" s="24">
        <v>49</v>
      </c>
      <c r="U418" s="24">
        <v>633</v>
      </c>
      <c r="V418" s="24">
        <v>466</v>
      </c>
      <c r="W418" s="24">
        <v>23</v>
      </c>
      <c r="X418" s="24">
        <v>416</v>
      </c>
      <c r="Y418" s="24">
        <v>463</v>
      </c>
      <c r="Z418" s="24">
        <v>398</v>
      </c>
      <c r="AA418" s="24">
        <v>-18</v>
      </c>
    </row>
    <row r="419" spans="1:27">
      <c r="A419" s="24" t="s">
        <v>853</v>
      </c>
      <c r="B419" s="24" t="s">
        <v>117</v>
      </c>
      <c r="C419" s="24" t="s">
        <v>854</v>
      </c>
      <c r="D419" s="24">
        <v>106</v>
      </c>
      <c r="E419" s="24">
        <v>287</v>
      </c>
      <c r="F419" s="24">
        <v>66</v>
      </c>
      <c r="G419" s="24">
        <v>584</v>
      </c>
      <c r="H419" s="24">
        <v>107</v>
      </c>
      <c r="I419" s="24">
        <v>148</v>
      </c>
      <c r="J419" s="24">
        <v>60</v>
      </c>
      <c r="K419" s="24">
        <v>607</v>
      </c>
      <c r="L419" s="24">
        <v>59</v>
      </c>
      <c r="M419" s="24">
        <v>348</v>
      </c>
      <c r="N419" s="24">
        <v>68</v>
      </c>
      <c r="O419" s="24">
        <v>555</v>
      </c>
      <c r="P419" s="24">
        <v>85</v>
      </c>
      <c r="Q419" s="24">
        <v>45</v>
      </c>
      <c r="R419" s="24">
        <v>75</v>
      </c>
      <c r="S419" s="24">
        <v>146</v>
      </c>
      <c r="T419" s="24">
        <v>47</v>
      </c>
      <c r="U419" s="24">
        <v>719</v>
      </c>
      <c r="V419" s="24">
        <v>466</v>
      </c>
      <c r="W419" s="24">
        <v>21</v>
      </c>
      <c r="X419" s="24">
        <v>416</v>
      </c>
      <c r="Y419" s="24">
        <v>458.5</v>
      </c>
      <c r="Z419" s="24">
        <v>421</v>
      </c>
      <c r="AA419" s="24">
        <v>5</v>
      </c>
    </row>
    <row r="420" spans="1:27">
      <c r="A420" s="24" t="s">
        <v>801</v>
      </c>
      <c r="B420" s="24" t="s">
        <v>117</v>
      </c>
      <c r="C420" s="24" t="s">
        <v>802</v>
      </c>
      <c r="D420" s="24">
        <v>89</v>
      </c>
      <c r="E420" s="24">
        <v>835</v>
      </c>
      <c r="F420" s="24">
        <v>80</v>
      </c>
      <c r="G420" s="24">
        <v>325</v>
      </c>
      <c r="H420" s="24">
        <v>59.5</v>
      </c>
      <c r="I420" s="24">
        <v>914</v>
      </c>
      <c r="J420" s="24">
        <v>78</v>
      </c>
      <c r="K420" s="24">
        <v>250</v>
      </c>
      <c r="L420" s="24">
        <v>67</v>
      </c>
      <c r="M420" s="24">
        <v>177</v>
      </c>
      <c r="N420" s="24">
        <v>92</v>
      </c>
      <c r="O420" s="24">
        <v>10</v>
      </c>
      <c r="P420" s="24">
        <v>75</v>
      </c>
      <c r="Q420" s="24">
        <v>289</v>
      </c>
      <c r="R420" s="24">
        <v>81</v>
      </c>
      <c r="S420" s="24">
        <v>42</v>
      </c>
      <c r="T420" s="24">
        <v>65</v>
      </c>
      <c r="U420" s="24">
        <v>89</v>
      </c>
      <c r="V420" s="24">
        <v>465.5</v>
      </c>
      <c r="W420" s="24">
        <v>23</v>
      </c>
      <c r="X420" s="24">
        <v>419</v>
      </c>
      <c r="Y420" s="24">
        <v>451</v>
      </c>
      <c r="Z420" s="24">
        <v>461</v>
      </c>
      <c r="AA420" s="24">
        <v>42</v>
      </c>
    </row>
    <row r="421" spans="1:27">
      <c r="A421" s="24" t="s">
        <v>2197</v>
      </c>
      <c r="B421" s="24" t="s">
        <v>73</v>
      </c>
      <c r="C421" s="24" t="s">
        <v>2198</v>
      </c>
      <c r="D421" s="24">
        <v>103</v>
      </c>
      <c r="E421" s="24">
        <v>400</v>
      </c>
      <c r="F421" s="24">
        <v>76</v>
      </c>
      <c r="G421" s="24">
        <v>391</v>
      </c>
      <c r="H421" s="24">
        <v>80.5</v>
      </c>
      <c r="I421" s="24">
        <v>688</v>
      </c>
      <c r="J421" s="24">
        <v>71</v>
      </c>
      <c r="K421" s="24">
        <v>378</v>
      </c>
      <c r="L421" s="24">
        <v>68</v>
      </c>
      <c r="M421" s="24">
        <v>165</v>
      </c>
      <c r="N421" s="24">
        <v>67</v>
      </c>
      <c r="O421" s="24">
        <v>587</v>
      </c>
      <c r="P421" s="24">
        <v>84</v>
      </c>
      <c r="Q421" s="24">
        <v>59</v>
      </c>
      <c r="R421" s="24">
        <v>68</v>
      </c>
      <c r="S421" s="24">
        <v>412</v>
      </c>
      <c r="T421" s="24">
        <v>63</v>
      </c>
      <c r="U421" s="24">
        <v>123</v>
      </c>
      <c r="V421" s="24">
        <v>465.5</v>
      </c>
      <c r="W421" s="24">
        <v>23</v>
      </c>
      <c r="X421" s="24">
        <v>419</v>
      </c>
      <c r="Y421" s="24">
        <v>462</v>
      </c>
      <c r="Z421" s="24">
        <v>404</v>
      </c>
      <c r="AA421" s="24">
        <v>-15</v>
      </c>
    </row>
    <row r="422" spans="1:27">
      <c r="A422" s="24" t="s">
        <v>2650</v>
      </c>
      <c r="B422" s="24" t="s">
        <v>49</v>
      </c>
      <c r="C422" s="24" t="s">
        <v>2654</v>
      </c>
      <c r="D422" s="24">
        <v>101</v>
      </c>
      <c r="E422" s="24">
        <v>481</v>
      </c>
      <c r="F422" s="24">
        <v>88</v>
      </c>
      <c r="G422" s="24">
        <v>206</v>
      </c>
      <c r="H422" s="24">
        <v>80.5</v>
      </c>
      <c r="I422" s="24">
        <v>688</v>
      </c>
      <c r="J422" s="24">
        <v>72</v>
      </c>
      <c r="K422" s="24">
        <v>358</v>
      </c>
      <c r="L422" s="24">
        <v>59</v>
      </c>
      <c r="M422" s="24">
        <v>348</v>
      </c>
      <c r="N422" s="24">
        <v>65</v>
      </c>
      <c r="O422" s="24">
        <v>643</v>
      </c>
      <c r="P422" s="24">
        <v>72</v>
      </c>
      <c r="Q422" s="24">
        <v>396</v>
      </c>
      <c r="R422" s="24">
        <v>65</v>
      </c>
      <c r="S422" s="24">
        <v>548</v>
      </c>
      <c r="T422" s="24">
        <v>50</v>
      </c>
      <c r="U422" s="24">
        <v>591</v>
      </c>
      <c r="V422" s="24">
        <v>465.5</v>
      </c>
      <c r="W422" s="24">
        <v>23</v>
      </c>
      <c r="X422" s="24">
        <v>419</v>
      </c>
      <c r="Y422" s="24">
        <v>445.5</v>
      </c>
      <c r="Z422" s="24">
        <v>495</v>
      </c>
      <c r="AA422" s="24">
        <v>76</v>
      </c>
    </row>
    <row r="423" spans="1:27">
      <c r="A423" s="24" t="s">
        <v>2600</v>
      </c>
      <c r="B423" s="24" t="s">
        <v>49</v>
      </c>
      <c r="C423" s="24" t="s">
        <v>2601</v>
      </c>
      <c r="D423" s="24">
        <v>105</v>
      </c>
      <c r="E423" s="24">
        <v>325</v>
      </c>
      <c r="F423" s="24">
        <v>80</v>
      </c>
      <c r="G423" s="24">
        <v>325</v>
      </c>
      <c r="H423" s="24">
        <v>88</v>
      </c>
      <c r="I423" s="24">
        <v>535</v>
      </c>
      <c r="J423" s="24">
        <v>70</v>
      </c>
      <c r="K423" s="24">
        <v>400</v>
      </c>
      <c r="L423" s="24">
        <v>57</v>
      </c>
      <c r="M423" s="24">
        <v>409</v>
      </c>
      <c r="N423" s="24">
        <v>65</v>
      </c>
      <c r="O423" s="24">
        <v>643</v>
      </c>
      <c r="P423" s="24">
        <v>69</v>
      </c>
      <c r="Q423" s="24">
        <v>504</v>
      </c>
      <c r="R423" s="24">
        <v>59</v>
      </c>
      <c r="S423" s="24">
        <v>746</v>
      </c>
      <c r="T423" s="24">
        <v>46</v>
      </c>
      <c r="U423" s="24">
        <v>755</v>
      </c>
      <c r="V423" s="24">
        <v>465</v>
      </c>
      <c r="W423" s="24">
        <v>24</v>
      </c>
      <c r="X423" s="24">
        <v>422</v>
      </c>
      <c r="Y423" s="24">
        <v>479.5</v>
      </c>
      <c r="Z423" s="24">
        <v>310</v>
      </c>
      <c r="AA423" s="24">
        <v>-112</v>
      </c>
    </row>
    <row r="424" spans="1:27">
      <c r="A424" s="24" t="s">
        <v>1819</v>
      </c>
      <c r="B424" s="24" t="s">
        <v>34</v>
      </c>
      <c r="C424" s="24" t="s">
        <v>1820</v>
      </c>
      <c r="D424" s="24">
        <v>101</v>
      </c>
      <c r="E424" s="24">
        <v>481</v>
      </c>
      <c r="F424" s="24">
        <v>87</v>
      </c>
      <c r="G424" s="24">
        <v>220</v>
      </c>
      <c r="H424" s="24">
        <v>89</v>
      </c>
      <c r="I424" s="24">
        <v>510</v>
      </c>
      <c r="J424" s="24">
        <v>74</v>
      </c>
      <c r="K424" s="24">
        <v>317</v>
      </c>
      <c r="L424" s="24">
        <v>61</v>
      </c>
      <c r="M424" s="24">
        <v>300</v>
      </c>
      <c r="N424" s="24">
        <v>53</v>
      </c>
      <c r="O424" s="24">
        <v>858</v>
      </c>
      <c r="P424" s="24">
        <v>69</v>
      </c>
      <c r="Q424" s="24">
        <v>504</v>
      </c>
      <c r="R424" s="24">
        <v>57</v>
      </c>
      <c r="S424" s="24">
        <v>798</v>
      </c>
      <c r="T424" s="24">
        <v>48</v>
      </c>
      <c r="U424" s="24">
        <v>671</v>
      </c>
      <c r="V424" s="24">
        <v>465</v>
      </c>
      <c r="W424" s="24">
        <v>20</v>
      </c>
      <c r="X424" s="24">
        <v>422</v>
      </c>
      <c r="Y424" s="24">
        <v>422</v>
      </c>
      <c r="Z424" s="24">
        <v>625</v>
      </c>
      <c r="AA424" s="24">
        <v>203</v>
      </c>
    </row>
    <row r="425" spans="1:27">
      <c r="A425" s="24" t="s">
        <v>1496</v>
      </c>
      <c r="B425" s="24" t="s">
        <v>56</v>
      </c>
      <c r="C425" s="24" t="s">
        <v>1497</v>
      </c>
      <c r="D425" s="24">
        <v>93</v>
      </c>
      <c r="E425" s="24">
        <v>755</v>
      </c>
      <c r="F425" s="24">
        <v>59</v>
      </c>
      <c r="G425" s="24">
        <v>721</v>
      </c>
      <c r="H425" s="24">
        <v>114.5</v>
      </c>
      <c r="I425" s="24">
        <v>61</v>
      </c>
      <c r="J425" s="24">
        <v>65</v>
      </c>
      <c r="K425" s="24">
        <v>501</v>
      </c>
      <c r="L425" s="24">
        <v>51</v>
      </c>
      <c r="M425" s="24">
        <v>571</v>
      </c>
      <c r="N425" s="24">
        <v>82</v>
      </c>
      <c r="O425" s="24">
        <v>166</v>
      </c>
      <c r="P425" s="24">
        <v>78</v>
      </c>
      <c r="Q425" s="24">
        <v>209</v>
      </c>
      <c r="R425" s="24">
        <v>71</v>
      </c>
      <c r="S425" s="24">
        <v>290</v>
      </c>
      <c r="T425" s="24">
        <v>60</v>
      </c>
      <c r="U425" s="24">
        <v>203</v>
      </c>
      <c r="V425" s="24">
        <v>464.5</v>
      </c>
      <c r="W425" s="24">
        <v>22</v>
      </c>
      <c r="X425" s="24">
        <v>424</v>
      </c>
      <c r="Y425" s="24">
        <v>457.5</v>
      </c>
      <c r="Z425" s="24">
        <v>424</v>
      </c>
      <c r="AA425" s="24">
        <v>0</v>
      </c>
    </row>
    <row r="426" spans="1:27">
      <c r="A426" s="24" t="s">
        <v>605</v>
      </c>
      <c r="B426" s="24" t="s">
        <v>17</v>
      </c>
      <c r="C426" s="24" t="s">
        <v>606</v>
      </c>
      <c r="D426" s="24">
        <v>110</v>
      </c>
      <c r="E426" s="24">
        <v>159</v>
      </c>
      <c r="F426" s="24">
        <v>87</v>
      </c>
      <c r="G426" s="24">
        <v>220</v>
      </c>
      <c r="H426" s="24">
        <v>88.5</v>
      </c>
      <c r="I426" s="24">
        <v>520</v>
      </c>
      <c r="J426" s="24">
        <v>59</v>
      </c>
      <c r="K426" s="24">
        <v>626</v>
      </c>
      <c r="L426" s="24">
        <v>44</v>
      </c>
      <c r="M426" s="24">
        <v>736</v>
      </c>
      <c r="N426" s="24">
        <v>76</v>
      </c>
      <c r="O426" s="24">
        <v>308</v>
      </c>
      <c r="P426" s="24">
        <v>65</v>
      </c>
      <c r="Q426" s="24">
        <v>651</v>
      </c>
      <c r="R426" s="24">
        <v>66</v>
      </c>
      <c r="S426" s="24">
        <v>511</v>
      </c>
      <c r="T426" s="24">
        <v>47</v>
      </c>
      <c r="U426" s="24">
        <v>719</v>
      </c>
      <c r="V426" s="24">
        <v>464.5</v>
      </c>
      <c r="W426" s="24">
        <v>23</v>
      </c>
      <c r="X426" s="24">
        <v>424</v>
      </c>
      <c r="Y426" s="24">
        <v>443.5</v>
      </c>
      <c r="Z426" s="24">
        <v>508</v>
      </c>
      <c r="AA426" s="24">
        <v>84</v>
      </c>
    </row>
    <row r="427" spans="1:27">
      <c r="A427" s="24" t="s">
        <v>533</v>
      </c>
      <c r="B427" s="24" t="s">
        <v>17</v>
      </c>
      <c r="C427" s="24" t="s">
        <v>534</v>
      </c>
      <c r="D427" s="24">
        <v>105</v>
      </c>
      <c r="E427" s="24">
        <v>325</v>
      </c>
      <c r="F427" s="24">
        <v>75</v>
      </c>
      <c r="G427" s="24">
        <v>409</v>
      </c>
      <c r="H427" s="24">
        <v>82.5</v>
      </c>
      <c r="I427" s="24">
        <v>658</v>
      </c>
      <c r="J427" s="24">
        <v>77</v>
      </c>
      <c r="K427" s="24">
        <v>274</v>
      </c>
      <c r="L427" s="24">
        <v>51</v>
      </c>
      <c r="M427" s="24">
        <v>571</v>
      </c>
      <c r="N427" s="24">
        <v>74</v>
      </c>
      <c r="O427" s="24">
        <v>366</v>
      </c>
      <c r="P427" s="24">
        <v>85</v>
      </c>
      <c r="Q427" s="24">
        <v>45</v>
      </c>
      <c r="R427" s="24">
        <v>70</v>
      </c>
      <c r="S427" s="24">
        <v>327</v>
      </c>
      <c r="T427" s="24">
        <v>60</v>
      </c>
      <c r="U427" s="24">
        <v>203</v>
      </c>
      <c r="V427" s="24">
        <v>464.5</v>
      </c>
      <c r="W427" s="24">
        <v>23</v>
      </c>
      <c r="X427" s="24">
        <v>424</v>
      </c>
      <c r="Y427" s="24">
        <v>472</v>
      </c>
      <c r="Z427" s="24">
        <v>352</v>
      </c>
      <c r="AA427" s="24">
        <v>-72</v>
      </c>
    </row>
    <row r="428" spans="1:27">
      <c r="A428" s="24" t="s">
        <v>581</v>
      </c>
      <c r="B428" s="24" t="s">
        <v>17</v>
      </c>
      <c r="C428" s="24" t="s">
        <v>582</v>
      </c>
      <c r="D428" s="24">
        <v>94</v>
      </c>
      <c r="E428" s="24">
        <v>733</v>
      </c>
      <c r="F428" s="24">
        <v>84</v>
      </c>
      <c r="G428" s="24">
        <v>251</v>
      </c>
      <c r="H428" s="24">
        <v>85.5</v>
      </c>
      <c r="I428" s="24">
        <v>586</v>
      </c>
      <c r="J428" s="24">
        <v>73</v>
      </c>
      <c r="K428" s="24">
        <v>339</v>
      </c>
      <c r="L428" s="24">
        <v>57</v>
      </c>
      <c r="M428" s="24">
        <v>409</v>
      </c>
      <c r="N428" s="24">
        <v>71</v>
      </c>
      <c r="O428" s="24">
        <v>462</v>
      </c>
      <c r="P428" s="24">
        <v>71</v>
      </c>
      <c r="Q428" s="24">
        <v>439</v>
      </c>
      <c r="R428" s="24">
        <v>51</v>
      </c>
      <c r="S428" s="24">
        <v>890</v>
      </c>
      <c r="T428" s="24">
        <v>52</v>
      </c>
      <c r="U428" s="24">
        <v>509</v>
      </c>
      <c r="V428" s="24">
        <v>464.5</v>
      </c>
      <c r="W428" s="24">
        <v>23</v>
      </c>
      <c r="X428" s="24">
        <v>424</v>
      </c>
      <c r="Y428" s="24">
        <v>476</v>
      </c>
      <c r="Z428" s="24">
        <v>320</v>
      </c>
      <c r="AA428" s="24">
        <v>-104</v>
      </c>
    </row>
    <row r="429" spans="1:27">
      <c r="A429" s="24" t="s">
        <v>1890</v>
      </c>
      <c r="B429" s="24" t="s">
        <v>34</v>
      </c>
      <c r="C429" s="24" t="s">
        <v>1891</v>
      </c>
      <c r="D429" s="24">
        <v>101</v>
      </c>
      <c r="E429" s="24">
        <v>481</v>
      </c>
      <c r="F429" s="24">
        <v>54</v>
      </c>
      <c r="G429" s="24">
        <v>782</v>
      </c>
      <c r="H429" s="24">
        <v>114.5</v>
      </c>
      <c r="I429" s="24">
        <v>61</v>
      </c>
      <c r="J429" s="24">
        <v>68</v>
      </c>
      <c r="K429" s="24">
        <v>453</v>
      </c>
      <c r="L429" s="24">
        <v>57</v>
      </c>
      <c r="M429" s="24">
        <v>409</v>
      </c>
      <c r="N429" s="24">
        <v>70</v>
      </c>
      <c r="O429" s="24">
        <v>485</v>
      </c>
      <c r="P429" s="24">
        <v>78</v>
      </c>
      <c r="Q429" s="24">
        <v>209</v>
      </c>
      <c r="R429" s="24">
        <v>64</v>
      </c>
      <c r="S429" s="24">
        <v>586</v>
      </c>
      <c r="T429" s="24">
        <v>60</v>
      </c>
      <c r="U429" s="24">
        <v>203</v>
      </c>
      <c r="V429" s="24">
        <v>464.5</v>
      </c>
      <c r="W429" s="24">
        <v>21</v>
      </c>
      <c r="X429" s="24">
        <v>424</v>
      </c>
      <c r="Y429" s="24">
        <v>465.5</v>
      </c>
      <c r="Z429" s="24">
        <v>388</v>
      </c>
      <c r="AA429" s="24">
        <v>-36</v>
      </c>
    </row>
    <row r="430" spans="1:27">
      <c r="A430" s="24" t="s">
        <v>2782</v>
      </c>
      <c r="B430" s="24" t="s">
        <v>38</v>
      </c>
      <c r="C430" s="24" t="s">
        <v>2783</v>
      </c>
      <c r="D430" s="24">
        <v>115</v>
      </c>
      <c r="E430" s="24">
        <v>65</v>
      </c>
      <c r="F430" s="24">
        <v>63</v>
      </c>
      <c r="G430" s="24">
        <v>642</v>
      </c>
      <c r="H430" s="24">
        <v>114.5</v>
      </c>
      <c r="I430" s="24">
        <v>61</v>
      </c>
      <c r="J430" s="24">
        <v>58</v>
      </c>
      <c r="K430" s="24">
        <v>649</v>
      </c>
      <c r="L430" s="24">
        <v>47</v>
      </c>
      <c r="M430" s="24">
        <v>673</v>
      </c>
      <c r="N430" s="24">
        <v>67</v>
      </c>
      <c r="O430" s="24">
        <v>587</v>
      </c>
      <c r="P430" s="24">
        <v>73</v>
      </c>
      <c r="Q430" s="24">
        <v>359</v>
      </c>
      <c r="R430" s="24">
        <v>73</v>
      </c>
      <c r="S430" s="24">
        <v>216</v>
      </c>
      <c r="T430" s="24">
        <v>52</v>
      </c>
      <c r="U430" s="24">
        <v>509</v>
      </c>
      <c r="V430" s="24">
        <v>464.5</v>
      </c>
      <c r="W430" s="24">
        <v>15</v>
      </c>
      <c r="X430" s="24">
        <v>424</v>
      </c>
      <c r="Y430" s="24">
        <v>421.5</v>
      </c>
      <c r="Z430" s="24">
        <v>627</v>
      </c>
      <c r="AA430" s="24">
        <v>203</v>
      </c>
    </row>
    <row r="431" spans="1:27">
      <c r="A431" s="24" t="s">
        <v>464</v>
      </c>
      <c r="B431" s="24" t="s">
        <v>19</v>
      </c>
      <c r="C431" s="24" t="s">
        <v>468</v>
      </c>
      <c r="D431" s="24">
        <v>109</v>
      </c>
      <c r="E431" s="24">
        <v>185</v>
      </c>
      <c r="F431" s="24">
        <v>73</v>
      </c>
      <c r="G431" s="24">
        <v>438</v>
      </c>
      <c r="H431" s="24">
        <v>83.5</v>
      </c>
      <c r="I431" s="24">
        <v>633</v>
      </c>
      <c r="J431" s="24">
        <v>77</v>
      </c>
      <c r="K431" s="24">
        <v>274</v>
      </c>
      <c r="L431" s="24">
        <v>57</v>
      </c>
      <c r="M431" s="24">
        <v>409</v>
      </c>
      <c r="N431" s="24">
        <v>65</v>
      </c>
      <c r="O431" s="24">
        <v>643</v>
      </c>
      <c r="P431" s="24">
        <v>54</v>
      </c>
      <c r="Q431" s="24">
        <v>880</v>
      </c>
      <c r="R431" s="24">
        <v>70</v>
      </c>
      <c r="S431" s="24">
        <v>327</v>
      </c>
      <c r="T431" s="24">
        <v>44</v>
      </c>
      <c r="U431" s="24">
        <v>804</v>
      </c>
      <c r="V431" s="24">
        <v>464.5</v>
      </c>
      <c r="W431" s="24">
        <v>20</v>
      </c>
      <c r="X431" s="24">
        <v>424</v>
      </c>
      <c r="Y431" s="24">
        <v>460.5</v>
      </c>
      <c r="Z431" s="24">
        <v>412</v>
      </c>
      <c r="AA431" s="24">
        <v>-12</v>
      </c>
    </row>
    <row r="432" spans="1:27">
      <c r="A432" s="24" t="s">
        <v>2549</v>
      </c>
      <c r="B432" s="24" t="s">
        <v>131</v>
      </c>
      <c r="C432" s="24" t="s">
        <v>1625</v>
      </c>
      <c r="D432" s="24">
        <v>104</v>
      </c>
      <c r="E432" s="24">
        <v>357</v>
      </c>
      <c r="F432" s="24">
        <v>79</v>
      </c>
      <c r="G432" s="24">
        <v>342</v>
      </c>
      <c r="H432" s="24">
        <v>91.5</v>
      </c>
      <c r="I432" s="24">
        <v>444</v>
      </c>
      <c r="J432" s="24">
        <v>74</v>
      </c>
      <c r="K432" s="24">
        <v>317</v>
      </c>
      <c r="L432" s="24">
        <v>52</v>
      </c>
      <c r="M432" s="24">
        <v>551</v>
      </c>
      <c r="N432" s="24">
        <v>64</v>
      </c>
      <c r="O432" s="24">
        <v>667</v>
      </c>
      <c r="P432" s="24">
        <v>65</v>
      </c>
      <c r="Q432" s="24">
        <v>651</v>
      </c>
      <c r="R432" s="24">
        <v>68</v>
      </c>
      <c r="S432" s="24">
        <v>412</v>
      </c>
      <c r="T432" s="24">
        <v>49</v>
      </c>
      <c r="U432" s="24">
        <v>633</v>
      </c>
      <c r="V432" s="24">
        <v>464.5</v>
      </c>
      <c r="W432" s="24">
        <v>23</v>
      </c>
      <c r="X432" s="24">
        <v>424</v>
      </c>
      <c r="Y432" s="24">
        <v>490.5</v>
      </c>
      <c r="Z432" s="24">
        <v>256</v>
      </c>
      <c r="AA432" s="24">
        <v>-168</v>
      </c>
    </row>
    <row r="433" spans="1:27">
      <c r="A433" s="24" t="s">
        <v>687</v>
      </c>
      <c r="B433" s="24" t="s">
        <v>17</v>
      </c>
      <c r="C433" s="24" t="s">
        <v>209</v>
      </c>
      <c r="D433" s="24">
        <v>100</v>
      </c>
      <c r="E433" s="24">
        <v>528</v>
      </c>
      <c r="F433" s="24">
        <v>58</v>
      </c>
      <c r="G433" s="24">
        <v>734</v>
      </c>
      <c r="H433" s="24">
        <v>103</v>
      </c>
      <c r="I433" s="24">
        <v>205</v>
      </c>
      <c r="J433" s="24">
        <v>63</v>
      </c>
      <c r="K433" s="24">
        <v>540</v>
      </c>
      <c r="L433" s="24">
        <v>64</v>
      </c>
      <c r="M433" s="24">
        <v>244</v>
      </c>
      <c r="N433" s="24">
        <v>76</v>
      </c>
      <c r="O433" s="24">
        <v>308</v>
      </c>
      <c r="P433" s="24">
        <v>88</v>
      </c>
      <c r="Q433" s="24">
        <v>15</v>
      </c>
      <c r="R433" s="24">
        <v>76</v>
      </c>
      <c r="S433" s="24">
        <v>125</v>
      </c>
      <c r="T433" s="24">
        <v>68</v>
      </c>
      <c r="U433" s="24">
        <v>54</v>
      </c>
      <c r="V433" s="24">
        <v>464</v>
      </c>
      <c r="W433" s="24">
        <v>26</v>
      </c>
      <c r="X433" s="24">
        <v>432</v>
      </c>
      <c r="Y433" s="24">
        <v>510</v>
      </c>
      <c r="Z433" s="24">
        <v>167</v>
      </c>
      <c r="AA433" s="24">
        <v>-265</v>
      </c>
    </row>
    <row r="434" spans="1:27">
      <c r="A434" s="24" t="s">
        <v>2686</v>
      </c>
      <c r="B434" s="24" t="s">
        <v>49</v>
      </c>
      <c r="C434" s="24" t="s">
        <v>2684</v>
      </c>
      <c r="D434" s="24">
        <v>89</v>
      </c>
      <c r="E434" s="24">
        <v>835</v>
      </c>
      <c r="F434" s="24">
        <v>67</v>
      </c>
      <c r="G434" s="24">
        <v>565</v>
      </c>
      <c r="H434" s="24">
        <v>108</v>
      </c>
      <c r="I434" s="24">
        <v>134</v>
      </c>
      <c r="J434" s="24">
        <v>68</v>
      </c>
      <c r="K434" s="24">
        <v>453</v>
      </c>
      <c r="L434" s="24">
        <v>62</v>
      </c>
      <c r="M434" s="24">
        <v>277</v>
      </c>
      <c r="N434" s="24">
        <v>70</v>
      </c>
      <c r="O434" s="24">
        <v>485</v>
      </c>
      <c r="P434" s="24">
        <v>61</v>
      </c>
      <c r="Q434" s="24">
        <v>754</v>
      </c>
      <c r="R434" s="24">
        <v>60</v>
      </c>
      <c r="S434" s="24">
        <v>727</v>
      </c>
      <c r="T434" s="24">
        <v>50</v>
      </c>
      <c r="U434" s="24">
        <v>591</v>
      </c>
      <c r="V434" s="24">
        <v>464</v>
      </c>
      <c r="W434" s="24">
        <v>25</v>
      </c>
      <c r="X434" s="24">
        <v>432</v>
      </c>
      <c r="Y434" s="24">
        <v>500.5</v>
      </c>
      <c r="Z434" s="24">
        <v>207</v>
      </c>
      <c r="AA434" s="24">
        <v>-225</v>
      </c>
    </row>
    <row r="435" spans="1:27">
      <c r="A435" s="24" t="s">
        <v>1271</v>
      </c>
      <c r="B435" s="24" t="s">
        <v>54</v>
      </c>
      <c r="C435" s="24" t="s">
        <v>1272</v>
      </c>
      <c r="D435" s="24">
        <v>97</v>
      </c>
      <c r="E435" s="24">
        <v>645</v>
      </c>
      <c r="F435" s="24">
        <v>45</v>
      </c>
      <c r="G435" s="24">
        <v>871</v>
      </c>
      <c r="H435" s="24">
        <v>60.5</v>
      </c>
      <c r="I435" s="24">
        <v>910</v>
      </c>
      <c r="J435" s="24">
        <v>86</v>
      </c>
      <c r="K435" s="24">
        <v>126</v>
      </c>
      <c r="L435" s="24">
        <v>90</v>
      </c>
      <c r="M435" s="24">
        <v>5</v>
      </c>
      <c r="N435" s="24">
        <v>85</v>
      </c>
      <c r="O435" s="24">
        <v>96</v>
      </c>
      <c r="P435" s="24">
        <v>72</v>
      </c>
      <c r="Q435" s="24">
        <v>396</v>
      </c>
      <c r="R435" s="24">
        <v>72</v>
      </c>
      <c r="S435" s="24">
        <v>256</v>
      </c>
      <c r="T435" s="24">
        <v>70</v>
      </c>
      <c r="U435" s="24">
        <v>37</v>
      </c>
      <c r="V435" s="24">
        <v>463.5</v>
      </c>
      <c r="W435" s="24">
        <v>24</v>
      </c>
      <c r="X435" s="24">
        <v>434</v>
      </c>
      <c r="Y435" s="24">
        <v>430</v>
      </c>
      <c r="Z435" s="24">
        <v>573</v>
      </c>
      <c r="AA435" s="24">
        <v>139</v>
      </c>
    </row>
    <row r="436" spans="1:27">
      <c r="A436" s="24" t="s">
        <v>2728</v>
      </c>
      <c r="B436" s="24" t="s">
        <v>49</v>
      </c>
      <c r="C436" s="24" t="s">
        <v>2729</v>
      </c>
      <c r="D436" s="24">
        <v>109</v>
      </c>
      <c r="E436" s="24">
        <v>185</v>
      </c>
      <c r="F436" s="24">
        <v>74</v>
      </c>
      <c r="G436" s="24">
        <v>424</v>
      </c>
      <c r="H436" s="24">
        <v>91.5</v>
      </c>
      <c r="I436" s="24">
        <v>444</v>
      </c>
      <c r="J436" s="24">
        <v>61</v>
      </c>
      <c r="K436" s="24">
        <v>587</v>
      </c>
      <c r="L436" s="24">
        <v>56</v>
      </c>
      <c r="M436" s="24">
        <v>433</v>
      </c>
      <c r="N436" s="24">
        <v>72</v>
      </c>
      <c r="O436" s="24">
        <v>433</v>
      </c>
      <c r="P436" s="24">
        <v>58</v>
      </c>
      <c r="Q436" s="24">
        <v>820</v>
      </c>
      <c r="R436" s="24">
        <v>35</v>
      </c>
      <c r="S436" s="24">
        <v>934</v>
      </c>
      <c r="T436" s="24">
        <v>44</v>
      </c>
      <c r="U436" s="24">
        <v>804</v>
      </c>
      <c r="V436" s="24">
        <v>463.5</v>
      </c>
      <c r="W436" s="24">
        <v>26</v>
      </c>
      <c r="X436" s="24">
        <v>434</v>
      </c>
      <c r="Y436" s="24">
        <v>414</v>
      </c>
      <c r="Z436" s="24">
        <v>663</v>
      </c>
      <c r="AA436" s="24">
        <v>229</v>
      </c>
    </row>
    <row r="437" spans="1:27">
      <c r="A437" s="24" t="s">
        <v>1320</v>
      </c>
      <c r="B437" s="24" t="s">
        <v>54</v>
      </c>
      <c r="C437" s="24" t="s">
        <v>1321</v>
      </c>
      <c r="D437" s="24">
        <v>100</v>
      </c>
      <c r="E437" s="24">
        <v>528</v>
      </c>
      <c r="F437" s="24">
        <v>83</v>
      </c>
      <c r="G437" s="24">
        <v>267</v>
      </c>
      <c r="H437" s="24">
        <v>84.5</v>
      </c>
      <c r="I437" s="24">
        <v>607</v>
      </c>
      <c r="J437" s="24">
        <v>60</v>
      </c>
      <c r="K437" s="24">
        <v>607</v>
      </c>
      <c r="L437" s="24">
        <v>65</v>
      </c>
      <c r="M437" s="24">
        <v>223</v>
      </c>
      <c r="N437" s="24">
        <v>71</v>
      </c>
      <c r="O437" s="24">
        <v>462</v>
      </c>
      <c r="P437" s="24">
        <v>79</v>
      </c>
      <c r="Q437" s="24">
        <v>175</v>
      </c>
      <c r="R437" s="24">
        <v>81</v>
      </c>
      <c r="S437" s="24">
        <v>42</v>
      </c>
      <c r="T437" s="24">
        <v>59</v>
      </c>
      <c r="U437" s="24">
        <v>233</v>
      </c>
      <c r="V437" s="24">
        <v>463.5</v>
      </c>
      <c r="W437" s="24">
        <v>24</v>
      </c>
      <c r="X437" s="24">
        <v>434</v>
      </c>
      <c r="Y437" s="24">
        <v>489.5</v>
      </c>
      <c r="Z437" s="24">
        <v>261</v>
      </c>
      <c r="AA437" s="24">
        <v>-173</v>
      </c>
    </row>
    <row r="438" spans="1:27">
      <c r="A438" s="24" t="s">
        <v>640</v>
      </c>
      <c r="B438" s="24" t="s">
        <v>17</v>
      </c>
      <c r="C438" s="24" t="s">
        <v>641</v>
      </c>
      <c r="D438" s="24">
        <v>96</v>
      </c>
      <c r="E438" s="24">
        <v>676</v>
      </c>
      <c r="F438" s="24">
        <v>69</v>
      </c>
      <c r="G438" s="24">
        <v>524</v>
      </c>
      <c r="H438" s="24">
        <v>88.5</v>
      </c>
      <c r="I438" s="24">
        <v>520</v>
      </c>
      <c r="J438" s="24">
        <v>82</v>
      </c>
      <c r="K438" s="24">
        <v>174</v>
      </c>
      <c r="L438" s="24">
        <v>58</v>
      </c>
      <c r="M438" s="24">
        <v>377</v>
      </c>
      <c r="N438" s="24">
        <v>70</v>
      </c>
      <c r="O438" s="24">
        <v>485</v>
      </c>
      <c r="P438" s="24">
        <v>58</v>
      </c>
      <c r="Q438" s="24">
        <v>820</v>
      </c>
      <c r="R438" s="24">
        <v>52</v>
      </c>
      <c r="S438" s="24">
        <v>879</v>
      </c>
      <c r="T438" s="24">
        <v>46</v>
      </c>
      <c r="U438" s="24">
        <v>755</v>
      </c>
      <c r="V438" s="24">
        <v>463.5</v>
      </c>
      <c r="W438" s="24">
        <v>27</v>
      </c>
      <c r="X438" s="24">
        <v>434</v>
      </c>
      <c r="Y438" s="24">
        <v>430</v>
      </c>
      <c r="Z438" s="24">
        <v>573</v>
      </c>
      <c r="AA438" s="24">
        <v>139</v>
      </c>
    </row>
    <row r="439" spans="1:27">
      <c r="A439" s="24" t="s">
        <v>2674</v>
      </c>
      <c r="B439" s="24" t="s">
        <v>49</v>
      </c>
      <c r="C439" s="24" t="s">
        <v>2675</v>
      </c>
      <c r="D439" s="24">
        <v>84</v>
      </c>
      <c r="E439" s="24">
        <v>891</v>
      </c>
      <c r="F439" s="24">
        <v>93</v>
      </c>
      <c r="G439" s="24">
        <v>155</v>
      </c>
      <c r="H439" s="24">
        <v>101.5</v>
      </c>
      <c r="I439" s="24">
        <v>225</v>
      </c>
      <c r="J439" s="24">
        <v>75</v>
      </c>
      <c r="K439" s="24">
        <v>299</v>
      </c>
      <c r="L439" s="24">
        <v>42</v>
      </c>
      <c r="M439" s="24">
        <v>774</v>
      </c>
      <c r="N439" s="24">
        <v>68</v>
      </c>
      <c r="O439" s="24">
        <v>555</v>
      </c>
      <c r="P439" s="24">
        <v>62</v>
      </c>
      <c r="Q439" s="24">
        <v>729</v>
      </c>
      <c r="R439" s="24">
        <v>60</v>
      </c>
      <c r="S439" s="24">
        <v>727</v>
      </c>
      <c r="T439" s="24">
        <v>48</v>
      </c>
      <c r="U439" s="24">
        <v>671</v>
      </c>
      <c r="V439" s="24">
        <v>463.5</v>
      </c>
      <c r="W439" s="24">
        <v>26</v>
      </c>
      <c r="X439" s="24">
        <v>434</v>
      </c>
      <c r="Y439" s="24">
        <v>430.5</v>
      </c>
      <c r="Z439" s="24">
        <v>570</v>
      </c>
      <c r="AA439" s="24">
        <v>136</v>
      </c>
    </row>
    <row r="440" spans="1:27">
      <c r="A440" s="24" t="s">
        <v>2352</v>
      </c>
      <c r="B440" s="24" t="s">
        <v>7</v>
      </c>
      <c r="C440" s="24" t="s">
        <v>2362</v>
      </c>
      <c r="D440" s="24">
        <v>81</v>
      </c>
      <c r="E440" s="24">
        <v>906</v>
      </c>
      <c r="F440" s="24">
        <v>66</v>
      </c>
      <c r="G440" s="24">
        <v>584</v>
      </c>
      <c r="H440" s="24">
        <v>91</v>
      </c>
      <c r="I440" s="24">
        <v>459</v>
      </c>
      <c r="J440" s="24">
        <v>88</v>
      </c>
      <c r="K440" s="24">
        <v>106</v>
      </c>
      <c r="L440" s="24">
        <v>53</v>
      </c>
      <c r="M440" s="24">
        <v>526</v>
      </c>
      <c r="N440" s="24">
        <v>84</v>
      </c>
      <c r="O440" s="24">
        <v>123</v>
      </c>
      <c r="P440" s="24">
        <v>52</v>
      </c>
      <c r="Q440" s="24">
        <v>897</v>
      </c>
      <c r="R440" s="24">
        <v>68</v>
      </c>
      <c r="S440" s="24">
        <v>412</v>
      </c>
      <c r="T440" s="24">
        <v>56</v>
      </c>
      <c r="U440" s="24">
        <v>352</v>
      </c>
      <c r="V440" s="24">
        <v>463</v>
      </c>
      <c r="W440" s="24">
        <v>17</v>
      </c>
      <c r="X440" s="24">
        <v>439</v>
      </c>
      <c r="Y440" s="24">
        <v>449</v>
      </c>
      <c r="Z440" s="24">
        <v>473</v>
      </c>
      <c r="AA440" s="24">
        <v>34</v>
      </c>
    </row>
    <row r="441" spans="1:27">
      <c r="A441" s="24" t="s">
        <v>889</v>
      </c>
      <c r="B441" s="24" t="s">
        <v>60</v>
      </c>
      <c r="C441" s="24" t="s">
        <v>890</v>
      </c>
      <c r="D441" s="24">
        <v>110</v>
      </c>
      <c r="E441" s="24">
        <v>159</v>
      </c>
      <c r="F441" s="24">
        <v>54</v>
      </c>
      <c r="G441" s="24">
        <v>782</v>
      </c>
      <c r="H441" s="24">
        <v>87</v>
      </c>
      <c r="I441" s="24">
        <v>554</v>
      </c>
      <c r="J441" s="24">
        <v>69</v>
      </c>
      <c r="K441" s="24">
        <v>428</v>
      </c>
      <c r="L441" s="24">
        <v>60</v>
      </c>
      <c r="M441" s="24">
        <v>322</v>
      </c>
      <c r="N441" s="24">
        <v>83</v>
      </c>
      <c r="O441" s="24">
        <v>145</v>
      </c>
      <c r="P441" s="24">
        <v>74</v>
      </c>
      <c r="Q441" s="24">
        <v>326</v>
      </c>
      <c r="R441" s="24">
        <v>63</v>
      </c>
      <c r="S441" s="24">
        <v>633</v>
      </c>
      <c r="T441" s="24">
        <v>47</v>
      </c>
      <c r="U441" s="24">
        <v>719</v>
      </c>
      <c r="V441" s="24">
        <v>463</v>
      </c>
      <c r="W441" s="24">
        <v>23</v>
      </c>
      <c r="X441" s="24">
        <v>439</v>
      </c>
      <c r="Y441" s="24">
        <v>430.5</v>
      </c>
      <c r="Z441" s="24">
        <v>570</v>
      </c>
      <c r="AA441" s="24">
        <v>131</v>
      </c>
    </row>
    <row r="442" spans="1:27">
      <c r="A442" s="24" t="s">
        <v>274</v>
      </c>
      <c r="B442" s="24" t="s">
        <v>28</v>
      </c>
      <c r="C442" s="24" t="s">
        <v>275</v>
      </c>
      <c r="D442" s="24">
        <v>105</v>
      </c>
      <c r="E442" s="24">
        <v>325</v>
      </c>
      <c r="F442" s="24">
        <v>94</v>
      </c>
      <c r="G442" s="24">
        <v>141</v>
      </c>
      <c r="H442" s="24">
        <v>94</v>
      </c>
      <c r="I442" s="24">
        <v>382</v>
      </c>
      <c r="J442" s="24">
        <v>64</v>
      </c>
      <c r="K442" s="24">
        <v>517</v>
      </c>
      <c r="L442" s="24">
        <v>42</v>
      </c>
      <c r="M442" s="24">
        <v>774</v>
      </c>
      <c r="N442" s="24">
        <v>64</v>
      </c>
      <c r="O442" s="24">
        <v>667</v>
      </c>
      <c r="P442" s="24">
        <v>61</v>
      </c>
      <c r="Q442" s="24">
        <v>754</v>
      </c>
      <c r="R442" s="24">
        <v>75</v>
      </c>
      <c r="S442" s="24">
        <v>146</v>
      </c>
      <c r="T442" s="24">
        <v>57</v>
      </c>
      <c r="U442" s="24">
        <v>306</v>
      </c>
      <c r="V442" s="24">
        <v>463</v>
      </c>
      <c r="W442" s="24">
        <v>23</v>
      </c>
      <c r="X442" s="24">
        <v>439</v>
      </c>
      <c r="Y442" s="24">
        <v>404.5</v>
      </c>
      <c r="Z442" s="24">
        <v>710</v>
      </c>
      <c r="AA442" s="24">
        <v>271</v>
      </c>
    </row>
    <row r="443" spans="1:27">
      <c r="A443" s="24" t="s">
        <v>253</v>
      </c>
      <c r="B443" s="24" t="s">
        <v>28</v>
      </c>
      <c r="C443" s="24" t="s">
        <v>254</v>
      </c>
      <c r="D443" s="24">
        <v>97</v>
      </c>
      <c r="E443" s="24">
        <v>645</v>
      </c>
      <c r="F443" s="24">
        <v>78</v>
      </c>
      <c r="G443" s="24">
        <v>353</v>
      </c>
      <c r="H443" s="24">
        <v>97</v>
      </c>
      <c r="I443" s="24">
        <v>327</v>
      </c>
      <c r="J443" s="24">
        <v>72</v>
      </c>
      <c r="K443" s="24">
        <v>358</v>
      </c>
      <c r="L443" s="24">
        <v>56</v>
      </c>
      <c r="M443" s="24">
        <v>433</v>
      </c>
      <c r="N443" s="24">
        <v>63</v>
      </c>
      <c r="O443" s="24">
        <v>692</v>
      </c>
      <c r="P443" s="24">
        <v>68</v>
      </c>
      <c r="Q443" s="24">
        <v>541</v>
      </c>
      <c r="R443" s="24">
        <v>69</v>
      </c>
      <c r="S443" s="24">
        <v>367</v>
      </c>
      <c r="T443" s="24">
        <v>62</v>
      </c>
      <c r="U443" s="24">
        <v>146</v>
      </c>
      <c r="V443" s="24">
        <v>463</v>
      </c>
      <c r="W443" s="24">
        <v>23</v>
      </c>
      <c r="X443" s="24">
        <v>439</v>
      </c>
      <c r="Y443" s="24">
        <v>443</v>
      </c>
      <c r="Z443" s="24">
        <v>513</v>
      </c>
      <c r="AA443" s="24">
        <v>74</v>
      </c>
    </row>
    <row r="444" spans="1:27">
      <c r="A444" s="24" t="s">
        <v>810</v>
      </c>
      <c r="B444" s="24" t="s">
        <v>117</v>
      </c>
      <c r="C444" s="24" t="s">
        <v>811</v>
      </c>
      <c r="D444" s="24">
        <v>110</v>
      </c>
      <c r="E444" s="24">
        <v>159</v>
      </c>
      <c r="F444" s="24">
        <v>53</v>
      </c>
      <c r="G444" s="24">
        <v>792</v>
      </c>
      <c r="H444" s="24">
        <v>111.5</v>
      </c>
      <c r="I444" s="24">
        <v>91</v>
      </c>
      <c r="J444" s="24">
        <v>45</v>
      </c>
      <c r="K444" s="24">
        <v>840</v>
      </c>
      <c r="L444" s="24">
        <v>74</v>
      </c>
      <c r="M444" s="24">
        <v>94</v>
      </c>
      <c r="N444" s="24">
        <v>69</v>
      </c>
      <c r="O444" s="24">
        <v>523</v>
      </c>
      <c r="P444" s="24">
        <v>77</v>
      </c>
      <c r="Q444" s="24">
        <v>240</v>
      </c>
      <c r="R444" s="24">
        <v>76</v>
      </c>
      <c r="S444" s="24">
        <v>125</v>
      </c>
      <c r="T444" s="24">
        <v>55</v>
      </c>
      <c r="U444" s="24">
        <v>392</v>
      </c>
      <c r="V444" s="24">
        <v>462.5</v>
      </c>
      <c r="W444" s="24">
        <v>24</v>
      </c>
      <c r="X444" s="24">
        <v>443</v>
      </c>
      <c r="Y444" s="24">
        <v>465.5</v>
      </c>
      <c r="Z444" s="24">
        <v>388</v>
      </c>
      <c r="AA444" s="24">
        <v>-55</v>
      </c>
    </row>
    <row r="445" spans="1:27">
      <c r="A445" s="24" t="s">
        <v>1423</v>
      </c>
      <c r="B445" s="24" t="s">
        <v>56</v>
      </c>
      <c r="C445" s="24" t="s">
        <v>1424</v>
      </c>
      <c r="D445" s="24">
        <v>93</v>
      </c>
      <c r="E445" s="24">
        <v>755</v>
      </c>
      <c r="F445" s="24">
        <v>51</v>
      </c>
      <c r="G445" s="24">
        <v>817</v>
      </c>
      <c r="H445" s="24">
        <v>101</v>
      </c>
      <c r="I445" s="24">
        <v>234</v>
      </c>
      <c r="J445" s="24">
        <v>71</v>
      </c>
      <c r="K445" s="24">
        <v>378</v>
      </c>
      <c r="L445" s="24">
        <v>60</v>
      </c>
      <c r="M445" s="24">
        <v>322</v>
      </c>
      <c r="N445" s="24">
        <v>86</v>
      </c>
      <c r="O445" s="24">
        <v>77</v>
      </c>
      <c r="P445" s="24">
        <v>60</v>
      </c>
      <c r="Q445" s="24">
        <v>777</v>
      </c>
      <c r="R445" s="24">
        <v>74</v>
      </c>
      <c r="S445" s="24">
        <v>174</v>
      </c>
      <c r="T445" s="24">
        <v>59</v>
      </c>
      <c r="U445" s="24">
        <v>233</v>
      </c>
      <c r="V445" s="24">
        <v>462</v>
      </c>
      <c r="W445" s="24">
        <v>23</v>
      </c>
      <c r="X445" s="24">
        <v>444</v>
      </c>
      <c r="Y445" s="24">
        <v>498.5</v>
      </c>
      <c r="Z445" s="24">
        <v>217</v>
      </c>
      <c r="AA445" s="24">
        <v>-227</v>
      </c>
    </row>
    <row r="446" spans="1:27">
      <c r="A446" s="24" t="s">
        <v>244</v>
      </c>
      <c r="B446" s="24" t="s">
        <v>28</v>
      </c>
      <c r="C446" s="24" t="s">
        <v>245</v>
      </c>
      <c r="D446" s="24">
        <v>98</v>
      </c>
      <c r="E446" s="24">
        <v>611</v>
      </c>
      <c r="F446" s="24">
        <v>77</v>
      </c>
      <c r="G446" s="24">
        <v>369</v>
      </c>
      <c r="H446" s="24">
        <v>75</v>
      </c>
      <c r="I446" s="24">
        <v>777</v>
      </c>
      <c r="J446" s="24">
        <v>79</v>
      </c>
      <c r="K446" s="24">
        <v>228</v>
      </c>
      <c r="L446" s="24">
        <v>52</v>
      </c>
      <c r="M446" s="24">
        <v>551</v>
      </c>
      <c r="N446" s="24">
        <v>81</v>
      </c>
      <c r="O446" s="24">
        <v>183</v>
      </c>
      <c r="P446" s="24">
        <v>65</v>
      </c>
      <c r="Q446" s="24">
        <v>651</v>
      </c>
      <c r="R446" s="24">
        <v>51</v>
      </c>
      <c r="S446" s="24">
        <v>890</v>
      </c>
      <c r="T446" s="24">
        <v>59</v>
      </c>
      <c r="U446" s="24">
        <v>233</v>
      </c>
      <c r="V446" s="24">
        <v>462</v>
      </c>
      <c r="W446" s="24">
        <v>25</v>
      </c>
      <c r="X446" s="24">
        <v>444</v>
      </c>
      <c r="Y446" s="24">
        <v>443.5</v>
      </c>
      <c r="Z446" s="24">
        <v>508</v>
      </c>
      <c r="AA446" s="24">
        <v>64</v>
      </c>
    </row>
    <row r="447" spans="1:27">
      <c r="A447" s="24" t="s">
        <v>348</v>
      </c>
      <c r="B447" s="24" t="s">
        <v>28</v>
      </c>
      <c r="C447" s="24" t="s">
        <v>349</v>
      </c>
      <c r="D447" s="24">
        <v>114</v>
      </c>
      <c r="E447" s="24">
        <v>80</v>
      </c>
      <c r="F447" s="24">
        <v>78</v>
      </c>
      <c r="G447" s="24">
        <v>353</v>
      </c>
      <c r="H447" s="24">
        <v>68</v>
      </c>
      <c r="I447" s="24">
        <v>863</v>
      </c>
      <c r="J447" s="24">
        <v>78</v>
      </c>
      <c r="K447" s="24">
        <v>250</v>
      </c>
      <c r="L447" s="24">
        <v>48</v>
      </c>
      <c r="M447" s="24">
        <v>649</v>
      </c>
      <c r="N447" s="24">
        <v>76</v>
      </c>
      <c r="O447" s="24">
        <v>308</v>
      </c>
      <c r="P447" s="24">
        <v>73</v>
      </c>
      <c r="Q447" s="24">
        <v>359</v>
      </c>
      <c r="R447" s="24">
        <v>68</v>
      </c>
      <c r="S447" s="24">
        <v>412</v>
      </c>
      <c r="T447" s="24">
        <v>63</v>
      </c>
      <c r="U447" s="24">
        <v>123</v>
      </c>
      <c r="V447" s="24">
        <v>462</v>
      </c>
      <c r="W447" s="24">
        <v>25</v>
      </c>
      <c r="X447" s="24">
        <v>444</v>
      </c>
      <c r="Y447" s="24">
        <v>475</v>
      </c>
      <c r="Z447" s="24">
        <v>326</v>
      </c>
      <c r="AA447" s="24">
        <v>-118</v>
      </c>
    </row>
    <row r="448" spans="1:27">
      <c r="A448" s="24" t="s">
        <v>2785</v>
      </c>
      <c r="B448" s="24" t="s">
        <v>38</v>
      </c>
      <c r="C448" s="24" t="s">
        <v>2786</v>
      </c>
      <c r="D448" s="24">
        <v>102</v>
      </c>
      <c r="E448" s="24">
        <v>442</v>
      </c>
      <c r="F448" s="24">
        <v>81</v>
      </c>
      <c r="G448" s="24">
        <v>309</v>
      </c>
      <c r="H448" s="24">
        <v>96</v>
      </c>
      <c r="I448" s="24">
        <v>346</v>
      </c>
      <c r="J448" s="24">
        <v>56</v>
      </c>
      <c r="K448" s="24">
        <v>682</v>
      </c>
      <c r="L448" s="24">
        <v>55</v>
      </c>
      <c r="M448" s="24">
        <v>470</v>
      </c>
      <c r="N448" s="24">
        <v>72</v>
      </c>
      <c r="O448" s="24">
        <v>433</v>
      </c>
      <c r="P448" s="24">
        <v>77</v>
      </c>
      <c r="Q448" s="24">
        <v>240</v>
      </c>
      <c r="R448" s="24">
        <v>63</v>
      </c>
      <c r="S448" s="24">
        <v>633</v>
      </c>
      <c r="T448" s="24">
        <v>49</v>
      </c>
      <c r="U448" s="24">
        <v>633</v>
      </c>
      <c r="V448" s="24">
        <v>462</v>
      </c>
      <c r="W448" s="24">
        <v>16</v>
      </c>
      <c r="X448" s="24">
        <v>444</v>
      </c>
      <c r="Y448" s="24">
        <v>470</v>
      </c>
      <c r="Z448" s="24">
        <v>364</v>
      </c>
      <c r="AA448" s="24">
        <v>-80</v>
      </c>
    </row>
    <row r="449" spans="1:27">
      <c r="A449" s="24" t="s">
        <v>1077</v>
      </c>
      <c r="B449" s="24" t="s">
        <v>68</v>
      </c>
      <c r="C449" s="24" t="s">
        <v>1078</v>
      </c>
      <c r="D449" s="24">
        <v>105</v>
      </c>
      <c r="E449" s="24">
        <v>325</v>
      </c>
      <c r="F449" s="24">
        <v>81</v>
      </c>
      <c r="G449" s="24">
        <v>309</v>
      </c>
      <c r="H449" s="24">
        <v>90.5</v>
      </c>
      <c r="I449" s="24">
        <v>471</v>
      </c>
      <c r="J449" s="24">
        <v>62</v>
      </c>
      <c r="K449" s="24">
        <v>564</v>
      </c>
      <c r="L449" s="24">
        <v>59</v>
      </c>
      <c r="M449" s="24">
        <v>348</v>
      </c>
      <c r="N449" s="24">
        <v>64</v>
      </c>
      <c r="O449" s="24">
        <v>667</v>
      </c>
      <c r="P449" s="24">
        <v>69</v>
      </c>
      <c r="Q449" s="24">
        <v>504</v>
      </c>
      <c r="R449" s="24">
        <v>58</v>
      </c>
      <c r="S449" s="24">
        <v>770</v>
      </c>
      <c r="T449" s="24">
        <v>54</v>
      </c>
      <c r="U449" s="24">
        <v>428</v>
      </c>
      <c r="V449" s="24">
        <v>461.5</v>
      </c>
      <c r="W449" s="24">
        <v>24</v>
      </c>
      <c r="X449" s="24">
        <v>448</v>
      </c>
      <c r="Y449" s="24">
        <v>446.5</v>
      </c>
      <c r="Z449" s="24">
        <v>485</v>
      </c>
      <c r="AA449" s="24">
        <v>37</v>
      </c>
    </row>
    <row r="450" spans="1:27">
      <c r="A450" s="24" t="s">
        <v>1801</v>
      </c>
      <c r="B450" s="24" t="s">
        <v>34</v>
      </c>
      <c r="C450" s="24" t="s">
        <v>1802</v>
      </c>
      <c r="D450" s="24">
        <v>99</v>
      </c>
      <c r="E450" s="24">
        <v>571</v>
      </c>
      <c r="F450" s="24">
        <v>72</v>
      </c>
      <c r="G450" s="24">
        <v>458</v>
      </c>
      <c r="H450" s="24">
        <v>88.5</v>
      </c>
      <c r="I450" s="24">
        <v>520</v>
      </c>
      <c r="J450" s="24">
        <v>80</v>
      </c>
      <c r="K450" s="24">
        <v>207</v>
      </c>
      <c r="L450" s="24">
        <v>59</v>
      </c>
      <c r="M450" s="24">
        <v>348</v>
      </c>
      <c r="N450" s="24">
        <v>63</v>
      </c>
      <c r="O450" s="24">
        <v>692</v>
      </c>
      <c r="P450" s="24">
        <v>76</v>
      </c>
      <c r="Q450" s="24">
        <v>260</v>
      </c>
      <c r="R450" s="24">
        <v>63</v>
      </c>
      <c r="S450" s="24">
        <v>633</v>
      </c>
      <c r="T450" s="24">
        <v>51</v>
      </c>
      <c r="U450" s="24">
        <v>555</v>
      </c>
      <c r="V450" s="24">
        <v>461.5</v>
      </c>
      <c r="W450" s="24">
        <v>22</v>
      </c>
      <c r="X450" s="24">
        <v>448</v>
      </c>
      <c r="Y450" s="24">
        <v>465.5</v>
      </c>
      <c r="Z450" s="24">
        <v>388</v>
      </c>
      <c r="AA450" s="24">
        <v>-60</v>
      </c>
    </row>
    <row r="451" spans="1:27">
      <c r="A451" s="24" t="s">
        <v>2817</v>
      </c>
      <c r="B451" s="24" t="s">
        <v>38</v>
      </c>
      <c r="C451" s="24" t="s">
        <v>2818</v>
      </c>
      <c r="D451" s="24">
        <v>94</v>
      </c>
      <c r="E451" s="24">
        <v>733</v>
      </c>
      <c r="F451" s="24">
        <v>75</v>
      </c>
      <c r="G451" s="24">
        <v>409</v>
      </c>
      <c r="H451" s="24">
        <v>90</v>
      </c>
      <c r="I451" s="24">
        <v>482</v>
      </c>
      <c r="J451" s="24">
        <v>79</v>
      </c>
      <c r="K451" s="24">
        <v>228</v>
      </c>
      <c r="L451" s="24">
        <v>44</v>
      </c>
      <c r="M451" s="24">
        <v>736</v>
      </c>
      <c r="N451" s="24">
        <v>79</v>
      </c>
      <c r="O451" s="24">
        <v>229</v>
      </c>
      <c r="P451" s="24">
        <v>69</v>
      </c>
      <c r="Q451" s="24">
        <v>504</v>
      </c>
      <c r="R451" s="24">
        <v>70</v>
      </c>
      <c r="S451" s="24">
        <v>327</v>
      </c>
      <c r="T451" s="24">
        <v>50</v>
      </c>
      <c r="U451" s="24">
        <v>591</v>
      </c>
      <c r="V451" s="24">
        <v>461</v>
      </c>
      <c r="W451" s="24">
        <v>17</v>
      </c>
      <c r="X451" s="24">
        <v>450</v>
      </c>
      <c r="Y451" s="24">
        <v>471.5</v>
      </c>
      <c r="Z451" s="24">
        <v>355</v>
      </c>
      <c r="AA451" s="24">
        <v>-95</v>
      </c>
    </row>
    <row r="452" spans="1:27">
      <c r="A452" s="24" t="s">
        <v>2516</v>
      </c>
      <c r="B452" s="24" t="s">
        <v>131</v>
      </c>
      <c r="C452" s="24" t="s">
        <v>2517</v>
      </c>
      <c r="D452" s="24">
        <v>99</v>
      </c>
      <c r="E452" s="24">
        <v>571</v>
      </c>
      <c r="F452" s="24">
        <v>93</v>
      </c>
      <c r="G452" s="24">
        <v>155</v>
      </c>
      <c r="H452" s="24">
        <v>85</v>
      </c>
      <c r="I452" s="24">
        <v>593</v>
      </c>
      <c r="J452" s="24">
        <v>69</v>
      </c>
      <c r="K452" s="24">
        <v>428</v>
      </c>
      <c r="L452" s="24">
        <v>56</v>
      </c>
      <c r="M452" s="24">
        <v>433</v>
      </c>
      <c r="N452" s="24">
        <v>59</v>
      </c>
      <c r="O452" s="24">
        <v>762</v>
      </c>
      <c r="P452" s="24">
        <v>74</v>
      </c>
      <c r="Q452" s="24">
        <v>326</v>
      </c>
      <c r="R452" s="24">
        <v>68</v>
      </c>
      <c r="S452" s="24">
        <v>412</v>
      </c>
      <c r="T452" s="24">
        <v>57</v>
      </c>
      <c r="U452" s="24">
        <v>306</v>
      </c>
      <c r="V452" s="24">
        <v>461</v>
      </c>
      <c r="W452" s="24">
        <v>24</v>
      </c>
      <c r="X452" s="24">
        <v>450</v>
      </c>
      <c r="Y452" s="24">
        <v>475</v>
      </c>
      <c r="Z452" s="24">
        <v>326</v>
      </c>
      <c r="AA452" s="24">
        <v>-124</v>
      </c>
    </row>
    <row r="453" spans="1:27">
      <c r="A453" s="24" t="s">
        <v>961</v>
      </c>
      <c r="B453" s="24" t="s">
        <v>60</v>
      </c>
      <c r="C453" s="24" t="s">
        <v>3247</v>
      </c>
      <c r="D453" s="24">
        <v>106</v>
      </c>
      <c r="E453" s="24">
        <v>287</v>
      </c>
      <c r="F453" s="24">
        <v>74</v>
      </c>
      <c r="G453" s="24">
        <v>424</v>
      </c>
      <c r="H453" s="24">
        <v>94</v>
      </c>
      <c r="I453" s="24">
        <v>382</v>
      </c>
      <c r="J453" s="24">
        <v>86</v>
      </c>
      <c r="K453" s="24">
        <v>126</v>
      </c>
      <c r="L453" s="24">
        <v>44</v>
      </c>
      <c r="M453" s="24">
        <v>736</v>
      </c>
      <c r="N453" s="24">
        <v>57</v>
      </c>
      <c r="O453" s="24">
        <v>801</v>
      </c>
      <c r="P453" s="24">
        <v>61</v>
      </c>
      <c r="Q453" s="24">
        <v>754</v>
      </c>
      <c r="R453" s="24">
        <v>54</v>
      </c>
      <c r="S453" s="24">
        <v>855</v>
      </c>
      <c r="T453" s="24">
        <v>52</v>
      </c>
      <c r="U453" s="24">
        <v>509</v>
      </c>
      <c r="V453" s="24">
        <v>461</v>
      </c>
      <c r="W453" s="24">
        <v>24</v>
      </c>
      <c r="X453" s="24">
        <v>450</v>
      </c>
      <c r="Y453" s="24">
        <v>404.5</v>
      </c>
      <c r="Z453" s="24">
        <v>710</v>
      </c>
      <c r="AA453" s="24">
        <v>260</v>
      </c>
    </row>
    <row r="454" spans="1:27">
      <c r="A454" s="24" t="s">
        <v>1828</v>
      </c>
      <c r="B454" s="24" t="s">
        <v>34</v>
      </c>
      <c r="C454" s="24" t="s">
        <v>1829</v>
      </c>
      <c r="D454" s="24">
        <v>102</v>
      </c>
      <c r="E454" s="24">
        <v>442</v>
      </c>
      <c r="F454" s="24">
        <v>69</v>
      </c>
      <c r="G454" s="24">
        <v>524</v>
      </c>
      <c r="H454" s="24">
        <v>77.5</v>
      </c>
      <c r="I454" s="24">
        <v>735</v>
      </c>
      <c r="J454" s="24">
        <v>68</v>
      </c>
      <c r="K454" s="24">
        <v>453</v>
      </c>
      <c r="L454" s="24">
        <v>53</v>
      </c>
      <c r="M454" s="24">
        <v>526</v>
      </c>
      <c r="N454" s="24">
        <v>91</v>
      </c>
      <c r="O454" s="24">
        <v>12</v>
      </c>
      <c r="P454" s="24">
        <v>84</v>
      </c>
      <c r="Q454" s="24">
        <v>59</v>
      </c>
      <c r="R454" s="24">
        <v>74</v>
      </c>
      <c r="S454" s="24">
        <v>174</v>
      </c>
      <c r="T454" s="24">
        <v>60</v>
      </c>
      <c r="U454" s="24">
        <v>203</v>
      </c>
      <c r="V454" s="24">
        <v>460.5</v>
      </c>
      <c r="W454" s="24">
        <v>23</v>
      </c>
      <c r="X454" s="24">
        <v>453</v>
      </c>
      <c r="Y454" s="24">
        <v>469.5</v>
      </c>
      <c r="Z454" s="24">
        <v>368</v>
      </c>
      <c r="AA454" s="24">
        <v>-85</v>
      </c>
    </row>
    <row r="455" spans="1:27">
      <c r="A455" s="24" t="s">
        <v>2217</v>
      </c>
      <c r="B455" s="24" t="s">
        <v>73</v>
      </c>
      <c r="C455" s="24" t="s">
        <v>2218</v>
      </c>
      <c r="D455" s="24">
        <v>85</v>
      </c>
      <c r="E455" s="24">
        <v>885</v>
      </c>
      <c r="F455" s="24">
        <v>70</v>
      </c>
      <c r="G455" s="24">
        <v>505</v>
      </c>
      <c r="H455" s="24">
        <v>87.5</v>
      </c>
      <c r="I455" s="24">
        <v>542</v>
      </c>
      <c r="J455" s="24">
        <v>84</v>
      </c>
      <c r="K455" s="24">
        <v>147</v>
      </c>
      <c r="L455" s="24">
        <v>53</v>
      </c>
      <c r="M455" s="24">
        <v>526</v>
      </c>
      <c r="N455" s="24">
        <v>81</v>
      </c>
      <c r="O455" s="24">
        <v>183</v>
      </c>
      <c r="P455" s="24">
        <v>75</v>
      </c>
      <c r="Q455" s="24">
        <v>289</v>
      </c>
      <c r="R455" s="24">
        <v>70</v>
      </c>
      <c r="S455" s="24">
        <v>327</v>
      </c>
      <c r="T455" s="24">
        <v>58</v>
      </c>
      <c r="U455" s="24">
        <v>278</v>
      </c>
      <c r="V455" s="24">
        <v>460.5</v>
      </c>
      <c r="W455" s="24">
        <v>24</v>
      </c>
      <c r="X455" s="24">
        <v>453</v>
      </c>
      <c r="Y455" s="24">
        <v>412</v>
      </c>
      <c r="Z455" s="24">
        <v>670</v>
      </c>
      <c r="AA455" s="24">
        <v>217</v>
      </c>
    </row>
    <row r="456" spans="1:27">
      <c r="A456" s="24" t="s">
        <v>455</v>
      </c>
      <c r="B456" s="24" t="s">
        <v>19</v>
      </c>
      <c r="C456" s="24" t="s">
        <v>459</v>
      </c>
      <c r="D456" s="24">
        <v>124</v>
      </c>
      <c r="E456" s="24">
        <v>4</v>
      </c>
      <c r="F456" s="24">
        <v>79</v>
      </c>
      <c r="G456" s="24">
        <v>342</v>
      </c>
      <c r="H456" s="24">
        <v>77.5</v>
      </c>
      <c r="I456" s="24">
        <v>735</v>
      </c>
      <c r="J456" s="24">
        <v>59</v>
      </c>
      <c r="K456" s="24">
        <v>626</v>
      </c>
      <c r="L456" s="24">
        <v>47</v>
      </c>
      <c r="M456" s="24">
        <v>673</v>
      </c>
      <c r="N456" s="24">
        <v>74</v>
      </c>
      <c r="O456" s="24">
        <v>366</v>
      </c>
      <c r="P456" s="24">
        <v>74</v>
      </c>
      <c r="Q456" s="24">
        <v>326</v>
      </c>
      <c r="R456" s="24">
        <v>53</v>
      </c>
      <c r="S456" s="24">
        <v>869</v>
      </c>
      <c r="T456" s="24">
        <v>51</v>
      </c>
      <c r="U456" s="24">
        <v>555</v>
      </c>
      <c r="V456" s="24">
        <v>460.5</v>
      </c>
      <c r="W456" s="24">
        <v>21</v>
      </c>
      <c r="X456" s="24">
        <v>453</v>
      </c>
      <c r="Y456" s="24">
        <v>400</v>
      </c>
      <c r="Z456" s="24">
        <v>730</v>
      </c>
      <c r="AA456" s="24">
        <v>277</v>
      </c>
    </row>
    <row r="457" spans="1:27">
      <c r="A457" s="24" t="s">
        <v>952</v>
      </c>
      <c r="B457" s="24" t="s">
        <v>60</v>
      </c>
      <c r="C457" s="24" t="s">
        <v>953</v>
      </c>
      <c r="D457" s="24">
        <v>106</v>
      </c>
      <c r="E457" s="24">
        <v>287</v>
      </c>
      <c r="F457" s="24">
        <v>75</v>
      </c>
      <c r="G457" s="24">
        <v>409</v>
      </c>
      <c r="H457" s="24">
        <v>83.5</v>
      </c>
      <c r="I457" s="24">
        <v>633</v>
      </c>
      <c r="J457" s="24">
        <v>71</v>
      </c>
      <c r="K457" s="24">
        <v>378</v>
      </c>
      <c r="L457" s="24">
        <v>56</v>
      </c>
      <c r="M457" s="24">
        <v>433</v>
      </c>
      <c r="N457" s="24">
        <v>69</v>
      </c>
      <c r="O457" s="24">
        <v>523</v>
      </c>
      <c r="P457" s="24">
        <v>63</v>
      </c>
      <c r="Q457" s="24">
        <v>712</v>
      </c>
      <c r="R457" s="24">
        <v>77</v>
      </c>
      <c r="S457" s="24">
        <v>102</v>
      </c>
      <c r="T457" s="24">
        <v>54</v>
      </c>
      <c r="U457" s="24">
        <v>428</v>
      </c>
      <c r="V457" s="24">
        <v>460.5</v>
      </c>
      <c r="W457" s="24">
        <v>25</v>
      </c>
      <c r="X457" s="24">
        <v>453</v>
      </c>
      <c r="Y457" s="24">
        <v>466.5</v>
      </c>
      <c r="Z457" s="24">
        <v>384</v>
      </c>
      <c r="AA457" s="24">
        <v>-69</v>
      </c>
    </row>
    <row r="458" spans="1:27">
      <c r="A458" s="24" t="s">
        <v>1775</v>
      </c>
      <c r="B458" s="24" t="s">
        <v>34</v>
      </c>
      <c r="C458" s="24" t="s">
        <v>1776</v>
      </c>
      <c r="D458" s="24">
        <v>94</v>
      </c>
      <c r="E458" s="24">
        <v>733</v>
      </c>
      <c r="F458" s="24">
        <v>102</v>
      </c>
      <c r="G458" s="24">
        <v>72</v>
      </c>
      <c r="H458" s="24">
        <v>69</v>
      </c>
      <c r="I458" s="24">
        <v>852</v>
      </c>
      <c r="J458" s="24">
        <v>68</v>
      </c>
      <c r="K458" s="24">
        <v>453</v>
      </c>
      <c r="L458" s="24">
        <v>54</v>
      </c>
      <c r="M458" s="24">
        <v>494</v>
      </c>
      <c r="N458" s="24">
        <v>73</v>
      </c>
      <c r="O458" s="24">
        <v>393</v>
      </c>
      <c r="P458" s="24">
        <v>56</v>
      </c>
      <c r="Q458" s="24">
        <v>849</v>
      </c>
      <c r="R458" s="24">
        <v>61</v>
      </c>
      <c r="S458" s="24">
        <v>703</v>
      </c>
      <c r="T458" s="24">
        <v>46</v>
      </c>
      <c r="U458" s="24">
        <v>755</v>
      </c>
      <c r="V458" s="24">
        <v>460</v>
      </c>
      <c r="W458" s="24">
        <v>24</v>
      </c>
      <c r="X458" s="24">
        <v>457</v>
      </c>
      <c r="Y458" s="24">
        <v>443</v>
      </c>
      <c r="Z458" s="24">
        <v>513</v>
      </c>
      <c r="AA458" s="24">
        <v>56</v>
      </c>
    </row>
    <row r="459" spans="1:27">
      <c r="A459" s="24" t="s">
        <v>2109</v>
      </c>
      <c r="B459" s="24" t="s">
        <v>73</v>
      </c>
      <c r="C459" s="24" t="s">
        <v>2110</v>
      </c>
      <c r="D459" s="24">
        <v>107</v>
      </c>
      <c r="E459" s="24">
        <v>242</v>
      </c>
      <c r="F459" s="24">
        <v>59</v>
      </c>
      <c r="G459" s="24">
        <v>721</v>
      </c>
      <c r="H459" s="24">
        <v>104.5</v>
      </c>
      <c r="I459" s="24">
        <v>177</v>
      </c>
      <c r="J459" s="24">
        <v>47</v>
      </c>
      <c r="K459" s="24">
        <v>825</v>
      </c>
      <c r="L459" s="24">
        <v>54</v>
      </c>
      <c r="M459" s="24">
        <v>494</v>
      </c>
      <c r="N459" s="24">
        <v>88</v>
      </c>
      <c r="O459" s="24">
        <v>44</v>
      </c>
      <c r="P459" s="24">
        <v>72</v>
      </c>
      <c r="Q459" s="24">
        <v>396</v>
      </c>
      <c r="R459" s="24">
        <v>69</v>
      </c>
      <c r="S459" s="24">
        <v>367</v>
      </c>
      <c r="T459" s="24">
        <v>48</v>
      </c>
      <c r="U459" s="24">
        <v>671</v>
      </c>
      <c r="V459" s="24">
        <v>459.5</v>
      </c>
      <c r="W459" s="24">
        <v>25</v>
      </c>
      <c r="X459" s="24">
        <v>458</v>
      </c>
      <c r="Y459" s="24">
        <v>433.5</v>
      </c>
      <c r="Z459" s="24">
        <v>554</v>
      </c>
      <c r="AA459" s="24">
        <v>96</v>
      </c>
    </row>
    <row r="460" spans="1:27">
      <c r="A460" s="24" t="s">
        <v>2907</v>
      </c>
      <c r="B460" s="24" t="s">
        <v>38</v>
      </c>
      <c r="C460" s="24" t="s">
        <v>2908</v>
      </c>
      <c r="D460" s="24">
        <v>103</v>
      </c>
      <c r="E460" s="24">
        <v>400</v>
      </c>
      <c r="F460" s="24">
        <v>72</v>
      </c>
      <c r="G460" s="24">
        <v>458</v>
      </c>
      <c r="H460" s="24">
        <v>84.5</v>
      </c>
      <c r="I460" s="24">
        <v>607</v>
      </c>
      <c r="J460" s="24">
        <v>80</v>
      </c>
      <c r="K460" s="24">
        <v>207</v>
      </c>
      <c r="L460" s="24">
        <v>57</v>
      </c>
      <c r="M460" s="24">
        <v>409</v>
      </c>
      <c r="N460" s="24">
        <v>63</v>
      </c>
      <c r="O460" s="24">
        <v>692</v>
      </c>
      <c r="P460" s="24">
        <v>67</v>
      </c>
      <c r="Q460" s="24">
        <v>570</v>
      </c>
      <c r="R460" s="24">
        <v>68</v>
      </c>
      <c r="S460" s="24">
        <v>412</v>
      </c>
      <c r="T460" s="24">
        <v>49</v>
      </c>
      <c r="U460" s="24">
        <v>633</v>
      </c>
      <c r="V460" s="24">
        <v>459.5</v>
      </c>
      <c r="W460" s="24">
        <v>18</v>
      </c>
      <c r="X460" s="24">
        <v>458</v>
      </c>
      <c r="Y460" s="24">
        <v>449.5</v>
      </c>
      <c r="Z460" s="24">
        <v>468</v>
      </c>
      <c r="AA460" s="24">
        <v>10</v>
      </c>
    </row>
    <row r="461" spans="1:27">
      <c r="A461" s="24" t="s">
        <v>1469</v>
      </c>
      <c r="B461" s="24" t="s">
        <v>56</v>
      </c>
      <c r="C461" s="24" t="s">
        <v>1470</v>
      </c>
      <c r="D461" s="24">
        <v>103</v>
      </c>
      <c r="E461" s="24">
        <v>400</v>
      </c>
      <c r="F461" s="24">
        <v>73</v>
      </c>
      <c r="G461" s="24">
        <v>438</v>
      </c>
      <c r="H461" s="24">
        <v>76</v>
      </c>
      <c r="I461" s="24">
        <v>760</v>
      </c>
      <c r="J461" s="24">
        <v>77</v>
      </c>
      <c r="K461" s="24">
        <v>274</v>
      </c>
      <c r="L461" s="24">
        <v>56</v>
      </c>
      <c r="M461" s="24">
        <v>433</v>
      </c>
      <c r="N461" s="24">
        <v>74</v>
      </c>
      <c r="O461" s="24">
        <v>366</v>
      </c>
      <c r="P461" s="24">
        <v>62</v>
      </c>
      <c r="Q461" s="24">
        <v>729</v>
      </c>
      <c r="R461" s="24">
        <v>58</v>
      </c>
      <c r="S461" s="24">
        <v>770</v>
      </c>
      <c r="T461" s="24">
        <v>51</v>
      </c>
      <c r="U461" s="24">
        <v>555</v>
      </c>
      <c r="V461" s="24">
        <v>459</v>
      </c>
      <c r="W461" s="24">
        <v>24</v>
      </c>
      <c r="X461" s="24">
        <v>460</v>
      </c>
      <c r="Y461" s="24">
        <v>431.5</v>
      </c>
      <c r="Z461" s="24">
        <v>567</v>
      </c>
      <c r="AA461" s="24">
        <v>107</v>
      </c>
    </row>
    <row r="462" spans="1:27">
      <c r="A462" s="24" t="s">
        <v>487</v>
      </c>
      <c r="B462" s="24" t="s">
        <v>19</v>
      </c>
      <c r="C462" s="24" t="s">
        <v>495</v>
      </c>
      <c r="D462" s="24">
        <v>102</v>
      </c>
      <c r="E462" s="24">
        <v>442</v>
      </c>
      <c r="F462" s="24">
        <v>84</v>
      </c>
      <c r="G462" s="24">
        <v>251</v>
      </c>
      <c r="H462" s="24">
        <v>90</v>
      </c>
      <c r="I462" s="24">
        <v>482</v>
      </c>
      <c r="J462" s="24">
        <v>57</v>
      </c>
      <c r="K462" s="24">
        <v>665</v>
      </c>
      <c r="L462" s="24">
        <v>56</v>
      </c>
      <c r="M462" s="24">
        <v>433</v>
      </c>
      <c r="N462" s="24">
        <v>70</v>
      </c>
      <c r="O462" s="24">
        <v>485</v>
      </c>
      <c r="P462" s="24">
        <v>83</v>
      </c>
      <c r="Q462" s="24">
        <v>79</v>
      </c>
      <c r="R462" s="24">
        <v>74</v>
      </c>
      <c r="S462" s="24">
        <v>174</v>
      </c>
      <c r="T462" s="24">
        <v>46</v>
      </c>
      <c r="U462" s="24">
        <v>755</v>
      </c>
      <c r="V462" s="24">
        <v>459</v>
      </c>
      <c r="W462" s="24">
        <v>22</v>
      </c>
      <c r="X462" s="24">
        <v>460</v>
      </c>
      <c r="Y462" s="24">
        <v>436</v>
      </c>
      <c r="Z462" s="24">
        <v>541</v>
      </c>
      <c r="AA462" s="24">
        <v>81</v>
      </c>
    </row>
    <row r="463" spans="1:27">
      <c r="A463" s="24" t="s">
        <v>1314</v>
      </c>
      <c r="B463" s="24" t="s">
        <v>54</v>
      </c>
      <c r="C463" s="24" t="s">
        <v>1315</v>
      </c>
      <c r="D463" s="24">
        <v>102</v>
      </c>
      <c r="E463" s="24">
        <v>442</v>
      </c>
      <c r="F463" s="24">
        <v>88</v>
      </c>
      <c r="G463" s="24">
        <v>206</v>
      </c>
      <c r="H463" s="24">
        <v>74</v>
      </c>
      <c r="I463" s="24">
        <v>792</v>
      </c>
      <c r="J463" s="24">
        <v>85</v>
      </c>
      <c r="K463" s="24">
        <v>135</v>
      </c>
      <c r="L463" s="24">
        <v>51</v>
      </c>
      <c r="M463" s="24">
        <v>571</v>
      </c>
      <c r="N463" s="24">
        <v>59</v>
      </c>
      <c r="O463" s="24">
        <v>762</v>
      </c>
      <c r="P463" s="24">
        <v>78</v>
      </c>
      <c r="Q463" s="24">
        <v>209</v>
      </c>
      <c r="R463" s="24">
        <v>65</v>
      </c>
      <c r="S463" s="24">
        <v>548</v>
      </c>
      <c r="T463" s="24">
        <v>59</v>
      </c>
      <c r="U463" s="24">
        <v>233</v>
      </c>
      <c r="V463" s="24">
        <v>459</v>
      </c>
      <c r="W463" s="24">
        <v>26</v>
      </c>
      <c r="X463" s="24">
        <v>460</v>
      </c>
      <c r="Y463" s="24">
        <v>452</v>
      </c>
      <c r="Z463" s="24">
        <v>456</v>
      </c>
      <c r="AA463" s="24">
        <v>-4</v>
      </c>
    </row>
    <row r="464" spans="1:27">
      <c r="A464" s="24" t="s">
        <v>1191</v>
      </c>
      <c r="B464" s="24" t="s">
        <v>54</v>
      </c>
      <c r="C464" s="24" t="s">
        <v>1192</v>
      </c>
      <c r="D464" s="24">
        <v>103</v>
      </c>
      <c r="E464" s="24">
        <v>400</v>
      </c>
      <c r="F464" s="24">
        <v>77</v>
      </c>
      <c r="G464" s="24">
        <v>369</v>
      </c>
      <c r="H464" s="24">
        <v>55.5</v>
      </c>
      <c r="I464" s="24">
        <v>925</v>
      </c>
      <c r="J464" s="24">
        <v>78</v>
      </c>
      <c r="K464" s="24">
        <v>250</v>
      </c>
      <c r="L464" s="24">
        <v>67</v>
      </c>
      <c r="M464" s="24">
        <v>177</v>
      </c>
      <c r="N464" s="24">
        <v>78</v>
      </c>
      <c r="O464" s="24">
        <v>250</v>
      </c>
      <c r="P464" s="24">
        <v>60</v>
      </c>
      <c r="Q464" s="24">
        <v>777</v>
      </c>
      <c r="R464" s="24">
        <v>74</v>
      </c>
      <c r="S464" s="24">
        <v>174</v>
      </c>
      <c r="T464" s="24">
        <v>54</v>
      </c>
      <c r="U464" s="24">
        <v>428</v>
      </c>
      <c r="V464" s="24">
        <v>458.5</v>
      </c>
      <c r="W464" s="24">
        <v>27</v>
      </c>
      <c r="X464" s="24">
        <v>463</v>
      </c>
      <c r="Y464" s="24">
        <v>441.5</v>
      </c>
      <c r="Z464" s="24">
        <v>520</v>
      </c>
      <c r="AA464" s="24">
        <v>57</v>
      </c>
    </row>
    <row r="465" spans="1:27">
      <c r="A465" s="24" t="s">
        <v>1964</v>
      </c>
      <c r="B465" s="24" t="s">
        <v>109</v>
      </c>
      <c r="C465" s="24" t="s">
        <v>1965</v>
      </c>
      <c r="D465" s="24">
        <v>107</v>
      </c>
      <c r="E465" s="24">
        <v>242</v>
      </c>
      <c r="F465" s="24">
        <v>82</v>
      </c>
      <c r="G465" s="24">
        <v>290</v>
      </c>
      <c r="H465" s="24">
        <v>84.5</v>
      </c>
      <c r="I465" s="24">
        <v>607</v>
      </c>
      <c r="J465" s="24">
        <v>63</v>
      </c>
      <c r="K465" s="24">
        <v>540</v>
      </c>
      <c r="L465" s="24">
        <v>52</v>
      </c>
      <c r="M465" s="24">
        <v>551</v>
      </c>
      <c r="N465" s="24">
        <v>70</v>
      </c>
      <c r="O465" s="24">
        <v>485</v>
      </c>
      <c r="P465" s="24">
        <v>74</v>
      </c>
      <c r="Q465" s="24">
        <v>326</v>
      </c>
      <c r="R465" s="24">
        <v>83</v>
      </c>
      <c r="S465" s="24">
        <v>22</v>
      </c>
      <c r="T465" s="24">
        <v>54</v>
      </c>
      <c r="U465" s="24">
        <v>428</v>
      </c>
      <c r="V465" s="24">
        <v>458.5</v>
      </c>
      <c r="W465" s="24">
        <v>28</v>
      </c>
      <c r="X465" s="24">
        <v>463</v>
      </c>
      <c r="Y465" s="24">
        <v>473.5</v>
      </c>
      <c r="Z465" s="24">
        <v>342</v>
      </c>
      <c r="AA465" s="24">
        <v>-121</v>
      </c>
    </row>
    <row r="466" spans="1:27">
      <c r="A466" s="24" t="s">
        <v>990</v>
      </c>
      <c r="B466" s="24" t="s">
        <v>60</v>
      </c>
      <c r="C466" s="24" t="s">
        <v>991</v>
      </c>
      <c r="D466" s="24">
        <v>107</v>
      </c>
      <c r="E466" s="24">
        <v>242</v>
      </c>
      <c r="F466" s="24">
        <v>70</v>
      </c>
      <c r="G466" s="24">
        <v>505</v>
      </c>
      <c r="H466" s="24">
        <v>97</v>
      </c>
      <c r="I466" s="24">
        <v>327</v>
      </c>
      <c r="J466" s="24">
        <v>53</v>
      </c>
      <c r="K466" s="24">
        <v>739</v>
      </c>
      <c r="L466" s="24">
        <v>62</v>
      </c>
      <c r="M466" s="24">
        <v>277</v>
      </c>
      <c r="N466" s="24">
        <v>69</v>
      </c>
      <c r="O466" s="24">
        <v>523</v>
      </c>
      <c r="P466" s="24">
        <v>76</v>
      </c>
      <c r="Q466" s="24">
        <v>260</v>
      </c>
      <c r="R466" s="24">
        <v>56</v>
      </c>
      <c r="S466" s="24">
        <v>817</v>
      </c>
      <c r="T466" s="24">
        <v>55</v>
      </c>
      <c r="U466" s="24">
        <v>392</v>
      </c>
      <c r="V466" s="24">
        <v>458</v>
      </c>
      <c r="W466" s="24">
        <v>26</v>
      </c>
      <c r="X466" s="24">
        <v>465</v>
      </c>
      <c r="Y466" s="24">
        <v>445</v>
      </c>
      <c r="Z466" s="24">
        <v>498</v>
      </c>
      <c r="AA466" s="24">
        <v>33</v>
      </c>
    </row>
    <row r="467" spans="1:27">
      <c r="A467" s="24" t="s">
        <v>2695</v>
      </c>
      <c r="B467" s="24" t="s">
        <v>49</v>
      </c>
      <c r="C467" s="24" t="s">
        <v>2693</v>
      </c>
      <c r="D467" s="24">
        <v>97</v>
      </c>
      <c r="E467" s="24">
        <v>645</v>
      </c>
      <c r="F467" s="24">
        <v>90</v>
      </c>
      <c r="G467" s="24">
        <v>183</v>
      </c>
      <c r="H467" s="24">
        <v>71</v>
      </c>
      <c r="I467" s="24">
        <v>830</v>
      </c>
      <c r="J467" s="24">
        <v>75</v>
      </c>
      <c r="K467" s="24">
        <v>299</v>
      </c>
      <c r="L467" s="24">
        <v>59</v>
      </c>
      <c r="M467" s="24">
        <v>348</v>
      </c>
      <c r="N467" s="24">
        <v>66</v>
      </c>
      <c r="O467" s="24">
        <v>611</v>
      </c>
      <c r="P467" s="24">
        <v>60</v>
      </c>
      <c r="Q467" s="24">
        <v>777</v>
      </c>
      <c r="R467" s="24">
        <v>73</v>
      </c>
      <c r="S467" s="24">
        <v>216</v>
      </c>
      <c r="T467" s="24">
        <v>53</v>
      </c>
      <c r="U467" s="24">
        <v>470</v>
      </c>
      <c r="V467" s="24">
        <v>458</v>
      </c>
      <c r="W467" s="24">
        <v>28</v>
      </c>
      <c r="X467" s="24">
        <v>465</v>
      </c>
      <c r="Y467" s="24">
        <v>490.5</v>
      </c>
      <c r="Z467" s="24">
        <v>256</v>
      </c>
      <c r="AA467" s="24">
        <v>-209</v>
      </c>
    </row>
    <row r="468" spans="1:27">
      <c r="A468" s="24" t="s">
        <v>1240</v>
      </c>
      <c r="B468" s="24" t="s">
        <v>54</v>
      </c>
      <c r="C468" s="24" t="s">
        <v>1241</v>
      </c>
      <c r="D468" s="24">
        <v>96</v>
      </c>
      <c r="E468" s="24">
        <v>676</v>
      </c>
      <c r="F468" s="24">
        <v>62</v>
      </c>
      <c r="G468" s="24">
        <v>665</v>
      </c>
      <c r="H468" s="24">
        <v>84.5</v>
      </c>
      <c r="I468" s="24">
        <v>607</v>
      </c>
      <c r="J468" s="24">
        <v>70</v>
      </c>
      <c r="K468" s="24">
        <v>400</v>
      </c>
      <c r="L468" s="24">
        <v>62</v>
      </c>
      <c r="M468" s="24">
        <v>277</v>
      </c>
      <c r="N468" s="24">
        <v>83</v>
      </c>
      <c r="O468" s="24">
        <v>145</v>
      </c>
      <c r="P468" s="24">
        <v>69</v>
      </c>
      <c r="Q468" s="24">
        <v>504</v>
      </c>
      <c r="R468" s="24">
        <v>81</v>
      </c>
      <c r="S468" s="24">
        <v>42</v>
      </c>
      <c r="T468" s="24">
        <v>55</v>
      </c>
      <c r="U468" s="24">
        <v>392</v>
      </c>
      <c r="V468" s="24">
        <v>457.5</v>
      </c>
      <c r="W468" s="24">
        <v>28</v>
      </c>
      <c r="X468" s="24">
        <v>467</v>
      </c>
      <c r="Y468" s="24">
        <v>449</v>
      </c>
      <c r="Z468" s="24">
        <v>473</v>
      </c>
      <c r="AA468" s="24">
        <v>6</v>
      </c>
    </row>
    <row r="469" spans="1:27">
      <c r="A469" s="24" t="s">
        <v>625</v>
      </c>
      <c r="B469" s="24" t="s">
        <v>17</v>
      </c>
      <c r="C469" s="24" t="s">
        <v>626</v>
      </c>
      <c r="D469" s="24">
        <v>104</v>
      </c>
      <c r="E469" s="24">
        <v>357</v>
      </c>
      <c r="F469" s="24">
        <v>60</v>
      </c>
      <c r="G469" s="24">
        <v>696</v>
      </c>
      <c r="H469" s="24">
        <v>101.5</v>
      </c>
      <c r="I469" s="24">
        <v>225</v>
      </c>
      <c r="J469" s="24">
        <v>61</v>
      </c>
      <c r="K469" s="24">
        <v>587</v>
      </c>
      <c r="L469" s="24">
        <v>56</v>
      </c>
      <c r="M469" s="24">
        <v>433</v>
      </c>
      <c r="N469" s="24">
        <v>75</v>
      </c>
      <c r="O469" s="24">
        <v>342</v>
      </c>
      <c r="P469" s="24">
        <v>75</v>
      </c>
      <c r="Q469" s="24">
        <v>289</v>
      </c>
      <c r="R469" s="24">
        <v>74</v>
      </c>
      <c r="S469" s="24">
        <v>174</v>
      </c>
      <c r="T469" s="24">
        <v>66</v>
      </c>
      <c r="U469" s="24">
        <v>80</v>
      </c>
      <c r="V469" s="24">
        <v>457.5</v>
      </c>
      <c r="W469" s="24">
        <v>28</v>
      </c>
      <c r="X469" s="24">
        <v>467</v>
      </c>
      <c r="Y469" s="24">
        <v>445</v>
      </c>
      <c r="Z469" s="24">
        <v>498</v>
      </c>
      <c r="AA469" s="24">
        <v>31</v>
      </c>
    </row>
    <row r="470" spans="1:27">
      <c r="A470" s="24" t="s">
        <v>357</v>
      </c>
      <c r="B470" s="24" t="s">
        <v>28</v>
      </c>
      <c r="C470" s="24" t="s">
        <v>143</v>
      </c>
      <c r="D470" s="24">
        <v>100</v>
      </c>
      <c r="E470" s="24">
        <v>528</v>
      </c>
      <c r="F470" s="24">
        <v>65</v>
      </c>
      <c r="G470" s="24">
        <v>604</v>
      </c>
      <c r="H470" s="24">
        <v>82.5</v>
      </c>
      <c r="I470" s="24">
        <v>658</v>
      </c>
      <c r="J470" s="24">
        <v>72</v>
      </c>
      <c r="K470" s="24">
        <v>358</v>
      </c>
      <c r="L470" s="24">
        <v>64</v>
      </c>
      <c r="M470" s="24">
        <v>244</v>
      </c>
      <c r="N470" s="24">
        <v>74</v>
      </c>
      <c r="O470" s="24">
        <v>366</v>
      </c>
      <c r="P470" s="24">
        <v>62</v>
      </c>
      <c r="Q470" s="24">
        <v>729</v>
      </c>
      <c r="R470" s="24">
        <v>65</v>
      </c>
      <c r="S470" s="24">
        <v>548</v>
      </c>
      <c r="T470" s="24">
        <v>56</v>
      </c>
      <c r="U470" s="24">
        <v>352</v>
      </c>
      <c r="V470" s="24">
        <v>457.5</v>
      </c>
      <c r="W470" s="24">
        <v>27</v>
      </c>
      <c r="X470" s="24">
        <v>467</v>
      </c>
      <c r="Y470" s="24">
        <v>428</v>
      </c>
      <c r="Z470" s="24">
        <v>587</v>
      </c>
      <c r="AA470" s="24">
        <v>120</v>
      </c>
    </row>
    <row r="471" spans="1:27">
      <c r="A471" s="24" t="s">
        <v>1138</v>
      </c>
      <c r="B471" s="24" t="s">
        <v>68</v>
      </c>
      <c r="C471" s="24" t="s">
        <v>1139</v>
      </c>
      <c r="D471" s="24">
        <v>114</v>
      </c>
      <c r="E471" s="24">
        <v>80</v>
      </c>
      <c r="F471" s="24">
        <v>60</v>
      </c>
      <c r="G471" s="24">
        <v>696</v>
      </c>
      <c r="H471" s="24">
        <v>98.5</v>
      </c>
      <c r="I471" s="24">
        <v>285</v>
      </c>
      <c r="J471" s="24">
        <v>54</v>
      </c>
      <c r="K471" s="24">
        <v>718</v>
      </c>
      <c r="L471" s="24">
        <v>58</v>
      </c>
      <c r="M471" s="24">
        <v>377</v>
      </c>
      <c r="N471" s="24">
        <v>73</v>
      </c>
      <c r="O471" s="24">
        <v>393</v>
      </c>
      <c r="P471" s="24">
        <v>70</v>
      </c>
      <c r="Q471" s="24">
        <v>473</v>
      </c>
      <c r="R471" s="24">
        <v>60</v>
      </c>
      <c r="S471" s="24">
        <v>727</v>
      </c>
      <c r="T471" s="24">
        <v>45</v>
      </c>
      <c r="U471" s="24">
        <v>781</v>
      </c>
      <c r="V471" s="24">
        <v>457.5</v>
      </c>
      <c r="W471" s="24">
        <v>25</v>
      </c>
      <c r="X471" s="24">
        <v>467</v>
      </c>
      <c r="Y471" s="24">
        <v>445.5</v>
      </c>
      <c r="Z471" s="24">
        <v>495</v>
      </c>
      <c r="AA471" s="24">
        <v>28</v>
      </c>
    </row>
    <row r="472" spans="1:27">
      <c r="A472" s="24" t="s">
        <v>1216</v>
      </c>
      <c r="B472" s="24" t="s">
        <v>54</v>
      </c>
      <c r="C472" s="24" t="s">
        <v>1217</v>
      </c>
      <c r="D472" s="24">
        <v>111</v>
      </c>
      <c r="E472" s="24">
        <v>136</v>
      </c>
      <c r="F472" s="24">
        <v>61</v>
      </c>
      <c r="G472" s="24">
        <v>678</v>
      </c>
      <c r="H472" s="24">
        <v>103.5</v>
      </c>
      <c r="I472" s="24">
        <v>200</v>
      </c>
      <c r="J472" s="24">
        <v>52</v>
      </c>
      <c r="K472" s="24">
        <v>757</v>
      </c>
      <c r="L472" s="24">
        <v>61</v>
      </c>
      <c r="M472" s="24">
        <v>300</v>
      </c>
      <c r="N472" s="24">
        <v>69</v>
      </c>
      <c r="O472" s="24">
        <v>523</v>
      </c>
      <c r="P472" s="24">
        <v>79</v>
      </c>
      <c r="Q472" s="24">
        <v>175</v>
      </c>
      <c r="R472" s="24">
        <v>64</v>
      </c>
      <c r="S472" s="24">
        <v>586</v>
      </c>
      <c r="T472" s="24">
        <v>48</v>
      </c>
      <c r="U472" s="24">
        <v>671</v>
      </c>
      <c r="V472" s="24">
        <v>457.5</v>
      </c>
      <c r="W472" s="24">
        <v>28</v>
      </c>
      <c r="X472" s="24">
        <v>467</v>
      </c>
      <c r="Y472" s="24">
        <v>486.5</v>
      </c>
      <c r="Z472" s="24">
        <v>280</v>
      </c>
      <c r="AA472" s="24">
        <v>-187</v>
      </c>
    </row>
    <row r="473" spans="1:27">
      <c r="A473" s="24" t="s">
        <v>1014</v>
      </c>
      <c r="B473" s="24" t="s">
        <v>60</v>
      </c>
      <c r="C473" s="24" t="s">
        <v>1015</v>
      </c>
      <c r="D473" s="24">
        <v>116</v>
      </c>
      <c r="E473" s="24">
        <v>47</v>
      </c>
      <c r="F473" s="24">
        <v>64</v>
      </c>
      <c r="G473" s="24">
        <v>627</v>
      </c>
      <c r="H473" s="24">
        <v>97.5</v>
      </c>
      <c r="I473" s="24">
        <v>310</v>
      </c>
      <c r="J473" s="24">
        <v>52</v>
      </c>
      <c r="K473" s="24">
        <v>757</v>
      </c>
      <c r="L473" s="24">
        <v>62</v>
      </c>
      <c r="M473" s="24">
        <v>277</v>
      </c>
      <c r="N473" s="24">
        <v>66</v>
      </c>
      <c r="O473" s="24">
        <v>611</v>
      </c>
      <c r="P473" s="24">
        <v>82</v>
      </c>
      <c r="Q473" s="24">
        <v>100</v>
      </c>
      <c r="R473" s="24">
        <v>67</v>
      </c>
      <c r="S473" s="24">
        <v>471</v>
      </c>
      <c r="T473" s="24">
        <v>49</v>
      </c>
      <c r="U473" s="24">
        <v>633</v>
      </c>
      <c r="V473" s="24">
        <v>457.5</v>
      </c>
      <c r="W473" s="24">
        <v>27</v>
      </c>
      <c r="X473" s="24">
        <v>467</v>
      </c>
      <c r="Y473" s="24">
        <v>438</v>
      </c>
      <c r="Z473" s="24">
        <v>534</v>
      </c>
      <c r="AA473" s="24">
        <v>67</v>
      </c>
    </row>
    <row r="474" spans="1:27">
      <c r="A474" s="24" t="s">
        <v>2191</v>
      </c>
      <c r="B474" s="24" t="s">
        <v>73</v>
      </c>
      <c r="C474" s="24" t="s">
        <v>2192</v>
      </c>
      <c r="D474" s="24">
        <v>106</v>
      </c>
      <c r="E474" s="24">
        <v>287</v>
      </c>
      <c r="F474" s="24">
        <v>61</v>
      </c>
      <c r="G474" s="24">
        <v>678</v>
      </c>
      <c r="H474" s="24">
        <v>84</v>
      </c>
      <c r="I474" s="24">
        <v>623</v>
      </c>
      <c r="J474" s="24">
        <v>63</v>
      </c>
      <c r="K474" s="24">
        <v>540</v>
      </c>
      <c r="L474" s="24">
        <v>65</v>
      </c>
      <c r="M474" s="24">
        <v>223</v>
      </c>
      <c r="N474" s="24">
        <v>78</v>
      </c>
      <c r="O474" s="24">
        <v>250</v>
      </c>
      <c r="P474" s="24">
        <v>58</v>
      </c>
      <c r="Q474" s="24">
        <v>820</v>
      </c>
      <c r="R474" s="24">
        <v>57</v>
      </c>
      <c r="S474" s="24">
        <v>798</v>
      </c>
      <c r="T474" s="24">
        <v>63</v>
      </c>
      <c r="U474" s="24">
        <v>123</v>
      </c>
      <c r="V474" s="24">
        <v>457</v>
      </c>
      <c r="W474" s="24">
        <v>26</v>
      </c>
      <c r="X474" s="24">
        <v>473</v>
      </c>
      <c r="Y474" s="24">
        <v>447</v>
      </c>
      <c r="Z474" s="24">
        <v>483</v>
      </c>
      <c r="AA474" s="24">
        <v>10</v>
      </c>
    </row>
    <row r="475" spans="1:27">
      <c r="A475" s="24" t="s">
        <v>2722</v>
      </c>
      <c r="B475" s="24" t="s">
        <v>49</v>
      </c>
      <c r="C475" s="24" t="s">
        <v>2720</v>
      </c>
      <c r="D475" s="24">
        <v>77</v>
      </c>
      <c r="E475" s="24">
        <v>922</v>
      </c>
      <c r="F475" s="24">
        <v>107</v>
      </c>
      <c r="G475" s="24">
        <v>46</v>
      </c>
      <c r="H475" s="24">
        <v>60</v>
      </c>
      <c r="I475" s="24">
        <v>912</v>
      </c>
      <c r="J475" s="24">
        <v>79</v>
      </c>
      <c r="K475" s="24">
        <v>228</v>
      </c>
      <c r="L475" s="24">
        <v>66</v>
      </c>
      <c r="M475" s="24">
        <v>204</v>
      </c>
      <c r="N475" s="24">
        <v>68</v>
      </c>
      <c r="O475" s="24">
        <v>555</v>
      </c>
      <c r="P475" s="24">
        <v>52</v>
      </c>
      <c r="Q475" s="24">
        <v>897</v>
      </c>
      <c r="R475" s="24">
        <v>65</v>
      </c>
      <c r="S475" s="24">
        <v>548</v>
      </c>
      <c r="T475" s="24">
        <v>48</v>
      </c>
      <c r="U475" s="24">
        <v>671</v>
      </c>
      <c r="V475" s="24">
        <v>457</v>
      </c>
      <c r="W475" s="24">
        <v>29</v>
      </c>
      <c r="X475" s="24">
        <v>473</v>
      </c>
      <c r="Y475" s="24">
        <v>439.5</v>
      </c>
      <c r="Z475" s="24">
        <v>526</v>
      </c>
      <c r="AA475" s="24">
        <v>53</v>
      </c>
    </row>
    <row r="476" spans="1:27">
      <c r="A476" s="24" t="s">
        <v>892</v>
      </c>
      <c r="B476" s="24" t="s">
        <v>60</v>
      </c>
      <c r="C476" s="24" t="s">
        <v>1662</v>
      </c>
      <c r="D476" s="24">
        <v>101</v>
      </c>
      <c r="E476" s="24">
        <v>481</v>
      </c>
      <c r="F476" s="24">
        <v>61</v>
      </c>
      <c r="G476" s="24">
        <v>678</v>
      </c>
      <c r="H476" s="24">
        <v>69.5</v>
      </c>
      <c r="I476" s="24">
        <v>848</v>
      </c>
      <c r="J476" s="24">
        <v>78</v>
      </c>
      <c r="K476" s="24">
        <v>250</v>
      </c>
      <c r="L476" s="24">
        <v>62</v>
      </c>
      <c r="M476" s="24">
        <v>277</v>
      </c>
      <c r="N476" s="24">
        <v>85</v>
      </c>
      <c r="O476" s="24">
        <v>96</v>
      </c>
      <c r="P476" s="24">
        <v>86</v>
      </c>
      <c r="Q476" s="24">
        <v>34</v>
      </c>
      <c r="R476" s="24">
        <v>62</v>
      </c>
      <c r="S476" s="24">
        <v>672</v>
      </c>
      <c r="T476" s="24">
        <v>48</v>
      </c>
      <c r="U476" s="24">
        <v>671</v>
      </c>
      <c r="V476" s="24">
        <v>456.5</v>
      </c>
      <c r="W476" s="24">
        <v>28</v>
      </c>
      <c r="X476" s="24">
        <v>475</v>
      </c>
      <c r="Y476" s="24">
        <v>441</v>
      </c>
      <c r="Z476" s="24">
        <v>522</v>
      </c>
      <c r="AA476" s="24">
        <v>47</v>
      </c>
    </row>
    <row r="477" spans="1:27">
      <c r="A477" s="24" t="s">
        <v>2423</v>
      </c>
      <c r="B477" s="24" t="s">
        <v>131</v>
      </c>
      <c r="C477" s="24" t="s">
        <v>2424</v>
      </c>
      <c r="D477" s="24">
        <v>99</v>
      </c>
      <c r="E477" s="24">
        <v>571</v>
      </c>
      <c r="F477" s="24">
        <v>83</v>
      </c>
      <c r="G477" s="24">
        <v>267</v>
      </c>
      <c r="H477" s="24">
        <v>90.5</v>
      </c>
      <c r="I477" s="24">
        <v>471</v>
      </c>
      <c r="J477" s="24">
        <v>68</v>
      </c>
      <c r="K477" s="24">
        <v>453</v>
      </c>
      <c r="L477" s="24">
        <v>50</v>
      </c>
      <c r="M477" s="24">
        <v>599</v>
      </c>
      <c r="N477" s="24">
        <v>66</v>
      </c>
      <c r="O477" s="24">
        <v>611</v>
      </c>
      <c r="P477" s="24">
        <v>51</v>
      </c>
      <c r="Q477" s="24">
        <v>906</v>
      </c>
      <c r="R477" s="24">
        <v>66</v>
      </c>
      <c r="S477" s="24">
        <v>511</v>
      </c>
      <c r="T477" s="24">
        <v>60</v>
      </c>
      <c r="U477" s="24">
        <v>203</v>
      </c>
      <c r="V477" s="24">
        <v>456.5</v>
      </c>
      <c r="W477" s="24">
        <v>25</v>
      </c>
      <c r="X477" s="24">
        <v>475</v>
      </c>
      <c r="Y477" s="24">
        <v>420</v>
      </c>
      <c r="Z477" s="24">
        <v>642</v>
      </c>
      <c r="AA477" s="24">
        <v>167</v>
      </c>
    </row>
    <row r="478" spans="1:27">
      <c r="A478" s="24" t="s">
        <v>1350</v>
      </c>
      <c r="B478" s="24" t="s">
        <v>54</v>
      </c>
      <c r="C478" s="24" t="s">
        <v>1351</v>
      </c>
      <c r="D478" s="24">
        <v>91</v>
      </c>
      <c r="E478" s="24">
        <v>799</v>
      </c>
      <c r="F478" s="24">
        <v>78</v>
      </c>
      <c r="G478" s="24">
        <v>353</v>
      </c>
      <c r="H478" s="24">
        <v>70</v>
      </c>
      <c r="I478" s="24">
        <v>842</v>
      </c>
      <c r="J478" s="24">
        <v>73</v>
      </c>
      <c r="K478" s="24">
        <v>339</v>
      </c>
      <c r="L478" s="24">
        <v>67</v>
      </c>
      <c r="M478" s="24">
        <v>177</v>
      </c>
      <c r="N478" s="24">
        <v>77</v>
      </c>
      <c r="O478" s="24">
        <v>275</v>
      </c>
      <c r="P478" s="24">
        <v>82</v>
      </c>
      <c r="Q478" s="24">
        <v>100</v>
      </c>
      <c r="R478" s="24">
        <v>66</v>
      </c>
      <c r="S478" s="24">
        <v>511</v>
      </c>
      <c r="T478" s="24">
        <v>61</v>
      </c>
      <c r="U478" s="24">
        <v>172</v>
      </c>
      <c r="V478" s="24">
        <v>456</v>
      </c>
      <c r="W478" s="24">
        <v>30</v>
      </c>
      <c r="X478" s="24">
        <v>477</v>
      </c>
      <c r="Y478" s="24">
        <v>457</v>
      </c>
      <c r="Z478" s="24">
        <v>428</v>
      </c>
      <c r="AA478" s="24">
        <v>-49</v>
      </c>
    </row>
    <row r="479" spans="1:27">
      <c r="A479" s="24" t="s">
        <v>1146</v>
      </c>
      <c r="B479" s="24" t="s">
        <v>68</v>
      </c>
      <c r="C479" s="24" t="s">
        <v>1147</v>
      </c>
      <c r="D479" s="24">
        <v>100</v>
      </c>
      <c r="E479" s="24">
        <v>528</v>
      </c>
      <c r="F479" s="24">
        <v>67</v>
      </c>
      <c r="G479" s="24">
        <v>565</v>
      </c>
      <c r="H479" s="24">
        <v>89</v>
      </c>
      <c r="I479" s="24">
        <v>510</v>
      </c>
      <c r="J479" s="24">
        <v>78</v>
      </c>
      <c r="K479" s="24">
        <v>250</v>
      </c>
      <c r="L479" s="24">
        <v>49</v>
      </c>
      <c r="M479" s="24">
        <v>624</v>
      </c>
      <c r="N479" s="24">
        <v>73</v>
      </c>
      <c r="O479" s="24">
        <v>393</v>
      </c>
      <c r="P479" s="24">
        <v>40</v>
      </c>
      <c r="Q479" s="24">
        <v>934</v>
      </c>
      <c r="R479" s="24">
        <v>50</v>
      </c>
      <c r="S479" s="24">
        <v>896</v>
      </c>
      <c r="T479" s="24">
        <v>55</v>
      </c>
      <c r="U479" s="24">
        <v>392</v>
      </c>
      <c r="V479" s="24">
        <v>456</v>
      </c>
      <c r="W479" s="24">
        <v>26</v>
      </c>
      <c r="X479" s="24">
        <v>477</v>
      </c>
      <c r="Y479" s="24">
        <v>472</v>
      </c>
      <c r="Z479" s="24">
        <v>352</v>
      </c>
      <c r="AA479" s="24">
        <v>-125</v>
      </c>
    </row>
    <row r="480" spans="1:27">
      <c r="A480" s="24" t="s">
        <v>742</v>
      </c>
      <c r="B480" s="24" t="s">
        <v>117</v>
      </c>
      <c r="C480" s="24" t="s">
        <v>743</v>
      </c>
      <c r="D480" s="24">
        <v>115</v>
      </c>
      <c r="E480" s="24">
        <v>65</v>
      </c>
      <c r="F480" s="24">
        <v>60</v>
      </c>
      <c r="G480" s="24">
        <v>696</v>
      </c>
      <c r="H480" s="24">
        <v>98</v>
      </c>
      <c r="I480" s="24">
        <v>294</v>
      </c>
      <c r="J480" s="24">
        <v>60</v>
      </c>
      <c r="K480" s="24">
        <v>607</v>
      </c>
      <c r="L480" s="24">
        <v>51</v>
      </c>
      <c r="M480" s="24">
        <v>571</v>
      </c>
      <c r="N480" s="24">
        <v>72</v>
      </c>
      <c r="O480" s="24">
        <v>433</v>
      </c>
      <c r="P480" s="24">
        <v>81</v>
      </c>
      <c r="Q480" s="24">
        <v>124</v>
      </c>
      <c r="R480" s="24">
        <v>68</v>
      </c>
      <c r="S480" s="24">
        <v>412</v>
      </c>
      <c r="T480" s="24">
        <v>55</v>
      </c>
      <c r="U480" s="24">
        <v>392</v>
      </c>
      <c r="V480" s="24">
        <v>456</v>
      </c>
      <c r="W480" s="24">
        <v>25</v>
      </c>
      <c r="X480" s="24">
        <v>477</v>
      </c>
      <c r="Y480" s="24">
        <v>463</v>
      </c>
      <c r="Z480" s="24">
        <v>398</v>
      </c>
      <c r="AA480" s="24">
        <v>-79</v>
      </c>
    </row>
    <row r="481" spans="1:27">
      <c r="A481" s="24" t="s">
        <v>2731</v>
      </c>
      <c r="B481" s="24" t="s">
        <v>49</v>
      </c>
      <c r="C481" s="24" t="s">
        <v>2732</v>
      </c>
      <c r="D481" s="24">
        <v>103</v>
      </c>
      <c r="E481" s="24">
        <v>400</v>
      </c>
      <c r="F481" s="24">
        <v>52</v>
      </c>
      <c r="G481" s="24">
        <v>807</v>
      </c>
      <c r="H481" s="24">
        <v>125</v>
      </c>
      <c r="I481" s="24">
        <v>10</v>
      </c>
      <c r="J481" s="24">
        <v>59</v>
      </c>
      <c r="K481" s="24">
        <v>626</v>
      </c>
      <c r="L481" s="24">
        <v>49</v>
      </c>
      <c r="M481" s="24">
        <v>624</v>
      </c>
      <c r="N481" s="24">
        <v>68</v>
      </c>
      <c r="O481" s="24">
        <v>555</v>
      </c>
      <c r="P481" s="24">
        <v>65</v>
      </c>
      <c r="Q481" s="24">
        <v>651</v>
      </c>
      <c r="R481" s="24">
        <v>70</v>
      </c>
      <c r="S481" s="24">
        <v>327</v>
      </c>
      <c r="T481" s="24">
        <v>52</v>
      </c>
      <c r="U481" s="24">
        <v>509</v>
      </c>
      <c r="V481" s="24">
        <v>456</v>
      </c>
      <c r="W481" s="24">
        <v>30</v>
      </c>
      <c r="X481" s="24">
        <v>477</v>
      </c>
      <c r="Y481" s="24">
        <v>438</v>
      </c>
      <c r="Z481" s="24">
        <v>534</v>
      </c>
      <c r="AA481" s="24">
        <v>57</v>
      </c>
    </row>
    <row r="482" spans="1:27">
      <c r="A482" s="24" t="s">
        <v>703</v>
      </c>
      <c r="B482" s="24" t="s">
        <v>117</v>
      </c>
      <c r="C482" s="24" t="s">
        <v>704</v>
      </c>
      <c r="D482" s="24">
        <v>100</v>
      </c>
      <c r="E482" s="24">
        <v>528</v>
      </c>
      <c r="F482" s="24">
        <v>70</v>
      </c>
      <c r="G482" s="24">
        <v>505</v>
      </c>
      <c r="H482" s="24">
        <v>104</v>
      </c>
      <c r="I482" s="24">
        <v>188</v>
      </c>
      <c r="J482" s="24">
        <v>69</v>
      </c>
      <c r="K482" s="24">
        <v>428</v>
      </c>
      <c r="L482" s="24">
        <v>45</v>
      </c>
      <c r="M482" s="24">
        <v>720</v>
      </c>
      <c r="N482" s="24">
        <v>68</v>
      </c>
      <c r="O482" s="24">
        <v>555</v>
      </c>
      <c r="P482" s="24">
        <v>72</v>
      </c>
      <c r="Q482" s="24">
        <v>396</v>
      </c>
      <c r="R482" s="24">
        <v>59</v>
      </c>
      <c r="S482" s="24">
        <v>746</v>
      </c>
      <c r="T482" s="24">
        <v>49</v>
      </c>
      <c r="U482" s="24">
        <v>633</v>
      </c>
      <c r="V482" s="24">
        <v>456</v>
      </c>
      <c r="W482" s="24">
        <v>25</v>
      </c>
      <c r="X482" s="24">
        <v>477</v>
      </c>
      <c r="Y482" s="24">
        <v>452.5</v>
      </c>
      <c r="Z482" s="24">
        <v>453</v>
      </c>
      <c r="AA482" s="24">
        <v>-24</v>
      </c>
    </row>
    <row r="483" spans="1:27">
      <c r="A483" s="24" t="s">
        <v>2638</v>
      </c>
      <c r="B483" s="24" t="s">
        <v>49</v>
      </c>
      <c r="C483" s="24" t="s">
        <v>2642</v>
      </c>
      <c r="D483" s="24">
        <v>109</v>
      </c>
      <c r="E483" s="24">
        <v>185</v>
      </c>
      <c r="F483" s="24">
        <v>70</v>
      </c>
      <c r="G483" s="24">
        <v>505</v>
      </c>
      <c r="H483" s="24">
        <v>89.5</v>
      </c>
      <c r="I483" s="24">
        <v>494</v>
      </c>
      <c r="J483" s="24">
        <v>72</v>
      </c>
      <c r="K483" s="24">
        <v>358</v>
      </c>
      <c r="L483" s="24">
        <v>48</v>
      </c>
      <c r="M483" s="24">
        <v>649</v>
      </c>
      <c r="N483" s="24">
        <v>67</v>
      </c>
      <c r="O483" s="24">
        <v>587</v>
      </c>
      <c r="P483" s="24">
        <v>68</v>
      </c>
      <c r="Q483" s="24">
        <v>541</v>
      </c>
      <c r="R483" s="24">
        <v>69</v>
      </c>
      <c r="S483" s="24">
        <v>367</v>
      </c>
      <c r="T483" s="24">
        <v>48</v>
      </c>
      <c r="U483" s="24">
        <v>671</v>
      </c>
      <c r="V483" s="24">
        <v>455.5</v>
      </c>
      <c r="W483" s="24">
        <v>31</v>
      </c>
      <c r="X483" s="24">
        <v>482</v>
      </c>
      <c r="Y483" s="24">
        <v>442</v>
      </c>
      <c r="Z483" s="24">
        <v>518</v>
      </c>
      <c r="AA483" s="24">
        <v>36</v>
      </c>
    </row>
    <row r="484" spans="1:27">
      <c r="A484" s="24" t="s">
        <v>1795</v>
      </c>
      <c r="B484" s="24" t="s">
        <v>34</v>
      </c>
      <c r="C484" s="24" t="s">
        <v>1796</v>
      </c>
      <c r="D484" s="24">
        <v>111</v>
      </c>
      <c r="E484" s="24">
        <v>136</v>
      </c>
      <c r="F484" s="24">
        <v>75</v>
      </c>
      <c r="G484" s="24">
        <v>409</v>
      </c>
      <c r="H484" s="24">
        <v>91</v>
      </c>
      <c r="I484" s="24">
        <v>459</v>
      </c>
      <c r="J484" s="24">
        <v>56</v>
      </c>
      <c r="K484" s="24">
        <v>682</v>
      </c>
      <c r="L484" s="24">
        <v>48</v>
      </c>
      <c r="M484" s="24">
        <v>649</v>
      </c>
      <c r="N484" s="24">
        <v>74</v>
      </c>
      <c r="O484" s="24">
        <v>366</v>
      </c>
      <c r="P484" s="24">
        <v>68</v>
      </c>
      <c r="Q484" s="24">
        <v>541</v>
      </c>
      <c r="R484" s="24">
        <v>65</v>
      </c>
      <c r="S484" s="24">
        <v>548</v>
      </c>
      <c r="T484" s="24">
        <v>48</v>
      </c>
      <c r="U484" s="24">
        <v>671</v>
      </c>
      <c r="V484" s="24">
        <v>455</v>
      </c>
      <c r="W484" s="24">
        <v>25</v>
      </c>
      <c r="X484" s="24">
        <v>483</v>
      </c>
      <c r="Y484" s="24">
        <v>417.5</v>
      </c>
      <c r="Z484" s="24">
        <v>653</v>
      </c>
      <c r="AA484" s="24">
        <v>170</v>
      </c>
    </row>
    <row r="485" spans="1:27">
      <c r="A485" s="24" t="s">
        <v>2855</v>
      </c>
      <c r="B485" s="24" t="s">
        <v>38</v>
      </c>
      <c r="C485" s="24" t="s">
        <v>2856</v>
      </c>
      <c r="D485" s="24">
        <v>105</v>
      </c>
      <c r="E485" s="24">
        <v>325</v>
      </c>
      <c r="F485" s="24">
        <v>63</v>
      </c>
      <c r="G485" s="24">
        <v>642</v>
      </c>
      <c r="H485" s="24">
        <v>100</v>
      </c>
      <c r="I485" s="24">
        <v>258</v>
      </c>
      <c r="J485" s="24">
        <v>62</v>
      </c>
      <c r="K485" s="24">
        <v>564</v>
      </c>
      <c r="L485" s="24">
        <v>62</v>
      </c>
      <c r="M485" s="24">
        <v>277</v>
      </c>
      <c r="N485" s="24">
        <v>63</v>
      </c>
      <c r="O485" s="24">
        <v>692</v>
      </c>
      <c r="P485" s="24">
        <v>73</v>
      </c>
      <c r="Q485" s="24">
        <v>359</v>
      </c>
      <c r="R485" s="24">
        <v>74</v>
      </c>
      <c r="S485" s="24">
        <v>174</v>
      </c>
      <c r="T485" s="24">
        <v>57</v>
      </c>
      <c r="U485" s="24">
        <v>306</v>
      </c>
      <c r="V485" s="24">
        <v>455</v>
      </c>
      <c r="W485" s="24">
        <v>19</v>
      </c>
      <c r="X485" s="24">
        <v>483</v>
      </c>
      <c r="Y485" s="24">
        <v>479.5</v>
      </c>
      <c r="Z485" s="24">
        <v>310</v>
      </c>
      <c r="AA485" s="24">
        <v>-173</v>
      </c>
    </row>
    <row r="486" spans="1:27">
      <c r="A486" s="24" t="s">
        <v>2788</v>
      </c>
      <c r="B486" s="24" t="s">
        <v>38</v>
      </c>
      <c r="C486" s="24" t="s">
        <v>2789</v>
      </c>
      <c r="D486" s="24">
        <v>96</v>
      </c>
      <c r="E486" s="24">
        <v>676</v>
      </c>
      <c r="F486" s="24">
        <v>60</v>
      </c>
      <c r="G486" s="24">
        <v>696</v>
      </c>
      <c r="H486" s="24">
        <v>95.5</v>
      </c>
      <c r="I486" s="24">
        <v>357</v>
      </c>
      <c r="J486" s="24">
        <v>62</v>
      </c>
      <c r="K486" s="24">
        <v>564</v>
      </c>
      <c r="L486" s="24">
        <v>58</v>
      </c>
      <c r="M486" s="24">
        <v>377</v>
      </c>
      <c r="N486" s="24">
        <v>83</v>
      </c>
      <c r="O486" s="24">
        <v>145</v>
      </c>
      <c r="P486" s="24">
        <v>69</v>
      </c>
      <c r="Q486" s="24">
        <v>504</v>
      </c>
      <c r="R486" s="24">
        <v>81</v>
      </c>
      <c r="S486" s="24">
        <v>42</v>
      </c>
      <c r="T486" s="24">
        <v>69</v>
      </c>
      <c r="U486" s="24">
        <v>43</v>
      </c>
      <c r="V486" s="24">
        <v>454.5</v>
      </c>
      <c r="W486" s="24">
        <v>20</v>
      </c>
      <c r="X486" s="24">
        <v>485</v>
      </c>
      <c r="Y486" s="24">
        <v>448</v>
      </c>
      <c r="Z486" s="24">
        <v>479</v>
      </c>
      <c r="AA486" s="24">
        <v>-6</v>
      </c>
    </row>
    <row r="487" spans="1:27">
      <c r="A487" s="24" t="s">
        <v>1381</v>
      </c>
      <c r="B487" s="24" t="s">
        <v>56</v>
      </c>
      <c r="C487" s="24" t="s">
        <v>1382</v>
      </c>
      <c r="D487" s="24">
        <v>89</v>
      </c>
      <c r="E487" s="24">
        <v>835</v>
      </c>
      <c r="F487" s="24">
        <v>67</v>
      </c>
      <c r="G487" s="24">
        <v>565</v>
      </c>
      <c r="H487" s="24">
        <v>93.5</v>
      </c>
      <c r="I487" s="24">
        <v>393</v>
      </c>
      <c r="J487" s="24">
        <v>70</v>
      </c>
      <c r="K487" s="24">
        <v>400</v>
      </c>
      <c r="L487" s="24">
        <v>64</v>
      </c>
      <c r="M487" s="24">
        <v>244</v>
      </c>
      <c r="N487" s="24">
        <v>71</v>
      </c>
      <c r="O487" s="24">
        <v>462</v>
      </c>
      <c r="P487" s="24">
        <v>69</v>
      </c>
      <c r="Q487" s="24">
        <v>504</v>
      </c>
      <c r="R487" s="24">
        <v>72</v>
      </c>
      <c r="S487" s="24">
        <v>256</v>
      </c>
      <c r="T487" s="24">
        <v>47</v>
      </c>
      <c r="U487" s="24">
        <v>719</v>
      </c>
      <c r="V487" s="24">
        <v>454.5</v>
      </c>
      <c r="W487" s="24">
        <v>25</v>
      </c>
      <c r="X487" s="24">
        <v>485</v>
      </c>
      <c r="Y487" s="24">
        <v>456</v>
      </c>
      <c r="Z487" s="24">
        <v>433</v>
      </c>
      <c r="AA487" s="24">
        <v>-52</v>
      </c>
    </row>
    <row r="488" spans="1:27">
      <c r="A488" s="24" t="s">
        <v>727</v>
      </c>
      <c r="B488" s="24" t="s">
        <v>117</v>
      </c>
      <c r="C488" s="24" t="s">
        <v>728</v>
      </c>
      <c r="D488" s="24">
        <v>106</v>
      </c>
      <c r="E488" s="24">
        <v>287</v>
      </c>
      <c r="F488" s="24">
        <v>75</v>
      </c>
      <c r="G488" s="24">
        <v>409</v>
      </c>
      <c r="H488" s="24">
        <v>87.5</v>
      </c>
      <c r="I488" s="24">
        <v>542</v>
      </c>
      <c r="J488" s="24">
        <v>70</v>
      </c>
      <c r="K488" s="24">
        <v>400</v>
      </c>
      <c r="L488" s="24">
        <v>49</v>
      </c>
      <c r="M488" s="24">
        <v>624</v>
      </c>
      <c r="N488" s="24">
        <v>67</v>
      </c>
      <c r="O488" s="24">
        <v>587</v>
      </c>
      <c r="P488" s="24">
        <v>74</v>
      </c>
      <c r="Q488" s="24">
        <v>326</v>
      </c>
      <c r="R488" s="24">
        <v>55</v>
      </c>
      <c r="S488" s="24">
        <v>835</v>
      </c>
      <c r="T488" s="24">
        <v>48</v>
      </c>
      <c r="U488" s="24">
        <v>671</v>
      </c>
      <c r="V488" s="24">
        <v>454.5</v>
      </c>
      <c r="W488" s="24">
        <v>27</v>
      </c>
      <c r="X488" s="24">
        <v>485</v>
      </c>
      <c r="Y488" s="24">
        <v>474</v>
      </c>
      <c r="Z488" s="24">
        <v>335</v>
      </c>
      <c r="AA488" s="24">
        <v>-150</v>
      </c>
    </row>
    <row r="489" spans="1:27">
      <c r="A489" s="24" t="s">
        <v>1910</v>
      </c>
      <c r="B489" s="24" t="s">
        <v>34</v>
      </c>
      <c r="C489" s="24" t="s">
        <v>1911</v>
      </c>
      <c r="D489" s="24">
        <v>111</v>
      </c>
      <c r="E489" s="24">
        <v>136</v>
      </c>
      <c r="F489" s="24">
        <v>65</v>
      </c>
      <c r="G489" s="24">
        <v>604</v>
      </c>
      <c r="H489" s="24">
        <v>113</v>
      </c>
      <c r="I489" s="24">
        <v>74</v>
      </c>
      <c r="J489" s="24">
        <v>58</v>
      </c>
      <c r="K489" s="24">
        <v>649</v>
      </c>
      <c r="L489" s="24">
        <v>34</v>
      </c>
      <c r="M489" s="24">
        <v>882</v>
      </c>
      <c r="N489" s="24">
        <v>73</v>
      </c>
      <c r="O489" s="24">
        <v>393</v>
      </c>
      <c r="P489" s="24">
        <v>84</v>
      </c>
      <c r="Q489" s="24">
        <v>59</v>
      </c>
      <c r="R489" s="24">
        <v>69</v>
      </c>
      <c r="S489" s="24">
        <v>367</v>
      </c>
      <c r="T489" s="24">
        <v>57</v>
      </c>
      <c r="U489" s="24">
        <v>306</v>
      </c>
      <c r="V489" s="24">
        <v>454</v>
      </c>
      <c r="W489" s="24">
        <v>26</v>
      </c>
      <c r="X489" s="24">
        <v>488</v>
      </c>
      <c r="Y489" s="24">
        <v>468</v>
      </c>
      <c r="Z489" s="24">
        <v>380</v>
      </c>
      <c r="AA489" s="24">
        <v>-108</v>
      </c>
    </row>
    <row r="490" spans="1:27">
      <c r="A490" s="24" t="s">
        <v>2397</v>
      </c>
      <c r="B490" s="24" t="s">
        <v>7</v>
      </c>
      <c r="C490" s="24" t="s">
        <v>2404</v>
      </c>
      <c r="D490" s="24">
        <v>98</v>
      </c>
      <c r="E490" s="24">
        <v>611</v>
      </c>
      <c r="F490" s="24">
        <v>82</v>
      </c>
      <c r="G490" s="24">
        <v>290</v>
      </c>
      <c r="H490" s="24">
        <v>70</v>
      </c>
      <c r="I490" s="24">
        <v>842</v>
      </c>
      <c r="J490" s="24">
        <v>73</v>
      </c>
      <c r="K490" s="24">
        <v>339</v>
      </c>
      <c r="L490" s="24">
        <v>61</v>
      </c>
      <c r="M490" s="24">
        <v>300</v>
      </c>
      <c r="N490" s="24">
        <v>70</v>
      </c>
      <c r="O490" s="24">
        <v>485</v>
      </c>
      <c r="P490" s="24">
        <v>84</v>
      </c>
      <c r="Q490" s="24">
        <v>59</v>
      </c>
      <c r="R490" s="24">
        <v>70</v>
      </c>
      <c r="S490" s="24">
        <v>327</v>
      </c>
      <c r="T490" s="24">
        <v>57</v>
      </c>
      <c r="U490" s="24">
        <v>306</v>
      </c>
      <c r="V490" s="24">
        <v>454</v>
      </c>
      <c r="W490" s="24">
        <v>18</v>
      </c>
      <c r="X490" s="24">
        <v>488</v>
      </c>
      <c r="Y490" s="24">
        <v>486</v>
      </c>
      <c r="Z490" s="24">
        <v>282</v>
      </c>
      <c r="AA490" s="24">
        <v>-206</v>
      </c>
    </row>
    <row r="491" spans="1:27">
      <c r="A491" s="24" t="s">
        <v>410</v>
      </c>
      <c r="B491" s="24" t="s">
        <v>19</v>
      </c>
      <c r="C491" s="24" t="s">
        <v>1711</v>
      </c>
      <c r="D491" s="24">
        <v>101</v>
      </c>
      <c r="E491" s="24">
        <v>481</v>
      </c>
      <c r="F491" s="24">
        <v>55</v>
      </c>
      <c r="G491" s="24">
        <v>766</v>
      </c>
      <c r="H491" s="24">
        <v>115</v>
      </c>
      <c r="I491" s="24">
        <v>58</v>
      </c>
      <c r="J491" s="24">
        <v>69</v>
      </c>
      <c r="K491" s="24">
        <v>428</v>
      </c>
      <c r="L491" s="24">
        <v>50</v>
      </c>
      <c r="M491" s="24">
        <v>599</v>
      </c>
      <c r="N491" s="24">
        <v>64</v>
      </c>
      <c r="O491" s="24">
        <v>667</v>
      </c>
      <c r="P491" s="24">
        <v>68</v>
      </c>
      <c r="Q491" s="24">
        <v>541</v>
      </c>
      <c r="R491" s="24">
        <v>75</v>
      </c>
      <c r="S491" s="24">
        <v>146</v>
      </c>
      <c r="T491" s="24">
        <v>61</v>
      </c>
      <c r="U491" s="24">
        <v>172</v>
      </c>
      <c r="V491" s="24">
        <v>454</v>
      </c>
      <c r="W491" s="24">
        <v>23</v>
      </c>
      <c r="X491" s="24">
        <v>488</v>
      </c>
      <c r="Y491" s="24">
        <v>477.5</v>
      </c>
      <c r="Z491" s="24">
        <v>317</v>
      </c>
      <c r="AA491" s="24">
        <v>-171</v>
      </c>
    </row>
    <row r="492" spans="1:27">
      <c r="A492" s="24" t="s">
        <v>1852</v>
      </c>
      <c r="B492" s="24" t="s">
        <v>34</v>
      </c>
      <c r="C492" s="24" t="s">
        <v>1853</v>
      </c>
      <c r="D492" s="24">
        <v>102</v>
      </c>
      <c r="E492" s="24">
        <v>442</v>
      </c>
      <c r="F492" s="24">
        <v>75</v>
      </c>
      <c r="G492" s="24">
        <v>409</v>
      </c>
      <c r="H492" s="24">
        <v>93.5</v>
      </c>
      <c r="I492" s="24">
        <v>393</v>
      </c>
      <c r="J492" s="24">
        <v>44</v>
      </c>
      <c r="K492" s="24">
        <v>849</v>
      </c>
      <c r="L492" s="24">
        <v>62</v>
      </c>
      <c r="M492" s="24">
        <v>277</v>
      </c>
      <c r="N492" s="24">
        <v>77</v>
      </c>
      <c r="O492" s="24">
        <v>275</v>
      </c>
      <c r="P492" s="24">
        <v>76</v>
      </c>
      <c r="Q492" s="24">
        <v>260</v>
      </c>
      <c r="R492" s="24">
        <v>70</v>
      </c>
      <c r="S492" s="24">
        <v>327</v>
      </c>
      <c r="T492" s="24">
        <v>52</v>
      </c>
      <c r="U492" s="24">
        <v>509</v>
      </c>
      <c r="V492" s="24">
        <v>453.5</v>
      </c>
      <c r="W492" s="24">
        <v>27</v>
      </c>
      <c r="X492" s="24">
        <v>491</v>
      </c>
      <c r="Y492" s="24">
        <v>452.5</v>
      </c>
      <c r="Z492" s="24">
        <v>453</v>
      </c>
      <c r="AA492" s="24">
        <v>-38</v>
      </c>
    </row>
    <row r="493" spans="1:27">
      <c r="A493" s="24" t="s">
        <v>856</v>
      </c>
      <c r="B493" s="24" t="s">
        <v>117</v>
      </c>
      <c r="C493" s="24" t="s">
        <v>857</v>
      </c>
      <c r="D493" s="24">
        <v>90</v>
      </c>
      <c r="E493" s="24">
        <v>815</v>
      </c>
      <c r="F493" s="24">
        <v>70</v>
      </c>
      <c r="G493" s="24">
        <v>505</v>
      </c>
      <c r="H493" s="24">
        <v>91.5</v>
      </c>
      <c r="I493" s="24">
        <v>444</v>
      </c>
      <c r="J493" s="24">
        <v>84</v>
      </c>
      <c r="K493" s="24">
        <v>147</v>
      </c>
      <c r="L493" s="24">
        <v>44</v>
      </c>
      <c r="M493" s="24">
        <v>736</v>
      </c>
      <c r="N493" s="24">
        <v>74</v>
      </c>
      <c r="O493" s="24">
        <v>366</v>
      </c>
      <c r="P493" s="24">
        <v>72</v>
      </c>
      <c r="Q493" s="24">
        <v>396</v>
      </c>
      <c r="R493" s="24">
        <v>64</v>
      </c>
      <c r="S493" s="24">
        <v>586</v>
      </c>
      <c r="T493" s="24">
        <v>61</v>
      </c>
      <c r="U493" s="24">
        <v>172</v>
      </c>
      <c r="V493" s="24">
        <v>453.5</v>
      </c>
      <c r="W493" s="24">
        <v>28</v>
      </c>
      <c r="X493" s="24">
        <v>491</v>
      </c>
      <c r="Y493" s="24">
        <v>434.5</v>
      </c>
      <c r="Z493" s="24">
        <v>547</v>
      </c>
      <c r="AA493" s="24">
        <v>56</v>
      </c>
    </row>
    <row r="494" spans="1:27">
      <c r="A494" s="24" t="s">
        <v>616</v>
      </c>
      <c r="B494" s="24" t="s">
        <v>17</v>
      </c>
      <c r="C494" s="24" t="s">
        <v>1638</v>
      </c>
      <c r="D494" s="24">
        <v>102</v>
      </c>
      <c r="E494" s="24">
        <v>442</v>
      </c>
      <c r="F494" s="24">
        <v>55</v>
      </c>
      <c r="G494" s="24">
        <v>766</v>
      </c>
      <c r="H494" s="24">
        <v>102.5</v>
      </c>
      <c r="I494" s="24">
        <v>210</v>
      </c>
      <c r="J494" s="24">
        <v>54</v>
      </c>
      <c r="K494" s="24">
        <v>718</v>
      </c>
      <c r="L494" s="24">
        <v>72</v>
      </c>
      <c r="M494" s="24">
        <v>115</v>
      </c>
      <c r="N494" s="24">
        <v>68</v>
      </c>
      <c r="O494" s="24">
        <v>555</v>
      </c>
      <c r="P494" s="24">
        <v>72</v>
      </c>
      <c r="Q494" s="24">
        <v>396</v>
      </c>
      <c r="R494" s="24">
        <v>72</v>
      </c>
      <c r="S494" s="24">
        <v>256</v>
      </c>
      <c r="T494" s="24">
        <v>60</v>
      </c>
      <c r="U494" s="24">
        <v>203</v>
      </c>
      <c r="V494" s="24">
        <v>453.5</v>
      </c>
      <c r="W494" s="24">
        <v>29</v>
      </c>
      <c r="X494" s="24">
        <v>491</v>
      </c>
      <c r="Y494" s="24">
        <v>424</v>
      </c>
      <c r="Z494" s="24">
        <v>612</v>
      </c>
      <c r="AA494" s="24">
        <v>121</v>
      </c>
    </row>
    <row r="495" spans="1:27">
      <c r="A495" s="24" t="s">
        <v>1505</v>
      </c>
      <c r="B495" s="24" t="s">
        <v>56</v>
      </c>
      <c r="C495" s="24" t="s">
        <v>1506</v>
      </c>
      <c r="D495" s="24">
        <v>100</v>
      </c>
      <c r="E495" s="24">
        <v>528</v>
      </c>
      <c r="F495" s="24">
        <v>59</v>
      </c>
      <c r="G495" s="24">
        <v>721</v>
      </c>
      <c r="H495" s="24">
        <v>120.5</v>
      </c>
      <c r="I495" s="24">
        <v>25</v>
      </c>
      <c r="J495" s="24">
        <v>64</v>
      </c>
      <c r="K495" s="24">
        <v>517</v>
      </c>
      <c r="L495" s="24">
        <v>43</v>
      </c>
      <c r="M495" s="24">
        <v>757</v>
      </c>
      <c r="N495" s="24">
        <v>67</v>
      </c>
      <c r="O495" s="24">
        <v>587</v>
      </c>
      <c r="P495" s="24">
        <v>76</v>
      </c>
      <c r="Q495" s="24">
        <v>260</v>
      </c>
      <c r="R495" s="24">
        <v>65</v>
      </c>
      <c r="S495" s="24">
        <v>548</v>
      </c>
      <c r="T495" s="24">
        <v>46</v>
      </c>
      <c r="U495" s="24">
        <v>755</v>
      </c>
      <c r="V495" s="24">
        <v>453.5</v>
      </c>
      <c r="W495" s="24">
        <v>26</v>
      </c>
      <c r="X495" s="24">
        <v>491</v>
      </c>
      <c r="Y495" s="24">
        <v>456.5</v>
      </c>
      <c r="Z495" s="24">
        <v>430</v>
      </c>
      <c r="AA495" s="24">
        <v>-61</v>
      </c>
    </row>
    <row r="496" spans="1:27">
      <c r="A496" s="24" t="s">
        <v>2552</v>
      </c>
      <c r="B496" s="24" t="s">
        <v>131</v>
      </c>
      <c r="C496" s="24" t="s">
        <v>2553</v>
      </c>
      <c r="D496" s="24">
        <v>112</v>
      </c>
      <c r="E496" s="24">
        <v>114</v>
      </c>
      <c r="F496" s="24">
        <v>67</v>
      </c>
      <c r="G496" s="24">
        <v>565</v>
      </c>
      <c r="H496" s="24">
        <v>90.5</v>
      </c>
      <c r="I496" s="24">
        <v>471</v>
      </c>
      <c r="J496" s="24">
        <v>63</v>
      </c>
      <c r="K496" s="24">
        <v>540</v>
      </c>
      <c r="L496" s="24">
        <v>56</v>
      </c>
      <c r="M496" s="24">
        <v>433</v>
      </c>
      <c r="N496" s="24">
        <v>65</v>
      </c>
      <c r="O496" s="24">
        <v>643</v>
      </c>
      <c r="P496" s="24">
        <v>71</v>
      </c>
      <c r="Q496" s="24">
        <v>439</v>
      </c>
      <c r="R496" s="24">
        <v>69</v>
      </c>
      <c r="S496" s="24">
        <v>367</v>
      </c>
      <c r="T496" s="24">
        <v>70</v>
      </c>
      <c r="U496" s="24">
        <v>37</v>
      </c>
      <c r="V496" s="24">
        <v>453.5</v>
      </c>
      <c r="W496" s="24">
        <v>26</v>
      </c>
      <c r="X496" s="24">
        <v>491</v>
      </c>
      <c r="Y496" s="24">
        <v>415.5</v>
      </c>
      <c r="Z496" s="24">
        <v>658</v>
      </c>
      <c r="AA496" s="24">
        <v>167</v>
      </c>
    </row>
    <row r="497" spans="1:27">
      <c r="A497" s="24" t="s">
        <v>2358</v>
      </c>
      <c r="B497" s="24" t="s">
        <v>7</v>
      </c>
      <c r="C497" s="24" t="s">
        <v>2368</v>
      </c>
      <c r="D497" s="24">
        <v>106</v>
      </c>
      <c r="E497" s="24">
        <v>287</v>
      </c>
      <c r="F497" s="24">
        <v>81</v>
      </c>
      <c r="G497" s="24">
        <v>309</v>
      </c>
      <c r="H497" s="24">
        <v>90.5</v>
      </c>
      <c r="I497" s="24">
        <v>471</v>
      </c>
      <c r="J497" s="24">
        <v>61</v>
      </c>
      <c r="K497" s="24">
        <v>587</v>
      </c>
      <c r="L497" s="24">
        <v>50</v>
      </c>
      <c r="M497" s="24">
        <v>599</v>
      </c>
      <c r="N497" s="24">
        <v>65</v>
      </c>
      <c r="O497" s="24">
        <v>643</v>
      </c>
      <c r="P497" s="24">
        <v>81</v>
      </c>
      <c r="Q497" s="24">
        <v>124</v>
      </c>
      <c r="R497" s="24">
        <v>64</v>
      </c>
      <c r="S497" s="24">
        <v>586</v>
      </c>
      <c r="T497" s="24">
        <v>54</v>
      </c>
      <c r="U497" s="24">
        <v>428</v>
      </c>
      <c r="V497" s="24">
        <v>453.5</v>
      </c>
      <c r="W497" s="24">
        <v>19</v>
      </c>
      <c r="X497" s="24">
        <v>491</v>
      </c>
      <c r="Y497" s="24">
        <v>472.5</v>
      </c>
      <c r="Z497" s="24">
        <v>350</v>
      </c>
      <c r="AA497" s="24">
        <v>-141</v>
      </c>
    </row>
    <row r="498" spans="1:27">
      <c r="A498" s="24" t="s">
        <v>2879</v>
      </c>
      <c r="B498" s="24" t="s">
        <v>38</v>
      </c>
      <c r="C498" s="24" t="s">
        <v>2880</v>
      </c>
      <c r="D498" s="24">
        <v>93</v>
      </c>
      <c r="E498" s="24">
        <v>755</v>
      </c>
      <c r="F498" s="24">
        <v>71</v>
      </c>
      <c r="G498" s="24">
        <v>475</v>
      </c>
      <c r="H498" s="24">
        <v>132.5</v>
      </c>
      <c r="I498" s="24">
        <v>3</v>
      </c>
      <c r="J498" s="24">
        <v>55</v>
      </c>
      <c r="K498" s="24">
        <v>694</v>
      </c>
      <c r="L498" s="24">
        <v>40</v>
      </c>
      <c r="M498" s="24">
        <v>811</v>
      </c>
      <c r="N498" s="24">
        <v>62</v>
      </c>
      <c r="O498" s="24">
        <v>716</v>
      </c>
      <c r="P498" s="24">
        <v>76</v>
      </c>
      <c r="Q498" s="24">
        <v>260</v>
      </c>
      <c r="R498" s="24">
        <v>75</v>
      </c>
      <c r="S498" s="24">
        <v>146</v>
      </c>
      <c r="T498" s="24">
        <v>42</v>
      </c>
      <c r="U498" s="24">
        <v>845</v>
      </c>
      <c r="V498" s="24">
        <v>453.5</v>
      </c>
      <c r="W498" s="24">
        <v>21</v>
      </c>
      <c r="X498" s="24">
        <v>491</v>
      </c>
      <c r="Y498" s="24">
        <v>380</v>
      </c>
      <c r="Z498" s="24">
        <v>806</v>
      </c>
      <c r="AA498" s="24">
        <v>315</v>
      </c>
    </row>
    <row r="499" spans="1:27">
      <c r="A499" s="24" t="s">
        <v>2882</v>
      </c>
      <c r="B499" s="24" t="s">
        <v>38</v>
      </c>
      <c r="C499" s="24" t="s">
        <v>2883</v>
      </c>
      <c r="D499" s="24">
        <v>99</v>
      </c>
      <c r="E499" s="24">
        <v>571</v>
      </c>
      <c r="F499" s="24">
        <v>81</v>
      </c>
      <c r="G499" s="24">
        <v>309</v>
      </c>
      <c r="H499" s="24">
        <v>84</v>
      </c>
      <c r="I499" s="24">
        <v>623</v>
      </c>
      <c r="J499" s="24">
        <v>64</v>
      </c>
      <c r="K499" s="24">
        <v>517</v>
      </c>
      <c r="L499" s="24">
        <v>49</v>
      </c>
      <c r="M499" s="24">
        <v>624</v>
      </c>
      <c r="N499" s="24">
        <v>76</v>
      </c>
      <c r="O499" s="24">
        <v>308</v>
      </c>
      <c r="P499" s="24">
        <v>75</v>
      </c>
      <c r="Q499" s="24">
        <v>289</v>
      </c>
      <c r="R499" s="24">
        <v>72</v>
      </c>
      <c r="S499" s="24">
        <v>256</v>
      </c>
      <c r="T499" s="24">
        <v>44</v>
      </c>
      <c r="U499" s="24">
        <v>804</v>
      </c>
      <c r="V499" s="24">
        <v>453</v>
      </c>
      <c r="W499" s="24">
        <v>22</v>
      </c>
      <c r="X499" s="24">
        <v>498</v>
      </c>
      <c r="Y499" s="24">
        <v>450.5</v>
      </c>
      <c r="Z499" s="24">
        <v>462</v>
      </c>
      <c r="AA499" s="24">
        <v>-36</v>
      </c>
    </row>
    <row r="500" spans="1:27">
      <c r="A500" s="24" t="s">
        <v>2373</v>
      </c>
      <c r="B500" s="24" t="s">
        <v>7</v>
      </c>
      <c r="C500" s="24" t="s">
        <v>2383</v>
      </c>
      <c r="D500" s="24">
        <v>102</v>
      </c>
      <c r="E500" s="24">
        <v>442</v>
      </c>
      <c r="F500" s="24">
        <v>57</v>
      </c>
      <c r="G500" s="24">
        <v>744</v>
      </c>
      <c r="H500" s="24">
        <v>98</v>
      </c>
      <c r="I500" s="24">
        <v>294</v>
      </c>
      <c r="J500" s="24">
        <v>68</v>
      </c>
      <c r="K500" s="24">
        <v>453</v>
      </c>
      <c r="L500" s="24">
        <v>54</v>
      </c>
      <c r="M500" s="24">
        <v>494</v>
      </c>
      <c r="N500" s="24">
        <v>74</v>
      </c>
      <c r="O500" s="24">
        <v>366</v>
      </c>
      <c r="P500" s="24">
        <v>81</v>
      </c>
      <c r="Q500" s="24">
        <v>124</v>
      </c>
      <c r="R500" s="24">
        <v>71</v>
      </c>
      <c r="S500" s="24">
        <v>290</v>
      </c>
      <c r="T500" s="24">
        <v>55</v>
      </c>
      <c r="U500" s="24">
        <v>392</v>
      </c>
      <c r="V500" s="24">
        <v>453</v>
      </c>
      <c r="W500" s="24">
        <v>20</v>
      </c>
      <c r="X500" s="24">
        <v>498</v>
      </c>
      <c r="Y500" s="24">
        <v>457.5</v>
      </c>
      <c r="Z500" s="24">
        <v>424</v>
      </c>
      <c r="AA500" s="24">
        <v>-74</v>
      </c>
    </row>
    <row r="501" spans="1:27">
      <c r="A501" s="24" t="s">
        <v>2019</v>
      </c>
      <c r="B501" s="24" t="s">
        <v>109</v>
      </c>
      <c r="C501" s="24" t="s">
        <v>2020</v>
      </c>
      <c r="D501" s="24">
        <v>108</v>
      </c>
      <c r="E501" s="24">
        <v>212</v>
      </c>
      <c r="F501" s="24">
        <v>66</v>
      </c>
      <c r="G501" s="24">
        <v>584</v>
      </c>
      <c r="H501" s="24">
        <v>82.5</v>
      </c>
      <c r="I501" s="24">
        <v>658</v>
      </c>
      <c r="J501" s="24">
        <v>74</v>
      </c>
      <c r="K501" s="24">
        <v>317</v>
      </c>
      <c r="L501" s="24">
        <v>47</v>
      </c>
      <c r="M501" s="24">
        <v>673</v>
      </c>
      <c r="N501" s="24">
        <v>75</v>
      </c>
      <c r="O501" s="24">
        <v>342</v>
      </c>
      <c r="P501" s="24">
        <v>55</v>
      </c>
      <c r="Q501" s="24">
        <v>868</v>
      </c>
      <c r="R501" s="24">
        <v>65</v>
      </c>
      <c r="S501" s="24">
        <v>548</v>
      </c>
      <c r="T501" s="24">
        <v>59</v>
      </c>
      <c r="U501" s="24">
        <v>233</v>
      </c>
      <c r="V501" s="24">
        <v>452.5</v>
      </c>
      <c r="W501" s="24">
        <v>29</v>
      </c>
      <c r="X501" s="24">
        <v>500</v>
      </c>
      <c r="Y501" s="24">
        <v>448.5</v>
      </c>
      <c r="Z501" s="24">
        <v>477</v>
      </c>
      <c r="AA501" s="24">
        <v>-23</v>
      </c>
    </row>
    <row r="502" spans="1:27">
      <c r="A502" s="24" t="s">
        <v>1029</v>
      </c>
      <c r="B502" s="24" t="s">
        <v>68</v>
      </c>
      <c r="C502" s="24" t="s">
        <v>1030</v>
      </c>
      <c r="D502" s="24">
        <v>102</v>
      </c>
      <c r="E502" s="24">
        <v>442</v>
      </c>
      <c r="F502" s="24">
        <v>95</v>
      </c>
      <c r="G502" s="24">
        <v>128</v>
      </c>
      <c r="H502" s="24">
        <v>62.5</v>
      </c>
      <c r="I502" s="24">
        <v>899</v>
      </c>
      <c r="J502" s="24">
        <v>68</v>
      </c>
      <c r="K502" s="24">
        <v>453</v>
      </c>
      <c r="L502" s="24">
        <v>53</v>
      </c>
      <c r="M502" s="24">
        <v>526</v>
      </c>
      <c r="N502" s="24">
        <v>72</v>
      </c>
      <c r="O502" s="24">
        <v>433</v>
      </c>
      <c r="P502" s="24">
        <v>69</v>
      </c>
      <c r="Q502" s="24">
        <v>504</v>
      </c>
      <c r="R502" s="24">
        <v>80</v>
      </c>
      <c r="S502" s="24">
        <v>54</v>
      </c>
      <c r="T502" s="24">
        <v>55</v>
      </c>
      <c r="U502" s="24">
        <v>392</v>
      </c>
      <c r="V502" s="24">
        <v>452.5</v>
      </c>
      <c r="W502" s="24">
        <v>27</v>
      </c>
      <c r="X502" s="24">
        <v>500</v>
      </c>
      <c r="Y502" s="24">
        <v>443.5</v>
      </c>
      <c r="Z502" s="24">
        <v>508</v>
      </c>
      <c r="AA502" s="24">
        <v>8</v>
      </c>
    </row>
    <row r="503" spans="1:27">
      <c r="A503" s="24" t="s">
        <v>955</v>
      </c>
      <c r="B503" s="24" t="s">
        <v>60</v>
      </c>
      <c r="C503" s="24" t="s">
        <v>956</v>
      </c>
      <c r="D503" s="24">
        <v>121</v>
      </c>
      <c r="E503" s="24">
        <v>13</v>
      </c>
      <c r="F503" s="24">
        <v>80</v>
      </c>
      <c r="G503" s="24">
        <v>325</v>
      </c>
      <c r="H503" s="24">
        <v>91.5</v>
      </c>
      <c r="I503" s="24">
        <v>444</v>
      </c>
      <c r="J503" s="24">
        <v>63</v>
      </c>
      <c r="K503" s="24">
        <v>540</v>
      </c>
      <c r="L503" s="24">
        <v>35</v>
      </c>
      <c r="M503" s="24">
        <v>870</v>
      </c>
      <c r="N503" s="24">
        <v>62</v>
      </c>
      <c r="O503" s="24">
        <v>716</v>
      </c>
      <c r="P503" s="24">
        <v>79</v>
      </c>
      <c r="Q503" s="24">
        <v>175</v>
      </c>
      <c r="R503" s="24">
        <v>74</v>
      </c>
      <c r="S503" s="24">
        <v>174</v>
      </c>
      <c r="T503" s="24">
        <v>49</v>
      </c>
      <c r="U503" s="24">
        <v>633</v>
      </c>
      <c r="V503" s="24">
        <v>452.5</v>
      </c>
      <c r="W503" s="24">
        <v>29</v>
      </c>
      <c r="X503" s="24">
        <v>500</v>
      </c>
      <c r="Y503" s="24">
        <v>446</v>
      </c>
      <c r="Z503" s="24">
        <v>491</v>
      </c>
      <c r="AA503" s="24">
        <v>-9</v>
      </c>
    </row>
    <row r="504" spans="1:27">
      <c r="A504" s="24" t="s">
        <v>383</v>
      </c>
      <c r="B504" s="24" t="s">
        <v>19</v>
      </c>
      <c r="C504" s="24" t="s">
        <v>133</v>
      </c>
      <c r="D504" s="24">
        <v>101</v>
      </c>
      <c r="E504" s="24">
        <v>481</v>
      </c>
      <c r="F504" s="24">
        <v>65</v>
      </c>
      <c r="G504" s="24">
        <v>604</v>
      </c>
      <c r="H504" s="24">
        <v>78</v>
      </c>
      <c r="I504" s="24">
        <v>723</v>
      </c>
      <c r="J504" s="24">
        <v>58</v>
      </c>
      <c r="K504" s="24">
        <v>649</v>
      </c>
      <c r="L504" s="24">
        <v>60</v>
      </c>
      <c r="M504" s="24">
        <v>322</v>
      </c>
      <c r="N504" s="24">
        <v>90</v>
      </c>
      <c r="O504" s="24">
        <v>19</v>
      </c>
      <c r="P504" s="24">
        <v>52</v>
      </c>
      <c r="Q504" s="24">
        <v>897</v>
      </c>
      <c r="R504" s="24">
        <v>32</v>
      </c>
      <c r="S504" s="24">
        <v>935</v>
      </c>
      <c r="T504" s="24">
        <v>54</v>
      </c>
      <c r="U504" s="24">
        <v>428</v>
      </c>
      <c r="V504" s="24">
        <v>452</v>
      </c>
      <c r="W504" s="24">
        <v>24</v>
      </c>
      <c r="X504" s="24">
        <v>503</v>
      </c>
      <c r="Y504" s="24">
        <v>444.5</v>
      </c>
      <c r="Z504" s="24">
        <v>505</v>
      </c>
      <c r="AA504" s="24">
        <v>2</v>
      </c>
    </row>
    <row r="505" spans="1:27">
      <c r="A505" s="24" t="s">
        <v>584</v>
      </c>
      <c r="B505" s="24" t="s">
        <v>17</v>
      </c>
      <c r="C505" s="24" t="s">
        <v>585</v>
      </c>
      <c r="D505" s="24">
        <v>101</v>
      </c>
      <c r="E505" s="24">
        <v>481</v>
      </c>
      <c r="F505" s="24">
        <v>80</v>
      </c>
      <c r="G505" s="24">
        <v>325</v>
      </c>
      <c r="H505" s="24">
        <v>82</v>
      </c>
      <c r="I505" s="24">
        <v>668</v>
      </c>
      <c r="J505" s="24">
        <v>51</v>
      </c>
      <c r="K505" s="24">
        <v>771</v>
      </c>
      <c r="L505" s="24">
        <v>54</v>
      </c>
      <c r="M505" s="24">
        <v>494</v>
      </c>
      <c r="N505" s="24">
        <v>84</v>
      </c>
      <c r="O505" s="24">
        <v>123</v>
      </c>
      <c r="P505" s="24">
        <v>67</v>
      </c>
      <c r="Q505" s="24">
        <v>570</v>
      </c>
      <c r="R505" s="24">
        <v>64</v>
      </c>
      <c r="S505" s="24">
        <v>586</v>
      </c>
      <c r="T505" s="24">
        <v>52</v>
      </c>
      <c r="U505" s="24">
        <v>509</v>
      </c>
      <c r="V505" s="24">
        <v>452</v>
      </c>
      <c r="W505" s="24">
        <v>30</v>
      </c>
      <c r="X505" s="24">
        <v>503</v>
      </c>
      <c r="Y505" s="24">
        <v>454</v>
      </c>
      <c r="Z505" s="24">
        <v>445</v>
      </c>
      <c r="AA505" s="24">
        <v>-58</v>
      </c>
    </row>
    <row r="506" spans="1:27">
      <c r="A506" s="24" t="s">
        <v>1011</v>
      </c>
      <c r="B506" s="24" t="s">
        <v>60</v>
      </c>
      <c r="C506" s="24" t="s">
        <v>1012</v>
      </c>
      <c r="D506" s="24">
        <v>106</v>
      </c>
      <c r="E506" s="24">
        <v>287</v>
      </c>
      <c r="F506" s="24">
        <v>87</v>
      </c>
      <c r="G506" s="24">
        <v>220</v>
      </c>
      <c r="H506" s="24">
        <v>93</v>
      </c>
      <c r="I506" s="24">
        <v>405</v>
      </c>
      <c r="J506" s="24">
        <v>53</v>
      </c>
      <c r="K506" s="24">
        <v>739</v>
      </c>
      <c r="L506" s="24">
        <v>44</v>
      </c>
      <c r="M506" s="24">
        <v>736</v>
      </c>
      <c r="N506" s="24">
        <v>69</v>
      </c>
      <c r="O506" s="24">
        <v>523</v>
      </c>
      <c r="P506" s="24">
        <v>68</v>
      </c>
      <c r="Q506" s="24">
        <v>541</v>
      </c>
      <c r="R506" s="24">
        <v>69</v>
      </c>
      <c r="S506" s="24">
        <v>367</v>
      </c>
      <c r="T506" s="24">
        <v>57</v>
      </c>
      <c r="U506" s="24">
        <v>306</v>
      </c>
      <c r="V506" s="24">
        <v>452</v>
      </c>
      <c r="W506" s="24">
        <v>30</v>
      </c>
      <c r="X506" s="24">
        <v>503</v>
      </c>
      <c r="Y506" s="24">
        <v>423.5</v>
      </c>
      <c r="Z506" s="24">
        <v>616</v>
      </c>
      <c r="AA506" s="24">
        <v>113</v>
      </c>
    </row>
    <row r="507" spans="1:27">
      <c r="A507" s="24" t="s">
        <v>285</v>
      </c>
      <c r="B507" s="24" t="s">
        <v>28</v>
      </c>
      <c r="C507" s="24" t="s">
        <v>286</v>
      </c>
      <c r="D507" s="24">
        <v>99</v>
      </c>
      <c r="E507" s="24">
        <v>571</v>
      </c>
      <c r="F507" s="24">
        <v>68</v>
      </c>
      <c r="G507" s="24">
        <v>540</v>
      </c>
      <c r="H507" s="24">
        <v>89.5</v>
      </c>
      <c r="I507" s="24">
        <v>494</v>
      </c>
      <c r="J507" s="24">
        <v>74</v>
      </c>
      <c r="K507" s="24">
        <v>317</v>
      </c>
      <c r="L507" s="24">
        <v>53</v>
      </c>
      <c r="M507" s="24">
        <v>526</v>
      </c>
      <c r="N507" s="24">
        <v>68</v>
      </c>
      <c r="O507" s="24">
        <v>555</v>
      </c>
      <c r="P507" s="24">
        <v>70</v>
      </c>
      <c r="Q507" s="24">
        <v>473</v>
      </c>
      <c r="R507" s="24">
        <v>62</v>
      </c>
      <c r="S507" s="24">
        <v>672</v>
      </c>
      <c r="T507" s="24">
        <v>52</v>
      </c>
      <c r="U507" s="24">
        <v>509</v>
      </c>
      <c r="V507" s="24">
        <v>451.5</v>
      </c>
      <c r="W507" s="24">
        <v>28</v>
      </c>
      <c r="X507" s="24">
        <v>506</v>
      </c>
      <c r="Y507" s="24">
        <v>463.5</v>
      </c>
      <c r="Z507" s="24">
        <v>395</v>
      </c>
      <c r="AA507" s="24">
        <v>-111</v>
      </c>
    </row>
    <row r="508" spans="1:27">
      <c r="A508" s="24" t="s">
        <v>721</v>
      </c>
      <c r="B508" s="24" t="s">
        <v>117</v>
      </c>
      <c r="C508" s="24" t="s">
        <v>722</v>
      </c>
      <c r="D508" s="24">
        <v>104</v>
      </c>
      <c r="E508" s="24">
        <v>357</v>
      </c>
      <c r="F508" s="24">
        <v>81</v>
      </c>
      <c r="G508" s="24">
        <v>309</v>
      </c>
      <c r="H508" s="24">
        <v>93.5</v>
      </c>
      <c r="I508" s="24">
        <v>393</v>
      </c>
      <c r="J508" s="24">
        <v>55</v>
      </c>
      <c r="K508" s="24">
        <v>694</v>
      </c>
      <c r="L508" s="24">
        <v>53</v>
      </c>
      <c r="M508" s="24">
        <v>526</v>
      </c>
      <c r="N508" s="24">
        <v>65</v>
      </c>
      <c r="O508" s="24">
        <v>643</v>
      </c>
      <c r="P508" s="24">
        <v>63</v>
      </c>
      <c r="Q508" s="24">
        <v>712</v>
      </c>
      <c r="R508" s="24">
        <v>70</v>
      </c>
      <c r="S508" s="24">
        <v>327</v>
      </c>
      <c r="T508" s="24">
        <v>58</v>
      </c>
      <c r="U508" s="24">
        <v>278</v>
      </c>
      <c r="V508" s="24">
        <v>451.5</v>
      </c>
      <c r="W508" s="24">
        <v>29</v>
      </c>
      <c r="X508" s="24">
        <v>506</v>
      </c>
      <c r="Y508" s="24">
        <v>393</v>
      </c>
      <c r="Z508" s="24">
        <v>755</v>
      </c>
      <c r="AA508" s="24">
        <v>249</v>
      </c>
    </row>
    <row r="509" spans="1:27">
      <c r="A509" s="24" t="s">
        <v>2200</v>
      </c>
      <c r="B509" s="24" t="s">
        <v>73</v>
      </c>
      <c r="C509" s="24" t="s">
        <v>2201</v>
      </c>
      <c r="D509" s="24">
        <v>113</v>
      </c>
      <c r="E509" s="24">
        <v>95</v>
      </c>
      <c r="F509" s="24">
        <v>60</v>
      </c>
      <c r="G509" s="24">
        <v>696</v>
      </c>
      <c r="H509" s="24">
        <v>112.5</v>
      </c>
      <c r="I509" s="24">
        <v>77</v>
      </c>
      <c r="J509" s="24">
        <v>62</v>
      </c>
      <c r="K509" s="24">
        <v>564</v>
      </c>
      <c r="L509" s="24">
        <v>48</v>
      </c>
      <c r="M509" s="24">
        <v>649</v>
      </c>
      <c r="N509" s="24">
        <v>56</v>
      </c>
      <c r="O509" s="24">
        <v>816</v>
      </c>
      <c r="P509" s="24">
        <v>64</v>
      </c>
      <c r="Q509" s="24">
        <v>680</v>
      </c>
      <c r="R509" s="24">
        <v>69</v>
      </c>
      <c r="S509" s="24">
        <v>367</v>
      </c>
      <c r="T509" s="24">
        <v>43</v>
      </c>
      <c r="U509" s="24">
        <v>824</v>
      </c>
      <c r="V509" s="24">
        <v>451.5</v>
      </c>
      <c r="W509" s="24">
        <v>27</v>
      </c>
      <c r="X509" s="24">
        <v>506</v>
      </c>
      <c r="Y509" s="24">
        <v>426.5</v>
      </c>
      <c r="Z509" s="24">
        <v>595</v>
      </c>
      <c r="AA509" s="24">
        <v>89</v>
      </c>
    </row>
    <row r="510" spans="1:27">
      <c r="A510" s="24" t="s">
        <v>1225</v>
      </c>
      <c r="B510" s="24" t="s">
        <v>54</v>
      </c>
      <c r="C510" s="24" t="s">
        <v>1226</v>
      </c>
      <c r="D510" s="24">
        <v>97</v>
      </c>
      <c r="E510" s="24">
        <v>645</v>
      </c>
      <c r="F510" s="24">
        <v>81</v>
      </c>
      <c r="G510" s="24">
        <v>309</v>
      </c>
      <c r="H510" s="24">
        <v>96</v>
      </c>
      <c r="I510" s="24">
        <v>346</v>
      </c>
      <c r="J510" s="24">
        <v>51</v>
      </c>
      <c r="K510" s="24">
        <v>771</v>
      </c>
      <c r="L510" s="24">
        <v>56</v>
      </c>
      <c r="M510" s="24">
        <v>433</v>
      </c>
      <c r="N510" s="24">
        <v>70</v>
      </c>
      <c r="O510" s="24">
        <v>485</v>
      </c>
      <c r="P510" s="24">
        <v>89</v>
      </c>
      <c r="Q510" s="24">
        <v>8</v>
      </c>
      <c r="R510" s="24">
        <v>66</v>
      </c>
      <c r="S510" s="24">
        <v>511</v>
      </c>
      <c r="T510" s="24">
        <v>56</v>
      </c>
      <c r="U510" s="24">
        <v>352</v>
      </c>
      <c r="V510" s="24">
        <v>451</v>
      </c>
      <c r="W510" s="24">
        <v>31</v>
      </c>
      <c r="X510" s="24">
        <v>509</v>
      </c>
      <c r="Y510" s="24">
        <v>443.5</v>
      </c>
      <c r="Z510" s="24">
        <v>508</v>
      </c>
      <c r="AA510" s="24">
        <v>-1</v>
      </c>
    </row>
    <row r="511" spans="1:27">
      <c r="A511" s="24" t="s">
        <v>302</v>
      </c>
      <c r="B511" s="24" t="s">
        <v>28</v>
      </c>
      <c r="C511" s="24" t="s">
        <v>303</v>
      </c>
      <c r="D511" s="24">
        <v>101</v>
      </c>
      <c r="E511" s="24">
        <v>481</v>
      </c>
      <c r="F511" s="24">
        <v>86</v>
      </c>
      <c r="G511" s="24">
        <v>233</v>
      </c>
      <c r="H511" s="24">
        <v>96</v>
      </c>
      <c r="I511" s="24">
        <v>346</v>
      </c>
      <c r="J511" s="24">
        <v>64</v>
      </c>
      <c r="K511" s="24">
        <v>517</v>
      </c>
      <c r="L511" s="24">
        <v>42</v>
      </c>
      <c r="M511" s="24">
        <v>774</v>
      </c>
      <c r="N511" s="24">
        <v>62</v>
      </c>
      <c r="O511" s="24">
        <v>716</v>
      </c>
      <c r="P511" s="24">
        <v>78</v>
      </c>
      <c r="Q511" s="24">
        <v>209</v>
      </c>
      <c r="R511" s="24">
        <v>72</v>
      </c>
      <c r="S511" s="24">
        <v>256</v>
      </c>
      <c r="T511" s="24">
        <v>52</v>
      </c>
      <c r="U511" s="24">
        <v>509</v>
      </c>
      <c r="V511" s="24">
        <v>451</v>
      </c>
      <c r="W511" s="24">
        <v>29</v>
      </c>
      <c r="X511" s="24">
        <v>509</v>
      </c>
      <c r="Y511" s="24">
        <v>404.5</v>
      </c>
      <c r="Z511" s="24">
        <v>710</v>
      </c>
      <c r="AA511" s="24">
        <v>201</v>
      </c>
    </row>
    <row r="512" spans="1:27">
      <c r="A512" s="24" t="s">
        <v>1408</v>
      </c>
      <c r="B512" s="24" t="s">
        <v>56</v>
      </c>
      <c r="C512" s="24" t="s">
        <v>1409</v>
      </c>
      <c r="D512" s="24">
        <v>92</v>
      </c>
      <c r="E512" s="24">
        <v>779</v>
      </c>
      <c r="F512" s="24">
        <v>66</v>
      </c>
      <c r="G512" s="24">
        <v>584</v>
      </c>
      <c r="H512" s="24">
        <v>87.5</v>
      </c>
      <c r="I512" s="24">
        <v>542</v>
      </c>
      <c r="J512" s="24">
        <v>69</v>
      </c>
      <c r="K512" s="24">
        <v>428</v>
      </c>
      <c r="L512" s="24">
        <v>54</v>
      </c>
      <c r="M512" s="24">
        <v>494</v>
      </c>
      <c r="N512" s="24">
        <v>82</v>
      </c>
      <c r="O512" s="24">
        <v>166</v>
      </c>
      <c r="P512" s="24">
        <v>57</v>
      </c>
      <c r="Q512" s="24">
        <v>838</v>
      </c>
      <c r="R512" s="24">
        <v>64</v>
      </c>
      <c r="S512" s="24">
        <v>586</v>
      </c>
      <c r="T512" s="24">
        <v>48</v>
      </c>
      <c r="U512" s="24">
        <v>671</v>
      </c>
      <c r="V512" s="24">
        <v>450.5</v>
      </c>
      <c r="W512" s="24">
        <v>27</v>
      </c>
      <c r="X512" s="24">
        <v>511</v>
      </c>
      <c r="Y512" s="24">
        <v>438.5</v>
      </c>
      <c r="Z512" s="24">
        <v>531</v>
      </c>
      <c r="AA512" s="24">
        <v>20</v>
      </c>
    </row>
    <row r="513" spans="1:27">
      <c r="A513" s="24" t="s">
        <v>2414</v>
      </c>
      <c r="B513" s="24" t="s">
        <v>7</v>
      </c>
      <c r="C513" s="24" t="s">
        <v>2421</v>
      </c>
      <c r="D513" s="24">
        <v>95</v>
      </c>
      <c r="E513" s="24">
        <v>710</v>
      </c>
      <c r="F513" s="24">
        <v>75</v>
      </c>
      <c r="G513" s="24">
        <v>409</v>
      </c>
      <c r="H513" s="24">
        <v>80.5</v>
      </c>
      <c r="I513" s="24">
        <v>688</v>
      </c>
      <c r="J513" s="24">
        <v>76</v>
      </c>
      <c r="K513" s="24">
        <v>287</v>
      </c>
      <c r="L513" s="24">
        <v>54</v>
      </c>
      <c r="M513" s="24">
        <v>494</v>
      </c>
      <c r="N513" s="24">
        <v>70</v>
      </c>
      <c r="O513" s="24">
        <v>485</v>
      </c>
      <c r="P513" s="24">
        <v>80</v>
      </c>
      <c r="Q513" s="24">
        <v>151</v>
      </c>
      <c r="R513" s="24">
        <v>54</v>
      </c>
      <c r="S513" s="24">
        <v>855</v>
      </c>
      <c r="T513" s="24">
        <v>58</v>
      </c>
      <c r="U513" s="24">
        <v>278</v>
      </c>
      <c r="V513" s="24">
        <v>450.5</v>
      </c>
      <c r="W513" s="24">
        <v>21</v>
      </c>
      <c r="X513" s="24">
        <v>511</v>
      </c>
      <c r="Y513" s="24">
        <v>473.5</v>
      </c>
      <c r="Z513" s="24">
        <v>342</v>
      </c>
      <c r="AA513" s="24">
        <v>-169</v>
      </c>
    </row>
    <row r="514" spans="1:27">
      <c r="A514" s="24" t="s">
        <v>265</v>
      </c>
      <c r="B514" s="24" t="s">
        <v>28</v>
      </c>
      <c r="C514" s="24" t="s">
        <v>266</v>
      </c>
      <c r="D514" s="24">
        <v>102</v>
      </c>
      <c r="E514" s="24">
        <v>442</v>
      </c>
      <c r="F514" s="24">
        <v>71</v>
      </c>
      <c r="G514" s="24">
        <v>475</v>
      </c>
      <c r="H514" s="24">
        <v>86.5</v>
      </c>
      <c r="I514" s="24">
        <v>566</v>
      </c>
      <c r="J514" s="24">
        <v>69</v>
      </c>
      <c r="K514" s="24">
        <v>428</v>
      </c>
      <c r="L514" s="24">
        <v>58</v>
      </c>
      <c r="M514" s="24">
        <v>377</v>
      </c>
      <c r="N514" s="24">
        <v>64</v>
      </c>
      <c r="O514" s="24">
        <v>667</v>
      </c>
      <c r="P514" s="24">
        <v>65</v>
      </c>
      <c r="Q514" s="24">
        <v>651</v>
      </c>
      <c r="R514" s="24">
        <v>56</v>
      </c>
      <c r="S514" s="24">
        <v>817</v>
      </c>
      <c r="T514" s="24">
        <v>47</v>
      </c>
      <c r="U514" s="24">
        <v>719</v>
      </c>
      <c r="V514" s="24">
        <v>450.5</v>
      </c>
      <c r="W514" s="24">
        <v>30</v>
      </c>
      <c r="X514" s="24">
        <v>511</v>
      </c>
      <c r="Y514" s="24">
        <v>412.5</v>
      </c>
      <c r="Z514" s="24">
        <v>669</v>
      </c>
      <c r="AA514" s="24">
        <v>158</v>
      </c>
    </row>
    <row r="515" spans="1:27">
      <c r="A515" s="24" t="s">
        <v>2370</v>
      </c>
      <c r="B515" s="24" t="s">
        <v>7</v>
      </c>
      <c r="C515" s="24" t="s">
        <v>2380</v>
      </c>
      <c r="D515" s="24">
        <v>108</v>
      </c>
      <c r="E515" s="24">
        <v>212</v>
      </c>
      <c r="F515" s="24">
        <v>65</v>
      </c>
      <c r="G515" s="24">
        <v>604</v>
      </c>
      <c r="H515" s="24">
        <v>74</v>
      </c>
      <c r="I515" s="24">
        <v>792</v>
      </c>
      <c r="J515" s="24">
        <v>78</v>
      </c>
      <c r="K515" s="24">
        <v>250</v>
      </c>
      <c r="L515" s="24">
        <v>50</v>
      </c>
      <c r="M515" s="24">
        <v>599</v>
      </c>
      <c r="N515" s="24">
        <v>75</v>
      </c>
      <c r="O515" s="24">
        <v>342</v>
      </c>
      <c r="P515" s="24">
        <v>71</v>
      </c>
      <c r="Q515" s="24">
        <v>439</v>
      </c>
      <c r="R515" s="24">
        <v>73</v>
      </c>
      <c r="S515" s="24">
        <v>216</v>
      </c>
      <c r="T515" s="24">
        <v>55</v>
      </c>
      <c r="U515" s="24">
        <v>392</v>
      </c>
      <c r="V515" s="24">
        <v>450</v>
      </c>
      <c r="W515" s="24">
        <v>22</v>
      </c>
      <c r="X515" s="24">
        <v>514</v>
      </c>
      <c r="Y515" s="24">
        <v>453.5</v>
      </c>
      <c r="Z515" s="24">
        <v>446</v>
      </c>
      <c r="AA515" s="24">
        <v>-68</v>
      </c>
    </row>
    <row r="516" spans="1:27">
      <c r="A516" s="24" t="s">
        <v>527</v>
      </c>
      <c r="B516" s="24" t="s">
        <v>19</v>
      </c>
      <c r="C516" s="24" t="s">
        <v>3252</v>
      </c>
      <c r="D516" s="24">
        <v>110</v>
      </c>
      <c r="E516" s="24">
        <v>159</v>
      </c>
      <c r="F516" s="24">
        <v>65</v>
      </c>
      <c r="G516" s="24">
        <v>604</v>
      </c>
      <c r="H516" s="24">
        <v>100</v>
      </c>
      <c r="I516" s="24">
        <v>258</v>
      </c>
      <c r="J516" s="24">
        <v>53</v>
      </c>
      <c r="K516" s="24">
        <v>739</v>
      </c>
      <c r="L516" s="24">
        <v>50</v>
      </c>
      <c r="M516" s="24">
        <v>599</v>
      </c>
      <c r="N516" s="24">
        <v>72</v>
      </c>
      <c r="O516" s="24">
        <v>433</v>
      </c>
      <c r="P516" s="24">
        <v>81</v>
      </c>
      <c r="Q516" s="24">
        <v>124</v>
      </c>
      <c r="R516" s="24">
        <v>75</v>
      </c>
      <c r="S516" s="24">
        <v>146</v>
      </c>
      <c r="T516" s="24">
        <v>57</v>
      </c>
      <c r="U516" s="24">
        <v>306</v>
      </c>
      <c r="V516" s="24">
        <v>450</v>
      </c>
      <c r="W516" s="24">
        <v>25</v>
      </c>
      <c r="X516" s="24">
        <v>514</v>
      </c>
      <c r="Y516" s="24">
        <v>444</v>
      </c>
      <c r="Z516" s="24">
        <v>506</v>
      </c>
      <c r="AA516" s="24">
        <v>-8</v>
      </c>
    </row>
    <row r="517" spans="1:27">
      <c r="A517" s="24" t="s">
        <v>452</v>
      </c>
      <c r="B517" s="24" t="s">
        <v>19</v>
      </c>
      <c r="C517" s="24" t="s">
        <v>456</v>
      </c>
      <c r="D517" s="24">
        <v>112</v>
      </c>
      <c r="E517" s="24">
        <v>114</v>
      </c>
      <c r="F517" s="24">
        <v>56</v>
      </c>
      <c r="G517" s="24">
        <v>755</v>
      </c>
      <c r="H517" s="24">
        <v>84.5</v>
      </c>
      <c r="I517" s="24">
        <v>607</v>
      </c>
      <c r="J517" s="24">
        <v>63</v>
      </c>
      <c r="K517" s="24">
        <v>540</v>
      </c>
      <c r="L517" s="24">
        <v>58</v>
      </c>
      <c r="M517" s="24">
        <v>377</v>
      </c>
      <c r="N517" s="24">
        <v>76</v>
      </c>
      <c r="O517" s="24">
        <v>308</v>
      </c>
      <c r="P517" s="24">
        <v>88</v>
      </c>
      <c r="Q517" s="24">
        <v>15</v>
      </c>
      <c r="R517" s="24">
        <v>68</v>
      </c>
      <c r="S517" s="24">
        <v>412</v>
      </c>
      <c r="T517" s="24">
        <v>56</v>
      </c>
      <c r="U517" s="24">
        <v>352</v>
      </c>
      <c r="V517" s="24">
        <v>449.5</v>
      </c>
      <c r="W517" s="24">
        <v>26</v>
      </c>
      <c r="X517" s="24">
        <v>516</v>
      </c>
      <c r="Y517" s="24">
        <v>480</v>
      </c>
      <c r="Z517" s="24">
        <v>309</v>
      </c>
      <c r="AA517" s="24">
        <v>-207</v>
      </c>
    </row>
    <row r="518" spans="1:27">
      <c r="A518" s="24" t="s">
        <v>2243</v>
      </c>
      <c r="B518" s="24" t="s">
        <v>73</v>
      </c>
      <c r="C518" s="24" t="s">
        <v>2244</v>
      </c>
      <c r="D518" s="24">
        <v>108</v>
      </c>
      <c r="E518" s="24">
        <v>212</v>
      </c>
      <c r="F518" s="24">
        <v>60</v>
      </c>
      <c r="G518" s="24">
        <v>696</v>
      </c>
      <c r="H518" s="24">
        <v>86.5</v>
      </c>
      <c r="I518" s="24">
        <v>566</v>
      </c>
      <c r="J518" s="24">
        <v>71</v>
      </c>
      <c r="K518" s="24">
        <v>378</v>
      </c>
      <c r="L518" s="24">
        <v>51</v>
      </c>
      <c r="M518" s="24">
        <v>571</v>
      </c>
      <c r="N518" s="24">
        <v>73</v>
      </c>
      <c r="O518" s="24">
        <v>393</v>
      </c>
      <c r="P518" s="24">
        <v>67</v>
      </c>
      <c r="Q518" s="24">
        <v>570</v>
      </c>
      <c r="R518" s="24">
        <v>72</v>
      </c>
      <c r="S518" s="24">
        <v>256</v>
      </c>
      <c r="T518" s="24">
        <v>54</v>
      </c>
      <c r="U518" s="24">
        <v>428</v>
      </c>
      <c r="V518" s="24">
        <v>449.5</v>
      </c>
      <c r="W518" s="24">
        <v>28</v>
      </c>
      <c r="X518" s="24">
        <v>516</v>
      </c>
      <c r="Y518" s="24">
        <v>437</v>
      </c>
      <c r="Z518" s="24">
        <v>536</v>
      </c>
      <c r="AA518" s="24">
        <v>20</v>
      </c>
    </row>
    <row r="519" spans="1:27">
      <c r="A519" s="24" t="s">
        <v>2791</v>
      </c>
      <c r="B519" s="24" t="s">
        <v>38</v>
      </c>
      <c r="C519" s="24" t="s">
        <v>2792</v>
      </c>
      <c r="D519" s="24">
        <v>101</v>
      </c>
      <c r="E519" s="24">
        <v>481</v>
      </c>
      <c r="F519" s="24">
        <v>60</v>
      </c>
      <c r="G519" s="24">
        <v>696</v>
      </c>
      <c r="H519" s="24">
        <v>91.5</v>
      </c>
      <c r="I519" s="24">
        <v>444</v>
      </c>
      <c r="J519" s="24">
        <v>74</v>
      </c>
      <c r="K519" s="24">
        <v>317</v>
      </c>
      <c r="L519" s="24">
        <v>51</v>
      </c>
      <c r="M519" s="24">
        <v>571</v>
      </c>
      <c r="N519" s="24">
        <v>72</v>
      </c>
      <c r="O519" s="24">
        <v>433</v>
      </c>
      <c r="P519" s="24">
        <v>75</v>
      </c>
      <c r="Q519" s="24">
        <v>289</v>
      </c>
      <c r="R519" s="24">
        <v>72</v>
      </c>
      <c r="S519" s="24">
        <v>256</v>
      </c>
      <c r="T519" s="24">
        <v>56</v>
      </c>
      <c r="U519" s="24">
        <v>352</v>
      </c>
      <c r="V519" s="24">
        <v>449.5</v>
      </c>
      <c r="W519" s="24">
        <v>23</v>
      </c>
      <c r="X519" s="24">
        <v>516</v>
      </c>
      <c r="Y519" s="24">
        <v>442.5</v>
      </c>
      <c r="Z519" s="24">
        <v>516</v>
      </c>
      <c r="AA519" s="24">
        <v>0</v>
      </c>
    </row>
    <row r="520" spans="1:27">
      <c r="A520" s="24" t="s">
        <v>2220</v>
      </c>
      <c r="B520" s="24" t="s">
        <v>73</v>
      </c>
      <c r="C520" s="24" t="s">
        <v>2221</v>
      </c>
      <c r="D520" s="24">
        <v>110</v>
      </c>
      <c r="E520" s="24">
        <v>159</v>
      </c>
      <c r="F520" s="24">
        <v>73</v>
      </c>
      <c r="G520" s="24">
        <v>438</v>
      </c>
      <c r="H520" s="24">
        <v>86.5</v>
      </c>
      <c r="I520" s="24">
        <v>566</v>
      </c>
      <c r="J520" s="24">
        <v>53</v>
      </c>
      <c r="K520" s="24">
        <v>739</v>
      </c>
      <c r="L520" s="24">
        <v>59</v>
      </c>
      <c r="M520" s="24">
        <v>348</v>
      </c>
      <c r="N520" s="24">
        <v>68</v>
      </c>
      <c r="O520" s="24">
        <v>555</v>
      </c>
      <c r="P520" s="24">
        <v>65</v>
      </c>
      <c r="Q520" s="24">
        <v>651</v>
      </c>
      <c r="R520" s="24">
        <v>69</v>
      </c>
      <c r="S520" s="24">
        <v>367</v>
      </c>
      <c r="T520" s="24">
        <v>50</v>
      </c>
      <c r="U520" s="24">
        <v>591</v>
      </c>
      <c r="V520" s="24">
        <v>449.5</v>
      </c>
      <c r="W520" s="24">
        <v>28</v>
      </c>
      <c r="X520" s="24">
        <v>516</v>
      </c>
      <c r="Y520" s="24">
        <v>421.5</v>
      </c>
      <c r="Z520" s="24">
        <v>627</v>
      </c>
      <c r="AA520" s="24">
        <v>111</v>
      </c>
    </row>
    <row r="521" spans="1:27">
      <c r="A521" s="24" t="s">
        <v>515</v>
      </c>
      <c r="B521" s="24" t="s">
        <v>19</v>
      </c>
      <c r="C521" s="24" t="s">
        <v>525</v>
      </c>
      <c r="D521" s="24">
        <v>99</v>
      </c>
      <c r="E521" s="24">
        <v>571</v>
      </c>
      <c r="F521" s="24">
        <v>87</v>
      </c>
      <c r="G521" s="24">
        <v>220</v>
      </c>
      <c r="H521" s="24">
        <v>72.5</v>
      </c>
      <c r="I521" s="24">
        <v>814</v>
      </c>
      <c r="J521" s="24">
        <v>69</v>
      </c>
      <c r="K521" s="24">
        <v>428</v>
      </c>
      <c r="L521" s="24">
        <v>62</v>
      </c>
      <c r="M521" s="24">
        <v>277</v>
      </c>
      <c r="N521" s="24">
        <v>60</v>
      </c>
      <c r="O521" s="24">
        <v>748</v>
      </c>
      <c r="P521" s="24">
        <v>75</v>
      </c>
      <c r="Q521" s="24">
        <v>289</v>
      </c>
      <c r="R521" s="24">
        <v>64</v>
      </c>
      <c r="S521" s="24">
        <v>586</v>
      </c>
      <c r="T521" s="24">
        <v>51</v>
      </c>
      <c r="U521" s="24">
        <v>555</v>
      </c>
      <c r="V521" s="24">
        <v>449.5</v>
      </c>
      <c r="W521" s="24">
        <v>26</v>
      </c>
      <c r="X521" s="24">
        <v>516</v>
      </c>
      <c r="Y521" s="24">
        <v>465</v>
      </c>
      <c r="Z521" s="24">
        <v>391</v>
      </c>
      <c r="AA521" s="24">
        <v>-125</v>
      </c>
    </row>
    <row r="522" spans="1:27">
      <c r="A522" s="24" t="s">
        <v>2536</v>
      </c>
      <c r="B522" s="24" t="s">
        <v>131</v>
      </c>
      <c r="C522" s="24" t="s">
        <v>2537</v>
      </c>
      <c r="D522" s="24">
        <v>83</v>
      </c>
      <c r="E522" s="24">
        <v>897</v>
      </c>
      <c r="F522" s="24">
        <v>67</v>
      </c>
      <c r="G522" s="24">
        <v>565</v>
      </c>
      <c r="H522" s="24">
        <v>84.5</v>
      </c>
      <c r="I522" s="24">
        <v>607</v>
      </c>
      <c r="J522" s="24">
        <v>89</v>
      </c>
      <c r="K522" s="24">
        <v>97</v>
      </c>
      <c r="L522" s="24">
        <v>67</v>
      </c>
      <c r="M522" s="24">
        <v>177</v>
      </c>
      <c r="N522" s="24">
        <v>59</v>
      </c>
      <c r="O522" s="24">
        <v>762</v>
      </c>
      <c r="P522" s="24">
        <v>62</v>
      </c>
      <c r="Q522" s="24">
        <v>729</v>
      </c>
      <c r="R522" s="24">
        <v>55</v>
      </c>
      <c r="S522" s="24">
        <v>835</v>
      </c>
      <c r="T522" s="24">
        <v>60</v>
      </c>
      <c r="U522" s="24">
        <v>203</v>
      </c>
      <c r="V522" s="24">
        <v>449.5</v>
      </c>
      <c r="W522" s="24">
        <v>27</v>
      </c>
      <c r="X522" s="24">
        <v>516</v>
      </c>
      <c r="Y522" s="24">
        <v>372</v>
      </c>
      <c r="Z522" s="24">
        <v>832</v>
      </c>
      <c r="AA522" s="24">
        <v>316</v>
      </c>
    </row>
    <row r="523" spans="1:27">
      <c r="A523" s="24" t="s">
        <v>2303</v>
      </c>
      <c r="B523" s="24" t="s">
        <v>7</v>
      </c>
      <c r="C523" s="24" t="s">
        <v>2304</v>
      </c>
      <c r="D523" s="24">
        <v>89</v>
      </c>
      <c r="E523" s="24">
        <v>835</v>
      </c>
      <c r="F523" s="24">
        <v>59</v>
      </c>
      <c r="G523" s="24">
        <v>721</v>
      </c>
      <c r="H523" s="24">
        <v>66</v>
      </c>
      <c r="I523" s="24">
        <v>877</v>
      </c>
      <c r="J523" s="24">
        <v>86</v>
      </c>
      <c r="K523" s="24">
        <v>126</v>
      </c>
      <c r="L523" s="24">
        <v>67</v>
      </c>
      <c r="M523" s="24">
        <v>177</v>
      </c>
      <c r="N523" s="24">
        <v>82</v>
      </c>
      <c r="O523" s="24">
        <v>166</v>
      </c>
      <c r="P523" s="24">
        <v>87</v>
      </c>
      <c r="Q523" s="24">
        <v>25</v>
      </c>
      <c r="R523" s="24">
        <v>67</v>
      </c>
      <c r="S523" s="24">
        <v>471</v>
      </c>
      <c r="T523" s="24">
        <v>50</v>
      </c>
      <c r="U523" s="24">
        <v>591</v>
      </c>
      <c r="V523" s="24">
        <v>449</v>
      </c>
      <c r="W523" s="24">
        <v>23</v>
      </c>
      <c r="X523" s="24">
        <v>522</v>
      </c>
      <c r="Y523" s="24">
        <v>433.5</v>
      </c>
      <c r="Z523" s="24">
        <v>554</v>
      </c>
      <c r="AA523" s="24">
        <v>32</v>
      </c>
    </row>
    <row r="524" spans="1:27">
      <c r="A524" s="24" t="s">
        <v>804</v>
      </c>
      <c r="B524" s="24" t="s">
        <v>117</v>
      </c>
      <c r="C524" s="24" t="s">
        <v>805</v>
      </c>
      <c r="D524" s="24">
        <v>98</v>
      </c>
      <c r="E524" s="24">
        <v>611</v>
      </c>
      <c r="F524" s="24">
        <v>53</v>
      </c>
      <c r="G524" s="24">
        <v>792</v>
      </c>
      <c r="H524" s="24">
        <v>98</v>
      </c>
      <c r="I524" s="24">
        <v>294</v>
      </c>
      <c r="J524" s="24">
        <v>64</v>
      </c>
      <c r="K524" s="24">
        <v>517</v>
      </c>
      <c r="L524" s="24">
        <v>56</v>
      </c>
      <c r="M524" s="24">
        <v>433</v>
      </c>
      <c r="N524" s="24">
        <v>80</v>
      </c>
      <c r="O524" s="24">
        <v>205</v>
      </c>
      <c r="P524" s="24">
        <v>78</v>
      </c>
      <c r="Q524" s="24">
        <v>209</v>
      </c>
      <c r="R524" s="24">
        <v>74</v>
      </c>
      <c r="S524" s="24">
        <v>174</v>
      </c>
      <c r="T524" s="24">
        <v>61</v>
      </c>
      <c r="U524" s="24">
        <v>172</v>
      </c>
      <c r="V524" s="24">
        <v>449</v>
      </c>
      <c r="W524" s="24">
        <v>30</v>
      </c>
      <c r="X524" s="24">
        <v>522</v>
      </c>
      <c r="Y524" s="24">
        <v>434.5</v>
      </c>
      <c r="Z524" s="24">
        <v>547</v>
      </c>
      <c r="AA524" s="24">
        <v>25</v>
      </c>
    </row>
    <row r="525" spans="1:27">
      <c r="A525" s="24" t="s">
        <v>1032</v>
      </c>
      <c r="B525" s="24" t="s">
        <v>68</v>
      </c>
      <c r="C525" s="24" t="s">
        <v>1033</v>
      </c>
      <c r="D525" s="24">
        <v>99</v>
      </c>
      <c r="E525" s="24">
        <v>571</v>
      </c>
      <c r="F525" s="24">
        <v>73</v>
      </c>
      <c r="G525" s="24">
        <v>438</v>
      </c>
      <c r="H525" s="24">
        <v>97</v>
      </c>
      <c r="I525" s="24">
        <v>327</v>
      </c>
      <c r="J525" s="24">
        <v>53</v>
      </c>
      <c r="K525" s="24">
        <v>739</v>
      </c>
      <c r="L525" s="24">
        <v>67</v>
      </c>
      <c r="M525" s="24">
        <v>177</v>
      </c>
      <c r="N525" s="24">
        <v>60</v>
      </c>
      <c r="O525" s="24">
        <v>748</v>
      </c>
      <c r="P525" s="24">
        <v>66</v>
      </c>
      <c r="Q525" s="24">
        <v>604</v>
      </c>
      <c r="R525" s="24">
        <v>71</v>
      </c>
      <c r="S525" s="24">
        <v>290</v>
      </c>
      <c r="T525" s="24">
        <v>40</v>
      </c>
      <c r="U525" s="24">
        <v>881</v>
      </c>
      <c r="V525" s="24">
        <v>449</v>
      </c>
      <c r="W525" s="24">
        <v>28</v>
      </c>
      <c r="X525" s="24">
        <v>522</v>
      </c>
      <c r="Y525" s="24">
        <v>410.5</v>
      </c>
      <c r="Z525" s="24">
        <v>681</v>
      </c>
      <c r="AA525" s="24">
        <v>159</v>
      </c>
    </row>
    <row r="526" spans="1:27">
      <c r="A526" s="24" t="s">
        <v>2385</v>
      </c>
      <c r="B526" s="24" t="s">
        <v>7</v>
      </c>
      <c r="C526" s="24" t="s">
        <v>2395</v>
      </c>
      <c r="D526" s="24">
        <v>105</v>
      </c>
      <c r="E526" s="24">
        <v>325</v>
      </c>
      <c r="F526" s="24">
        <v>63</v>
      </c>
      <c r="G526" s="24">
        <v>642</v>
      </c>
      <c r="H526" s="24">
        <v>76.5</v>
      </c>
      <c r="I526" s="24">
        <v>751</v>
      </c>
      <c r="J526" s="24">
        <v>79</v>
      </c>
      <c r="K526" s="24">
        <v>228</v>
      </c>
      <c r="L526" s="24">
        <v>55</v>
      </c>
      <c r="M526" s="24">
        <v>470</v>
      </c>
      <c r="N526" s="24">
        <v>70</v>
      </c>
      <c r="O526" s="24">
        <v>485</v>
      </c>
      <c r="P526" s="24">
        <v>82</v>
      </c>
      <c r="Q526" s="24">
        <v>100</v>
      </c>
      <c r="R526" s="24">
        <v>78</v>
      </c>
      <c r="S526" s="24">
        <v>86</v>
      </c>
      <c r="T526" s="24">
        <v>56</v>
      </c>
      <c r="U526" s="24">
        <v>352</v>
      </c>
      <c r="V526" s="24">
        <v>448.5</v>
      </c>
      <c r="W526" s="24">
        <v>24</v>
      </c>
      <c r="X526" s="24">
        <v>525</v>
      </c>
      <c r="Y526" s="24">
        <v>500.5</v>
      </c>
      <c r="Z526" s="24">
        <v>207</v>
      </c>
      <c r="AA526" s="24">
        <v>-318</v>
      </c>
    </row>
    <row r="527" spans="1:27">
      <c r="A527" s="24" t="s">
        <v>2186</v>
      </c>
      <c r="B527" s="24" t="s">
        <v>73</v>
      </c>
      <c r="C527" s="24" t="s">
        <v>138</v>
      </c>
      <c r="D527" s="24">
        <v>103</v>
      </c>
      <c r="E527" s="24">
        <v>400</v>
      </c>
      <c r="F527" s="24">
        <v>61</v>
      </c>
      <c r="G527" s="24">
        <v>678</v>
      </c>
      <c r="H527" s="24">
        <v>108.5</v>
      </c>
      <c r="I527" s="24">
        <v>123</v>
      </c>
      <c r="J527" s="24">
        <v>51</v>
      </c>
      <c r="K527" s="24">
        <v>771</v>
      </c>
      <c r="L527" s="24">
        <v>57</v>
      </c>
      <c r="M527" s="24">
        <v>409</v>
      </c>
      <c r="N527" s="24">
        <v>68</v>
      </c>
      <c r="O527" s="24">
        <v>555</v>
      </c>
      <c r="P527" s="24">
        <v>66</v>
      </c>
      <c r="Q527" s="24">
        <v>604</v>
      </c>
      <c r="R527" s="24">
        <v>69</v>
      </c>
      <c r="S527" s="24">
        <v>367</v>
      </c>
      <c r="T527" s="24">
        <v>55</v>
      </c>
      <c r="U527" s="24">
        <v>392</v>
      </c>
      <c r="V527" s="24">
        <v>448.5</v>
      </c>
      <c r="W527" s="24">
        <v>30</v>
      </c>
      <c r="X527" s="24">
        <v>525</v>
      </c>
      <c r="Y527" s="24">
        <v>474.5</v>
      </c>
      <c r="Z527" s="24">
        <v>331</v>
      </c>
      <c r="AA527" s="24">
        <v>-194</v>
      </c>
    </row>
    <row r="528" spans="1:27">
      <c r="A528" s="24" t="s">
        <v>2846</v>
      </c>
      <c r="B528" s="24" t="s">
        <v>38</v>
      </c>
      <c r="C528" s="24" t="s">
        <v>2847</v>
      </c>
      <c r="D528" s="24">
        <v>97</v>
      </c>
      <c r="E528" s="24">
        <v>645</v>
      </c>
      <c r="F528" s="24">
        <v>83</v>
      </c>
      <c r="G528" s="24">
        <v>267</v>
      </c>
      <c r="H528" s="24">
        <v>82.5</v>
      </c>
      <c r="I528" s="24">
        <v>658</v>
      </c>
      <c r="J528" s="24">
        <v>71</v>
      </c>
      <c r="K528" s="24">
        <v>378</v>
      </c>
      <c r="L528" s="24">
        <v>49</v>
      </c>
      <c r="M528" s="24">
        <v>624</v>
      </c>
      <c r="N528" s="24">
        <v>66</v>
      </c>
      <c r="O528" s="24">
        <v>611</v>
      </c>
      <c r="P528" s="24">
        <v>45</v>
      </c>
      <c r="Q528" s="24">
        <v>929</v>
      </c>
      <c r="R528" s="24">
        <v>61</v>
      </c>
      <c r="S528" s="24">
        <v>703</v>
      </c>
      <c r="T528" s="24">
        <v>51</v>
      </c>
      <c r="U528" s="24">
        <v>555</v>
      </c>
      <c r="V528" s="24">
        <v>448.5</v>
      </c>
      <c r="W528" s="24">
        <v>24</v>
      </c>
      <c r="X528" s="24">
        <v>525</v>
      </c>
      <c r="Y528" s="24">
        <v>436.5</v>
      </c>
      <c r="Z528" s="24">
        <v>538</v>
      </c>
      <c r="AA528" s="24">
        <v>13</v>
      </c>
    </row>
    <row r="529" spans="1:27">
      <c r="A529" s="24" t="s">
        <v>390</v>
      </c>
      <c r="B529" s="24" t="s">
        <v>19</v>
      </c>
      <c r="C529" s="24" t="s">
        <v>391</v>
      </c>
      <c r="D529" s="24">
        <v>104</v>
      </c>
      <c r="E529" s="24">
        <v>357</v>
      </c>
      <c r="F529" s="24">
        <v>87</v>
      </c>
      <c r="G529" s="24">
        <v>220</v>
      </c>
      <c r="H529" s="24">
        <v>81</v>
      </c>
      <c r="I529" s="24">
        <v>680</v>
      </c>
      <c r="J529" s="24">
        <v>55</v>
      </c>
      <c r="K529" s="24">
        <v>694</v>
      </c>
      <c r="L529" s="24">
        <v>47</v>
      </c>
      <c r="M529" s="24">
        <v>673</v>
      </c>
      <c r="N529" s="24">
        <v>74</v>
      </c>
      <c r="O529" s="24">
        <v>366</v>
      </c>
      <c r="P529" s="24">
        <v>78</v>
      </c>
      <c r="Q529" s="24">
        <v>209</v>
      </c>
      <c r="R529" s="24">
        <v>66</v>
      </c>
      <c r="S529" s="24">
        <v>511</v>
      </c>
      <c r="T529" s="24">
        <v>51</v>
      </c>
      <c r="U529" s="24">
        <v>555</v>
      </c>
      <c r="V529" s="24">
        <v>448</v>
      </c>
      <c r="W529" s="24">
        <v>28</v>
      </c>
      <c r="X529" s="24">
        <v>528</v>
      </c>
      <c r="Y529" s="24">
        <v>419.5</v>
      </c>
      <c r="Z529" s="24">
        <v>645</v>
      </c>
      <c r="AA529" s="24">
        <v>117</v>
      </c>
    </row>
    <row r="530" spans="1:27">
      <c r="A530" s="24" t="s">
        <v>482</v>
      </c>
      <c r="B530" s="24" t="s">
        <v>19</v>
      </c>
      <c r="C530" s="24" t="s">
        <v>1768</v>
      </c>
      <c r="D530" s="24">
        <v>113</v>
      </c>
      <c r="E530" s="24">
        <v>95</v>
      </c>
      <c r="F530" s="24">
        <v>84</v>
      </c>
      <c r="G530" s="24">
        <v>251</v>
      </c>
      <c r="H530" s="24">
        <v>82</v>
      </c>
      <c r="I530" s="24">
        <v>668</v>
      </c>
      <c r="J530" s="24">
        <v>65</v>
      </c>
      <c r="K530" s="24">
        <v>501</v>
      </c>
      <c r="L530" s="24">
        <v>40</v>
      </c>
      <c r="M530" s="24">
        <v>811</v>
      </c>
      <c r="N530" s="24">
        <v>64</v>
      </c>
      <c r="O530" s="24">
        <v>667</v>
      </c>
      <c r="P530" s="24">
        <v>57</v>
      </c>
      <c r="Q530" s="24">
        <v>838</v>
      </c>
      <c r="R530" s="24">
        <v>54</v>
      </c>
      <c r="S530" s="24">
        <v>855</v>
      </c>
      <c r="T530" s="24">
        <v>46</v>
      </c>
      <c r="U530" s="24">
        <v>755</v>
      </c>
      <c r="V530" s="24">
        <v>448</v>
      </c>
      <c r="W530" s="24">
        <v>28</v>
      </c>
      <c r="X530" s="24">
        <v>528</v>
      </c>
      <c r="Y530" s="24">
        <v>423</v>
      </c>
      <c r="Z530" s="24">
        <v>618</v>
      </c>
      <c r="AA530" s="24">
        <v>90</v>
      </c>
    </row>
    <row r="531" spans="1:27">
      <c r="A531" s="24" t="s">
        <v>2030</v>
      </c>
      <c r="B531" s="24" t="s">
        <v>109</v>
      </c>
      <c r="C531" s="24" t="s">
        <v>2031</v>
      </c>
      <c r="D531" s="24">
        <v>106</v>
      </c>
      <c r="E531" s="24">
        <v>287</v>
      </c>
      <c r="F531" s="24">
        <v>48</v>
      </c>
      <c r="G531" s="24">
        <v>848</v>
      </c>
      <c r="H531" s="24">
        <v>112.5</v>
      </c>
      <c r="I531" s="24">
        <v>77</v>
      </c>
      <c r="J531" s="24">
        <v>56</v>
      </c>
      <c r="K531" s="24">
        <v>682</v>
      </c>
      <c r="L531" s="24">
        <v>56</v>
      </c>
      <c r="M531" s="24">
        <v>433</v>
      </c>
      <c r="N531" s="24">
        <v>69</v>
      </c>
      <c r="O531" s="24">
        <v>523</v>
      </c>
      <c r="P531" s="24">
        <v>55</v>
      </c>
      <c r="Q531" s="24">
        <v>868</v>
      </c>
      <c r="R531" s="24">
        <v>52</v>
      </c>
      <c r="S531" s="24">
        <v>879</v>
      </c>
      <c r="T531" s="24">
        <v>42</v>
      </c>
      <c r="U531" s="24">
        <v>845</v>
      </c>
      <c r="V531" s="24">
        <v>447.5</v>
      </c>
      <c r="W531" s="24">
        <v>30</v>
      </c>
      <c r="X531" s="24">
        <v>530</v>
      </c>
      <c r="Y531" s="24">
        <v>379.5</v>
      </c>
      <c r="Z531" s="24">
        <v>807</v>
      </c>
      <c r="AA531" s="24">
        <v>277</v>
      </c>
    </row>
    <row r="532" spans="1:27">
      <c r="A532" s="24" t="s">
        <v>1219</v>
      </c>
      <c r="B532" s="24" t="s">
        <v>54</v>
      </c>
      <c r="C532" s="24" t="s">
        <v>3251</v>
      </c>
      <c r="D532" s="24">
        <v>96</v>
      </c>
      <c r="E532" s="24">
        <v>676</v>
      </c>
      <c r="F532" s="24">
        <v>70</v>
      </c>
      <c r="G532" s="24">
        <v>505</v>
      </c>
      <c r="H532" s="24">
        <v>92</v>
      </c>
      <c r="I532" s="24">
        <v>426</v>
      </c>
      <c r="J532" s="24">
        <v>77</v>
      </c>
      <c r="K532" s="24">
        <v>274</v>
      </c>
      <c r="L532" s="24">
        <v>41</v>
      </c>
      <c r="M532" s="24">
        <v>795</v>
      </c>
      <c r="N532" s="24">
        <v>71</v>
      </c>
      <c r="O532" s="24">
        <v>462</v>
      </c>
      <c r="P532" s="24">
        <v>61</v>
      </c>
      <c r="Q532" s="24">
        <v>754</v>
      </c>
      <c r="R532" s="24">
        <v>72</v>
      </c>
      <c r="S532" s="24">
        <v>256</v>
      </c>
      <c r="T532" s="24">
        <v>54</v>
      </c>
      <c r="U532" s="24">
        <v>428</v>
      </c>
      <c r="V532" s="24">
        <v>447</v>
      </c>
      <c r="W532" s="24">
        <v>32</v>
      </c>
      <c r="X532" s="24">
        <v>531</v>
      </c>
      <c r="Y532" s="24">
        <v>443.5</v>
      </c>
      <c r="Z532" s="24">
        <v>508</v>
      </c>
      <c r="AA532" s="24">
        <v>-23</v>
      </c>
    </row>
    <row r="533" spans="1:27">
      <c r="A533" s="24" t="s">
        <v>2106</v>
      </c>
      <c r="B533" s="24" t="s">
        <v>73</v>
      </c>
      <c r="C533" s="24" t="s">
        <v>2107</v>
      </c>
      <c r="D533" s="24">
        <v>93</v>
      </c>
      <c r="E533" s="24">
        <v>755</v>
      </c>
      <c r="F533" s="24">
        <v>67</v>
      </c>
      <c r="G533" s="24">
        <v>565</v>
      </c>
      <c r="H533" s="24">
        <v>111</v>
      </c>
      <c r="I533" s="24">
        <v>95</v>
      </c>
      <c r="J533" s="24">
        <v>53</v>
      </c>
      <c r="K533" s="24">
        <v>739</v>
      </c>
      <c r="L533" s="24">
        <v>57</v>
      </c>
      <c r="M533" s="24">
        <v>409</v>
      </c>
      <c r="N533" s="24">
        <v>66</v>
      </c>
      <c r="O533" s="24">
        <v>611</v>
      </c>
      <c r="P533" s="24">
        <v>65</v>
      </c>
      <c r="Q533" s="24">
        <v>651</v>
      </c>
      <c r="R533" s="24">
        <v>73</v>
      </c>
      <c r="S533" s="24">
        <v>216</v>
      </c>
      <c r="T533" s="24">
        <v>54</v>
      </c>
      <c r="U533" s="24">
        <v>428</v>
      </c>
      <c r="V533" s="24">
        <v>447</v>
      </c>
      <c r="W533" s="24">
        <v>31</v>
      </c>
      <c r="X533" s="24">
        <v>531</v>
      </c>
      <c r="Y533" s="24">
        <v>504</v>
      </c>
      <c r="Z533" s="24">
        <v>193</v>
      </c>
      <c r="AA533" s="24">
        <v>-338</v>
      </c>
    </row>
    <row r="534" spans="1:27">
      <c r="A534" s="24" t="s">
        <v>554</v>
      </c>
      <c r="B534" s="24" t="s">
        <v>17</v>
      </c>
      <c r="C534" s="24" t="s">
        <v>555</v>
      </c>
      <c r="D534" s="24">
        <v>97</v>
      </c>
      <c r="E534" s="24">
        <v>645</v>
      </c>
      <c r="F534" s="24">
        <v>77</v>
      </c>
      <c r="G534" s="24">
        <v>369</v>
      </c>
      <c r="H534" s="24">
        <v>85</v>
      </c>
      <c r="I534" s="24">
        <v>593</v>
      </c>
      <c r="J534" s="24">
        <v>71</v>
      </c>
      <c r="K534" s="24">
        <v>378</v>
      </c>
      <c r="L534" s="24">
        <v>51</v>
      </c>
      <c r="M534" s="24">
        <v>571</v>
      </c>
      <c r="N534" s="24">
        <v>66</v>
      </c>
      <c r="O534" s="24">
        <v>611</v>
      </c>
      <c r="P534" s="24">
        <v>60</v>
      </c>
      <c r="Q534" s="24">
        <v>777</v>
      </c>
      <c r="R534" s="24">
        <v>60</v>
      </c>
      <c r="S534" s="24">
        <v>727</v>
      </c>
      <c r="T534" s="24">
        <v>46</v>
      </c>
      <c r="U534" s="24">
        <v>755</v>
      </c>
      <c r="V534" s="24">
        <v>447</v>
      </c>
      <c r="W534" s="24">
        <v>31</v>
      </c>
      <c r="X534" s="24">
        <v>531</v>
      </c>
      <c r="Y534" s="24">
        <v>449.5</v>
      </c>
      <c r="Z534" s="24">
        <v>468</v>
      </c>
      <c r="AA534" s="24">
        <v>-63</v>
      </c>
    </row>
    <row r="535" spans="1:27">
      <c r="A535" s="24" t="s">
        <v>1490</v>
      </c>
      <c r="B535" s="24" t="s">
        <v>56</v>
      </c>
      <c r="C535" s="24" t="s">
        <v>1491</v>
      </c>
      <c r="D535" s="24">
        <v>96</v>
      </c>
      <c r="E535" s="24">
        <v>676</v>
      </c>
      <c r="F535" s="24">
        <v>66</v>
      </c>
      <c r="G535" s="24">
        <v>584</v>
      </c>
      <c r="H535" s="24">
        <v>85.5</v>
      </c>
      <c r="I535" s="24">
        <v>586</v>
      </c>
      <c r="J535" s="24">
        <v>70</v>
      </c>
      <c r="K535" s="24">
        <v>400</v>
      </c>
      <c r="L535" s="24">
        <v>46</v>
      </c>
      <c r="M535" s="24">
        <v>702</v>
      </c>
      <c r="N535" s="24">
        <v>83</v>
      </c>
      <c r="O535" s="24">
        <v>145</v>
      </c>
      <c r="P535" s="24">
        <v>65</v>
      </c>
      <c r="Q535" s="24">
        <v>651</v>
      </c>
      <c r="R535" s="24">
        <v>49</v>
      </c>
      <c r="S535" s="24">
        <v>904</v>
      </c>
      <c r="T535" s="24">
        <v>44</v>
      </c>
      <c r="U535" s="24">
        <v>804</v>
      </c>
      <c r="V535" s="24">
        <v>446.5</v>
      </c>
      <c r="W535" s="24">
        <v>28</v>
      </c>
      <c r="X535" s="24">
        <v>534</v>
      </c>
      <c r="Y535" s="24">
        <v>420.5</v>
      </c>
      <c r="Z535" s="24">
        <v>639</v>
      </c>
      <c r="AA535" s="24">
        <v>105</v>
      </c>
    </row>
    <row r="536" spans="1:27">
      <c r="A536" s="24" t="s">
        <v>2680</v>
      </c>
      <c r="B536" s="24" t="s">
        <v>49</v>
      </c>
      <c r="C536" s="24" t="s">
        <v>2681</v>
      </c>
      <c r="D536" s="24">
        <v>95</v>
      </c>
      <c r="E536" s="24">
        <v>710</v>
      </c>
      <c r="F536" s="24">
        <v>69</v>
      </c>
      <c r="G536" s="24">
        <v>524</v>
      </c>
      <c r="H536" s="24">
        <v>91.5</v>
      </c>
      <c r="I536" s="24">
        <v>444</v>
      </c>
      <c r="J536" s="24">
        <v>66</v>
      </c>
      <c r="K536" s="24">
        <v>484</v>
      </c>
      <c r="L536" s="24">
        <v>49</v>
      </c>
      <c r="M536" s="24">
        <v>624</v>
      </c>
      <c r="N536" s="24">
        <v>76</v>
      </c>
      <c r="O536" s="24">
        <v>308</v>
      </c>
      <c r="P536" s="24">
        <v>72</v>
      </c>
      <c r="Q536" s="24">
        <v>396</v>
      </c>
      <c r="R536" s="24">
        <v>63</v>
      </c>
      <c r="S536" s="24">
        <v>633</v>
      </c>
      <c r="T536" s="24">
        <v>57</v>
      </c>
      <c r="U536" s="24">
        <v>306</v>
      </c>
      <c r="V536" s="24">
        <v>446.5</v>
      </c>
      <c r="W536" s="24">
        <v>32</v>
      </c>
      <c r="X536" s="24">
        <v>534</v>
      </c>
      <c r="Y536" s="24">
        <v>439</v>
      </c>
      <c r="Z536" s="24">
        <v>530</v>
      </c>
      <c r="AA536" s="24">
        <v>-4</v>
      </c>
    </row>
    <row r="537" spans="1:27">
      <c r="A537" s="24" t="s">
        <v>422</v>
      </c>
      <c r="B537" s="24" t="s">
        <v>19</v>
      </c>
      <c r="C537" s="24" t="s">
        <v>423</v>
      </c>
      <c r="D537" s="24">
        <v>104</v>
      </c>
      <c r="E537" s="24">
        <v>357</v>
      </c>
      <c r="F537" s="24">
        <v>71</v>
      </c>
      <c r="G537" s="24">
        <v>475</v>
      </c>
      <c r="H537" s="24">
        <v>67.5</v>
      </c>
      <c r="I537" s="24">
        <v>869</v>
      </c>
      <c r="J537" s="24">
        <v>79</v>
      </c>
      <c r="K537" s="24">
        <v>228</v>
      </c>
      <c r="L537" s="24">
        <v>52</v>
      </c>
      <c r="M537" s="24">
        <v>551</v>
      </c>
      <c r="N537" s="24">
        <v>73</v>
      </c>
      <c r="O537" s="24">
        <v>393</v>
      </c>
      <c r="P537" s="24">
        <v>64</v>
      </c>
      <c r="Q537" s="24">
        <v>680</v>
      </c>
      <c r="R537" s="24">
        <v>65</v>
      </c>
      <c r="S537" s="24">
        <v>548</v>
      </c>
      <c r="T537" s="24">
        <v>56</v>
      </c>
      <c r="U537" s="24">
        <v>352</v>
      </c>
      <c r="V537" s="24">
        <v>446.5</v>
      </c>
      <c r="W537" s="24">
        <v>30</v>
      </c>
      <c r="X537" s="24">
        <v>534</v>
      </c>
      <c r="Y537" s="24">
        <v>400</v>
      </c>
      <c r="Z537" s="24">
        <v>730</v>
      </c>
      <c r="AA537" s="24">
        <v>196</v>
      </c>
    </row>
    <row r="538" spans="1:27">
      <c r="A538" s="24" t="s">
        <v>587</v>
      </c>
      <c r="B538" s="24" t="s">
        <v>17</v>
      </c>
      <c r="C538" s="24" t="s">
        <v>588</v>
      </c>
      <c r="D538" s="24">
        <v>98</v>
      </c>
      <c r="E538" s="24">
        <v>611</v>
      </c>
      <c r="F538" s="24">
        <v>83</v>
      </c>
      <c r="G538" s="24">
        <v>267</v>
      </c>
      <c r="H538" s="24">
        <v>93.5</v>
      </c>
      <c r="I538" s="24">
        <v>393</v>
      </c>
      <c r="J538" s="24">
        <v>69</v>
      </c>
      <c r="K538" s="24">
        <v>428</v>
      </c>
      <c r="L538" s="24">
        <v>46</v>
      </c>
      <c r="M538" s="24">
        <v>702</v>
      </c>
      <c r="N538" s="24">
        <v>57</v>
      </c>
      <c r="O538" s="24">
        <v>801</v>
      </c>
      <c r="P538" s="24">
        <v>73</v>
      </c>
      <c r="Q538" s="24">
        <v>359</v>
      </c>
      <c r="R538" s="24">
        <v>70</v>
      </c>
      <c r="S538" s="24">
        <v>327</v>
      </c>
      <c r="T538" s="24">
        <v>47</v>
      </c>
      <c r="U538" s="24">
        <v>719</v>
      </c>
      <c r="V538" s="24">
        <v>446.5</v>
      </c>
      <c r="W538" s="24">
        <v>32</v>
      </c>
      <c r="X538" s="24">
        <v>534</v>
      </c>
      <c r="Y538" s="24">
        <v>421.5</v>
      </c>
      <c r="Z538" s="24">
        <v>627</v>
      </c>
      <c r="AA538" s="24">
        <v>93</v>
      </c>
    </row>
    <row r="539" spans="1:27">
      <c r="A539" s="24" t="s">
        <v>1283</v>
      </c>
      <c r="B539" s="24" t="s">
        <v>54</v>
      </c>
      <c r="C539" s="24" t="s">
        <v>1284</v>
      </c>
      <c r="D539" s="24">
        <v>99</v>
      </c>
      <c r="E539" s="24">
        <v>571</v>
      </c>
      <c r="F539" s="24">
        <v>81</v>
      </c>
      <c r="G539" s="24">
        <v>309</v>
      </c>
      <c r="H539" s="24">
        <v>76</v>
      </c>
      <c r="I539" s="24">
        <v>760</v>
      </c>
      <c r="J539" s="24">
        <v>50</v>
      </c>
      <c r="K539" s="24">
        <v>788</v>
      </c>
      <c r="L539" s="24">
        <v>66</v>
      </c>
      <c r="M539" s="24">
        <v>204</v>
      </c>
      <c r="N539" s="24">
        <v>74</v>
      </c>
      <c r="O539" s="24">
        <v>366</v>
      </c>
      <c r="P539" s="24">
        <v>80</v>
      </c>
      <c r="Q539" s="24">
        <v>151</v>
      </c>
      <c r="R539" s="24">
        <v>52</v>
      </c>
      <c r="S539" s="24">
        <v>879</v>
      </c>
      <c r="T539" s="24">
        <v>49</v>
      </c>
      <c r="U539" s="24">
        <v>633</v>
      </c>
      <c r="V539" s="24">
        <v>446</v>
      </c>
      <c r="W539" s="24">
        <v>33</v>
      </c>
      <c r="X539" s="24">
        <v>538</v>
      </c>
    </row>
    <row r="540" spans="1:27">
      <c r="A540" s="24" t="s">
        <v>1907</v>
      </c>
      <c r="B540" s="24" t="s">
        <v>34</v>
      </c>
      <c r="C540" s="24" t="s">
        <v>1908</v>
      </c>
      <c r="D540" s="24">
        <v>94</v>
      </c>
      <c r="E540" s="24">
        <v>733</v>
      </c>
      <c r="F540" s="24">
        <v>78</v>
      </c>
      <c r="G540" s="24">
        <v>353</v>
      </c>
      <c r="H540" s="24">
        <v>95</v>
      </c>
      <c r="I540" s="24">
        <v>364</v>
      </c>
      <c r="J540" s="24">
        <v>56</v>
      </c>
      <c r="K540" s="24">
        <v>682</v>
      </c>
      <c r="L540" s="24">
        <v>51</v>
      </c>
      <c r="M540" s="24">
        <v>571</v>
      </c>
      <c r="N540" s="24">
        <v>72</v>
      </c>
      <c r="O540" s="24">
        <v>433</v>
      </c>
      <c r="P540" s="24">
        <v>68</v>
      </c>
      <c r="Q540" s="24">
        <v>541</v>
      </c>
      <c r="R540" s="24">
        <v>61</v>
      </c>
      <c r="S540" s="24">
        <v>703</v>
      </c>
      <c r="T540" s="24">
        <v>48</v>
      </c>
      <c r="U540" s="24">
        <v>671</v>
      </c>
      <c r="V540" s="24">
        <v>446</v>
      </c>
      <c r="W540" s="24">
        <v>28</v>
      </c>
      <c r="X540" s="24">
        <v>538</v>
      </c>
      <c r="Y540" s="24">
        <v>440</v>
      </c>
      <c r="Z540" s="24">
        <v>524</v>
      </c>
      <c r="AA540" s="24">
        <v>-14</v>
      </c>
    </row>
    <row r="541" spans="1:27">
      <c r="A541" s="24" t="s">
        <v>669</v>
      </c>
      <c r="B541" s="24" t="s">
        <v>17</v>
      </c>
      <c r="C541" s="24" t="s">
        <v>670</v>
      </c>
      <c r="D541" s="24">
        <v>111</v>
      </c>
      <c r="E541" s="24">
        <v>136</v>
      </c>
      <c r="F541" s="24">
        <v>78</v>
      </c>
      <c r="G541" s="24">
        <v>353</v>
      </c>
      <c r="H541" s="24">
        <v>93</v>
      </c>
      <c r="I541" s="24">
        <v>405</v>
      </c>
      <c r="J541" s="24">
        <v>54</v>
      </c>
      <c r="K541" s="24">
        <v>718</v>
      </c>
      <c r="L541" s="24">
        <v>66</v>
      </c>
      <c r="M541" s="24">
        <v>204</v>
      </c>
      <c r="N541" s="24">
        <v>44</v>
      </c>
      <c r="O541" s="24">
        <v>914</v>
      </c>
      <c r="P541" s="24">
        <v>81</v>
      </c>
      <c r="Q541" s="24">
        <v>124</v>
      </c>
      <c r="R541" s="24">
        <v>55</v>
      </c>
      <c r="S541" s="24">
        <v>835</v>
      </c>
      <c r="T541" s="24">
        <v>43</v>
      </c>
      <c r="U541" s="24">
        <v>824</v>
      </c>
      <c r="V541" s="24">
        <v>446</v>
      </c>
      <c r="W541" s="24">
        <v>33</v>
      </c>
      <c r="X541" s="24">
        <v>538</v>
      </c>
      <c r="Y541" s="24">
        <v>446.5</v>
      </c>
      <c r="Z541" s="24">
        <v>485</v>
      </c>
      <c r="AA541" s="24">
        <v>-53</v>
      </c>
    </row>
    <row r="542" spans="1:27">
      <c r="A542" s="24" t="s">
        <v>1508</v>
      </c>
      <c r="B542" s="24" t="s">
        <v>56</v>
      </c>
      <c r="C542" s="24" t="s">
        <v>1509</v>
      </c>
      <c r="D542" s="24">
        <v>100</v>
      </c>
      <c r="E542" s="24">
        <v>528</v>
      </c>
      <c r="F542" s="24">
        <v>68</v>
      </c>
      <c r="G542" s="24">
        <v>540</v>
      </c>
      <c r="H542" s="24">
        <v>91.5</v>
      </c>
      <c r="I542" s="24">
        <v>444</v>
      </c>
      <c r="J542" s="24">
        <v>58</v>
      </c>
      <c r="K542" s="24">
        <v>649</v>
      </c>
      <c r="L542" s="24">
        <v>51</v>
      </c>
      <c r="M542" s="24">
        <v>571</v>
      </c>
      <c r="N542" s="24">
        <v>77</v>
      </c>
      <c r="O542" s="24">
        <v>275</v>
      </c>
      <c r="P542" s="24">
        <v>71</v>
      </c>
      <c r="Q542" s="24">
        <v>439</v>
      </c>
      <c r="R542" s="24">
        <v>64</v>
      </c>
      <c r="S542" s="24">
        <v>586</v>
      </c>
      <c r="T542" s="24">
        <v>60</v>
      </c>
      <c r="U542" s="24">
        <v>203</v>
      </c>
      <c r="V542" s="24">
        <v>445.5</v>
      </c>
      <c r="W542" s="24">
        <v>29</v>
      </c>
      <c r="X542" s="24">
        <v>541</v>
      </c>
      <c r="Y542" s="24">
        <v>427</v>
      </c>
      <c r="Z542" s="24">
        <v>593</v>
      </c>
      <c r="AA542" s="24">
        <v>52</v>
      </c>
    </row>
    <row r="543" spans="1:27">
      <c r="A543" s="24" t="s">
        <v>1361</v>
      </c>
      <c r="B543" s="24" t="s">
        <v>56</v>
      </c>
      <c r="C543" s="24" t="s">
        <v>1362</v>
      </c>
      <c r="D543" s="24">
        <v>100</v>
      </c>
      <c r="E543" s="24">
        <v>528</v>
      </c>
      <c r="F543" s="24">
        <v>71</v>
      </c>
      <c r="G543" s="24">
        <v>475</v>
      </c>
      <c r="H543" s="24">
        <v>107.5</v>
      </c>
      <c r="I543" s="24">
        <v>141</v>
      </c>
      <c r="J543" s="24">
        <v>37</v>
      </c>
      <c r="K543" s="24">
        <v>901</v>
      </c>
      <c r="L543" s="24">
        <v>56</v>
      </c>
      <c r="M543" s="24">
        <v>433</v>
      </c>
      <c r="N543" s="24">
        <v>74</v>
      </c>
      <c r="O543" s="24">
        <v>366</v>
      </c>
      <c r="P543" s="24">
        <v>77</v>
      </c>
      <c r="Q543" s="24">
        <v>240</v>
      </c>
      <c r="R543" s="24">
        <v>69</v>
      </c>
      <c r="S543" s="24">
        <v>367</v>
      </c>
      <c r="T543" s="24">
        <v>42</v>
      </c>
      <c r="U543" s="24">
        <v>845</v>
      </c>
      <c r="V543" s="24">
        <v>445.5</v>
      </c>
      <c r="W543" s="24">
        <v>29</v>
      </c>
      <c r="X543" s="24">
        <v>541</v>
      </c>
      <c r="Y543" s="24">
        <v>474</v>
      </c>
      <c r="Z543" s="24">
        <v>335</v>
      </c>
      <c r="AA543" s="24">
        <v>-206</v>
      </c>
    </row>
    <row r="544" spans="1:27">
      <c r="A544" s="24" t="s">
        <v>1931</v>
      </c>
      <c r="B544" s="24" t="s">
        <v>34</v>
      </c>
      <c r="C544" s="24" t="s">
        <v>1932</v>
      </c>
      <c r="D544" s="24">
        <v>107</v>
      </c>
      <c r="E544" s="24">
        <v>242</v>
      </c>
      <c r="F544" s="24">
        <v>74</v>
      </c>
      <c r="G544" s="24">
        <v>424</v>
      </c>
      <c r="H544" s="24">
        <v>85.5</v>
      </c>
      <c r="I544" s="24">
        <v>586</v>
      </c>
      <c r="J544" s="24">
        <v>57</v>
      </c>
      <c r="K544" s="24">
        <v>665</v>
      </c>
      <c r="L544" s="24">
        <v>55</v>
      </c>
      <c r="M544" s="24">
        <v>470</v>
      </c>
      <c r="N544" s="24">
        <v>67</v>
      </c>
      <c r="O544" s="24">
        <v>587</v>
      </c>
      <c r="P544" s="24">
        <v>78</v>
      </c>
      <c r="Q544" s="24">
        <v>209</v>
      </c>
      <c r="R544" s="24">
        <v>70</v>
      </c>
      <c r="S544" s="24">
        <v>327</v>
      </c>
      <c r="T544" s="24">
        <v>47</v>
      </c>
      <c r="U544" s="24">
        <v>719</v>
      </c>
      <c r="V544" s="24">
        <v>445.5</v>
      </c>
      <c r="W544" s="24">
        <v>29</v>
      </c>
      <c r="X544" s="24">
        <v>541</v>
      </c>
      <c r="Y544" s="24">
        <v>471</v>
      </c>
      <c r="Z544" s="24">
        <v>359</v>
      </c>
      <c r="AA544" s="24">
        <v>-182</v>
      </c>
    </row>
    <row r="545" spans="1:27">
      <c r="A545" s="24" t="s">
        <v>2474</v>
      </c>
      <c r="B545" s="24" t="s">
        <v>131</v>
      </c>
      <c r="C545" s="24" t="s">
        <v>2475</v>
      </c>
      <c r="D545" s="24">
        <v>107</v>
      </c>
      <c r="E545" s="24">
        <v>242</v>
      </c>
      <c r="F545" s="24">
        <v>76</v>
      </c>
      <c r="G545" s="24">
        <v>391</v>
      </c>
      <c r="H545" s="24">
        <v>77.5</v>
      </c>
      <c r="I545" s="24">
        <v>735</v>
      </c>
      <c r="J545" s="24">
        <v>67</v>
      </c>
      <c r="K545" s="24">
        <v>468</v>
      </c>
      <c r="L545" s="24">
        <v>54</v>
      </c>
      <c r="M545" s="24">
        <v>494</v>
      </c>
      <c r="N545" s="24">
        <v>64</v>
      </c>
      <c r="O545" s="24">
        <v>667</v>
      </c>
      <c r="P545" s="24">
        <v>68</v>
      </c>
      <c r="Q545" s="24">
        <v>541</v>
      </c>
      <c r="R545" s="24">
        <v>59</v>
      </c>
      <c r="S545" s="24">
        <v>746</v>
      </c>
      <c r="T545" s="24">
        <v>39</v>
      </c>
      <c r="U545" s="24">
        <v>895</v>
      </c>
      <c r="V545" s="24">
        <v>445.5</v>
      </c>
      <c r="W545" s="24">
        <v>28</v>
      </c>
      <c r="X545" s="24">
        <v>541</v>
      </c>
      <c r="Y545" s="24">
        <v>442.5</v>
      </c>
      <c r="Z545" s="24">
        <v>516</v>
      </c>
      <c r="AA545" s="24">
        <v>-25</v>
      </c>
    </row>
    <row r="546" spans="1:27">
      <c r="A546" s="24" t="s">
        <v>2815</v>
      </c>
      <c r="B546" s="24" t="s">
        <v>38</v>
      </c>
      <c r="C546" s="24" t="s">
        <v>135</v>
      </c>
      <c r="D546" s="24">
        <v>112</v>
      </c>
      <c r="E546" s="24">
        <v>114</v>
      </c>
      <c r="F546" s="24">
        <v>51</v>
      </c>
      <c r="G546" s="24">
        <v>817</v>
      </c>
      <c r="H546" s="24">
        <v>104.5</v>
      </c>
      <c r="I546" s="24">
        <v>177</v>
      </c>
      <c r="J546" s="24">
        <v>61</v>
      </c>
      <c r="K546" s="24">
        <v>587</v>
      </c>
      <c r="L546" s="24">
        <v>53</v>
      </c>
      <c r="M546" s="24">
        <v>526</v>
      </c>
      <c r="N546" s="24">
        <v>64</v>
      </c>
      <c r="O546" s="24">
        <v>667</v>
      </c>
      <c r="P546" s="24">
        <v>75</v>
      </c>
      <c r="Q546" s="24">
        <v>289</v>
      </c>
      <c r="R546" s="24">
        <v>68</v>
      </c>
      <c r="S546" s="24">
        <v>412</v>
      </c>
      <c r="T546" s="24">
        <v>59</v>
      </c>
      <c r="U546" s="24">
        <v>233</v>
      </c>
      <c r="V546" s="24">
        <v>445.5</v>
      </c>
      <c r="W546" s="24">
        <v>25</v>
      </c>
      <c r="X546" s="24">
        <v>541</v>
      </c>
      <c r="Y546" s="24">
        <v>481.5</v>
      </c>
      <c r="Z546" s="24">
        <v>298</v>
      </c>
      <c r="AA546" s="24">
        <v>-243</v>
      </c>
    </row>
    <row r="547" spans="1:27">
      <c r="A547" s="24" t="s">
        <v>658</v>
      </c>
      <c r="B547" s="24" t="s">
        <v>17</v>
      </c>
      <c r="C547" s="24" t="s">
        <v>659</v>
      </c>
      <c r="D547" s="24">
        <v>98</v>
      </c>
      <c r="E547" s="24">
        <v>611</v>
      </c>
      <c r="F547" s="24">
        <v>86</v>
      </c>
      <c r="G547" s="24">
        <v>233</v>
      </c>
      <c r="H547" s="24">
        <v>70.5</v>
      </c>
      <c r="I547" s="24">
        <v>835</v>
      </c>
      <c r="J547" s="24">
        <v>76</v>
      </c>
      <c r="K547" s="24">
        <v>287</v>
      </c>
      <c r="L547" s="24">
        <v>55</v>
      </c>
      <c r="M547" s="24">
        <v>470</v>
      </c>
      <c r="N547" s="24">
        <v>60</v>
      </c>
      <c r="O547" s="24">
        <v>748</v>
      </c>
      <c r="P547" s="24">
        <v>69</v>
      </c>
      <c r="Q547" s="24">
        <v>504</v>
      </c>
      <c r="R547" s="24">
        <v>67</v>
      </c>
      <c r="S547" s="24">
        <v>471</v>
      </c>
      <c r="T547" s="24">
        <v>56</v>
      </c>
      <c r="U547" s="24">
        <v>352</v>
      </c>
      <c r="V547" s="24">
        <v>445.5</v>
      </c>
      <c r="W547" s="24">
        <v>34</v>
      </c>
      <c r="X547" s="24">
        <v>541</v>
      </c>
      <c r="Y547" s="24">
        <v>454.5</v>
      </c>
      <c r="Z547" s="24">
        <v>442</v>
      </c>
      <c r="AA547" s="24">
        <v>-99</v>
      </c>
    </row>
    <row r="548" spans="1:27">
      <c r="A548" s="24" t="s">
        <v>1405</v>
      </c>
      <c r="B548" s="24" t="s">
        <v>56</v>
      </c>
      <c r="C548" s="24" t="s">
        <v>1406</v>
      </c>
      <c r="D548" s="24">
        <v>82</v>
      </c>
      <c r="E548" s="24">
        <v>903</v>
      </c>
      <c r="F548" s="24">
        <v>84</v>
      </c>
      <c r="G548" s="24">
        <v>251</v>
      </c>
      <c r="H548" s="24">
        <v>81</v>
      </c>
      <c r="I548" s="24">
        <v>680</v>
      </c>
      <c r="J548" s="24">
        <v>54</v>
      </c>
      <c r="K548" s="24">
        <v>718</v>
      </c>
      <c r="L548" s="24">
        <v>63</v>
      </c>
      <c r="M548" s="24">
        <v>262</v>
      </c>
      <c r="N548" s="24">
        <v>81</v>
      </c>
      <c r="O548" s="24">
        <v>183</v>
      </c>
      <c r="P548" s="24">
        <v>64</v>
      </c>
      <c r="Q548" s="24">
        <v>680</v>
      </c>
      <c r="R548" s="24">
        <v>57</v>
      </c>
      <c r="S548" s="24">
        <v>798</v>
      </c>
      <c r="T548" s="24">
        <v>53</v>
      </c>
      <c r="U548" s="24">
        <v>470</v>
      </c>
      <c r="V548" s="24">
        <v>445</v>
      </c>
      <c r="W548" s="24">
        <v>31</v>
      </c>
      <c r="X548" s="24">
        <v>547</v>
      </c>
      <c r="Y548" s="24">
        <v>425.5</v>
      </c>
      <c r="Z548" s="24">
        <v>602</v>
      </c>
      <c r="AA548" s="24">
        <v>55</v>
      </c>
    </row>
    <row r="549" spans="1:27">
      <c r="A549" s="24" t="s">
        <v>706</v>
      </c>
      <c r="B549" s="24" t="s">
        <v>117</v>
      </c>
      <c r="C549" s="24" t="s">
        <v>707</v>
      </c>
      <c r="D549" s="24">
        <v>99</v>
      </c>
      <c r="E549" s="24">
        <v>571</v>
      </c>
      <c r="F549" s="24">
        <v>78</v>
      </c>
      <c r="G549" s="24">
        <v>353</v>
      </c>
      <c r="H549" s="24">
        <v>90</v>
      </c>
      <c r="I549" s="24">
        <v>482</v>
      </c>
      <c r="J549" s="24">
        <v>57</v>
      </c>
      <c r="K549" s="24">
        <v>665</v>
      </c>
      <c r="L549" s="24">
        <v>48</v>
      </c>
      <c r="M549" s="24">
        <v>649</v>
      </c>
      <c r="N549" s="24">
        <v>73</v>
      </c>
      <c r="O549" s="24">
        <v>393</v>
      </c>
      <c r="P549" s="24">
        <v>80</v>
      </c>
      <c r="Q549" s="24">
        <v>151</v>
      </c>
      <c r="R549" s="24">
        <v>67</v>
      </c>
      <c r="S549" s="24">
        <v>471</v>
      </c>
      <c r="T549" s="24">
        <v>60</v>
      </c>
      <c r="U549" s="24">
        <v>203</v>
      </c>
      <c r="V549" s="24">
        <v>445</v>
      </c>
      <c r="W549" s="24">
        <v>31</v>
      </c>
      <c r="X549" s="24">
        <v>547</v>
      </c>
      <c r="Y549" s="24">
        <v>479.5</v>
      </c>
      <c r="Z549" s="24">
        <v>310</v>
      </c>
      <c r="AA549" s="24">
        <v>-237</v>
      </c>
    </row>
    <row r="550" spans="1:27">
      <c r="A550" s="24" t="s">
        <v>2577</v>
      </c>
      <c r="B550" s="24" t="s">
        <v>131</v>
      </c>
      <c r="C550" s="24" t="s">
        <v>2578</v>
      </c>
      <c r="D550" s="24">
        <v>83</v>
      </c>
      <c r="E550" s="24">
        <v>897</v>
      </c>
      <c r="F550" s="24">
        <v>67</v>
      </c>
      <c r="G550" s="24">
        <v>565</v>
      </c>
      <c r="H550" s="24">
        <v>70.5</v>
      </c>
      <c r="I550" s="24">
        <v>835</v>
      </c>
      <c r="J550" s="24">
        <v>99</v>
      </c>
      <c r="K550" s="24">
        <v>25</v>
      </c>
      <c r="L550" s="24">
        <v>54</v>
      </c>
      <c r="M550" s="24">
        <v>494</v>
      </c>
      <c r="N550" s="24">
        <v>71</v>
      </c>
      <c r="O550" s="24">
        <v>462</v>
      </c>
      <c r="P550" s="24">
        <v>72</v>
      </c>
      <c r="Q550" s="24">
        <v>396</v>
      </c>
      <c r="R550" s="24">
        <v>80</v>
      </c>
      <c r="S550" s="24">
        <v>54</v>
      </c>
      <c r="T550" s="24">
        <v>75</v>
      </c>
      <c r="U550" s="24">
        <v>10</v>
      </c>
      <c r="V550" s="24">
        <v>444.5</v>
      </c>
      <c r="W550" s="24">
        <v>29</v>
      </c>
      <c r="X550" s="24">
        <v>549</v>
      </c>
      <c r="Y550" s="24">
        <v>426.5</v>
      </c>
      <c r="Z550" s="24">
        <v>595</v>
      </c>
      <c r="AA550" s="24">
        <v>46</v>
      </c>
    </row>
    <row r="551" spans="1:27">
      <c r="A551" s="24" t="s">
        <v>2614</v>
      </c>
      <c r="B551" s="24" t="s">
        <v>49</v>
      </c>
      <c r="C551" s="24" t="s">
        <v>2615</v>
      </c>
      <c r="D551" s="24">
        <v>105</v>
      </c>
      <c r="E551" s="24">
        <v>325</v>
      </c>
      <c r="F551" s="24">
        <v>81</v>
      </c>
      <c r="G551" s="24">
        <v>309</v>
      </c>
      <c r="H551" s="24">
        <v>95.5</v>
      </c>
      <c r="I551" s="24">
        <v>357</v>
      </c>
      <c r="J551" s="24">
        <v>48</v>
      </c>
      <c r="K551" s="24">
        <v>820</v>
      </c>
      <c r="L551" s="24">
        <v>49</v>
      </c>
      <c r="M551" s="24">
        <v>624</v>
      </c>
      <c r="N551" s="24">
        <v>66</v>
      </c>
      <c r="O551" s="24">
        <v>611</v>
      </c>
      <c r="P551" s="24">
        <v>60</v>
      </c>
      <c r="Q551" s="24">
        <v>777</v>
      </c>
      <c r="R551" s="24">
        <v>56</v>
      </c>
      <c r="S551" s="24">
        <v>817</v>
      </c>
      <c r="T551" s="24">
        <v>36</v>
      </c>
      <c r="U551" s="24">
        <v>918</v>
      </c>
      <c r="V551" s="24">
        <v>444.5</v>
      </c>
      <c r="W551" s="24">
        <v>33</v>
      </c>
      <c r="X551" s="24">
        <v>549</v>
      </c>
      <c r="Y551" s="24">
        <v>429.5</v>
      </c>
      <c r="Z551" s="24">
        <v>578</v>
      </c>
      <c r="AA551" s="24">
        <v>29</v>
      </c>
    </row>
    <row r="552" spans="1:27">
      <c r="A552" s="24" t="s">
        <v>2282</v>
      </c>
      <c r="B552" s="24" t="s">
        <v>7</v>
      </c>
      <c r="C552" s="24" t="s">
        <v>2283</v>
      </c>
      <c r="D552" s="24">
        <v>115</v>
      </c>
      <c r="E552" s="24">
        <v>65</v>
      </c>
      <c r="F552" s="24">
        <v>66</v>
      </c>
      <c r="G552" s="24">
        <v>584</v>
      </c>
      <c r="H552" s="24">
        <v>85</v>
      </c>
      <c r="I552" s="24">
        <v>593</v>
      </c>
      <c r="J552" s="24">
        <v>51</v>
      </c>
      <c r="K552" s="24">
        <v>771</v>
      </c>
      <c r="L552" s="24">
        <v>47</v>
      </c>
      <c r="M552" s="24">
        <v>673</v>
      </c>
      <c r="N552" s="24">
        <v>80</v>
      </c>
      <c r="O552" s="24">
        <v>205</v>
      </c>
      <c r="P552" s="24">
        <v>84</v>
      </c>
      <c r="Q552" s="24">
        <v>59</v>
      </c>
      <c r="R552" s="24">
        <v>64</v>
      </c>
      <c r="S552" s="24">
        <v>586</v>
      </c>
      <c r="T552" s="24">
        <v>57</v>
      </c>
      <c r="U552" s="24">
        <v>306</v>
      </c>
      <c r="V552" s="24">
        <v>444</v>
      </c>
      <c r="W552" s="24">
        <v>25</v>
      </c>
      <c r="X552" s="24">
        <v>551</v>
      </c>
      <c r="Y552" s="24">
        <v>493</v>
      </c>
      <c r="Z552" s="24">
        <v>247</v>
      </c>
      <c r="AA552" s="24">
        <v>-304</v>
      </c>
    </row>
    <row r="553" spans="1:27">
      <c r="A553" s="24" t="s">
        <v>2205</v>
      </c>
      <c r="B553" s="24" t="s">
        <v>73</v>
      </c>
      <c r="C553" s="24" t="s">
        <v>2206</v>
      </c>
      <c r="D553" s="24">
        <v>101</v>
      </c>
      <c r="E553" s="24">
        <v>481</v>
      </c>
      <c r="F553" s="24">
        <v>70</v>
      </c>
      <c r="G553" s="24">
        <v>505</v>
      </c>
      <c r="H553" s="24">
        <v>74</v>
      </c>
      <c r="I553" s="24">
        <v>792</v>
      </c>
      <c r="J553" s="24">
        <v>70</v>
      </c>
      <c r="K553" s="24">
        <v>400</v>
      </c>
      <c r="L553" s="24">
        <v>52</v>
      </c>
      <c r="M553" s="24">
        <v>551</v>
      </c>
      <c r="N553" s="24">
        <v>77</v>
      </c>
      <c r="O553" s="24">
        <v>275</v>
      </c>
      <c r="P553" s="24">
        <v>70</v>
      </c>
      <c r="Q553" s="24">
        <v>473</v>
      </c>
      <c r="R553" s="24">
        <v>62</v>
      </c>
      <c r="S553" s="24">
        <v>672</v>
      </c>
      <c r="T553" s="24">
        <v>54</v>
      </c>
      <c r="U553" s="24">
        <v>428</v>
      </c>
      <c r="V553" s="24">
        <v>444</v>
      </c>
      <c r="W553" s="24">
        <v>32</v>
      </c>
      <c r="X553" s="24">
        <v>551</v>
      </c>
      <c r="Y553" s="24">
        <v>419</v>
      </c>
      <c r="Z553" s="24">
        <v>647</v>
      </c>
      <c r="AA553" s="24">
        <v>96</v>
      </c>
    </row>
    <row r="554" spans="1:27">
      <c r="A554" s="24" t="s">
        <v>1921</v>
      </c>
      <c r="B554" s="24" t="s">
        <v>34</v>
      </c>
      <c r="C554" s="24" t="s">
        <v>1922</v>
      </c>
      <c r="D554" s="24">
        <v>99</v>
      </c>
      <c r="E554" s="24">
        <v>571</v>
      </c>
      <c r="F554" s="24">
        <v>77</v>
      </c>
      <c r="G554" s="24">
        <v>369</v>
      </c>
      <c r="H554" s="24">
        <v>81</v>
      </c>
      <c r="I554" s="24">
        <v>680</v>
      </c>
      <c r="J554" s="24">
        <v>69</v>
      </c>
      <c r="K554" s="24">
        <v>428</v>
      </c>
      <c r="L554" s="24">
        <v>56</v>
      </c>
      <c r="M554" s="24">
        <v>433</v>
      </c>
      <c r="N554" s="24">
        <v>62</v>
      </c>
      <c r="O554" s="24">
        <v>716</v>
      </c>
      <c r="P554" s="24">
        <v>68</v>
      </c>
      <c r="Q554" s="24">
        <v>541</v>
      </c>
      <c r="R554" s="24">
        <v>65</v>
      </c>
      <c r="S554" s="24">
        <v>548</v>
      </c>
      <c r="T554" s="24">
        <v>52</v>
      </c>
      <c r="U554" s="24">
        <v>509</v>
      </c>
      <c r="V554" s="24">
        <v>444</v>
      </c>
      <c r="W554" s="24">
        <v>30</v>
      </c>
      <c r="X554" s="24">
        <v>551</v>
      </c>
      <c r="Y554" s="24">
        <v>460.5</v>
      </c>
      <c r="Z554" s="24">
        <v>412</v>
      </c>
      <c r="AA554" s="24">
        <v>-139</v>
      </c>
    </row>
    <row r="555" spans="1:27">
      <c r="A555" s="24" t="s">
        <v>2408</v>
      </c>
      <c r="B555" s="24" t="s">
        <v>7</v>
      </c>
      <c r="C555" s="24" t="s">
        <v>2415</v>
      </c>
      <c r="D555" s="24">
        <v>102</v>
      </c>
      <c r="E555" s="24">
        <v>442</v>
      </c>
      <c r="F555" s="24">
        <v>70</v>
      </c>
      <c r="G555" s="24">
        <v>505</v>
      </c>
      <c r="H555" s="24">
        <v>96.5</v>
      </c>
      <c r="I555" s="24">
        <v>337</v>
      </c>
      <c r="J555" s="24">
        <v>56</v>
      </c>
      <c r="K555" s="24">
        <v>682</v>
      </c>
      <c r="L555" s="24">
        <v>41</v>
      </c>
      <c r="M555" s="24">
        <v>795</v>
      </c>
      <c r="N555" s="24">
        <v>78</v>
      </c>
      <c r="O555" s="24">
        <v>250</v>
      </c>
      <c r="P555" s="24">
        <v>91</v>
      </c>
      <c r="Q555" s="24">
        <v>1</v>
      </c>
      <c r="R555" s="24">
        <v>65</v>
      </c>
      <c r="S555" s="24">
        <v>548</v>
      </c>
      <c r="T555" s="24">
        <v>58</v>
      </c>
      <c r="U555" s="24">
        <v>278</v>
      </c>
      <c r="V555" s="24">
        <v>443.5</v>
      </c>
      <c r="W555" s="24">
        <v>26</v>
      </c>
      <c r="X555" s="24">
        <v>554</v>
      </c>
      <c r="Y555" s="24">
        <v>445</v>
      </c>
      <c r="Z555" s="24">
        <v>498</v>
      </c>
      <c r="AA555" s="24">
        <v>-56</v>
      </c>
    </row>
    <row r="556" spans="1:27">
      <c r="A556" s="24" t="s">
        <v>2382</v>
      </c>
      <c r="B556" s="24" t="s">
        <v>7</v>
      </c>
      <c r="C556" s="24" t="s">
        <v>2392</v>
      </c>
      <c r="D556" s="24">
        <v>103</v>
      </c>
      <c r="E556" s="24">
        <v>400</v>
      </c>
      <c r="F556" s="24">
        <v>72</v>
      </c>
      <c r="G556" s="24">
        <v>458</v>
      </c>
      <c r="H556" s="24">
        <v>87.5</v>
      </c>
      <c r="I556" s="24">
        <v>542</v>
      </c>
      <c r="J556" s="24">
        <v>70</v>
      </c>
      <c r="K556" s="24">
        <v>400</v>
      </c>
      <c r="L556" s="24">
        <v>43</v>
      </c>
      <c r="M556" s="24">
        <v>757</v>
      </c>
      <c r="N556" s="24">
        <v>68</v>
      </c>
      <c r="O556" s="24">
        <v>555</v>
      </c>
      <c r="P556" s="24">
        <v>72</v>
      </c>
      <c r="Q556" s="24">
        <v>396</v>
      </c>
      <c r="R556" s="24">
        <v>53</v>
      </c>
      <c r="S556" s="24">
        <v>869</v>
      </c>
      <c r="T556" s="24">
        <v>51</v>
      </c>
      <c r="U556" s="24">
        <v>555</v>
      </c>
      <c r="V556" s="24">
        <v>443.5</v>
      </c>
      <c r="W556" s="24">
        <v>26</v>
      </c>
      <c r="X556" s="24">
        <v>554</v>
      </c>
      <c r="Y556" s="24">
        <v>428.5</v>
      </c>
      <c r="Z556" s="24">
        <v>582</v>
      </c>
      <c r="AA556" s="24">
        <v>28</v>
      </c>
    </row>
    <row r="557" spans="1:27">
      <c r="A557" s="24" t="s">
        <v>813</v>
      </c>
      <c r="B557" s="24" t="s">
        <v>117</v>
      </c>
      <c r="C557" s="24" t="s">
        <v>814</v>
      </c>
      <c r="D557" s="24">
        <v>89</v>
      </c>
      <c r="E557" s="24">
        <v>835</v>
      </c>
      <c r="F557" s="24">
        <v>84</v>
      </c>
      <c r="G557" s="24">
        <v>251</v>
      </c>
      <c r="H557" s="24">
        <v>107.5</v>
      </c>
      <c r="I557" s="24">
        <v>141</v>
      </c>
      <c r="J557" s="24">
        <v>53</v>
      </c>
      <c r="K557" s="24">
        <v>739</v>
      </c>
      <c r="L557" s="24">
        <v>45</v>
      </c>
      <c r="M557" s="24">
        <v>720</v>
      </c>
      <c r="N557" s="24">
        <v>65</v>
      </c>
      <c r="O557" s="24">
        <v>643</v>
      </c>
      <c r="P557" s="24">
        <v>73</v>
      </c>
      <c r="Q557" s="24">
        <v>359</v>
      </c>
      <c r="R557" s="24">
        <v>47</v>
      </c>
      <c r="S557" s="24">
        <v>916</v>
      </c>
      <c r="T557" s="24">
        <v>40</v>
      </c>
      <c r="U557" s="24">
        <v>881</v>
      </c>
      <c r="V557" s="24">
        <v>443.5</v>
      </c>
      <c r="W557" s="24">
        <v>32</v>
      </c>
      <c r="X557" s="24">
        <v>554</v>
      </c>
      <c r="Y557" s="24">
        <v>443</v>
      </c>
      <c r="Z557" s="24">
        <v>513</v>
      </c>
      <c r="AA557" s="24">
        <v>-41</v>
      </c>
    </row>
    <row r="558" spans="1:27">
      <c r="A558" s="24" t="s">
        <v>2323</v>
      </c>
      <c r="B558" s="24" t="s">
        <v>7</v>
      </c>
      <c r="C558" s="24" t="s">
        <v>2327</v>
      </c>
      <c r="D558" s="24">
        <v>116</v>
      </c>
      <c r="E558" s="24">
        <v>47</v>
      </c>
      <c r="F558" s="24">
        <v>61</v>
      </c>
      <c r="G558" s="24">
        <v>678</v>
      </c>
      <c r="H558" s="24">
        <v>89</v>
      </c>
      <c r="I558" s="24">
        <v>510</v>
      </c>
      <c r="J558" s="24">
        <v>59</v>
      </c>
      <c r="K558" s="24">
        <v>626</v>
      </c>
      <c r="L558" s="24">
        <v>48</v>
      </c>
      <c r="M558" s="24">
        <v>649</v>
      </c>
      <c r="N558" s="24">
        <v>70</v>
      </c>
      <c r="O558" s="24">
        <v>485</v>
      </c>
      <c r="P558" s="24">
        <v>68</v>
      </c>
      <c r="Q558" s="24">
        <v>541</v>
      </c>
      <c r="R558" s="24">
        <v>56</v>
      </c>
      <c r="S558" s="24">
        <v>817</v>
      </c>
      <c r="T558" s="24">
        <v>44</v>
      </c>
      <c r="U558" s="24">
        <v>804</v>
      </c>
      <c r="V558" s="24">
        <v>443</v>
      </c>
      <c r="W558" s="24">
        <v>28</v>
      </c>
      <c r="X558" s="24">
        <v>557</v>
      </c>
      <c r="Y558" s="24">
        <v>454.5</v>
      </c>
      <c r="Z558" s="24">
        <v>442</v>
      </c>
      <c r="AA558" s="24">
        <v>-115</v>
      </c>
    </row>
    <row r="559" spans="1:27">
      <c r="A559" s="24" t="s">
        <v>1457</v>
      </c>
      <c r="B559" s="24" t="s">
        <v>56</v>
      </c>
      <c r="C559" s="24" t="s">
        <v>1458</v>
      </c>
      <c r="D559" s="24">
        <v>98</v>
      </c>
      <c r="E559" s="24">
        <v>611</v>
      </c>
      <c r="F559" s="24">
        <v>58</v>
      </c>
      <c r="G559" s="24">
        <v>734</v>
      </c>
      <c r="H559" s="24">
        <v>75</v>
      </c>
      <c r="I559" s="24">
        <v>777</v>
      </c>
      <c r="J559" s="24">
        <v>64</v>
      </c>
      <c r="K559" s="24">
        <v>517</v>
      </c>
      <c r="L559" s="24">
        <v>79</v>
      </c>
      <c r="M559" s="24">
        <v>49</v>
      </c>
      <c r="N559" s="24">
        <v>69</v>
      </c>
      <c r="O559" s="24">
        <v>523</v>
      </c>
      <c r="P559" s="24">
        <v>58</v>
      </c>
      <c r="Q559" s="24">
        <v>820</v>
      </c>
      <c r="R559" s="24">
        <v>61</v>
      </c>
      <c r="S559" s="24">
        <v>703</v>
      </c>
      <c r="T559" s="24">
        <v>56</v>
      </c>
      <c r="U559" s="24">
        <v>352</v>
      </c>
      <c r="V559" s="24">
        <v>443</v>
      </c>
      <c r="W559" s="24">
        <v>32</v>
      </c>
      <c r="X559" s="24">
        <v>557</v>
      </c>
      <c r="Y559" s="24">
        <v>377.5</v>
      </c>
      <c r="Z559" s="24">
        <v>815</v>
      </c>
      <c r="AA559" s="24">
        <v>258</v>
      </c>
    </row>
    <row r="560" spans="1:27">
      <c r="A560" s="24" t="s">
        <v>305</v>
      </c>
      <c r="B560" s="24" t="s">
        <v>28</v>
      </c>
      <c r="C560" s="24" t="s">
        <v>306</v>
      </c>
      <c r="D560" s="24">
        <v>104</v>
      </c>
      <c r="E560" s="24">
        <v>357</v>
      </c>
      <c r="F560" s="24">
        <v>82</v>
      </c>
      <c r="G560" s="24">
        <v>290</v>
      </c>
      <c r="H560" s="24">
        <v>74</v>
      </c>
      <c r="I560" s="24">
        <v>792</v>
      </c>
      <c r="J560" s="24">
        <v>67</v>
      </c>
      <c r="K560" s="24">
        <v>468</v>
      </c>
      <c r="L560" s="24">
        <v>48</v>
      </c>
      <c r="M560" s="24">
        <v>649</v>
      </c>
      <c r="N560" s="24">
        <v>68</v>
      </c>
      <c r="O560" s="24">
        <v>555</v>
      </c>
      <c r="P560" s="24">
        <v>86</v>
      </c>
      <c r="Q560" s="24">
        <v>34</v>
      </c>
      <c r="R560" s="24">
        <v>73</v>
      </c>
      <c r="S560" s="24">
        <v>216</v>
      </c>
      <c r="T560" s="24">
        <v>42</v>
      </c>
      <c r="U560" s="24">
        <v>845</v>
      </c>
      <c r="V560" s="24">
        <v>443</v>
      </c>
      <c r="W560" s="24">
        <v>31</v>
      </c>
      <c r="X560" s="24">
        <v>557</v>
      </c>
      <c r="Y560" s="24">
        <v>330</v>
      </c>
    </row>
    <row r="561" spans="1:27">
      <c r="A561" s="24" t="s">
        <v>2156</v>
      </c>
      <c r="B561" s="24" t="s">
        <v>73</v>
      </c>
      <c r="C561" s="24" t="s">
        <v>1717</v>
      </c>
      <c r="D561" s="24">
        <v>101</v>
      </c>
      <c r="E561" s="24">
        <v>481</v>
      </c>
      <c r="F561" s="24">
        <v>56</v>
      </c>
      <c r="G561" s="24">
        <v>755</v>
      </c>
      <c r="H561" s="24">
        <v>98.5</v>
      </c>
      <c r="I561" s="24">
        <v>285</v>
      </c>
      <c r="J561" s="24">
        <v>69</v>
      </c>
      <c r="K561" s="24">
        <v>428</v>
      </c>
      <c r="L561" s="24">
        <v>58</v>
      </c>
      <c r="M561" s="24">
        <v>377</v>
      </c>
      <c r="N561" s="24">
        <v>60</v>
      </c>
      <c r="O561" s="24">
        <v>748</v>
      </c>
      <c r="P561" s="24">
        <v>72</v>
      </c>
      <c r="Q561" s="24">
        <v>396</v>
      </c>
      <c r="R561" s="24">
        <v>64</v>
      </c>
      <c r="S561" s="24">
        <v>586</v>
      </c>
      <c r="T561" s="24">
        <v>45</v>
      </c>
      <c r="U561" s="24">
        <v>781</v>
      </c>
      <c r="V561" s="24">
        <v>442.5</v>
      </c>
      <c r="W561" s="24">
        <v>33</v>
      </c>
      <c r="X561" s="24">
        <v>560</v>
      </c>
      <c r="Y561" s="24">
        <v>446.5</v>
      </c>
      <c r="Z561" s="24">
        <v>485</v>
      </c>
      <c r="AA561" s="24">
        <v>-75</v>
      </c>
    </row>
    <row r="562" spans="1:27">
      <c r="A562" s="24" t="s">
        <v>1514</v>
      </c>
      <c r="B562" s="24" t="s">
        <v>56</v>
      </c>
      <c r="C562" s="24" t="s">
        <v>1515</v>
      </c>
      <c r="D562" s="24">
        <v>100</v>
      </c>
      <c r="E562" s="24">
        <v>528</v>
      </c>
      <c r="F562" s="24">
        <v>71</v>
      </c>
      <c r="G562" s="24">
        <v>475</v>
      </c>
      <c r="H562" s="24">
        <v>101</v>
      </c>
      <c r="I562" s="24">
        <v>234</v>
      </c>
      <c r="J562" s="24">
        <v>64</v>
      </c>
      <c r="K562" s="24">
        <v>517</v>
      </c>
      <c r="L562" s="24">
        <v>27</v>
      </c>
      <c r="M562" s="24">
        <v>914</v>
      </c>
      <c r="N562" s="24">
        <v>79</v>
      </c>
      <c r="O562" s="24">
        <v>229</v>
      </c>
      <c r="P562" s="24">
        <v>72</v>
      </c>
      <c r="Q562" s="24">
        <v>396</v>
      </c>
      <c r="R562" s="24">
        <v>70</v>
      </c>
      <c r="S562" s="24">
        <v>327</v>
      </c>
      <c r="T562" s="24">
        <v>39</v>
      </c>
      <c r="U562" s="24">
        <v>895</v>
      </c>
      <c r="V562" s="24">
        <v>442</v>
      </c>
      <c r="W562" s="24">
        <v>33</v>
      </c>
      <c r="X562" s="24">
        <v>561</v>
      </c>
      <c r="Y562" s="24">
        <v>481</v>
      </c>
      <c r="Z562" s="24">
        <v>304</v>
      </c>
      <c r="AA562" s="24">
        <v>-257</v>
      </c>
    </row>
    <row r="563" spans="1:27">
      <c r="A563" s="24" t="s">
        <v>1068</v>
      </c>
      <c r="B563" s="24" t="s">
        <v>68</v>
      </c>
      <c r="C563" s="24" t="s">
        <v>1069</v>
      </c>
      <c r="D563" s="24">
        <v>104</v>
      </c>
      <c r="E563" s="24">
        <v>357</v>
      </c>
      <c r="F563" s="24">
        <v>73</v>
      </c>
      <c r="G563" s="24">
        <v>438</v>
      </c>
      <c r="H563" s="24">
        <v>83</v>
      </c>
      <c r="I563" s="24">
        <v>643</v>
      </c>
      <c r="J563" s="24">
        <v>51</v>
      </c>
      <c r="K563" s="24">
        <v>771</v>
      </c>
      <c r="L563" s="24">
        <v>58</v>
      </c>
      <c r="M563" s="24">
        <v>377</v>
      </c>
      <c r="N563" s="24">
        <v>73</v>
      </c>
      <c r="O563" s="24">
        <v>393</v>
      </c>
      <c r="P563" s="24">
        <v>71</v>
      </c>
      <c r="Q563" s="24">
        <v>439</v>
      </c>
      <c r="R563" s="24">
        <v>62</v>
      </c>
      <c r="S563" s="24">
        <v>672</v>
      </c>
      <c r="T563" s="24">
        <v>61</v>
      </c>
      <c r="U563" s="24">
        <v>172</v>
      </c>
      <c r="V563" s="24">
        <v>442</v>
      </c>
      <c r="W563" s="24">
        <v>29</v>
      </c>
      <c r="X563" s="24">
        <v>561</v>
      </c>
      <c r="Y563" s="24">
        <v>429.5</v>
      </c>
      <c r="Z563" s="24">
        <v>578</v>
      </c>
      <c r="AA563" s="24">
        <v>17</v>
      </c>
    </row>
    <row r="564" spans="1:27">
      <c r="A564" s="24" t="s">
        <v>1937</v>
      </c>
      <c r="B564" s="24" t="s">
        <v>34</v>
      </c>
      <c r="C564" s="24" t="s">
        <v>62</v>
      </c>
      <c r="D564" s="24">
        <v>112</v>
      </c>
      <c r="E564" s="24">
        <v>114</v>
      </c>
      <c r="F564" s="24">
        <v>66</v>
      </c>
      <c r="G564" s="24">
        <v>584</v>
      </c>
      <c r="H564" s="24">
        <v>69</v>
      </c>
      <c r="I564" s="24">
        <v>852</v>
      </c>
      <c r="J564" s="24">
        <v>76</v>
      </c>
      <c r="K564" s="24">
        <v>287</v>
      </c>
      <c r="L564" s="24">
        <v>56</v>
      </c>
      <c r="M564" s="24">
        <v>433</v>
      </c>
      <c r="N564" s="24">
        <v>63</v>
      </c>
      <c r="O564" s="24">
        <v>692</v>
      </c>
      <c r="P564" s="24">
        <v>78</v>
      </c>
      <c r="Q564" s="24">
        <v>209</v>
      </c>
      <c r="R564" s="24">
        <v>65</v>
      </c>
      <c r="S564" s="24">
        <v>548</v>
      </c>
      <c r="T564" s="24">
        <v>57</v>
      </c>
      <c r="U564" s="24">
        <v>306</v>
      </c>
      <c r="V564" s="24">
        <v>442</v>
      </c>
      <c r="W564" s="24">
        <v>31</v>
      </c>
      <c r="X564" s="24">
        <v>561</v>
      </c>
      <c r="Y564" s="24">
        <v>455.5</v>
      </c>
      <c r="Z564" s="24">
        <v>436</v>
      </c>
      <c r="AA564" s="24">
        <v>-125</v>
      </c>
    </row>
    <row r="565" spans="1:27">
      <c r="A565" s="24" t="s">
        <v>905</v>
      </c>
      <c r="B565" s="24" t="s">
        <v>60</v>
      </c>
      <c r="C565" s="24" t="s">
        <v>909</v>
      </c>
      <c r="D565" s="24">
        <v>85</v>
      </c>
      <c r="E565" s="24">
        <v>885</v>
      </c>
      <c r="F565" s="24">
        <v>66</v>
      </c>
      <c r="G565" s="24">
        <v>584</v>
      </c>
      <c r="H565" s="24">
        <v>110.5</v>
      </c>
      <c r="I565" s="24">
        <v>102</v>
      </c>
      <c r="J565" s="24">
        <v>69</v>
      </c>
      <c r="K565" s="24">
        <v>428</v>
      </c>
      <c r="L565" s="24">
        <v>53</v>
      </c>
      <c r="M565" s="24">
        <v>526</v>
      </c>
      <c r="N565" s="24">
        <v>58</v>
      </c>
      <c r="O565" s="24">
        <v>786</v>
      </c>
      <c r="P565" s="24">
        <v>78</v>
      </c>
      <c r="Q565" s="24">
        <v>209</v>
      </c>
      <c r="R565" s="24">
        <v>64</v>
      </c>
      <c r="S565" s="24">
        <v>586</v>
      </c>
      <c r="T565" s="24">
        <v>48</v>
      </c>
      <c r="U565" s="24">
        <v>671</v>
      </c>
      <c r="V565" s="24">
        <v>441.5</v>
      </c>
      <c r="W565" s="24">
        <v>31</v>
      </c>
      <c r="X565" s="24">
        <v>564</v>
      </c>
      <c r="Y565" s="24">
        <v>380.5</v>
      </c>
      <c r="Z565" s="24">
        <v>805</v>
      </c>
      <c r="AA565" s="24">
        <v>241</v>
      </c>
    </row>
    <row r="566" spans="1:27">
      <c r="A566" s="24" t="s">
        <v>2311</v>
      </c>
      <c r="B566" s="24" t="s">
        <v>7</v>
      </c>
      <c r="C566" s="24" t="s">
        <v>2312</v>
      </c>
      <c r="D566" s="24">
        <v>96</v>
      </c>
      <c r="E566" s="24">
        <v>676</v>
      </c>
      <c r="F566" s="24">
        <v>57</v>
      </c>
      <c r="G566" s="24">
        <v>744</v>
      </c>
      <c r="H566" s="24">
        <v>72</v>
      </c>
      <c r="I566" s="24">
        <v>822</v>
      </c>
      <c r="J566" s="24">
        <v>74</v>
      </c>
      <c r="K566" s="24">
        <v>317</v>
      </c>
      <c r="L566" s="24">
        <v>56</v>
      </c>
      <c r="M566" s="24">
        <v>433</v>
      </c>
      <c r="N566" s="24">
        <v>86</v>
      </c>
      <c r="O566" s="24">
        <v>77</v>
      </c>
      <c r="P566" s="24">
        <v>83</v>
      </c>
      <c r="Q566" s="24">
        <v>79</v>
      </c>
      <c r="R566" s="24">
        <v>80</v>
      </c>
      <c r="S566" s="24">
        <v>54</v>
      </c>
      <c r="T566" s="24">
        <v>64</v>
      </c>
      <c r="U566" s="24">
        <v>103</v>
      </c>
      <c r="V566" s="24">
        <v>441</v>
      </c>
      <c r="W566" s="24">
        <v>29</v>
      </c>
      <c r="X566" s="24">
        <v>565</v>
      </c>
      <c r="Y566" s="24">
        <v>473.5</v>
      </c>
      <c r="Z566" s="24">
        <v>342</v>
      </c>
      <c r="AA566" s="24">
        <v>-223</v>
      </c>
    </row>
    <row r="567" spans="1:27">
      <c r="A567" s="24" t="s">
        <v>1083</v>
      </c>
      <c r="B567" s="24" t="s">
        <v>68</v>
      </c>
      <c r="C567" s="24" t="s">
        <v>1084</v>
      </c>
      <c r="D567" s="24">
        <v>116</v>
      </c>
      <c r="E567" s="24">
        <v>47</v>
      </c>
      <c r="F567" s="24">
        <v>77</v>
      </c>
      <c r="G567" s="24">
        <v>369</v>
      </c>
      <c r="H567" s="24">
        <v>80</v>
      </c>
      <c r="I567" s="24">
        <v>694</v>
      </c>
      <c r="J567" s="24">
        <v>44</v>
      </c>
      <c r="K567" s="24">
        <v>849</v>
      </c>
      <c r="L567" s="24">
        <v>65</v>
      </c>
      <c r="M567" s="24">
        <v>223</v>
      </c>
      <c r="N567" s="24">
        <v>59</v>
      </c>
      <c r="O567" s="24">
        <v>762</v>
      </c>
      <c r="P567" s="24">
        <v>79</v>
      </c>
      <c r="Q567" s="24">
        <v>175</v>
      </c>
      <c r="R567" s="24">
        <v>77</v>
      </c>
      <c r="S567" s="24">
        <v>102</v>
      </c>
      <c r="T567" s="24">
        <v>46</v>
      </c>
      <c r="U567" s="24">
        <v>755</v>
      </c>
      <c r="V567" s="24">
        <v>441</v>
      </c>
      <c r="W567" s="24">
        <v>30</v>
      </c>
      <c r="X567" s="24">
        <v>565</v>
      </c>
      <c r="Y567" s="24">
        <v>371.5</v>
      </c>
      <c r="Z567" s="24">
        <v>834</v>
      </c>
      <c r="AA567" s="24">
        <v>269</v>
      </c>
    </row>
    <row r="568" spans="1:27">
      <c r="A568" s="24" t="s">
        <v>569</v>
      </c>
      <c r="B568" s="24" t="s">
        <v>17</v>
      </c>
      <c r="C568" s="24" t="s">
        <v>570</v>
      </c>
      <c r="D568" s="24">
        <v>98</v>
      </c>
      <c r="E568" s="24">
        <v>611</v>
      </c>
      <c r="F568" s="24">
        <v>104</v>
      </c>
      <c r="G568" s="24">
        <v>61</v>
      </c>
      <c r="H568" s="24">
        <v>54</v>
      </c>
      <c r="I568" s="24">
        <v>927</v>
      </c>
      <c r="J568" s="24">
        <v>80</v>
      </c>
      <c r="K568" s="24">
        <v>207</v>
      </c>
      <c r="L568" s="24">
        <v>53</v>
      </c>
      <c r="M568" s="24">
        <v>526</v>
      </c>
      <c r="N568" s="24">
        <v>52</v>
      </c>
      <c r="O568" s="24">
        <v>866</v>
      </c>
      <c r="P568" s="24">
        <v>64</v>
      </c>
      <c r="Q568" s="24">
        <v>680</v>
      </c>
      <c r="R568" s="24">
        <v>42</v>
      </c>
      <c r="S568" s="24">
        <v>929</v>
      </c>
      <c r="T568" s="24">
        <v>49</v>
      </c>
      <c r="U568" s="24">
        <v>633</v>
      </c>
      <c r="V568" s="24">
        <v>441</v>
      </c>
      <c r="W568" s="24">
        <v>35</v>
      </c>
      <c r="X568" s="24">
        <v>565</v>
      </c>
      <c r="Y568" s="24">
        <v>371.5</v>
      </c>
      <c r="Z568" s="24">
        <v>834</v>
      </c>
      <c r="AA568" s="24">
        <v>269</v>
      </c>
    </row>
    <row r="569" spans="1:27">
      <c r="A569" s="24" t="s">
        <v>966</v>
      </c>
      <c r="B569" s="24" t="s">
        <v>60</v>
      </c>
      <c r="C569" s="24" t="s">
        <v>967</v>
      </c>
      <c r="D569" s="24">
        <v>104</v>
      </c>
      <c r="E569" s="24">
        <v>357</v>
      </c>
      <c r="F569" s="24">
        <v>80</v>
      </c>
      <c r="G569" s="24">
        <v>325</v>
      </c>
      <c r="H569" s="24">
        <v>72.5</v>
      </c>
      <c r="I569" s="24">
        <v>814</v>
      </c>
      <c r="J569" s="24">
        <v>57</v>
      </c>
      <c r="K569" s="24">
        <v>665</v>
      </c>
      <c r="L569" s="24">
        <v>60</v>
      </c>
      <c r="M569" s="24">
        <v>322</v>
      </c>
      <c r="N569" s="24">
        <v>67</v>
      </c>
      <c r="O569" s="24">
        <v>587</v>
      </c>
      <c r="P569" s="24">
        <v>86</v>
      </c>
      <c r="Q569" s="24">
        <v>34</v>
      </c>
      <c r="R569" s="24">
        <v>59</v>
      </c>
      <c r="S569" s="24">
        <v>746</v>
      </c>
      <c r="T569" s="24">
        <v>52</v>
      </c>
      <c r="U569" s="24">
        <v>509</v>
      </c>
      <c r="V569" s="24">
        <v>440.5</v>
      </c>
      <c r="W569" s="24">
        <v>32</v>
      </c>
      <c r="X569" s="24">
        <v>568</v>
      </c>
      <c r="Y569" s="24">
        <v>430</v>
      </c>
      <c r="Z569" s="24">
        <v>573</v>
      </c>
      <c r="AA569" s="24">
        <v>5</v>
      </c>
    </row>
    <row r="570" spans="1:27">
      <c r="A570" s="24" t="s">
        <v>2132</v>
      </c>
      <c r="B570" s="24" t="s">
        <v>73</v>
      </c>
      <c r="C570" s="24" t="s">
        <v>2133</v>
      </c>
      <c r="D570" s="24">
        <v>99</v>
      </c>
      <c r="E570" s="24">
        <v>571</v>
      </c>
      <c r="F570" s="24">
        <v>83</v>
      </c>
      <c r="G570" s="24">
        <v>267</v>
      </c>
      <c r="H570" s="24">
        <v>72.5</v>
      </c>
      <c r="I570" s="24">
        <v>814</v>
      </c>
      <c r="J570" s="24">
        <v>67</v>
      </c>
      <c r="K570" s="24">
        <v>468</v>
      </c>
      <c r="L570" s="24">
        <v>52</v>
      </c>
      <c r="M570" s="24">
        <v>551</v>
      </c>
      <c r="N570" s="24">
        <v>67</v>
      </c>
      <c r="O570" s="24">
        <v>587</v>
      </c>
      <c r="P570" s="24">
        <v>59</v>
      </c>
      <c r="Q570" s="24">
        <v>799</v>
      </c>
      <c r="R570" s="24">
        <v>67</v>
      </c>
      <c r="S570" s="24">
        <v>471</v>
      </c>
      <c r="T570" s="24">
        <v>58</v>
      </c>
      <c r="U570" s="24">
        <v>278</v>
      </c>
      <c r="V570" s="24">
        <v>440.5</v>
      </c>
      <c r="W570" s="24">
        <v>34</v>
      </c>
      <c r="X570" s="24">
        <v>568</v>
      </c>
      <c r="Y570" s="24">
        <v>421.5</v>
      </c>
      <c r="Z570" s="24">
        <v>627</v>
      </c>
      <c r="AA570" s="24">
        <v>59</v>
      </c>
    </row>
    <row r="571" spans="1:27">
      <c r="A571" s="24" t="s">
        <v>2276</v>
      </c>
      <c r="B571" s="24" t="s">
        <v>7</v>
      </c>
      <c r="C571" s="24" t="s">
        <v>2280</v>
      </c>
      <c r="D571" s="24">
        <v>108</v>
      </c>
      <c r="E571" s="24">
        <v>212</v>
      </c>
      <c r="F571" s="24">
        <v>61</v>
      </c>
      <c r="G571" s="24">
        <v>678</v>
      </c>
      <c r="H571" s="24">
        <v>88</v>
      </c>
      <c r="I571" s="24">
        <v>535</v>
      </c>
      <c r="J571" s="24">
        <v>64</v>
      </c>
      <c r="K571" s="24">
        <v>517</v>
      </c>
      <c r="L571" s="24">
        <v>47</v>
      </c>
      <c r="M571" s="24">
        <v>673</v>
      </c>
      <c r="N571" s="24">
        <v>72</v>
      </c>
      <c r="O571" s="24">
        <v>433</v>
      </c>
      <c r="P571" s="24">
        <v>86</v>
      </c>
      <c r="Q571" s="24">
        <v>34</v>
      </c>
      <c r="R571" s="24">
        <v>60</v>
      </c>
      <c r="S571" s="24">
        <v>727</v>
      </c>
      <c r="T571" s="24">
        <v>56</v>
      </c>
      <c r="U571" s="24">
        <v>352</v>
      </c>
      <c r="V571" s="24">
        <v>440</v>
      </c>
      <c r="W571" s="24">
        <v>30</v>
      </c>
      <c r="X571" s="24">
        <v>570</v>
      </c>
      <c r="Y571" s="24">
        <v>439.5</v>
      </c>
      <c r="Z571" s="24">
        <v>526</v>
      </c>
      <c r="AA571" s="24">
        <v>-44</v>
      </c>
    </row>
    <row r="572" spans="1:27">
      <c r="A572" s="24" t="s">
        <v>291</v>
      </c>
      <c r="B572" s="24" t="s">
        <v>28</v>
      </c>
      <c r="C572" s="24" t="s">
        <v>292</v>
      </c>
      <c r="D572" s="24">
        <v>109</v>
      </c>
      <c r="E572" s="24">
        <v>185</v>
      </c>
      <c r="F572" s="24">
        <v>56</v>
      </c>
      <c r="G572" s="24">
        <v>755</v>
      </c>
      <c r="H572" s="24">
        <v>99</v>
      </c>
      <c r="I572" s="24">
        <v>277</v>
      </c>
      <c r="J572" s="24">
        <v>55</v>
      </c>
      <c r="K572" s="24">
        <v>694</v>
      </c>
      <c r="L572" s="24">
        <v>56</v>
      </c>
      <c r="M572" s="24">
        <v>433</v>
      </c>
      <c r="N572" s="24">
        <v>65</v>
      </c>
      <c r="O572" s="24">
        <v>643</v>
      </c>
      <c r="P572" s="24">
        <v>79</v>
      </c>
      <c r="Q572" s="24">
        <v>175</v>
      </c>
      <c r="R572" s="24">
        <v>59</v>
      </c>
      <c r="S572" s="24">
        <v>746</v>
      </c>
      <c r="T572" s="24">
        <v>57</v>
      </c>
      <c r="U572" s="24">
        <v>306</v>
      </c>
      <c r="V572" s="24">
        <v>440</v>
      </c>
      <c r="W572" s="24">
        <v>32</v>
      </c>
      <c r="X572" s="24">
        <v>570</v>
      </c>
      <c r="Y572" s="24">
        <v>450</v>
      </c>
      <c r="Z572" s="24">
        <v>466</v>
      </c>
      <c r="AA572" s="24">
        <v>-104</v>
      </c>
    </row>
    <row r="573" spans="1:27">
      <c r="A573" s="24" t="s">
        <v>467</v>
      </c>
      <c r="B573" s="24" t="s">
        <v>19</v>
      </c>
      <c r="C573" s="24" t="s">
        <v>471</v>
      </c>
      <c r="D573" s="24">
        <v>98</v>
      </c>
      <c r="E573" s="24">
        <v>611</v>
      </c>
      <c r="F573" s="24">
        <v>55</v>
      </c>
      <c r="G573" s="24">
        <v>766</v>
      </c>
      <c r="H573" s="24">
        <v>76.5</v>
      </c>
      <c r="I573" s="24">
        <v>751</v>
      </c>
      <c r="J573" s="24">
        <v>59</v>
      </c>
      <c r="K573" s="24">
        <v>626</v>
      </c>
      <c r="L573" s="24">
        <v>69</v>
      </c>
      <c r="M573" s="24">
        <v>152</v>
      </c>
      <c r="N573" s="24">
        <v>82</v>
      </c>
      <c r="O573" s="24">
        <v>166</v>
      </c>
      <c r="P573" s="24">
        <v>71</v>
      </c>
      <c r="Q573" s="24">
        <v>439</v>
      </c>
      <c r="R573" s="24">
        <v>55</v>
      </c>
      <c r="S573" s="24">
        <v>835</v>
      </c>
      <c r="T573" s="24">
        <v>51</v>
      </c>
      <c r="U573" s="24">
        <v>555</v>
      </c>
      <c r="V573" s="24">
        <v>439.5</v>
      </c>
      <c r="W573" s="24">
        <v>31</v>
      </c>
      <c r="X573" s="24">
        <v>572</v>
      </c>
      <c r="Y573" s="24">
        <v>462</v>
      </c>
      <c r="Z573" s="24">
        <v>404</v>
      </c>
      <c r="AA573" s="24">
        <v>-168</v>
      </c>
    </row>
    <row r="574" spans="1:27">
      <c r="A574" s="24" t="s">
        <v>2539</v>
      </c>
      <c r="B574" s="24" t="s">
        <v>131</v>
      </c>
      <c r="C574" s="24" t="s">
        <v>3295</v>
      </c>
      <c r="D574" s="24">
        <v>95</v>
      </c>
      <c r="E574" s="24">
        <v>710</v>
      </c>
      <c r="F574" s="24">
        <v>65</v>
      </c>
      <c r="G574" s="24">
        <v>604</v>
      </c>
      <c r="H574" s="24">
        <v>93.5</v>
      </c>
      <c r="I574" s="24">
        <v>393</v>
      </c>
      <c r="J574" s="24">
        <v>56</v>
      </c>
      <c r="K574" s="24">
        <v>682</v>
      </c>
      <c r="L574" s="24">
        <v>56</v>
      </c>
      <c r="M574" s="24">
        <v>433</v>
      </c>
      <c r="N574" s="24">
        <v>74</v>
      </c>
      <c r="O574" s="24">
        <v>366</v>
      </c>
      <c r="P574" s="24">
        <v>69</v>
      </c>
      <c r="Q574" s="24">
        <v>504</v>
      </c>
      <c r="R574" s="24">
        <v>68</v>
      </c>
      <c r="S574" s="24">
        <v>412</v>
      </c>
      <c r="T574" s="24">
        <v>59</v>
      </c>
      <c r="U574" s="24">
        <v>233</v>
      </c>
      <c r="V574" s="24">
        <v>439.5</v>
      </c>
      <c r="W574" s="24">
        <v>30</v>
      </c>
      <c r="X574" s="24">
        <v>572</v>
      </c>
      <c r="Y574" s="24">
        <v>488</v>
      </c>
      <c r="Z574" s="24">
        <v>269</v>
      </c>
      <c r="AA574" s="24">
        <v>-303</v>
      </c>
    </row>
    <row r="575" spans="1:27">
      <c r="A575" s="24" t="s">
        <v>1834</v>
      </c>
      <c r="B575" s="24" t="s">
        <v>34</v>
      </c>
      <c r="C575" s="24" t="s">
        <v>1835</v>
      </c>
      <c r="D575" s="24">
        <v>97</v>
      </c>
      <c r="E575" s="24">
        <v>645</v>
      </c>
      <c r="F575" s="24">
        <v>62</v>
      </c>
      <c r="G575" s="24">
        <v>665</v>
      </c>
      <c r="H575" s="24">
        <v>101.5</v>
      </c>
      <c r="I575" s="24">
        <v>225</v>
      </c>
      <c r="J575" s="24">
        <v>68</v>
      </c>
      <c r="K575" s="24">
        <v>453</v>
      </c>
      <c r="L575" s="24">
        <v>42</v>
      </c>
      <c r="M575" s="24">
        <v>774</v>
      </c>
      <c r="N575" s="24">
        <v>69</v>
      </c>
      <c r="O575" s="24">
        <v>523</v>
      </c>
      <c r="P575" s="24">
        <v>83</v>
      </c>
      <c r="Q575" s="24">
        <v>79</v>
      </c>
      <c r="R575" s="24">
        <v>77</v>
      </c>
      <c r="S575" s="24">
        <v>102</v>
      </c>
      <c r="T575" s="24">
        <v>70</v>
      </c>
      <c r="U575" s="24">
        <v>37</v>
      </c>
      <c r="V575" s="24">
        <v>439.5</v>
      </c>
      <c r="W575" s="24">
        <v>32</v>
      </c>
      <c r="X575" s="24">
        <v>572</v>
      </c>
      <c r="Y575" s="24">
        <v>445</v>
      </c>
      <c r="Z575" s="24">
        <v>498</v>
      </c>
      <c r="AA575" s="24">
        <v>-74</v>
      </c>
    </row>
    <row r="576" spans="1:27">
      <c r="A576" s="24" t="s">
        <v>862</v>
      </c>
      <c r="B576" s="24" t="s">
        <v>117</v>
      </c>
      <c r="C576" s="24" t="s">
        <v>863</v>
      </c>
      <c r="D576" s="24">
        <v>97</v>
      </c>
      <c r="E576" s="24">
        <v>645</v>
      </c>
      <c r="F576" s="24">
        <v>62</v>
      </c>
      <c r="G576" s="24">
        <v>665</v>
      </c>
      <c r="H576" s="24">
        <v>83</v>
      </c>
      <c r="I576" s="24">
        <v>643</v>
      </c>
      <c r="J576" s="24">
        <v>83</v>
      </c>
      <c r="K576" s="24">
        <v>163</v>
      </c>
      <c r="L576" s="24">
        <v>56</v>
      </c>
      <c r="M576" s="24">
        <v>433</v>
      </c>
      <c r="N576" s="24">
        <v>58</v>
      </c>
      <c r="O576" s="24">
        <v>786</v>
      </c>
      <c r="P576" s="24">
        <v>70</v>
      </c>
      <c r="Q576" s="24">
        <v>473</v>
      </c>
      <c r="R576" s="24">
        <v>59</v>
      </c>
      <c r="S576" s="24">
        <v>746</v>
      </c>
      <c r="T576" s="24">
        <v>53</v>
      </c>
      <c r="U576" s="24">
        <v>470</v>
      </c>
      <c r="V576" s="24">
        <v>439</v>
      </c>
      <c r="W576" s="24">
        <v>33</v>
      </c>
      <c r="X576" s="24">
        <v>575</v>
      </c>
      <c r="Y576" s="24">
        <v>426</v>
      </c>
      <c r="Z576" s="24">
        <v>600</v>
      </c>
      <c r="AA576" s="24">
        <v>25</v>
      </c>
    </row>
    <row r="577" spans="1:27">
      <c r="A577" s="24" t="s">
        <v>385</v>
      </c>
      <c r="B577" s="24" t="s">
        <v>19</v>
      </c>
      <c r="C577" s="24" t="s">
        <v>386</v>
      </c>
      <c r="D577" s="24">
        <v>103</v>
      </c>
      <c r="E577" s="24">
        <v>400</v>
      </c>
      <c r="F577" s="24">
        <v>74</v>
      </c>
      <c r="G577" s="24">
        <v>424</v>
      </c>
      <c r="H577" s="24">
        <v>86.5</v>
      </c>
      <c r="I577" s="24">
        <v>566</v>
      </c>
      <c r="J577" s="24">
        <v>54</v>
      </c>
      <c r="K577" s="24">
        <v>718</v>
      </c>
      <c r="L577" s="24">
        <v>51</v>
      </c>
      <c r="M577" s="24">
        <v>571</v>
      </c>
      <c r="N577" s="24">
        <v>70</v>
      </c>
      <c r="O577" s="24">
        <v>485</v>
      </c>
      <c r="P577" s="24">
        <v>56</v>
      </c>
      <c r="Q577" s="24">
        <v>849</v>
      </c>
      <c r="R577" s="24">
        <v>49</v>
      </c>
      <c r="S577" s="24">
        <v>904</v>
      </c>
      <c r="T577" s="24">
        <v>42</v>
      </c>
      <c r="U577" s="24">
        <v>845</v>
      </c>
      <c r="V577" s="24">
        <v>438.5</v>
      </c>
      <c r="W577" s="24">
        <v>32</v>
      </c>
      <c r="X577" s="24">
        <v>576</v>
      </c>
      <c r="Y577" s="24">
        <v>382</v>
      </c>
      <c r="Z577" s="24">
        <v>798</v>
      </c>
      <c r="AA577" s="24">
        <v>222</v>
      </c>
    </row>
    <row r="578" spans="1:27">
      <c r="A578" s="24" t="s">
        <v>2098</v>
      </c>
      <c r="B578" s="24" t="s">
        <v>109</v>
      </c>
      <c r="C578" s="24" t="s">
        <v>2099</v>
      </c>
      <c r="D578" s="24">
        <v>121</v>
      </c>
      <c r="E578" s="24">
        <v>13</v>
      </c>
      <c r="F578" s="24">
        <v>58</v>
      </c>
      <c r="G578" s="24">
        <v>734</v>
      </c>
      <c r="H578" s="24">
        <v>69.5</v>
      </c>
      <c r="I578" s="24">
        <v>848</v>
      </c>
      <c r="J578" s="24">
        <v>74</v>
      </c>
      <c r="K578" s="24">
        <v>317</v>
      </c>
      <c r="L578" s="24">
        <v>46</v>
      </c>
      <c r="M578" s="24">
        <v>702</v>
      </c>
      <c r="N578" s="24">
        <v>70</v>
      </c>
      <c r="O578" s="24">
        <v>485</v>
      </c>
      <c r="P578" s="24">
        <v>83</v>
      </c>
      <c r="Q578" s="24">
        <v>79</v>
      </c>
      <c r="R578" s="24">
        <v>77</v>
      </c>
      <c r="S578" s="24">
        <v>102</v>
      </c>
      <c r="T578" s="24">
        <v>67</v>
      </c>
      <c r="U578" s="24">
        <v>66</v>
      </c>
      <c r="V578" s="24">
        <v>438.5</v>
      </c>
      <c r="W578" s="24">
        <v>31</v>
      </c>
      <c r="X578" s="24">
        <v>576</v>
      </c>
      <c r="Y578" s="24">
        <v>448</v>
      </c>
      <c r="Z578" s="24">
        <v>479</v>
      </c>
      <c r="AA578" s="24">
        <v>-97</v>
      </c>
    </row>
    <row r="579" spans="1:27">
      <c r="A579" s="24" t="s">
        <v>1182</v>
      </c>
      <c r="B579" s="24" t="s">
        <v>68</v>
      </c>
      <c r="C579" s="24" t="s">
        <v>1183</v>
      </c>
      <c r="D579" s="24">
        <v>113</v>
      </c>
      <c r="E579" s="24">
        <v>95</v>
      </c>
      <c r="F579" s="24">
        <v>77</v>
      </c>
      <c r="G579" s="24">
        <v>369</v>
      </c>
      <c r="H579" s="24">
        <v>76.5</v>
      </c>
      <c r="I579" s="24">
        <v>751</v>
      </c>
      <c r="J579" s="24">
        <v>63</v>
      </c>
      <c r="K579" s="24">
        <v>540</v>
      </c>
      <c r="L579" s="24">
        <v>50</v>
      </c>
      <c r="M579" s="24">
        <v>599</v>
      </c>
      <c r="N579" s="24">
        <v>59</v>
      </c>
      <c r="O579" s="24">
        <v>762</v>
      </c>
      <c r="P579" s="24">
        <v>73</v>
      </c>
      <c r="Q579" s="24">
        <v>359</v>
      </c>
      <c r="R579" s="24">
        <v>72</v>
      </c>
      <c r="S579" s="24">
        <v>256</v>
      </c>
      <c r="T579" s="24">
        <v>52</v>
      </c>
      <c r="U579" s="24">
        <v>509</v>
      </c>
      <c r="V579" s="24">
        <v>438.5</v>
      </c>
      <c r="W579" s="24">
        <v>31</v>
      </c>
      <c r="X579" s="24">
        <v>576</v>
      </c>
      <c r="Y579" s="24">
        <v>420</v>
      </c>
      <c r="Z579" s="24">
        <v>642</v>
      </c>
      <c r="AA579" s="24">
        <v>66</v>
      </c>
    </row>
    <row r="580" spans="1:27">
      <c r="A580" s="24" t="s">
        <v>1484</v>
      </c>
      <c r="B580" s="24" t="s">
        <v>56</v>
      </c>
      <c r="C580" s="24" t="s">
        <v>1485</v>
      </c>
      <c r="D580" s="24">
        <v>107</v>
      </c>
      <c r="E580" s="24">
        <v>242</v>
      </c>
      <c r="F580" s="24">
        <v>64</v>
      </c>
      <c r="G580" s="24">
        <v>627</v>
      </c>
      <c r="H580" s="24">
        <v>90</v>
      </c>
      <c r="I580" s="24">
        <v>482</v>
      </c>
      <c r="J580" s="24">
        <v>63</v>
      </c>
      <c r="K580" s="24">
        <v>540</v>
      </c>
      <c r="L580" s="24">
        <v>38</v>
      </c>
      <c r="M580" s="24">
        <v>840</v>
      </c>
      <c r="N580" s="24">
        <v>76</v>
      </c>
      <c r="O580" s="24">
        <v>308</v>
      </c>
      <c r="P580" s="24">
        <v>68</v>
      </c>
      <c r="Q580" s="24">
        <v>541</v>
      </c>
      <c r="R580" s="24">
        <v>80</v>
      </c>
      <c r="S580" s="24">
        <v>54</v>
      </c>
      <c r="T580" s="24">
        <v>50</v>
      </c>
      <c r="U580" s="24">
        <v>591</v>
      </c>
      <c r="V580" s="24">
        <v>438</v>
      </c>
      <c r="W580" s="24">
        <v>34</v>
      </c>
      <c r="X580" s="24">
        <v>579</v>
      </c>
      <c r="Y580" s="24">
        <v>405.5</v>
      </c>
      <c r="Z580" s="24">
        <v>701</v>
      </c>
      <c r="AA580" s="24">
        <v>122</v>
      </c>
    </row>
    <row r="581" spans="1:27">
      <c r="A581" s="24" t="s">
        <v>1831</v>
      </c>
      <c r="B581" s="24" t="s">
        <v>34</v>
      </c>
      <c r="C581" s="24" t="s">
        <v>1832</v>
      </c>
      <c r="D581" s="24">
        <v>105</v>
      </c>
      <c r="E581" s="24">
        <v>325</v>
      </c>
      <c r="F581" s="24">
        <v>52</v>
      </c>
      <c r="G581" s="24">
        <v>807</v>
      </c>
      <c r="H581" s="24">
        <v>90</v>
      </c>
      <c r="I581" s="24">
        <v>482</v>
      </c>
      <c r="J581" s="24">
        <v>65</v>
      </c>
      <c r="K581" s="24">
        <v>501</v>
      </c>
      <c r="L581" s="24">
        <v>54</v>
      </c>
      <c r="M581" s="24">
        <v>494</v>
      </c>
      <c r="N581" s="24">
        <v>72</v>
      </c>
      <c r="O581" s="24">
        <v>433</v>
      </c>
      <c r="P581" s="24">
        <v>58</v>
      </c>
      <c r="Q581" s="24">
        <v>820</v>
      </c>
      <c r="R581" s="24">
        <v>77</v>
      </c>
      <c r="S581" s="24">
        <v>102</v>
      </c>
      <c r="T581" s="24">
        <v>48</v>
      </c>
      <c r="U581" s="24">
        <v>671</v>
      </c>
      <c r="V581" s="24">
        <v>438</v>
      </c>
      <c r="W581" s="24">
        <v>33</v>
      </c>
      <c r="X581" s="24">
        <v>579</v>
      </c>
      <c r="Y581" s="24">
        <v>407</v>
      </c>
      <c r="Z581" s="24">
        <v>695</v>
      </c>
      <c r="AA581" s="24">
        <v>116</v>
      </c>
    </row>
    <row r="582" spans="1:27">
      <c r="A582" s="24" t="s">
        <v>2555</v>
      </c>
      <c r="B582" s="24" t="s">
        <v>131</v>
      </c>
      <c r="C582" s="24" t="s">
        <v>2556</v>
      </c>
      <c r="D582" s="24">
        <v>111</v>
      </c>
      <c r="E582" s="24">
        <v>136</v>
      </c>
      <c r="F582" s="24">
        <v>57</v>
      </c>
      <c r="G582" s="24">
        <v>744</v>
      </c>
      <c r="H582" s="24">
        <v>78</v>
      </c>
      <c r="I582" s="24">
        <v>723</v>
      </c>
      <c r="J582" s="24">
        <v>74</v>
      </c>
      <c r="K582" s="24">
        <v>317</v>
      </c>
      <c r="L582" s="24">
        <v>46</v>
      </c>
      <c r="M582" s="24">
        <v>702</v>
      </c>
      <c r="N582" s="24">
        <v>72</v>
      </c>
      <c r="O582" s="24">
        <v>433</v>
      </c>
      <c r="P582" s="24">
        <v>74</v>
      </c>
      <c r="Q582" s="24">
        <v>326</v>
      </c>
      <c r="R582" s="24">
        <v>70</v>
      </c>
      <c r="S582" s="24">
        <v>327</v>
      </c>
      <c r="T582" s="24">
        <v>53</v>
      </c>
      <c r="U582" s="24">
        <v>470</v>
      </c>
      <c r="V582" s="24">
        <v>438</v>
      </c>
      <c r="W582" s="24">
        <v>31</v>
      </c>
      <c r="X582" s="24">
        <v>579</v>
      </c>
      <c r="Y582" s="24">
        <v>386.5</v>
      </c>
      <c r="Z582" s="24">
        <v>778</v>
      </c>
      <c r="AA582" s="24">
        <v>199</v>
      </c>
    </row>
    <row r="583" spans="1:27">
      <c r="A583" s="24" t="s">
        <v>438</v>
      </c>
      <c r="B583" s="24" t="s">
        <v>19</v>
      </c>
      <c r="C583" s="24" t="s">
        <v>439</v>
      </c>
      <c r="D583" s="24">
        <v>103</v>
      </c>
      <c r="E583" s="24">
        <v>400</v>
      </c>
      <c r="F583" s="24">
        <v>67</v>
      </c>
      <c r="G583" s="24">
        <v>565</v>
      </c>
      <c r="H583" s="24">
        <v>79</v>
      </c>
      <c r="I583" s="24">
        <v>710</v>
      </c>
      <c r="J583" s="24">
        <v>65</v>
      </c>
      <c r="K583" s="24">
        <v>501</v>
      </c>
      <c r="L583" s="24">
        <v>54</v>
      </c>
      <c r="M583" s="24">
        <v>494</v>
      </c>
      <c r="N583" s="24">
        <v>70</v>
      </c>
      <c r="O583" s="24">
        <v>485</v>
      </c>
      <c r="P583" s="24">
        <v>66</v>
      </c>
      <c r="Q583" s="24">
        <v>604</v>
      </c>
      <c r="R583" s="24">
        <v>72</v>
      </c>
      <c r="S583" s="24">
        <v>256</v>
      </c>
      <c r="T583" s="24">
        <v>58</v>
      </c>
      <c r="U583" s="24">
        <v>278</v>
      </c>
      <c r="V583" s="24">
        <v>438</v>
      </c>
      <c r="W583" s="24">
        <v>33</v>
      </c>
      <c r="X583" s="24">
        <v>579</v>
      </c>
      <c r="Y583" s="24">
        <v>423</v>
      </c>
      <c r="Z583" s="24">
        <v>618</v>
      </c>
      <c r="AA583" s="24">
        <v>39</v>
      </c>
    </row>
    <row r="584" spans="1:27">
      <c r="A584" s="24" t="s">
        <v>497</v>
      </c>
      <c r="B584" s="24" t="s">
        <v>19</v>
      </c>
      <c r="C584" s="24" t="s">
        <v>507</v>
      </c>
      <c r="D584" s="24">
        <v>121</v>
      </c>
      <c r="E584" s="24">
        <v>13</v>
      </c>
      <c r="F584" s="24">
        <v>66</v>
      </c>
      <c r="G584" s="24">
        <v>584</v>
      </c>
      <c r="H584" s="24">
        <v>106</v>
      </c>
      <c r="I584" s="24">
        <v>162</v>
      </c>
      <c r="J584" s="24">
        <v>44</v>
      </c>
      <c r="K584" s="24">
        <v>849</v>
      </c>
      <c r="L584" s="24">
        <v>35</v>
      </c>
      <c r="M584" s="24">
        <v>870</v>
      </c>
      <c r="N584" s="24">
        <v>66</v>
      </c>
      <c r="O584" s="24">
        <v>611</v>
      </c>
      <c r="P584" s="24">
        <v>84</v>
      </c>
      <c r="Q584" s="24">
        <v>59</v>
      </c>
      <c r="R584" s="24">
        <v>72</v>
      </c>
      <c r="S584" s="24">
        <v>256</v>
      </c>
      <c r="T584" s="24">
        <v>46</v>
      </c>
      <c r="U584" s="24">
        <v>755</v>
      </c>
      <c r="V584" s="24">
        <v>438</v>
      </c>
      <c r="W584" s="24">
        <v>33</v>
      </c>
      <c r="X584" s="24">
        <v>579</v>
      </c>
      <c r="Y584" s="24">
        <v>461.5</v>
      </c>
      <c r="Z584" s="24">
        <v>407</v>
      </c>
      <c r="AA584" s="24">
        <v>-172</v>
      </c>
    </row>
    <row r="585" spans="1:27">
      <c r="A585" s="24" t="s">
        <v>2329</v>
      </c>
      <c r="B585" s="24" t="s">
        <v>7</v>
      </c>
      <c r="C585" s="24" t="s">
        <v>2335</v>
      </c>
      <c r="D585" s="24">
        <v>100</v>
      </c>
      <c r="E585" s="24">
        <v>528</v>
      </c>
      <c r="F585" s="24">
        <v>61</v>
      </c>
      <c r="G585" s="24">
        <v>678</v>
      </c>
      <c r="H585" s="24">
        <v>79.5</v>
      </c>
      <c r="I585" s="24">
        <v>699</v>
      </c>
      <c r="J585" s="24">
        <v>56</v>
      </c>
      <c r="K585" s="24">
        <v>682</v>
      </c>
      <c r="L585" s="24">
        <v>64</v>
      </c>
      <c r="M585" s="24">
        <v>244</v>
      </c>
      <c r="N585" s="24">
        <v>77</v>
      </c>
      <c r="O585" s="24">
        <v>275</v>
      </c>
      <c r="P585" s="24">
        <v>81</v>
      </c>
      <c r="Q585" s="24">
        <v>124</v>
      </c>
      <c r="R585" s="24">
        <v>63</v>
      </c>
      <c r="S585" s="24">
        <v>633</v>
      </c>
      <c r="T585" s="24">
        <v>56</v>
      </c>
      <c r="U585" s="24">
        <v>352</v>
      </c>
      <c r="V585" s="24">
        <v>437.5</v>
      </c>
      <c r="W585" s="24">
        <v>31</v>
      </c>
      <c r="X585" s="24">
        <v>584</v>
      </c>
      <c r="Y585" s="24">
        <v>442</v>
      </c>
      <c r="Z585" s="24">
        <v>518</v>
      </c>
      <c r="AA585" s="24">
        <v>-66</v>
      </c>
    </row>
    <row r="586" spans="1:27">
      <c r="A586" s="24" t="s">
        <v>2858</v>
      </c>
      <c r="B586" s="24" t="s">
        <v>38</v>
      </c>
      <c r="C586" s="24" t="s">
        <v>2859</v>
      </c>
      <c r="D586" s="24">
        <v>107</v>
      </c>
      <c r="E586" s="24">
        <v>242</v>
      </c>
      <c r="F586" s="24">
        <v>68</v>
      </c>
      <c r="G586" s="24">
        <v>540</v>
      </c>
      <c r="H586" s="24">
        <v>73.5</v>
      </c>
      <c r="I586" s="24">
        <v>798</v>
      </c>
      <c r="J586" s="24">
        <v>63</v>
      </c>
      <c r="K586" s="24">
        <v>540</v>
      </c>
      <c r="L586" s="24">
        <v>57</v>
      </c>
      <c r="M586" s="24">
        <v>409</v>
      </c>
      <c r="N586" s="24">
        <v>69</v>
      </c>
      <c r="O586" s="24">
        <v>523</v>
      </c>
      <c r="P586" s="24">
        <v>69</v>
      </c>
      <c r="Q586" s="24">
        <v>504</v>
      </c>
      <c r="R586" s="24">
        <v>66</v>
      </c>
      <c r="S586" s="24">
        <v>511</v>
      </c>
      <c r="T586" s="24">
        <v>50</v>
      </c>
      <c r="U586" s="24">
        <v>591</v>
      </c>
      <c r="V586" s="24">
        <v>437.5</v>
      </c>
      <c r="W586" s="24">
        <v>26</v>
      </c>
      <c r="X586" s="24">
        <v>584</v>
      </c>
      <c r="Y586" s="24">
        <v>428.5</v>
      </c>
      <c r="Z586" s="24">
        <v>582</v>
      </c>
      <c r="AA586" s="24">
        <v>-2</v>
      </c>
    </row>
    <row r="587" spans="1:27">
      <c r="A587" s="24" t="s">
        <v>1231</v>
      </c>
      <c r="B587" s="24" t="s">
        <v>54</v>
      </c>
      <c r="C587" s="24" t="s">
        <v>1232</v>
      </c>
      <c r="D587" s="24">
        <v>92</v>
      </c>
      <c r="E587" s="24">
        <v>779</v>
      </c>
      <c r="F587" s="24">
        <v>60</v>
      </c>
      <c r="G587" s="24">
        <v>696</v>
      </c>
      <c r="H587" s="24">
        <v>86.5</v>
      </c>
      <c r="I587" s="24">
        <v>566</v>
      </c>
      <c r="J587" s="24">
        <v>73</v>
      </c>
      <c r="K587" s="24">
        <v>339</v>
      </c>
      <c r="L587" s="24">
        <v>63</v>
      </c>
      <c r="M587" s="24">
        <v>262</v>
      </c>
      <c r="N587" s="24">
        <v>63</v>
      </c>
      <c r="O587" s="24">
        <v>692</v>
      </c>
      <c r="P587" s="24">
        <v>68</v>
      </c>
      <c r="Q587" s="24">
        <v>541</v>
      </c>
      <c r="R587" s="24">
        <v>70</v>
      </c>
      <c r="S587" s="24">
        <v>327</v>
      </c>
      <c r="T587" s="24">
        <v>65</v>
      </c>
      <c r="U587" s="24">
        <v>89</v>
      </c>
      <c r="V587" s="24">
        <v>437.5</v>
      </c>
      <c r="W587" s="24">
        <v>34</v>
      </c>
      <c r="X587" s="24">
        <v>584</v>
      </c>
      <c r="Y587" s="24">
        <v>439.5</v>
      </c>
      <c r="Z587" s="24">
        <v>526</v>
      </c>
      <c r="AA587" s="24">
        <v>-58</v>
      </c>
    </row>
    <row r="588" spans="1:27">
      <c r="A588" s="24" t="s">
        <v>1098</v>
      </c>
      <c r="B588" s="24" t="s">
        <v>68</v>
      </c>
      <c r="C588" s="24" t="s">
        <v>1099</v>
      </c>
      <c r="D588" s="24">
        <v>101</v>
      </c>
      <c r="E588" s="24">
        <v>481</v>
      </c>
      <c r="F588" s="24">
        <v>72</v>
      </c>
      <c r="G588" s="24">
        <v>458</v>
      </c>
      <c r="H588" s="24">
        <v>84.5</v>
      </c>
      <c r="I588" s="24">
        <v>607</v>
      </c>
      <c r="J588" s="24">
        <v>68</v>
      </c>
      <c r="K588" s="24">
        <v>453</v>
      </c>
      <c r="L588" s="24">
        <v>56</v>
      </c>
      <c r="M588" s="24">
        <v>433</v>
      </c>
      <c r="N588" s="24">
        <v>56</v>
      </c>
      <c r="O588" s="24">
        <v>816</v>
      </c>
      <c r="P588" s="24">
        <v>88</v>
      </c>
      <c r="Q588" s="24">
        <v>15</v>
      </c>
      <c r="R588" s="24">
        <v>61</v>
      </c>
      <c r="S588" s="24">
        <v>703</v>
      </c>
      <c r="T588" s="24">
        <v>34</v>
      </c>
      <c r="U588" s="24">
        <v>928</v>
      </c>
      <c r="V588" s="24">
        <v>437.5</v>
      </c>
      <c r="W588" s="24">
        <v>32</v>
      </c>
      <c r="X588" s="24">
        <v>584</v>
      </c>
      <c r="Y588" s="24">
        <v>436</v>
      </c>
      <c r="Z588" s="24">
        <v>541</v>
      </c>
      <c r="AA588" s="24">
        <v>-43</v>
      </c>
    </row>
    <row r="589" spans="1:27">
      <c r="A589" s="24" t="s">
        <v>1086</v>
      </c>
      <c r="B589" s="24" t="s">
        <v>68</v>
      </c>
      <c r="C589" s="24" t="s">
        <v>1087</v>
      </c>
      <c r="D589" s="24">
        <v>98</v>
      </c>
      <c r="E589" s="24">
        <v>611</v>
      </c>
      <c r="F589" s="24">
        <v>63</v>
      </c>
      <c r="G589" s="24">
        <v>642</v>
      </c>
      <c r="H589" s="24">
        <v>90</v>
      </c>
      <c r="I589" s="24">
        <v>482</v>
      </c>
      <c r="J589" s="24">
        <v>58</v>
      </c>
      <c r="K589" s="24">
        <v>649</v>
      </c>
      <c r="L589" s="24">
        <v>47</v>
      </c>
      <c r="M589" s="24">
        <v>673</v>
      </c>
      <c r="N589" s="24">
        <v>81</v>
      </c>
      <c r="O589" s="24">
        <v>183</v>
      </c>
      <c r="P589" s="24">
        <v>69</v>
      </c>
      <c r="Q589" s="24">
        <v>504</v>
      </c>
      <c r="R589" s="24">
        <v>75</v>
      </c>
      <c r="S589" s="24">
        <v>146</v>
      </c>
      <c r="T589" s="24">
        <v>52</v>
      </c>
      <c r="U589" s="24">
        <v>509</v>
      </c>
      <c r="V589" s="24">
        <v>437</v>
      </c>
      <c r="W589" s="24">
        <v>33</v>
      </c>
      <c r="X589" s="24">
        <v>588</v>
      </c>
      <c r="Y589" s="24">
        <v>429</v>
      </c>
      <c r="Z589" s="24">
        <v>580</v>
      </c>
      <c r="AA589" s="24">
        <v>-8</v>
      </c>
    </row>
    <row r="590" spans="1:27">
      <c r="A590" s="24" t="s">
        <v>661</v>
      </c>
      <c r="B590" s="24" t="s">
        <v>17</v>
      </c>
      <c r="C590" s="24" t="s">
        <v>18</v>
      </c>
      <c r="D590" s="24">
        <v>99</v>
      </c>
      <c r="E590" s="24">
        <v>571</v>
      </c>
      <c r="F590" s="24">
        <v>51</v>
      </c>
      <c r="G590" s="24">
        <v>817</v>
      </c>
      <c r="H590" s="24">
        <v>87</v>
      </c>
      <c r="I590" s="24">
        <v>554</v>
      </c>
      <c r="J590" s="24">
        <v>65</v>
      </c>
      <c r="K590" s="24">
        <v>501</v>
      </c>
      <c r="L590" s="24">
        <v>59</v>
      </c>
      <c r="M590" s="24">
        <v>348</v>
      </c>
      <c r="N590" s="24">
        <v>76</v>
      </c>
      <c r="O590" s="24">
        <v>308</v>
      </c>
      <c r="P590" s="24">
        <v>84</v>
      </c>
      <c r="Q590" s="24">
        <v>59</v>
      </c>
      <c r="R590" s="24">
        <v>68</v>
      </c>
      <c r="S590" s="24">
        <v>412</v>
      </c>
      <c r="T590" s="24">
        <v>53</v>
      </c>
      <c r="U590" s="24">
        <v>470</v>
      </c>
      <c r="V590" s="24">
        <v>437</v>
      </c>
      <c r="W590" s="24">
        <v>36</v>
      </c>
      <c r="X590" s="24">
        <v>588</v>
      </c>
      <c r="Y590" s="24">
        <v>471</v>
      </c>
      <c r="Z590" s="24">
        <v>359</v>
      </c>
      <c r="AA590" s="24">
        <v>-229</v>
      </c>
    </row>
    <row r="591" spans="1:27">
      <c r="A591" s="24" t="s">
        <v>2033</v>
      </c>
      <c r="B591" s="24" t="s">
        <v>109</v>
      </c>
      <c r="C591" s="24" t="s">
        <v>2034</v>
      </c>
      <c r="D591" s="24">
        <v>98</v>
      </c>
      <c r="E591" s="24">
        <v>611</v>
      </c>
      <c r="F591" s="24">
        <v>68</v>
      </c>
      <c r="G591" s="24">
        <v>540</v>
      </c>
      <c r="H591" s="24">
        <v>91</v>
      </c>
      <c r="I591" s="24">
        <v>459</v>
      </c>
      <c r="J591" s="24">
        <v>50</v>
      </c>
      <c r="K591" s="24">
        <v>788</v>
      </c>
      <c r="L591" s="24">
        <v>64</v>
      </c>
      <c r="M591" s="24">
        <v>244</v>
      </c>
      <c r="N591" s="24">
        <v>66</v>
      </c>
      <c r="O591" s="24">
        <v>611</v>
      </c>
      <c r="P591" s="24">
        <v>67</v>
      </c>
      <c r="Q591" s="24">
        <v>570</v>
      </c>
      <c r="R591" s="24">
        <v>67</v>
      </c>
      <c r="S591" s="24">
        <v>471</v>
      </c>
      <c r="T591" s="24">
        <v>60</v>
      </c>
      <c r="U591" s="24">
        <v>203</v>
      </c>
      <c r="V591" s="24">
        <v>437</v>
      </c>
      <c r="W591" s="24">
        <v>32</v>
      </c>
      <c r="X591" s="24">
        <v>588</v>
      </c>
      <c r="Y591" s="24">
        <v>403.5</v>
      </c>
      <c r="Z591" s="24">
        <v>715</v>
      </c>
      <c r="AA591" s="24">
        <v>127</v>
      </c>
    </row>
    <row r="592" spans="1:27">
      <c r="A592" s="24" t="s">
        <v>2636</v>
      </c>
      <c r="B592" s="24" t="s">
        <v>49</v>
      </c>
      <c r="C592" s="24" t="s">
        <v>2639</v>
      </c>
      <c r="D592" s="24">
        <v>84</v>
      </c>
      <c r="E592" s="24">
        <v>891</v>
      </c>
      <c r="F592" s="24">
        <v>78</v>
      </c>
      <c r="G592" s="24">
        <v>353</v>
      </c>
      <c r="H592" s="24">
        <v>98</v>
      </c>
      <c r="I592" s="24">
        <v>294</v>
      </c>
      <c r="J592" s="24">
        <v>67</v>
      </c>
      <c r="K592" s="24">
        <v>468</v>
      </c>
      <c r="L592" s="24">
        <v>45</v>
      </c>
      <c r="M592" s="24">
        <v>720</v>
      </c>
      <c r="N592" s="24">
        <v>65</v>
      </c>
      <c r="O592" s="24">
        <v>643</v>
      </c>
      <c r="P592" s="24">
        <v>50</v>
      </c>
      <c r="Q592" s="24">
        <v>911</v>
      </c>
      <c r="R592" s="24">
        <v>40</v>
      </c>
      <c r="S592" s="24">
        <v>932</v>
      </c>
      <c r="T592" s="24">
        <v>42</v>
      </c>
      <c r="U592" s="24">
        <v>845</v>
      </c>
      <c r="V592" s="24">
        <v>437</v>
      </c>
      <c r="W592" s="24">
        <v>34</v>
      </c>
      <c r="X592" s="24">
        <v>588</v>
      </c>
      <c r="Y592" s="24">
        <v>421.5</v>
      </c>
      <c r="Z592" s="24">
        <v>627</v>
      </c>
      <c r="AA592" s="24">
        <v>39</v>
      </c>
    </row>
    <row r="593" spans="1:27">
      <c r="A593" s="24" t="s">
        <v>2543</v>
      </c>
      <c r="B593" s="24" t="s">
        <v>131</v>
      </c>
      <c r="C593" s="24" t="s">
        <v>2544</v>
      </c>
      <c r="D593" s="24">
        <v>70</v>
      </c>
      <c r="E593" s="24">
        <v>930</v>
      </c>
      <c r="F593" s="24">
        <v>98</v>
      </c>
      <c r="G593" s="24">
        <v>103</v>
      </c>
      <c r="H593" s="24">
        <v>100</v>
      </c>
      <c r="I593" s="24">
        <v>258</v>
      </c>
      <c r="J593" s="24">
        <v>55</v>
      </c>
      <c r="K593" s="24">
        <v>694</v>
      </c>
      <c r="L593" s="24">
        <v>51</v>
      </c>
      <c r="M593" s="24">
        <v>571</v>
      </c>
      <c r="N593" s="24">
        <v>63</v>
      </c>
      <c r="O593" s="24">
        <v>692</v>
      </c>
      <c r="P593" s="24">
        <v>57</v>
      </c>
      <c r="Q593" s="24">
        <v>838</v>
      </c>
      <c r="R593" s="24">
        <v>61</v>
      </c>
      <c r="S593" s="24">
        <v>703</v>
      </c>
      <c r="T593" s="24">
        <v>45</v>
      </c>
      <c r="U593" s="24">
        <v>781</v>
      </c>
      <c r="V593" s="24">
        <v>437</v>
      </c>
      <c r="W593" s="24">
        <v>32</v>
      </c>
      <c r="X593" s="24">
        <v>588</v>
      </c>
      <c r="Y593" s="24">
        <v>427.5</v>
      </c>
      <c r="Z593" s="24">
        <v>589</v>
      </c>
      <c r="AA593" s="24">
        <v>1</v>
      </c>
    </row>
    <row r="594" spans="1:27">
      <c r="A594" s="24" t="s">
        <v>2829</v>
      </c>
      <c r="B594" s="24" t="s">
        <v>38</v>
      </c>
      <c r="C594" s="24" t="s">
        <v>89</v>
      </c>
      <c r="D594" s="24">
        <v>79</v>
      </c>
      <c r="E594" s="24">
        <v>915</v>
      </c>
      <c r="F594" s="24">
        <v>60</v>
      </c>
      <c r="G594" s="24">
        <v>696</v>
      </c>
      <c r="H594" s="24">
        <v>104.5</v>
      </c>
      <c r="I594" s="24">
        <v>177</v>
      </c>
      <c r="J594" s="24">
        <v>66</v>
      </c>
      <c r="K594" s="24">
        <v>484</v>
      </c>
      <c r="L594" s="24">
        <v>61</v>
      </c>
      <c r="M594" s="24">
        <v>300</v>
      </c>
      <c r="N594" s="24">
        <v>66</v>
      </c>
      <c r="O594" s="24">
        <v>611</v>
      </c>
      <c r="P594" s="24">
        <v>66</v>
      </c>
      <c r="Q594" s="24">
        <v>604</v>
      </c>
      <c r="R594" s="24">
        <v>74</v>
      </c>
      <c r="S594" s="24">
        <v>174</v>
      </c>
      <c r="T594" s="24">
        <v>61</v>
      </c>
      <c r="U594" s="24">
        <v>172</v>
      </c>
      <c r="V594" s="24">
        <v>436.5</v>
      </c>
      <c r="W594" s="24">
        <v>27</v>
      </c>
      <c r="X594" s="24">
        <v>593</v>
      </c>
      <c r="Y594" s="24">
        <v>475.5</v>
      </c>
      <c r="Z594" s="24">
        <v>323</v>
      </c>
      <c r="AA594" s="24">
        <v>-270</v>
      </c>
    </row>
    <row r="595" spans="1:27">
      <c r="A595" s="24" t="s">
        <v>2229</v>
      </c>
      <c r="B595" s="24" t="s">
        <v>73</v>
      </c>
      <c r="C595" s="24" t="s">
        <v>2230</v>
      </c>
      <c r="D595" s="24">
        <v>97</v>
      </c>
      <c r="E595" s="24">
        <v>645</v>
      </c>
      <c r="F595" s="24">
        <v>65</v>
      </c>
      <c r="G595" s="24">
        <v>604</v>
      </c>
      <c r="H595" s="24">
        <v>113.5</v>
      </c>
      <c r="I595" s="24">
        <v>71</v>
      </c>
      <c r="J595" s="24">
        <v>59</v>
      </c>
      <c r="K595" s="24">
        <v>626</v>
      </c>
      <c r="L595" s="24">
        <v>51</v>
      </c>
      <c r="M595" s="24">
        <v>571</v>
      </c>
      <c r="N595" s="24">
        <v>51</v>
      </c>
      <c r="O595" s="24">
        <v>874</v>
      </c>
      <c r="P595" s="24">
        <v>80</v>
      </c>
      <c r="Q595" s="24">
        <v>151</v>
      </c>
      <c r="R595" s="24">
        <v>71</v>
      </c>
      <c r="S595" s="24">
        <v>290</v>
      </c>
      <c r="T595" s="24">
        <v>54</v>
      </c>
      <c r="U595" s="24">
        <v>428</v>
      </c>
      <c r="V595" s="24">
        <v>436.5</v>
      </c>
      <c r="W595" s="24">
        <v>35</v>
      </c>
      <c r="X595" s="24">
        <v>593</v>
      </c>
      <c r="Y595" s="24">
        <v>488</v>
      </c>
      <c r="Z595" s="24">
        <v>269</v>
      </c>
      <c r="AA595" s="24">
        <v>-324</v>
      </c>
    </row>
    <row r="596" spans="1:27">
      <c r="A596" s="24" t="s">
        <v>2820</v>
      </c>
      <c r="B596" s="24" t="s">
        <v>38</v>
      </c>
      <c r="C596" s="24" t="s">
        <v>2821</v>
      </c>
      <c r="D596" s="24">
        <v>97</v>
      </c>
      <c r="E596" s="24">
        <v>645</v>
      </c>
      <c r="F596" s="24">
        <v>65</v>
      </c>
      <c r="G596" s="24">
        <v>604</v>
      </c>
      <c r="H596" s="24">
        <v>87.5</v>
      </c>
      <c r="I596" s="24">
        <v>542</v>
      </c>
      <c r="J596" s="24">
        <v>65</v>
      </c>
      <c r="K596" s="24">
        <v>501</v>
      </c>
      <c r="L596" s="24">
        <v>46</v>
      </c>
      <c r="M596" s="24">
        <v>702</v>
      </c>
      <c r="N596" s="24">
        <v>75</v>
      </c>
      <c r="O596" s="24">
        <v>342</v>
      </c>
      <c r="P596" s="24">
        <v>71</v>
      </c>
      <c r="Q596" s="24">
        <v>439</v>
      </c>
      <c r="R596" s="24">
        <v>62</v>
      </c>
      <c r="S596" s="24">
        <v>672</v>
      </c>
      <c r="T596" s="24">
        <v>44</v>
      </c>
      <c r="U596" s="24">
        <v>804</v>
      </c>
      <c r="V596" s="24">
        <v>435.5</v>
      </c>
      <c r="W596" s="24">
        <v>28</v>
      </c>
      <c r="X596" s="24">
        <v>595</v>
      </c>
      <c r="Y596" s="24">
        <v>427.5</v>
      </c>
      <c r="Z596" s="24">
        <v>589</v>
      </c>
      <c r="AA596" s="24">
        <v>-6</v>
      </c>
    </row>
    <row r="597" spans="1:27">
      <c r="A597" s="24" t="s">
        <v>2594</v>
      </c>
      <c r="B597" s="24" t="s">
        <v>49</v>
      </c>
      <c r="C597" s="24" t="s">
        <v>2595</v>
      </c>
      <c r="D597" s="24">
        <v>101</v>
      </c>
      <c r="E597" s="24">
        <v>481</v>
      </c>
      <c r="F597" s="24">
        <v>64</v>
      </c>
      <c r="G597" s="24">
        <v>627</v>
      </c>
      <c r="H597" s="24">
        <v>87.5</v>
      </c>
      <c r="I597" s="24">
        <v>542</v>
      </c>
      <c r="J597" s="24">
        <v>55</v>
      </c>
      <c r="K597" s="24">
        <v>694</v>
      </c>
      <c r="L597" s="24">
        <v>55</v>
      </c>
      <c r="M597" s="24">
        <v>470</v>
      </c>
      <c r="N597" s="24">
        <v>73</v>
      </c>
      <c r="O597" s="24">
        <v>393</v>
      </c>
      <c r="P597" s="24">
        <v>70</v>
      </c>
      <c r="Q597" s="24">
        <v>473</v>
      </c>
      <c r="R597" s="24">
        <v>73</v>
      </c>
      <c r="S597" s="24">
        <v>216</v>
      </c>
      <c r="T597" s="24">
        <v>58</v>
      </c>
      <c r="U597" s="24">
        <v>278</v>
      </c>
      <c r="V597" s="24">
        <v>435.5</v>
      </c>
      <c r="W597" s="24">
        <v>35</v>
      </c>
      <c r="X597" s="24">
        <v>595</v>
      </c>
      <c r="Y597" s="24">
        <v>445.5</v>
      </c>
      <c r="Z597" s="24">
        <v>495</v>
      </c>
      <c r="AA597" s="24">
        <v>-100</v>
      </c>
    </row>
    <row r="598" spans="1:27">
      <c r="A598" s="24" t="s">
        <v>2837</v>
      </c>
      <c r="B598" s="24" t="s">
        <v>38</v>
      </c>
      <c r="C598" s="24" t="s">
        <v>2838</v>
      </c>
      <c r="D598" s="24">
        <v>103</v>
      </c>
      <c r="E598" s="24">
        <v>400</v>
      </c>
      <c r="F598" s="24">
        <v>82</v>
      </c>
      <c r="G598" s="24">
        <v>290</v>
      </c>
      <c r="H598" s="24">
        <v>73.5</v>
      </c>
      <c r="I598" s="24">
        <v>798</v>
      </c>
      <c r="J598" s="24">
        <v>60</v>
      </c>
      <c r="K598" s="24">
        <v>607</v>
      </c>
      <c r="L598" s="24">
        <v>49</v>
      </c>
      <c r="M598" s="24">
        <v>624</v>
      </c>
      <c r="N598" s="24">
        <v>68</v>
      </c>
      <c r="O598" s="24">
        <v>555</v>
      </c>
      <c r="P598" s="24">
        <v>72</v>
      </c>
      <c r="Q598" s="24">
        <v>396</v>
      </c>
      <c r="R598" s="24">
        <v>52</v>
      </c>
      <c r="S598" s="24">
        <v>879</v>
      </c>
      <c r="T598" s="24">
        <v>53</v>
      </c>
      <c r="U598" s="24">
        <v>470</v>
      </c>
      <c r="V598" s="24">
        <v>435.5</v>
      </c>
      <c r="W598" s="24">
        <v>28</v>
      </c>
      <c r="X598" s="24">
        <v>595</v>
      </c>
      <c r="Y598" s="24">
        <v>411.5</v>
      </c>
      <c r="Z598" s="24">
        <v>674</v>
      </c>
      <c r="AA598" s="24">
        <v>79</v>
      </c>
    </row>
    <row r="599" spans="1:27">
      <c r="A599" s="24" t="s">
        <v>1213</v>
      </c>
      <c r="B599" s="24" t="s">
        <v>54</v>
      </c>
      <c r="C599" s="24" t="s">
        <v>1214</v>
      </c>
      <c r="D599" s="24">
        <v>117</v>
      </c>
      <c r="E599" s="24">
        <v>40</v>
      </c>
      <c r="F599" s="24">
        <v>59</v>
      </c>
      <c r="G599" s="24">
        <v>721</v>
      </c>
      <c r="H599" s="24">
        <v>89.5</v>
      </c>
      <c r="I599" s="24">
        <v>494</v>
      </c>
      <c r="J599" s="24">
        <v>55</v>
      </c>
      <c r="K599" s="24">
        <v>694</v>
      </c>
      <c r="L599" s="24">
        <v>51</v>
      </c>
      <c r="M599" s="24">
        <v>571</v>
      </c>
      <c r="N599" s="24">
        <v>64</v>
      </c>
      <c r="O599" s="24">
        <v>667</v>
      </c>
      <c r="P599" s="24">
        <v>67</v>
      </c>
      <c r="Q599" s="24">
        <v>570</v>
      </c>
      <c r="R599" s="24">
        <v>70</v>
      </c>
      <c r="S599" s="24">
        <v>327</v>
      </c>
      <c r="T599" s="24">
        <v>49</v>
      </c>
      <c r="U599" s="24">
        <v>633</v>
      </c>
      <c r="V599" s="24">
        <v>435.5</v>
      </c>
      <c r="W599" s="24">
        <v>35</v>
      </c>
      <c r="X599" s="24">
        <v>595</v>
      </c>
      <c r="Y599" s="24">
        <v>391.5</v>
      </c>
      <c r="Z599" s="24">
        <v>763</v>
      </c>
      <c r="AA599" s="24">
        <v>168</v>
      </c>
    </row>
    <row r="600" spans="1:27">
      <c r="A600" s="24" t="s">
        <v>2776</v>
      </c>
      <c r="B600" s="24" t="s">
        <v>38</v>
      </c>
      <c r="C600" s="24" t="s">
        <v>2777</v>
      </c>
      <c r="D600" s="24">
        <v>85</v>
      </c>
      <c r="E600" s="24">
        <v>885</v>
      </c>
      <c r="F600" s="24">
        <v>63</v>
      </c>
      <c r="G600" s="24">
        <v>642</v>
      </c>
      <c r="H600" s="24">
        <v>102</v>
      </c>
      <c r="I600" s="24">
        <v>219</v>
      </c>
      <c r="J600" s="24">
        <v>73</v>
      </c>
      <c r="K600" s="24">
        <v>339</v>
      </c>
      <c r="L600" s="24">
        <v>39</v>
      </c>
      <c r="M600" s="24">
        <v>825</v>
      </c>
      <c r="N600" s="24">
        <v>73</v>
      </c>
      <c r="O600" s="24">
        <v>393</v>
      </c>
      <c r="P600" s="24">
        <v>60</v>
      </c>
      <c r="Q600" s="24">
        <v>777</v>
      </c>
      <c r="R600" s="24">
        <v>57</v>
      </c>
      <c r="S600" s="24">
        <v>798</v>
      </c>
      <c r="T600" s="24">
        <v>58</v>
      </c>
      <c r="U600" s="24">
        <v>278</v>
      </c>
      <c r="V600" s="24">
        <v>435</v>
      </c>
      <c r="W600" s="24">
        <v>30</v>
      </c>
      <c r="X600" s="24">
        <v>599</v>
      </c>
      <c r="Y600" s="24">
        <v>474</v>
      </c>
      <c r="Z600" s="24">
        <v>335</v>
      </c>
      <c r="AA600" s="24">
        <v>-264</v>
      </c>
    </row>
    <row r="601" spans="1:27">
      <c r="A601" s="24" t="s">
        <v>476</v>
      </c>
      <c r="B601" s="24" t="s">
        <v>19</v>
      </c>
      <c r="C601" s="24" t="s">
        <v>480</v>
      </c>
      <c r="D601" s="24">
        <v>94</v>
      </c>
      <c r="E601" s="24">
        <v>733</v>
      </c>
      <c r="F601" s="24">
        <v>80</v>
      </c>
      <c r="G601" s="24">
        <v>325</v>
      </c>
      <c r="H601" s="24">
        <v>70.5</v>
      </c>
      <c r="I601" s="24">
        <v>835</v>
      </c>
      <c r="J601" s="24">
        <v>63</v>
      </c>
      <c r="K601" s="24">
        <v>540</v>
      </c>
      <c r="L601" s="24">
        <v>57</v>
      </c>
      <c r="M601" s="24">
        <v>409</v>
      </c>
      <c r="N601" s="24">
        <v>70</v>
      </c>
      <c r="O601" s="24">
        <v>485</v>
      </c>
      <c r="P601" s="24">
        <v>53</v>
      </c>
      <c r="Q601" s="24">
        <v>888</v>
      </c>
      <c r="R601" s="24">
        <v>60</v>
      </c>
      <c r="S601" s="24">
        <v>727</v>
      </c>
      <c r="T601" s="24">
        <v>40</v>
      </c>
      <c r="U601" s="24">
        <v>881</v>
      </c>
      <c r="V601" s="24">
        <v>434.5</v>
      </c>
      <c r="W601" s="24">
        <v>35</v>
      </c>
      <c r="X601" s="24">
        <v>600</v>
      </c>
      <c r="Y601" s="24">
        <v>401</v>
      </c>
      <c r="Z601" s="24">
        <v>725</v>
      </c>
      <c r="AA601" s="24">
        <v>125</v>
      </c>
    </row>
    <row r="602" spans="1:27">
      <c r="A602" s="24" t="s">
        <v>2394</v>
      </c>
      <c r="B602" s="24" t="s">
        <v>7</v>
      </c>
      <c r="C602" s="24" t="s">
        <v>2401</v>
      </c>
      <c r="D602" s="24">
        <v>111</v>
      </c>
      <c r="E602" s="24">
        <v>136</v>
      </c>
      <c r="F602" s="24">
        <v>63</v>
      </c>
      <c r="G602" s="24">
        <v>642</v>
      </c>
      <c r="H602" s="24">
        <v>79.5</v>
      </c>
      <c r="I602" s="24">
        <v>699</v>
      </c>
      <c r="J602" s="24">
        <v>60</v>
      </c>
      <c r="K602" s="24">
        <v>607</v>
      </c>
      <c r="L602" s="24">
        <v>54</v>
      </c>
      <c r="M602" s="24">
        <v>494</v>
      </c>
      <c r="N602" s="24">
        <v>67</v>
      </c>
      <c r="O602" s="24">
        <v>587</v>
      </c>
      <c r="P602" s="24">
        <v>74</v>
      </c>
      <c r="Q602" s="24">
        <v>326</v>
      </c>
      <c r="R602" s="24">
        <v>69</v>
      </c>
      <c r="S602" s="24">
        <v>367</v>
      </c>
      <c r="T602" s="24">
        <v>67</v>
      </c>
      <c r="U602" s="24">
        <v>66</v>
      </c>
      <c r="V602" s="24">
        <v>434.5</v>
      </c>
      <c r="W602" s="24">
        <v>32</v>
      </c>
      <c r="X602" s="24">
        <v>600</v>
      </c>
      <c r="Y602" s="24">
        <v>410</v>
      </c>
      <c r="Z602" s="24">
        <v>685</v>
      </c>
      <c r="AA602" s="24">
        <v>85</v>
      </c>
    </row>
    <row r="603" spans="1:27">
      <c r="A603" s="24" t="s">
        <v>572</v>
      </c>
      <c r="B603" s="24" t="s">
        <v>17</v>
      </c>
      <c r="C603" s="24" t="s">
        <v>573</v>
      </c>
      <c r="D603" s="24">
        <v>116</v>
      </c>
      <c r="E603" s="24">
        <v>47</v>
      </c>
      <c r="F603" s="24">
        <v>60</v>
      </c>
      <c r="G603" s="24">
        <v>696</v>
      </c>
      <c r="H603" s="24">
        <v>97.5</v>
      </c>
      <c r="I603" s="24">
        <v>310</v>
      </c>
      <c r="J603" s="24">
        <v>52</v>
      </c>
      <c r="K603" s="24">
        <v>757</v>
      </c>
      <c r="L603" s="24">
        <v>46</v>
      </c>
      <c r="M603" s="24">
        <v>702</v>
      </c>
      <c r="N603" s="24">
        <v>63</v>
      </c>
      <c r="O603" s="24">
        <v>692</v>
      </c>
      <c r="P603" s="24">
        <v>75</v>
      </c>
      <c r="Q603" s="24">
        <v>289</v>
      </c>
      <c r="R603" s="24">
        <v>66</v>
      </c>
      <c r="S603" s="24">
        <v>511</v>
      </c>
      <c r="T603" s="24">
        <v>54</v>
      </c>
      <c r="U603" s="24">
        <v>428</v>
      </c>
      <c r="V603" s="24">
        <v>434.5</v>
      </c>
      <c r="W603" s="24">
        <v>37</v>
      </c>
      <c r="X603" s="24">
        <v>600</v>
      </c>
      <c r="Y603" s="24">
        <v>428.5</v>
      </c>
      <c r="Z603" s="24">
        <v>582</v>
      </c>
      <c r="AA603" s="24">
        <v>-18</v>
      </c>
    </row>
    <row r="604" spans="1:27">
      <c r="A604" s="24" t="s">
        <v>1311</v>
      </c>
      <c r="B604" s="24" t="s">
        <v>54</v>
      </c>
      <c r="C604" s="24" t="s">
        <v>1312</v>
      </c>
      <c r="D604" s="24">
        <v>101</v>
      </c>
      <c r="E604" s="24">
        <v>481</v>
      </c>
      <c r="F604" s="24">
        <v>73</v>
      </c>
      <c r="G604" s="24">
        <v>438</v>
      </c>
      <c r="H604" s="24">
        <v>82.5</v>
      </c>
      <c r="I604" s="24">
        <v>658</v>
      </c>
      <c r="J604" s="24">
        <v>65</v>
      </c>
      <c r="K604" s="24">
        <v>501</v>
      </c>
      <c r="L604" s="24">
        <v>51</v>
      </c>
      <c r="M604" s="24">
        <v>571</v>
      </c>
      <c r="N604" s="24">
        <v>62</v>
      </c>
      <c r="O604" s="24">
        <v>716</v>
      </c>
      <c r="P604" s="24">
        <v>66</v>
      </c>
      <c r="Q604" s="24">
        <v>604</v>
      </c>
      <c r="R604" s="24">
        <v>73</v>
      </c>
      <c r="S604" s="24">
        <v>216</v>
      </c>
      <c r="T604" s="24">
        <v>49</v>
      </c>
      <c r="U604" s="24">
        <v>633</v>
      </c>
      <c r="V604" s="24">
        <v>434.5</v>
      </c>
      <c r="W604" s="24">
        <v>36</v>
      </c>
      <c r="X604" s="24">
        <v>600</v>
      </c>
      <c r="Y604" s="24">
        <v>455</v>
      </c>
      <c r="Z604" s="24">
        <v>439</v>
      </c>
      <c r="AA604" s="24">
        <v>-161</v>
      </c>
    </row>
    <row r="605" spans="1:27">
      <c r="A605" s="24" t="s">
        <v>536</v>
      </c>
      <c r="B605" s="24" t="s">
        <v>17</v>
      </c>
      <c r="C605" s="24" t="s">
        <v>537</v>
      </c>
      <c r="D605" s="24">
        <v>91</v>
      </c>
      <c r="E605" s="24">
        <v>799</v>
      </c>
      <c r="F605" s="24">
        <v>87</v>
      </c>
      <c r="G605" s="24">
        <v>220</v>
      </c>
      <c r="H605" s="24">
        <v>39</v>
      </c>
      <c r="I605" s="24">
        <v>934</v>
      </c>
      <c r="J605" s="24">
        <v>66</v>
      </c>
      <c r="K605" s="24">
        <v>484</v>
      </c>
      <c r="L605" s="24">
        <v>73</v>
      </c>
      <c r="M605" s="24">
        <v>106</v>
      </c>
      <c r="N605" s="24">
        <v>78</v>
      </c>
      <c r="O605" s="24">
        <v>250</v>
      </c>
      <c r="P605" s="24">
        <v>58</v>
      </c>
      <c r="Q605" s="24">
        <v>820</v>
      </c>
      <c r="R605" s="24">
        <v>71</v>
      </c>
      <c r="S605" s="24">
        <v>290</v>
      </c>
      <c r="T605" s="24">
        <v>53</v>
      </c>
      <c r="U605" s="24">
        <v>470</v>
      </c>
      <c r="V605" s="24">
        <v>434</v>
      </c>
      <c r="W605" s="24">
        <v>38</v>
      </c>
      <c r="X605" s="24">
        <v>604</v>
      </c>
      <c r="Y605" s="24">
        <v>453</v>
      </c>
      <c r="Z605" s="24">
        <v>451</v>
      </c>
      <c r="AA605" s="24">
        <v>-153</v>
      </c>
    </row>
    <row r="606" spans="1:27">
      <c r="A606" s="24" t="s">
        <v>1274</v>
      </c>
      <c r="B606" s="24" t="s">
        <v>54</v>
      </c>
      <c r="C606" s="24" t="s">
        <v>1275</v>
      </c>
      <c r="D606" s="24">
        <v>108</v>
      </c>
      <c r="E606" s="24">
        <v>212</v>
      </c>
      <c r="F606" s="24">
        <v>65</v>
      </c>
      <c r="G606" s="24">
        <v>604</v>
      </c>
      <c r="H606" s="24">
        <v>84</v>
      </c>
      <c r="I606" s="24">
        <v>623</v>
      </c>
      <c r="J606" s="24">
        <v>53</v>
      </c>
      <c r="K606" s="24">
        <v>739</v>
      </c>
      <c r="L606" s="24">
        <v>56</v>
      </c>
      <c r="M606" s="24">
        <v>433</v>
      </c>
      <c r="N606" s="24">
        <v>68</v>
      </c>
      <c r="O606" s="24">
        <v>555</v>
      </c>
      <c r="P606" s="24">
        <v>73</v>
      </c>
      <c r="Q606" s="24">
        <v>359</v>
      </c>
      <c r="R606" s="24">
        <v>57</v>
      </c>
      <c r="S606" s="24">
        <v>798</v>
      </c>
      <c r="T606" s="24">
        <v>57</v>
      </c>
      <c r="U606" s="24">
        <v>306</v>
      </c>
      <c r="V606" s="24">
        <v>434</v>
      </c>
      <c r="W606" s="24">
        <v>37</v>
      </c>
      <c r="X606" s="24">
        <v>604</v>
      </c>
      <c r="Y606" s="24">
        <v>413</v>
      </c>
      <c r="Z606" s="24">
        <v>665</v>
      </c>
      <c r="AA606" s="24">
        <v>61</v>
      </c>
    </row>
    <row r="607" spans="1:27">
      <c r="A607" s="24" t="s">
        <v>2036</v>
      </c>
      <c r="B607" s="24" t="s">
        <v>109</v>
      </c>
      <c r="C607" s="24" t="s">
        <v>2037</v>
      </c>
      <c r="D607" s="24">
        <v>87</v>
      </c>
      <c r="E607" s="24">
        <v>857</v>
      </c>
      <c r="F607" s="24">
        <v>65</v>
      </c>
      <c r="G607" s="24">
        <v>604</v>
      </c>
      <c r="H607" s="24">
        <v>98</v>
      </c>
      <c r="I607" s="24">
        <v>294</v>
      </c>
      <c r="J607" s="24">
        <v>63</v>
      </c>
      <c r="K607" s="24">
        <v>540</v>
      </c>
      <c r="L607" s="24">
        <v>55</v>
      </c>
      <c r="M607" s="24">
        <v>470</v>
      </c>
      <c r="N607" s="24">
        <v>66</v>
      </c>
      <c r="O607" s="24">
        <v>611</v>
      </c>
      <c r="P607" s="24">
        <v>55</v>
      </c>
      <c r="Q607" s="24">
        <v>868</v>
      </c>
      <c r="R607" s="24">
        <v>50</v>
      </c>
      <c r="S607" s="24">
        <v>896</v>
      </c>
      <c r="T607" s="24">
        <v>26</v>
      </c>
      <c r="U607" s="24">
        <v>934</v>
      </c>
      <c r="V607" s="24">
        <v>434</v>
      </c>
      <c r="W607" s="24">
        <v>33</v>
      </c>
      <c r="X607" s="24">
        <v>604</v>
      </c>
      <c r="Y607" s="24">
        <v>450.5</v>
      </c>
      <c r="Z607" s="24">
        <v>462</v>
      </c>
      <c r="AA607" s="24">
        <v>-142</v>
      </c>
    </row>
    <row r="608" spans="1:27">
      <c r="A608" s="24" t="s">
        <v>2144</v>
      </c>
      <c r="B608" s="24" t="s">
        <v>73</v>
      </c>
      <c r="C608" s="24" t="s">
        <v>2145</v>
      </c>
      <c r="D608" s="24">
        <v>102</v>
      </c>
      <c r="E608" s="24">
        <v>442</v>
      </c>
      <c r="F608" s="24">
        <v>71</v>
      </c>
      <c r="G608" s="24">
        <v>475</v>
      </c>
      <c r="H608" s="24">
        <v>88.5</v>
      </c>
      <c r="I608" s="24">
        <v>520</v>
      </c>
      <c r="J608" s="24">
        <v>54</v>
      </c>
      <c r="K608" s="24">
        <v>718</v>
      </c>
      <c r="L608" s="24">
        <v>48</v>
      </c>
      <c r="M608" s="24">
        <v>649</v>
      </c>
      <c r="N608" s="24">
        <v>70</v>
      </c>
      <c r="O608" s="24">
        <v>485</v>
      </c>
      <c r="P608" s="24">
        <v>63</v>
      </c>
      <c r="Q608" s="24">
        <v>712</v>
      </c>
      <c r="R608" s="24">
        <v>72</v>
      </c>
      <c r="S608" s="24">
        <v>256</v>
      </c>
      <c r="T608" s="24">
        <v>48</v>
      </c>
      <c r="U608" s="24">
        <v>671</v>
      </c>
      <c r="V608" s="24">
        <v>433.5</v>
      </c>
      <c r="W608" s="24">
        <v>36</v>
      </c>
      <c r="X608" s="24">
        <v>607</v>
      </c>
      <c r="Y608" s="24">
        <v>459</v>
      </c>
      <c r="Z608" s="24">
        <v>420</v>
      </c>
      <c r="AA608" s="24">
        <v>-187</v>
      </c>
    </row>
    <row r="609" spans="1:27">
      <c r="A609" s="24" t="s">
        <v>2519</v>
      </c>
      <c r="B609" s="24" t="s">
        <v>131</v>
      </c>
      <c r="C609" s="24" t="s">
        <v>2520</v>
      </c>
      <c r="D609" s="24">
        <v>93</v>
      </c>
      <c r="E609" s="24">
        <v>755</v>
      </c>
      <c r="F609" s="24">
        <v>73</v>
      </c>
      <c r="G609" s="24">
        <v>438</v>
      </c>
      <c r="H609" s="24">
        <v>73.5</v>
      </c>
      <c r="I609" s="24">
        <v>798</v>
      </c>
      <c r="J609" s="24">
        <v>60</v>
      </c>
      <c r="K609" s="24">
        <v>607</v>
      </c>
      <c r="L609" s="24">
        <v>65</v>
      </c>
      <c r="M609" s="24">
        <v>223</v>
      </c>
      <c r="N609" s="24">
        <v>69</v>
      </c>
      <c r="O609" s="24">
        <v>523</v>
      </c>
      <c r="P609" s="24">
        <v>78</v>
      </c>
      <c r="Q609" s="24">
        <v>209</v>
      </c>
      <c r="R609" s="24">
        <v>73</v>
      </c>
      <c r="S609" s="24">
        <v>216</v>
      </c>
      <c r="T609" s="24">
        <v>61</v>
      </c>
      <c r="U609" s="24">
        <v>172</v>
      </c>
      <c r="V609" s="24">
        <v>433.5</v>
      </c>
      <c r="W609" s="24">
        <v>33</v>
      </c>
      <c r="X609" s="24">
        <v>607</v>
      </c>
      <c r="Y609" s="24">
        <v>457.5</v>
      </c>
      <c r="Z609" s="24">
        <v>424</v>
      </c>
      <c r="AA609" s="24">
        <v>-183</v>
      </c>
    </row>
    <row r="610" spans="1:27">
      <c r="A610" s="24" t="s">
        <v>1297</v>
      </c>
      <c r="B610" s="24" t="s">
        <v>54</v>
      </c>
      <c r="C610" s="24" t="s">
        <v>1298</v>
      </c>
      <c r="D610" s="24">
        <v>108</v>
      </c>
      <c r="E610" s="24">
        <v>212</v>
      </c>
      <c r="F610" s="24">
        <v>50</v>
      </c>
      <c r="G610" s="24">
        <v>831</v>
      </c>
      <c r="H610" s="24">
        <v>86.5</v>
      </c>
      <c r="I610" s="24">
        <v>566</v>
      </c>
      <c r="J610" s="24">
        <v>72</v>
      </c>
      <c r="K610" s="24">
        <v>358</v>
      </c>
      <c r="L610" s="24">
        <v>48</v>
      </c>
      <c r="M610" s="24">
        <v>649</v>
      </c>
      <c r="N610" s="24">
        <v>69</v>
      </c>
      <c r="O610" s="24">
        <v>523</v>
      </c>
      <c r="P610" s="24">
        <v>71</v>
      </c>
      <c r="Q610" s="24">
        <v>439</v>
      </c>
      <c r="R610" s="24">
        <v>72</v>
      </c>
      <c r="S610" s="24">
        <v>256</v>
      </c>
      <c r="T610" s="24">
        <v>50</v>
      </c>
      <c r="U610" s="24">
        <v>591</v>
      </c>
      <c r="V610" s="24">
        <v>433.5</v>
      </c>
      <c r="W610" s="24">
        <v>38</v>
      </c>
      <c r="X610" s="24">
        <v>607</v>
      </c>
      <c r="Y610" s="24">
        <v>455</v>
      </c>
      <c r="Z610" s="24">
        <v>439</v>
      </c>
      <c r="AA610" s="24">
        <v>-168</v>
      </c>
    </row>
    <row r="611" spans="1:27">
      <c r="A611" s="24" t="s">
        <v>963</v>
      </c>
      <c r="B611" s="24" t="s">
        <v>60</v>
      </c>
      <c r="C611" s="24" t="s">
        <v>964</v>
      </c>
      <c r="D611" s="24">
        <v>104</v>
      </c>
      <c r="E611" s="24">
        <v>357</v>
      </c>
      <c r="F611" s="24">
        <v>56</v>
      </c>
      <c r="G611" s="24">
        <v>755</v>
      </c>
      <c r="H611" s="24">
        <v>86.5</v>
      </c>
      <c r="I611" s="24">
        <v>566</v>
      </c>
      <c r="J611" s="24">
        <v>65</v>
      </c>
      <c r="K611" s="24">
        <v>501</v>
      </c>
      <c r="L611" s="24">
        <v>58</v>
      </c>
      <c r="M611" s="24">
        <v>377</v>
      </c>
      <c r="N611" s="24">
        <v>64</v>
      </c>
      <c r="O611" s="24">
        <v>667</v>
      </c>
      <c r="P611" s="24">
        <v>51</v>
      </c>
      <c r="Q611" s="24">
        <v>906</v>
      </c>
      <c r="R611" s="24">
        <v>56</v>
      </c>
      <c r="S611" s="24">
        <v>817</v>
      </c>
      <c r="T611" s="24">
        <v>37</v>
      </c>
      <c r="U611" s="24">
        <v>912</v>
      </c>
      <c r="V611" s="24">
        <v>433.5</v>
      </c>
      <c r="W611" s="24">
        <v>33</v>
      </c>
      <c r="X611" s="24">
        <v>607</v>
      </c>
      <c r="Y611" s="24">
        <v>375.5</v>
      </c>
      <c r="Z611" s="24">
        <v>820</v>
      </c>
      <c r="AA611" s="24">
        <v>213</v>
      </c>
    </row>
    <row r="612" spans="1:27">
      <c r="A612" s="24" t="s">
        <v>1155</v>
      </c>
      <c r="B612" s="24" t="s">
        <v>68</v>
      </c>
      <c r="C612" s="24" t="s">
        <v>1156</v>
      </c>
      <c r="D612" s="24">
        <v>92</v>
      </c>
      <c r="E612" s="24">
        <v>779</v>
      </c>
      <c r="F612" s="24">
        <v>64</v>
      </c>
      <c r="G612" s="24">
        <v>627</v>
      </c>
      <c r="H612" s="24">
        <v>92</v>
      </c>
      <c r="I612" s="24">
        <v>426</v>
      </c>
      <c r="J612" s="24">
        <v>78</v>
      </c>
      <c r="K612" s="24">
        <v>250</v>
      </c>
      <c r="L612" s="24">
        <v>41</v>
      </c>
      <c r="M612" s="24">
        <v>795</v>
      </c>
      <c r="N612" s="24">
        <v>66</v>
      </c>
      <c r="O612" s="24">
        <v>611</v>
      </c>
      <c r="P612" s="24">
        <v>63</v>
      </c>
      <c r="Q612" s="24">
        <v>712</v>
      </c>
      <c r="R612" s="24">
        <v>70</v>
      </c>
      <c r="S612" s="24">
        <v>327</v>
      </c>
      <c r="T612" s="24">
        <v>38</v>
      </c>
      <c r="U612" s="24">
        <v>905</v>
      </c>
      <c r="V612" s="24">
        <v>433</v>
      </c>
      <c r="W612" s="24">
        <v>34</v>
      </c>
      <c r="X612" s="24">
        <v>611</v>
      </c>
      <c r="Y612" s="24">
        <v>375.5</v>
      </c>
      <c r="Z612" s="24">
        <v>820</v>
      </c>
      <c r="AA612" s="24">
        <v>209</v>
      </c>
    </row>
    <row r="613" spans="1:27">
      <c r="A613" s="24" t="s">
        <v>2779</v>
      </c>
      <c r="B613" s="24" t="s">
        <v>38</v>
      </c>
      <c r="C613" s="24" t="s">
        <v>2780</v>
      </c>
      <c r="D613" s="24">
        <v>93</v>
      </c>
      <c r="E613" s="24">
        <v>755</v>
      </c>
      <c r="F613" s="24">
        <v>62</v>
      </c>
      <c r="G613" s="24">
        <v>665</v>
      </c>
      <c r="H613" s="24">
        <v>101</v>
      </c>
      <c r="I613" s="24">
        <v>234</v>
      </c>
      <c r="J613" s="24">
        <v>73</v>
      </c>
      <c r="K613" s="24">
        <v>339</v>
      </c>
      <c r="L613" s="24">
        <v>49</v>
      </c>
      <c r="M613" s="24">
        <v>624</v>
      </c>
      <c r="N613" s="24">
        <v>55</v>
      </c>
      <c r="O613" s="24">
        <v>831</v>
      </c>
      <c r="P613" s="24">
        <v>69</v>
      </c>
      <c r="Q613" s="24">
        <v>504</v>
      </c>
      <c r="R613" s="24">
        <v>62</v>
      </c>
      <c r="S613" s="24">
        <v>672</v>
      </c>
      <c r="T613" s="24">
        <v>48</v>
      </c>
      <c r="U613" s="24">
        <v>671</v>
      </c>
      <c r="V613" s="24">
        <v>433</v>
      </c>
      <c r="W613" s="24">
        <v>31</v>
      </c>
      <c r="X613" s="24">
        <v>611</v>
      </c>
      <c r="Y613" s="24">
        <v>355</v>
      </c>
      <c r="Z613" s="24">
        <v>869</v>
      </c>
      <c r="AA613" s="24">
        <v>258</v>
      </c>
    </row>
    <row r="614" spans="1:27">
      <c r="A614" s="24" t="s">
        <v>1472</v>
      </c>
      <c r="B614" s="24" t="s">
        <v>56</v>
      </c>
      <c r="C614" s="24" t="s">
        <v>1473</v>
      </c>
      <c r="D614" s="24">
        <v>108</v>
      </c>
      <c r="E614" s="24">
        <v>212</v>
      </c>
      <c r="F614" s="24">
        <v>58</v>
      </c>
      <c r="G614" s="24">
        <v>734</v>
      </c>
      <c r="H614" s="24">
        <v>78.5</v>
      </c>
      <c r="I614" s="24">
        <v>712</v>
      </c>
      <c r="J614" s="24">
        <v>50</v>
      </c>
      <c r="K614" s="24">
        <v>788</v>
      </c>
      <c r="L614" s="24">
        <v>59</v>
      </c>
      <c r="M614" s="24">
        <v>348</v>
      </c>
      <c r="N614" s="24">
        <v>79</v>
      </c>
      <c r="O614" s="24">
        <v>229</v>
      </c>
      <c r="P614" s="24">
        <v>71</v>
      </c>
      <c r="Q614" s="24">
        <v>439</v>
      </c>
      <c r="R614" s="24">
        <v>68</v>
      </c>
      <c r="S614" s="24">
        <v>412</v>
      </c>
      <c r="T614" s="24">
        <v>49</v>
      </c>
      <c r="U614" s="24">
        <v>633</v>
      </c>
      <c r="V614" s="24">
        <v>432.5</v>
      </c>
      <c r="W614" s="24">
        <v>35</v>
      </c>
      <c r="X614" s="24">
        <v>613</v>
      </c>
      <c r="Y614" s="24">
        <v>400.5</v>
      </c>
      <c r="Z614" s="24">
        <v>726</v>
      </c>
      <c r="AA614" s="24">
        <v>113</v>
      </c>
    </row>
    <row r="615" spans="1:27">
      <c r="A615" s="24" t="s">
        <v>2364</v>
      </c>
      <c r="B615" s="24" t="s">
        <v>7</v>
      </c>
      <c r="C615" s="24" t="s">
        <v>2374</v>
      </c>
      <c r="D615" s="24">
        <v>94</v>
      </c>
      <c r="E615" s="24">
        <v>733</v>
      </c>
      <c r="F615" s="24">
        <v>79</v>
      </c>
      <c r="G615" s="24">
        <v>342</v>
      </c>
      <c r="H615" s="24">
        <v>74.5</v>
      </c>
      <c r="I615" s="24">
        <v>785</v>
      </c>
      <c r="J615" s="24">
        <v>57</v>
      </c>
      <c r="K615" s="24">
        <v>665</v>
      </c>
      <c r="L615" s="24">
        <v>65</v>
      </c>
      <c r="M615" s="24">
        <v>223</v>
      </c>
      <c r="N615" s="24">
        <v>63</v>
      </c>
      <c r="O615" s="24">
        <v>692</v>
      </c>
      <c r="P615" s="24">
        <v>52</v>
      </c>
      <c r="Q615" s="24">
        <v>897</v>
      </c>
      <c r="R615" s="24">
        <v>58</v>
      </c>
      <c r="S615" s="24">
        <v>770</v>
      </c>
      <c r="T615" s="24">
        <v>53</v>
      </c>
      <c r="U615" s="24">
        <v>470</v>
      </c>
      <c r="V615" s="24">
        <v>432.5</v>
      </c>
      <c r="W615" s="24">
        <v>33</v>
      </c>
      <c r="X615" s="24">
        <v>613</v>
      </c>
      <c r="Y615" s="24">
        <v>435</v>
      </c>
      <c r="Z615" s="24">
        <v>544</v>
      </c>
      <c r="AA615" s="24">
        <v>-69</v>
      </c>
    </row>
    <row r="616" spans="1:27">
      <c r="A616" s="24" t="s">
        <v>223</v>
      </c>
      <c r="B616" s="24" t="s">
        <v>28</v>
      </c>
      <c r="C616" s="24" t="s">
        <v>224</v>
      </c>
      <c r="D616" s="24">
        <v>100</v>
      </c>
      <c r="E616" s="24">
        <v>528</v>
      </c>
      <c r="F616" s="24">
        <v>73</v>
      </c>
      <c r="G616" s="24">
        <v>438</v>
      </c>
      <c r="H616" s="24">
        <v>97.5</v>
      </c>
      <c r="I616" s="24">
        <v>310</v>
      </c>
      <c r="J616" s="24">
        <v>56</v>
      </c>
      <c r="K616" s="24">
        <v>682</v>
      </c>
      <c r="L616" s="24">
        <v>48</v>
      </c>
      <c r="M616" s="24">
        <v>649</v>
      </c>
      <c r="N616" s="24">
        <v>58</v>
      </c>
      <c r="O616" s="24">
        <v>786</v>
      </c>
      <c r="P616" s="24">
        <v>75</v>
      </c>
      <c r="Q616" s="24">
        <v>289</v>
      </c>
      <c r="R616" s="24">
        <v>72</v>
      </c>
      <c r="S616" s="24">
        <v>256</v>
      </c>
      <c r="T616" s="24">
        <v>63</v>
      </c>
      <c r="U616" s="24">
        <v>123</v>
      </c>
      <c r="V616" s="24">
        <v>432.5</v>
      </c>
      <c r="W616" s="24">
        <v>33</v>
      </c>
      <c r="X616" s="24">
        <v>613</v>
      </c>
      <c r="Y616" s="24">
        <v>447</v>
      </c>
      <c r="Z616" s="24">
        <v>483</v>
      </c>
      <c r="AA616" s="24">
        <v>-130</v>
      </c>
    </row>
    <row r="617" spans="1:27">
      <c r="A617" s="24" t="s">
        <v>1378</v>
      </c>
      <c r="B617" s="24" t="s">
        <v>56</v>
      </c>
      <c r="C617" s="24" t="s">
        <v>1379</v>
      </c>
      <c r="D617" s="24">
        <v>100</v>
      </c>
      <c r="E617" s="24">
        <v>528</v>
      </c>
      <c r="F617" s="24">
        <v>74</v>
      </c>
      <c r="G617" s="24">
        <v>424</v>
      </c>
      <c r="H617" s="24">
        <v>75</v>
      </c>
      <c r="I617" s="24">
        <v>777</v>
      </c>
      <c r="J617" s="24">
        <v>59</v>
      </c>
      <c r="K617" s="24">
        <v>626</v>
      </c>
      <c r="L617" s="24">
        <v>58</v>
      </c>
      <c r="M617" s="24">
        <v>377</v>
      </c>
      <c r="N617" s="24">
        <v>65</v>
      </c>
      <c r="O617" s="24">
        <v>643</v>
      </c>
      <c r="P617" s="24">
        <v>79</v>
      </c>
      <c r="Q617" s="24">
        <v>175</v>
      </c>
      <c r="R617" s="24">
        <v>71</v>
      </c>
      <c r="S617" s="24">
        <v>290</v>
      </c>
      <c r="T617" s="24">
        <v>48</v>
      </c>
      <c r="U617" s="24">
        <v>671</v>
      </c>
      <c r="V617" s="24">
        <v>431</v>
      </c>
      <c r="W617" s="24">
        <v>36</v>
      </c>
      <c r="X617" s="24">
        <v>616</v>
      </c>
      <c r="Y617" s="24">
        <v>362</v>
      </c>
      <c r="Z617" s="24">
        <v>855</v>
      </c>
      <c r="AA617" s="24">
        <v>239</v>
      </c>
    </row>
    <row r="618" spans="1:27">
      <c r="A618" s="24" t="s">
        <v>745</v>
      </c>
      <c r="B618" s="24" t="s">
        <v>117</v>
      </c>
      <c r="C618" s="24" t="s">
        <v>746</v>
      </c>
      <c r="D618" s="24">
        <v>107</v>
      </c>
      <c r="E618" s="24">
        <v>242</v>
      </c>
      <c r="F618" s="24">
        <v>71</v>
      </c>
      <c r="G618" s="24">
        <v>475</v>
      </c>
      <c r="H618" s="24">
        <v>85</v>
      </c>
      <c r="I618" s="24">
        <v>593</v>
      </c>
      <c r="J618" s="24">
        <v>52</v>
      </c>
      <c r="K618" s="24">
        <v>757</v>
      </c>
      <c r="L618" s="24">
        <v>53</v>
      </c>
      <c r="M618" s="24">
        <v>526</v>
      </c>
      <c r="N618" s="24">
        <v>63</v>
      </c>
      <c r="O618" s="24">
        <v>692</v>
      </c>
      <c r="P618" s="24">
        <v>82</v>
      </c>
      <c r="Q618" s="24">
        <v>100</v>
      </c>
      <c r="R618" s="24">
        <v>76</v>
      </c>
      <c r="S618" s="24">
        <v>125</v>
      </c>
      <c r="T618" s="24">
        <v>57</v>
      </c>
      <c r="U618" s="24">
        <v>306</v>
      </c>
      <c r="V618" s="24">
        <v>431</v>
      </c>
      <c r="W618" s="24">
        <v>34</v>
      </c>
      <c r="X618" s="24">
        <v>616</v>
      </c>
      <c r="Y618" s="24">
        <v>456.5</v>
      </c>
      <c r="Z618" s="24">
        <v>430</v>
      </c>
      <c r="AA618" s="24">
        <v>-186</v>
      </c>
    </row>
    <row r="619" spans="1:27">
      <c r="A619" s="24" t="s">
        <v>1265</v>
      </c>
      <c r="B619" s="24" t="s">
        <v>54</v>
      </c>
      <c r="C619" s="24" t="s">
        <v>1266</v>
      </c>
      <c r="D619" s="24">
        <v>86</v>
      </c>
      <c r="E619" s="24">
        <v>867</v>
      </c>
      <c r="F619" s="24">
        <v>72</v>
      </c>
      <c r="G619" s="24">
        <v>458</v>
      </c>
      <c r="H619" s="24">
        <v>80</v>
      </c>
      <c r="I619" s="24">
        <v>694</v>
      </c>
      <c r="J619" s="24">
        <v>78</v>
      </c>
      <c r="K619" s="24">
        <v>250</v>
      </c>
      <c r="L619" s="24">
        <v>53</v>
      </c>
      <c r="M619" s="24">
        <v>526</v>
      </c>
      <c r="N619" s="24">
        <v>62</v>
      </c>
      <c r="O619" s="24">
        <v>716</v>
      </c>
      <c r="P619" s="24">
        <v>53</v>
      </c>
      <c r="Q619" s="24">
        <v>888</v>
      </c>
      <c r="R619" s="24">
        <v>71</v>
      </c>
      <c r="S619" s="24">
        <v>290</v>
      </c>
      <c r="T619" s="24">
        <v>45</v>
      </c>
      <c r="U619" s="24">
        <v>781</v>
      </c>
      <c r="V619" s="24">
        <v>431</v>
      </c>
      <c r="W619" s="24">
        <v>39</v>
      </c>
      <c r="X619" s="24">
        <v>616</v>
      </c>
      <c r="Y619" s="24">
        <v>413</v>
      </c>
      <c r="Z619" s="24">
        <v>665</v>
      </c>
      <c r="AA619" s="24">
        <v>49</v>
      </c>
    </row>
    <row r="620" spans="1:27">
      <c r="A620" s="24" t="s">
        <v>1778</v>
      </c>
      <c r="B620" s="24" t="s">
        <v>34</v>
      </c>
      <c r="C620" s="24" t="s">
        <v>1779</v>
      </c>
      <c r="D620" s="24">
        <v>95</v>
      </c>
      <c r="E620" s="24">
        <v>710</v>
      </c>
      <c r="F620" s="24">
        <v>79</v>
      </c>
      <c r="G620" s="24">
        <v>342</v>
      </c>
      <c r="H620" s="24">
        <v>87</v>
      </c>
      <c r="I620" s="24">
        <v>554</v>
      </c>
      <c r="J620" s="24">
        <v>70</v>
      </c>
      <c r="K620" s="24">
        <v>400</v>
      </c>
      <c r="L620" s="24">
        <v>40</v>
      </c>
      <c r="M620" s="24">
        <v>811</v>
      </c>
      <c r="N620" s="24">
        <v>60</v>
      </c>
      <c r="O620" s="24">
        <v>748</v>
      </c>
      <c r="P620" s="24">
        <v>74</v>
      </c>
      <c r="Q620" s="24">
        <v>326</v>
      </c>
      <c r="R620" s="24">
        <v>58</v>
      </c>
      <c r="S620" s="24">
        <v>770</v>
      </c>
      <c r="T620" s="24">
        <v>52</v>
      </c>
      <c r="U620" s="24">
        <v>509</v>
      </c>
      <c r="V620" s="24">
        <v>431</v>
      </c>
      <c r="W620" s="24">
        <v>34</v>
      </c>
      <c r="X620" s="24">
        <v>616</v>
      </c>
      <c r="Y620" s="24">
        <v>386</v>
      </c>
      <c r="Z620" s="24">
        <v>782</v>
      </c>
      <c r="AA620" s="24">
        <v>166</v>
      </c>
    </row>
    <row r="621" spans="1:27">
      <c r="A621" s="24" t="s">
        <v>563</v>
      </c>
      <c r="B621" s="24" t="s">
        <v>17</v>
      </c>
      <c r="C621" s="24" t="s">
        <v>564</v>
      </c>
      <c r="D621" s="24">
        <v>106</v>
      </c>
      <c r="E621" s="24">
        <v>287</v>
      </c>
      <c r="F621" s="24">
        <v>71</v>
      </c>
      <c r="G621" s="24">
        <v>475</v>
      </c>
      <c r="H621" s="24">
        <v>83.5</v>
      </c>
      <c r="I621" s="24">
        <v>633</v>
      </c>
      <c r="J621" s="24">
        <v>41</v>
      </c>
      <c r="K621" s="24">
        <v>871</v>
      </c>
      <c r="L621" s="24">
        <v>53</v>
      </c>
      <c r="M621" s="24">
        <v>526</v>
      </c>
      <c r="N621" s="24">
        <v>76</v>
      </c>
      <c r="O621" s="24">
        <v>308</v>
      </c>
      <c r="P621" s="24">
        <v>80</v>
      </c>
      <c r="Q621" s="24">
        <v>151</v>
      </c>
      <c r="R621" s="24">
        <v>71</v>
      </c>
      <c r="S621" s="24">
        <v>290</v>
      </c>
      <c r="T621" s="24">
        <v>69</v>
      </c>
      <c r="U621" s="24">
        <v>43</v>
      </c>
      <c r="V621" s="24">
        <v>430.5</v>
      </c>
      <c r="W621" s="24">
        <v>39</v>
      </c>
      <c r="X621" s="24">
        <v>620</v>
      </c>
      <c r="Y621" s="24">
        <v>400.5</v>
      </c>
      <c r="Z621" s="24">
        <v>726</v>
      </c>
      <c r="AA621" s="24">
        <v>106</v>
      </c>
    </row>
    <row r="622" spans="1:27">
      <c r="A622" s="24" t="s">
        <v>1071</v>
      </c>
      <c r="B622" s="24" t="s">
        <v>68</v>
      </c>
      <c r="C622" s="24" t="s">
        <v>1072</v>
      </c>
      <c r="D622" s="24">
        <v>102</v>
      </c>
      <c r="E622" s="24">
        <v>442</v>
      </c>
      <c r="F622" s="24">
        <v>84</v>
      </c>
      <c r="G622" s="24">
        <v>251</v>
      </c>
      <c r="H622" s="24">
        <v>75.5</v>
      </c>
      <c r="I622" s="24">
        <v>764</v>
      </c>
      <c r="J622" s="24">
        <v>53</v>
      </c>
      <c r="K622" s="24">
        <v>739</v>
      </c>
      <c r="L622" s="24">
        <v>46</v>
      </c>
      <c r="M622" s="24">
        <v>702</v>
      </c>
      <c r="N622" s="24">
        <v>70</v>
      </c>
      <c r="O622" s="24">
        <v>485</v>
      </c>
      <c r="P622" s="24">
        <v>73</v>
      </c>
      <c r="Q622" s="24">
        <v>359</v>
      </c>
      <c r="R622" s="24">
        <v>57</v>
      </c>
      <c r="S622" s="24">
        <v>798</v>
      </c>
      <c r="T622" s="24">
        <v>41</v>
      </c>
      <c r="U622" s="24">
        <v>866</v>
      </c>
      <c r="V622" s="24">
        <v>430.5</v>
      </c>
      <c r="W622" s="24">
        <v>35</v>
      </c>
      <c r="X622" s="24">
        <v>620</v>
      </c>
      <c r="Y622" s="24">
        <v>425.5</v>
      </c>
      <c r="Z622" s="24">
        <v>602</v>
      </c>
      <c r="AA622" s="24">
        <v>-18</v>
      </c>
    </row>
    <row r="623" spans="1:27">
      <c r="A623" s="24" t="s">
        <v>792</v>
      </c>
      <c r="B623" s="24" t="s">
        <v>117</v>
      </c>
      <c r="C623" s="24" t="s">
        <v>793</v>
      </c>
      <c r="D623" s="24">
        <v>116</v>
      </c>
      <c r="E623" s="24">
        <v>47</v>
      </c>
      <c r="F623" s="24">
        <v>73</v>
      </c>
      <c r="G623" s="24">
        <v>438</v>
      </c>
      <c r="H623" s="24">
        <v>88.5</v>
      </c>
      <c r="I623" s="24">
        <v>520</v>
      </c>
      <c r="J623" s="24">
        <v>38</v>
      </c>
      <c r="K623" s="24">
        <v>895</v>
      </c>
      <c r="L623" s="24">
        <v>45</v>
      </c>
      <c r="M623" s="24">
        <v>720</v>
      </c>
      <c r="N623" s="24">
        <v>70</v>
      </c>
      <c r="O623" s="24">
        <v>485</v>
      </c>
      <c r="P623" s="24">
        <v>76</v>
      </c>
      <c r="Q623" s="24">
        <v>260</v>
      </c>
      <c r="R623" s="24">
        <v>72</v>
      </c>
      <c r="S623" s="24">
        <v>256</v>
      </c>
      <c r="T623" s="24">
        <v>45</v>
      </c>
      <c r="U623" s="24">
        <v>781</v>
      </c>
      <c r="V623" s="24">
        <v>430.5</v>
      </c>
      <c r="W623" s="24">
        <v>35</v>
      </c>
      <c r="X623" s="24">
        <v>620</v>
      </c>
      <c r="Y623" s="24">
        <v>377.5</v>
      </c>
      <c r="Z623" s="24">
        <v>815</v>
      </c>
      <c r="AA623" s="24">
        <v>195</v>
      </c>
    </row>
    <row r="624" spans="1:27">
      <c r="A624" s="24" t="s">
        <v>2662</v>
      </c>
      <c r="B624" s="24" t="s">
        <v>49</v>
      </c>
      <c r="C624" s="24" t="s">
        <v>2663</v>
      </c>
      <c r="D624" s="24">
        <v>93</v>
      </c>
      <c r="E624" s="24">
        <v>755</v>
      </c>
      <c r="F624" s="24">
        <v>68</v>
      </c>
      <c r="G624" s="24">
        <v>540</v>
      </c>
      <c r="H624" s="24">
        <v>96.5</v>
      </c>
      <c r="I624" s="24">
        <v>337</v>
      </c>
      <c r="J624" s="24">
        <v>71</v>
      </c>
      <c r="K624" s="24">
        <v>378</v>
      </c>
      <c r="L624" s="24">
        <v>40</v>
      </c>
      <c r="M624" s="24">
        <v>811</v>
      </c>
      <c r="N624" s="24">
        <v>62</v>
      </c>
      <c r="O624" s="24">
        <v>716</v>
      </c>
      <c r="P624" s="24">
        <v>57</v>
      </c>
      <c r="Q624" s="24">
        <v>838</v>
      </c>
      <c r="R624" s="24">
        <v>58</v>
      </c>
      <c r="S624" s="24">
        <v>770</v>
      </c>
      <c r="T624" s="24">
        <v>42</v>
      </c>
      <c r="U624" s="24">
        <v>845</v>
      </c>
      <c r="V624" s="24">
        <v>430.5</v>
      </c>
      <c r="W624" s="24">
        <v>36</v>
      </c>
      <c r="X624" s="24">
        <v>620</v>
      </c>
      <c r="Y624" s="24">
        <v>408</v>
      </c>
      <c r="Z624" s="24">
        <v>692</v>
      </c>
      <c r="AA624" s="24">
        <v>72</v>
      </c>
    </row>
    <row r="625" spans="1:27">
      <c r="A625" s="24" t="s">
        <v>279</v>
      </c>
      <c r="B625" s="24" t="s">
        <v>28</v>
      </c>
      <c r="C625" s="24" t="s">
        <v>280</v>
      </c>
      <c r="D625" s="24">
        <v>103</v>
      </c>
      <c r="E625" s="24">
        <v>400</v>
      </c>
      <c r="F625" s="24">
        <v>71</v>
      </c>
      <c r="G625" s="24">
        <v>475</v>
      </c>
      <c r="H625" s="24">
        <v>70</v>
      </c>
      <c r="I625" s="24">
        <v>842</v>
      </c>
      <c r="J625" s="24">
        <v>72</v>
      </c>
      <c r="K625" s="24">
        <v>358</v>
      </c>
      <c r="L625" s="24">
        <v>55</v>
      </c>
      <c r="M625" s="24">
        <v>470</v>
      </c>
      <c r="N625" s="24">
        <v>59</v>
      </c>
      <c r="O625" s="24">
        <v>762</v>
      </c>
      <c r="P625" s="24">
        <v>60</v>
      </c>
      <c r="Q625" s="24">
        <v>777</v>
      </c>
      <c r="R625" s="24">
        <v>68</v>
      </c>
      <c r="S625" s="24">
        <v>412</v>
      </c>
      <c r="T625" s="24">
        <v>52</v>
      </c>
      <c r="U625" s="24">
        <v>509</v>
      </c>
      <c r="V625" s="24">
        <v>430</v>
      </c>
      <c r="W625" s="24">
        <v>34</v>
      </c>
      <c r="X625" s="24">
        <v>624</v>
      </c>
      <c r="Y625" s="24">
        <v>335.5</v>
      </c>
      <c r="Z625" s="24">
        <v>900</v>
      </c>
      <c r="AA625" s="24">
        <v>276</v>
      </c>
    </row>
    <row r="626" spans="1:27">
      <c r="A626" s="24" t="s">
        <v>2891</v>
      </c>
      <c r="B626" s="24" t="s">
        <v>38</v>
      </c>
      <c r="C626" s="24" t="s">
        <v>2892</v>
      </c>
      <c r="D626" s="24">
        <v>97</v>
      </c>
      <c r="E626" s="24">
        <v>645</v>
      </c>
      <c r="F626" s="24">
        <v>71</v>
      </c>
      <c r="G626" s="24">
        <v>475</v>
      </c>
      <c r="H626" s="24">
        <v>111</v>
      </c>
      <c r="I626" s="24">
        <v>95</v>
      </c>
      <c r="J626" s="24">
        <v>53</v>
      </c>
      <c r="K626" s="24">
        <v>739</v>
      </c>
      <c r="L626" s="24">
        <v>47</v>
      </c>
      <c r="M626" s="24">
        <v>673</v>
      </c>
      <c r="N626" s="24">
        <v>51</v>
      </c>
      <c r="O626" s="24">
        <v>874</v>
      </c>
      <c r="P626" s="24">
        <v>60</v>
      </c>
      <c r="Q626" s="24">
        <v>777</v>
      </c>
      <c r="R626" s="24">
        <v>57</v>
      </c>
      <c r="S626" s="24">
        <v>798</v>
      </c>
      <c r="T626" s="24">
        <v>52</v>
      </c>
      <c r="U626" s="24">
        <v>509</v>
      </c>
      <c r="V626" s="24">
        <v>430</v>
      </c>
      <c r="W626" s="24">
        <v>32</v>
      </c>
      <c r="X626" s="24">
        <v>624</v>
      </c>
      <c r="Y626" s="24">
        <v>437</v>
      </c>
      <c r="Z626" s="24">
        <v>536</v>
      </c>
      <c r="AA626" s="24">
        <v>-88</v>
      </c>
    </row>
    <row r="627" spans="1:27">
      <c r="A627" s="24" t="s">
        <v>2867</v>
      </c>
      <c r="B627" s="24" t="s">
        <v>38</v>
      </c>
      <c r="C627" s="24" t="s">
        <v>2868</v>
      </c>
      <c r="D627" s="24">
        <v>80</v>
      </c>
      <c r="E627" s="24">
        <v>909</v>
      </c>
      <c r="F627" s="24">
        <v>54</v>
      </c>
      <c r="G627" s="24">
        <v>782</v>
      </c>
      <c r="H627" s="24">
        <v>75.5</v>
      </c>
      <c r="I627" s="24">
        <v>764</v>
      </c>
      <c r="J627" s="24">
        <v>80</v>
      </c>
      <c r="K627" s="24">
        <v>207</v>
      </c>
      <c r="L627" s="24">
        <v>56</v>
      </c>
      <c r="M627" s="24">
        <v>433</v>
      </c>
      <c r="N627" s="24">
        <v>84</v>
      </c>
      <c r="O627" s="24">
        <v>123</v>
      </c>
      <c r="P627" s="24">
        <v>64</v>
      </c>
      <c r="Q627" s="24">
        <v>680</v>
      </c>
      <c r="R627" s="24">
        <v>65</v>
      </c>
      <c r="S627" s="24">
        <v>548</v>
      </c>
      <c r="T627" s="24">
        <v>62</v>
      </c>
      <c r="U627" s="24">
        <v>146</v>
      </c>
      <c r="V627" s="24">
        <v>429.5</v>
      </c>
      <c r="W627" s="24">
        <v>33</v>
      </c>
      <c r="X627" s="24">
        <v>626</v>
      </c>
      <c r="Y627" s="24">
        <v>411.5</v>
      </c>
      <c r="Z627" s="24">
        <v>674</v>
      </c>
      <c r="AA627" s="24">
        <v>48</v>
      </c>
    </row>
    <row r="628" spans="1:27">
      <c r="A628" s="24" t="s">
        <v>2501</v>
      </c>
      <c r="B628" s="24" t="s">
        <v>131</v>
      </c>
      <c r="C628" s="24" t="s">
        <v>2502</v>
      </c>
      <c r="D628" s="24">
        <v>85</v>
      </c>
      <c r="E628" s="24">
        <v>885</v>
      </c>
      <c r="F628" s="24">
        <v>68</v>
      </c>
      <c r="G628" s="24">
        <v>540</v>
      </c>
      <c r="H628" s="24">
        <v>87.5</v>
      </c>
      <c r="I628" s="24">
        <v>542</v>
      </c>
      <c r="J628" s="24">
        <v>66</v>
      </c>
      <c r="K628" s="24">
        <v>484</v>
      </c>
      <c r="L628" s="24">
        <v>51</v>
      </c>
      <c r="M628" s="24">
        <v>571</v>
      </c>
      <c r="N628" s="24">
        <v>72</v>
      </c>
      <c r="O628" s="24">
        <v>433</v>
      </c>
      <c r="P628" s="24">
        <v>72</v>
      </c>
      <c r="Q628" s="24">
        <v>396</v>
      </c>
      <c r="R628" s="24">
        <v>77</v>
      </c>
      <c r="S628" s="24">
        <v>102</v>
      </c>
      <c r="T628" s="24">
        <v>50</v>
      </c>
      <c r="U628" s="24">
        <v>591</v>
      </c>
      <c r="V628" s="24">
        <v>429.5</v>
      </c>
      <c r="W628" s="24">
        <v>34</v>
      </c>
      <c r="X628" s="24">
        <v>626</v>
      </c>
      <c r="Y628" s="24">
        <v>434</v>
      </c>
      <c r="Z628" s="24">
        <v>551</v>
      </c>
      <c r="AA628" s="24">
        <v>-75</v>
      </c>
    </row>
    <row r="629" spans="1:27">
      <c r="A629" s="24" t="s">
        <v>2379</v>
      </c>
      <c r="B629" s="24" t="s">
        <v>7</v>
      </c>
      <c r="C629" s="24" t="s">
        <v>2389</v>
      </c>
      <c r="D629" s="24">
        <v>88</v>
      </c>
      <c r="E629" s="24">
        <v>851</v>
      </c>
      <c r="F629" s="24">
        <v>54</v>
      </c>
      <c r="G629" s="24">
        <v>782</v>
      </c>
      <c r="H629" s="24">
        <v>106.5</v>
      </c>
      <c r="I629" s="24">
        <v>156</v>
      </c>
      <c r="J629" s="24">
        <v>61</v>
      </c>
      <c r="K629" s="24">
        <v>587</v>
      </c>
      <c r="L629" s="24">
        <v>49</v>
      </c>
      <c r="M629" s="24">
        <v>624</v>
      </c>
      <c r="N629" s="24">
        <v>71</v>
      </c>
      <c r="O629" s="24">
        <v>462</v>
      </c>
      <c r="P629" s="24">
        <v>66</v>
      </c>
      <c r="Q629" s="24">
        <v>604</v>
      </c>
      <c r="R629" s="24">
        <v>74</v>
      </c>
      <c r="S629" s="24">
        <v>174</v>
      </c>
      <c r="T629" s="24">
        <v>64</v>
      </c>
      <c r="U629" s="24">
        <v>103</v>
      </c>
      <c r="V629" s="24">
        <v>429.5</v>
      </c>
      <c r="W629" s="24">
        <v>34</v>
      </c>
      <c r="X629" s="24">
        <v>626</v>
      </c>
      <c r="Y629" s="24">
        <v>460</v>
      </c>
      <c r="Z629" s="24">
        <v>414</v>
      </c>
      <c r="AA629" s="24">
        <v>-212</v>
      </c>
    </row>
    <row r="630" spans="1:27">
      <c r="A630" s="24" t="s">
        <v>2083</v>
      </c>
      <c r="B630" s="24" t="s">
        <v>109</v>
      </c>
      <c r="C630" s="24" t="s">
        <v>2084</v>
      </c>
      <c r="D630" s="24">
        <v>98</v>
      </c>
      <c r="E630" s="24">
        <v>611</v>
      </c>
      <c r="F630" s="24">
        <v>53</v>
      </c>
      <c r="G630" s="24">
        <v>792</v>
      </c>
      <c r="H630" s="24">
        <v>94.5</v>
      </c>
      <c r="I630" s="24">
        <v>377</v>
      </c>
      <c r="J630" s="24">
        <v>60</v>
      </c>
      <c r="K630" s="24">
        <v>607</v>
      </c>
      <c r="L630" s="24">
        <v>55</v>
      </c>
      <c r="M630" s="24">
        <v>470</v>
      </c>
      <c r="N630" s="24">
        <v>69</v>
      </c>
      <c r="O630" s="24">
        <v>523</v>
      </c>
      <c r="P630" s="24">
        <v>73</v>
      </c>
      <c r="Q630" s="24">
        <v>359</v>
      </c>
      <c r="R630" s="24">
        <v>57</v>
      </c>
      <c r="S630" s="24">
        <v>798</v>
      </c>
      <c r="T630" s="24">
        <v>47</v>
      </c>
      <c r="U630" s="24">
        <v>719</v>
      </c>
      <c r="V630" s="24">
        <v>429.5</v>
      </c>
      <c r="W630" s="24">
        <v>34</v>
      </c>
      <c r="X630" s="24">
        <v>626</v>
      </c>
      <c r="Y630" s="24">
        <v>451.5</v>
      </c>
      <c r="Z630" s="24">
        <v>458</v>
      </c>
      <c r="AA630" s="24">
        <v>-168</v>
      </c>
    </row>
    <row r="631" spans="1:27">
      <c r="A631" s="24" t="s">
        <v>2591</v>
      </c>
      <c r="B631" s="24" t="s">
        <v>49</v>
      </c>
      <c r="C631" s="24" t="s">
        <v>2592</v>
      </c>
      <c r="D631" s="24">
        <v>100</v>
      </c>
      <c r="E631" s="24">
        <v>528</v>
      </c>
      <c r="F631" s="24">
        <v>51</v>
      </c>
      <c r="G631" s="24">
        <v>817</v>
      </c>
      <c r="H631" s="24">
        <v>100.5</v>
      </c>
      <c r="I631" s="24">
        <v>247</v>
      </c>
      <c r="J631" s="24">
        <v>64</v>
      </c>
      <c r="K631" s="24">
        <v>517</v>
      </c>
      <c r="L631" s="24">
        <v>48</v>
      </c>
      <c r="M631" s="24">
        <v>649</v>
      </c>
      <c r="N631" s="24">
        <v>66</v>
      </c>
      <c r="O631" s="24">
        <v>611</v>
      </c>
      <c r="P631" s="24">
        <v>65</v>
      </c>
      <c r="Q631" s="24">
        <v>651</v>
      </c>
      <c r="R631" s="24">
        <v>65</v>
      </c>
      <c r="S631" s="24">
        <v>548</v>
      </c>
      <c r="T631" s="24">
        <v>39</v>
      </c>
      <c r="U631" s="24">
        <v>895</v>
      </c>
      <c r="V631" s="24">
        <v>429.5</v>
      </c>
      <c r="W631" s="24">
        <v>37</v>
      </c>
      <c r="X631" s="24">
        <v>626</v>
      </c>
      <c r="Y631" s="24">
        <v>424</v>
      </c>
      <c r="Z631" s="24">
        <v>612</v>
      </c>
      <c r="AA631" s="24">
        <v>-14</v>
      </c>
    </row>
    <row r="632" spans="1:27">
      <c r="A632" s="24" t="s">
        <v>1005</v>
      </c>
      <c r="B632" s="24" t="s">
        <v>60</v>
      </c>
      <c r="C632" s="24" t="s">
        <v>1006</v>
      </c>
      <c r="D632" s="24">
        <v>107</v>
      </c>
      <c r="E632" s="24">
        <v>242</v>
      </c>
      <c r="F632" s="24">
        <v>82</v>
      </c>
      <c r="G632" s="24">
        <v>290</v>
      </c>
      <c r="H632" s="24">
        <v>88.5</v>
      </c>
      <c r="I632" s="24">
        <v>520</v>
      </c>
      <c r="J632" s="24">
        <v>36</v>
      </c>
      <c r="K632" s="24">
        <v>905</v>
      </c>
      <c r="L632" s="24">
        <v>51</v>
      </c>
      <c r="M632" s="24">
        <v>571</v>
      </c>
      <c r="N632" s="24">
        <v>65</v>
      </c>
      <c r="O632" s="24">
        <v>643</v>
      </c>
      <c r="P632" s="24">
        <v>78</v>
      </c>
      <c r="Q632" s="24">
        <v>209</v>
      </c>
      <c r="R632" s="24">
        <v>51</v>
      </c>
      <c r="S632" s="24">
        <v>890</v>
      </c>
      <c r="T632" s="24">
        <v>48</v>
      </c>
      <c r="U632" s="24">
        <v>671</v>
      </c>
      <c r="V632" s="24">
        <v>429.5</v>
      </c>
      <c r="W632" s="24">
        <v>34</v>
      </c>
      <c r="X632" s="24">
        <v>626</v>
      </c>
      <c r="Y632" s="24">
        <v>420.5</v>
      </c>
      <c r="Z632" s="24">
        <v>639</v>
      </c>
      <c r="AA632" s="24">
        <v>13</v>
      </c>
    </row>
    <row r="633" spans="1:27">
      <c r="A633" s="24" t="s">
        <v>1126</v>
      </c>
      <c r="B633" s="24" t="s">
        <v>68</v>
      </c>
      <c r="C633" s="24" t="s">
        <v>1127</v>
      </c>
      <c r="D633" s="24">
        <v>98</v>
      </c>
      <c r="E633" s="24">
        <v>611</v>
      </c>
      <c r="F633" s="24">
        <v>84</v>
      </c>
      <c r="G633" s="24">
        <v>251</v>
      </c>
      <c r="H633" s="24">
        <v>82.5</v>
      </c>
      <c r="I633" s="24">
        <v>658</v>
      </c>
      <c r="J633" s="24">
        <v>55</v>
      </c>
      <c r="K633" s="24">
        <v>694</v>
      </c>
      <c r="L633" s="24">
        <v>47</v>
      </c>
      <c r="M633" s="24">
        <v>673</v>
      </c>
      <c r="N633" s="24">
        <v>63</v>
      </c>
      <c r="O633" s="24">
        <v>692</v>
      </c>
      <c r="P633" s="24">
        <v>58</v>
      </c>
      <c r="Q633" s="24">
        <v>820</v>
      </c>
      <c r="R633" s="24">
        <v>58</v>
      </c>
      <c r="S633" s="24">
        <v>770</v>
      </c>
      <c r="T633" s="24">
        <v>49</v>
      </c>
      <c r="U633" s="24">
        <v>633</v>
      </c>
      <c r="V633" s="24">
        <v>429.5</v>
      </c>
      <c r="W633" s="24">
        <v>36</v>
      </c>
      <c r="X633" s="24">
        <v>626</v>
      </c>
      <c r="Y633" s="24">
        <v>423</v>
      </c>
      <c r="Z633" s="24">
        <v>618</v>
      </c>
      <c r="AA633" s="24">
        <v>-8</v>
      </c>
    </row>
    <row r="634" spans="1:27">
      <c r="A634" s="24" t="s">
        <v>1042</v>
      </c>
      <c r="B634" s="24" t="s">
        <v>68</v>
      </c>
      <c r="C634" s="24" t="s">
        <v>1043</v>
      </c>
      <c r="D634" s="24">
        <v>90</v>
      </c>
      <c r="E634" s="24">
        <v>815</v>
      </c>
      <c r="F634" s="24">
        <v>80</v>
      </c>
      <c r="G634" s="24">
        <v>325</v>
      </c>
      <c r="H634" s="24">
        <v>84.5</v>
      </c>
      <c r="I634" s="24">
        <v>607</v>
      </c>
      <c r="J634" s="24">
        <v>79</v>
      </c>
      <c r="K634" s="24">
        <v>228</v>
      </c>
      <c r="L634" s="24">
        <v>40</v>
      </c>
      <c r="M634" s="24">
        <v>811</v>
      </c>
      <c r="N634" s="24">
        <v>56</v>
      </c>
      <c r="O634" s="24">
        <v>816</v>
      </c>
      <c r="P634" s="24">
        <v>50</v>
      </c>
      <c r="Q634" s="24">
        <v>911</v>
      </c>
      <c r="R634" s="24">
        <v>69</v>
      </c>
      <c r="S634" s="24">
        <v>367</v>
      </c>
      <c r="T634" s="24">
        <v>57</v>
      </c>
      <c r="U634" s="24">
        <v>306</v>
      </c>
      <c r="V634" s="24">
        <v>429.5</v>
      </c>
      <c r="W634" s="24">
        <v>36</v>
      </c>
      <c r="X634" s="24">
        <v>626</v>
      </c>
      <c r="Y634" s="24">
        <v>451.5</v>
      </c>
      <c r="Z634" s="24">
        <v>458</v>
      </c>
      <c r="AA634" s="24">
        <v>-168</v>
      </c>
    </row>
    <row r="635" spans="1:27">
      <c r="A635" s="24" t="s">
        <v>2743</v>
      </c>
      <c r="B635" s="24" t="s">
        <v>49</v>
      </c>
      <c r="C635" s="24" t="s">
        <v>2744</v>
      </c>
      <c r="D635" s="24">
        <v>105</v>
      </c>
      <c r="E635" s="24">
        <v>325</v>
      </c>
      <c r="F635" s="24">
        <v>68</v>
      </c>
      <c r="G635" s="24">
        <v>540</v>
      </c>
      <c r="H635" s="24">
        <v>73</v>
      </c>
      <c r="I635" s="24">
        <v>809</v>
      </c>
      <c r="J635" s="24">
        <v>76</v>
      </c>
      <c r="K635" s="24">
        <v>287</v>
      </c>
      <c r="L635" s="24">
        <v>38</v>
      </c>
      <c r="M635" s="24">
        <v>840</v>
      </c>
      <c r="N635" s="24">
        <v>69</v>
      </c>
      <c r="O635" s="24">
        <v>523</v>
      </c>
      <c r="P635" s="24">
        <v>56</v>
      </c>
      <c r="Q635" s="24">
        <v>849</v>
      </c>
      <c r="R635" s="24">
        <v>53</v>
      </c>
      <c r="S635" s="24">
        <v>869</v>
      </c>
      <c r="T635" s="24">
        <v>52</v>
      </c>
      <c r="U635" s="24">
        <v>509</v>
      </c>
      <c r="V635" s="24">
        <v>429</v>
      </c>
      <c r="W635" s="24">
        <v>38</v>
      </c>
      <c r="X635" s="24">
        <v>634</v>
      </c>
      <c r="Y635" s="24">
        <v>416.5</v>
      </c>
      <c r="Z635" s="24">
        <v>655</v>
      </c>
      <c r="AA635" s="24">
        <v>21</v>
      </c>
    </row>
    <row r="636" spans="1:27">
      <c r="A636" s="24" t="s">
        <v>769</v>
      </c>
      <c r="B636" s="24" t="s">
        <v>117</v>
      </c>
      <c r="C636" s="24" t="s">
        <v>770</v>
      </c>
      <c r="D636" s="24">
        <v>104</v>
      </c>
      <c r="E636" s="24">
        <v>357</v>
      </c>
      <c r="F636" s="24">
        <v>68</v>
      </c>
      <c r="G636" s="24">
        <v>540</v>
      </c>
      <c r="H636" s="24">
        <v>80</v>
      </c>
      <c r="I636" s="24">
        <v>694</v>
      </c>
      <c r="J636" s="24">
        <v>62</v>
      </c>
      <c r="K636" s="24">
        <v>564</v>
      </c>
      <c r="L636" s="24">
        <v>49</v>
      </c>
      <c r="M636" s="24">
        <v>624</v>
      </c>
      <c r="N636" s="24">
        <v>66</v>
      </c>
      <c r="O636" s="24">
        <v>611</v>
      </c>
      <c r="P636" s="24">
        <v>74</v>
      </c>
      <c r="Q636" s="24">
        <v>326</v>
      </c>
      <c r="R636" s="24">
        <v>69</v>
      </c>
      <c r="S636" s="24">
        <v>367</v>
      </c>
      <c r="T636" s="24">
        <v>47</v>
      </c>
      <c r="U636" s="24">
        <v>719</v>
      </c>
      <c r="V636" s="24">
        <v>429</v>
      </c>
      <c r="W636" s="24">
        <v>36</v>
      </c>
      <c r="X636" s="24">
        <v>634</v>
      </c>
      <c r="Y636" s="24">
        <v>405</v>
      </c>
      <c r="Z636" s="24">
        <v>705</v>
      </c>
      <c r="AA636" s="24">
        <v>71</v>
      </c>
    </row>
    <row r="637" spans="1:27">
      <c r="A637" s="24" t="s">
        <v>1878</v>
      </c>
      <c r="B637" s="24" t="s">
        <v>34</v>
      </c>
      <c r="C637" s="24" t="s">
        <v>1879</v>
      </c>
      <c r="D637" s="24">
        <v>99</v>
      </c>
      <c r="E637" s="24">
        <v>571</v>
      </c>
      <c r="F637" s="24">
        <v>70</v>
      </c>
      <c r="G637" s="24">
        <v>505</v>
      </c>
      <c r="H637" s="24">
        <v>93.5</v>
      </c>
      <c r="I637" s="24">
        <v>393</v>
      </c>
      <c r="J637" s="24">
        <v>52</v>
      </c>
      <c r="K637" s="24">
        <v>757</v>
      </c>
      <c r="L637" s="24">
        <v>48</v>
      </c>
      <c r="M637" s="24">
        <v>649</v>
      </c>
      <c r="N637" s="24">
        <v>66</v>
      </c>
      <c r="O637" s="24">
        <v>611</v>
      </c>
      <c r="P637" s="24">
        <v>76</v>
      </c>
      <c r="Q637" s="24">
        <v>260</v>
      </c>
      <c r="R637" s="24">
        <v>63</v>
      </c>
      <c r="S637" s="24">
        <v>633</v>
      </c>
      <c r="T637" s="24">
        <v>53</v>
      </c>
      <c r="U637" s="24">
        <v>470</v>
      </c>
      <c r="V637" s="24">
        <v>428.5</v>
      </c>
      <c r="W637" s="24">
        <v>35</v>
      </c>
      <c r="X637" s="24">
        <v>636</v>
      </c>
      <c r="Y637" s="24">
        <v>438.5</v>
      </c>
      <c r="Z637" s="24">
        <v>531</v>
      </c>
      <c r="AA637" s="24">
        <v>-105</v>
      </c>
    </row>
    <row r="638" spans="1:27">
      <c r="A638" s="24" t="s">
        <v>2211</v>
      </c>
      <c r="B638" s="24" t="s">
        <v>73</v>
      </c>
      <c r="C638" s="24" t="s">
        <v>2212</v>
      </c>
      <c r="D638" s="24">
        <v>104</v>
      </c>
      <c r="E638" s="24">
        <v>357</v>
      </c>
      <c r="F638" s="24">
        <v>79</v>
      </c>
      <c r="G638" s="24">
        <v>342</v>
      </c>
      <c r="H638" s="24">
        <v>70</v>
      </c>
      <c r="I638" s="24">
        <v>842</v>
      </c>
      <c r="J638" s="24">
        <v>33</v>
      </c>
      <c r="K638" s="24">
        <v>920</v>
      </c>
      <c r="L638" s="24">
        <v>69</v>
      </c>
      <c r="M638" s="24">
        <v>152</v>
      </c>
      <c r="N638" s="24">
        <v>73</v>
      </c>
      <c r="O638" s="24">
        <v>393</v>
      </c>
      <c r="P638" s="24">
        <v>61</v>
      </c>
      <c r="Q638" s="24">
        <v>754</v>
      </c>
      <c r="R638" s="24">
        <v>74</v>
      </c>
      <c r="S638" s="24">
        <v>174</v>
      </c>
      <c r="T638" s="24">
        <v>60</v>
      </c>
      <c r="U638" s="24">
        <v>203</v>
      </c>
      <c r="V638" s="24">
        <v>428</v>
      </c>
      <c r="W638" s="24">
        <v>37</v>
      </c>
      <c r="X638" s="24">
        <v>637</v>
      </c>
      <c r="Y638" s="24">
        <v>367</v>
      </c>
      <c r="Z638" s="24">
        <v>847</v>
      </c>
      <c r="AA638" s="24">
        <v>210</v>
      </c>
    </row>
    <row r="639" spans="1:27">
      <c r="A639" s="24" t="s">
        <v>2258</v>
      </c>
      <c r="B639" s="24" t="s">
        <v>73</v>
      </c>
      <c r="C639" s="24" t="s">
        <v>2259</v>
      </c>
      <c r="D639" s="24">
        <v>109</v>
      </c>
      <c r="E639" s="24">
        <v>185</v>
      </c>
      <c r="F639" s="24">
        <v>61</v>
      </c>
      <c r="G639" s="24">
        <v>678</v>
      </c>
      <c r="H639" s="24">
        <v>88</v>
      </c>
      <c r="I639" s="24">
        <v>535</v>
      </c>
      <c r="J639" s="24">
        <v>55</v>
      </c>
      <c r="K639" s="24">
        <v>694</v>
      </c>
      <c r="L639" s="24">
        <v>46</v>
      </c>
      <c r="M639" s="24">
        <v>702</v>
      </c>
      <c r="N639" s="24">
        <v>69</v>
      </c>
      <c r="O639" s="24">
        <v>523</v>
      </c>
      <c r="P639" s="24">
        <v>66</v>
      </c>
      <c r="Q639" s="24">
        <v>604</v>
      </c>
      <c r="R639" s="24">
        <v>65</v>
      </c>
      <c r="S639" s="24">
        <v>548</v>
      </c>
      <c r="T639" s="24">
        <v>64</v>
      </c>
      <c r="U639" s="24">
        <v>103</v>
      </c>
      <c r="V639" s="24">
        <v>428</v>
      </c>
      <c r="W639" s="24">
        <v>37</v>
      </c>
      <c r="X639" s="24">
        <v>637</v>
      </c>
      <c r="Y639" s="24">
        <v>416</v>
      </c>
      <c r="Z639" s="24">
        <v>656</v>
      </c>
      <c r="AA639" s="24">
        <v>19</v>
      </c>
    </row>
    <row r="640" spans="1:27">
      <c r="A640" s="24" t="s">
        <v>560</v>
      </c>
      <c r="B640" s="24" t="s">
        <v>17</v>
      </c>
      <c r="C640" s="24" t="s">
        <v>561</v>
      </c>
      <c r="D640" s="24">
        <v>112</v>
      </c>
      <c r="E640" s="24">
        <v>114</v>
      </c>
      <c r="F640" s="24">
        <v>63</v>
      </c>
      <c r="G640" s="24">
        <v>642</v>
      </c>
      <c r="H640" s="24">
        <v>104.5</v>
      </c>
      <c r="I640" s="24">
        <v>177</v>
      </c>
      <c r="J640" s="24">
        <v>40</v>
      </c>
      <c r="K640" s="24">
        <v>879</v>
      </c>
      <c r="L640" s="24">
        <v>47</v>
      </c>
      <c r="M640" s="24">
        <v>673</v>
      </c>
      <c r="N640" s="24">
        <v>61</v>
      </c>
      <c r="O640" s="24">
        <v>734</v>
      </c>
      <c r="P640" s="24">
        <v>70</v>
      </c>
      <c r="Q640" s="24">
        <v>473</v>
      </c>
      <c r="R640" s="24">
        <v>62</v>
      </c>
      <c r="S640" s="24">
        <v>672</v>
      </c>
      <c r="T640" s="24">
        <v>59</v>
      </c>
      <c r="U640" s="24">
        <v>233</v>
      </c>
      <c r="V640" s="24">
        <v>427.5</v>
      </c>
      <c r="W640" s="24">
        <v>40</v>
      </c>
      <c r="X640" s="24">
        <v>639</v>
      </c>
      <c r="Y640" s="24">
        <v>395.5</v>
      </c>
      <c r="Z640" s="24">
        <v>748</v>
      </c>
      <c r="AA640" s="24">
        <v>109</v>
      </c>
    </row>
    <row r="641" spans="1:27">
      <c r="A641" s="24" t="s">
        <v>2456</v>
      </c>
      <c r="B641" s="24" t="s">
        <v>131</v>
      </c>
      <c r="C641" s="24" t="s">
        <v>2457</v>
      </c>
      <c r="D641" s="24">
        <v>98</v>
      </c>
      <c r="E641" s="24">
        <v>611</v>
      </c>
      <c r="F641" s="24">
        <v>65</v>
      </c>
      <c r="G641" s="24">
        <v>604</v>
      </c>
      <c r="H641" s="24">
        <v>100.5</v>
      </c>
      <c r="I641" s="24">
        <v>247</v>
      </c>
      <c r="J641" s="24">
        <v>50</v>
      </c>
      <c r="K641" s="24">
        <v>788</v>
      </c>
      <c r="L641" s="24">
        <v>57</v>
      </c>
      <c r="M641" s="24">
        <v>409</v>
      </c>
      <c r="N641" s="24">
        <v>57</v>
      </c>
      <c r="O641" s="24">
        <v>801</v>
      </c>
      <c r="P641" s="24">
        <v>66</v>
      </c>
      <c r="Q641" s="24">
        <v>604</v>
      </c>
      <c r="R641" s="24">
        <v>69</v>
      </c>
      <c r="S641" s="24">
        <v>367</v>
      </c>
      <c r="T641" s="24">
        <v>63</v>
      </c>
      <c r="U641" s="24">
        <v>123</v>
      </c>
      <c r="V641" s="24">
        <v>427.5</v>
      </c>
      <c r="W641" s="24">
        <v>35</v>
      </c>
      <c r="X641" s="24">
        <v>639</v>
      </c>
      <c r="Y641" s="24">
        <v>472</v>
      </c>
      <c r="Z641" s="24">
        <v>352</v>
      </c>
      <c r="AA641" s="24">
        <v>-287</v>
      </c>
    </row>
    <row r="642" spans="1:27">
      <c r="A642" s="24" t="s">
        <v>1954</v>
      </c>
      <c r="B642" s="24" t="s">
        <v>109</v>
      </c>
      <c r="C642" s="24" t="s">
        <v>1955</v>
      </c>
      <c r="D642" s="24">
        <v>96</v>
      </c>
      <c r="E642" s="24">
        <v>676</v>
      </c>
      <c r="F642" s="24">
        <v>69</v>
      </c>
      <c r="G642" s="24">
        <v>524</v>
      </c>
      <c r="H642" s="24">
        <v>94</v>
      </c>
      <c r="I642" s="24">
        <v>382</v>
      </c>
      <c r="J642" s="24">
        <v>50</v>
      </c>
      <c r="K642" s="24">
        <v>788</v>
      </c>
      <c r="L642" s="24">
        <v>55</v>
      </c>
      <c r="M642" s="24">
        <v>470</v>
      </c>
      <c r="N642" s="24">
        <v>63</v>
      </c>
      <c r="O642" s="24">
        <v>692</v>
      </c>
      <c r="P642" s="24">
        <v>80</v>
      </c>
      <c r="Q642" s="24">
        <v>151</v>
      </c>
      <c r="R642" s="24">
        <v>58</v>
      </c>
      <c r="S642" s="24">
        <v>770</v>
      </c>
      <c r="T642" s="24">
        <v>45</v>
      </c>
      <c r="U642" s="24">
        <v>781</v>
      </c>
      <c r="V642" s="24">
        <v>427</v>
      </c>
      <c r="W642" s="24">
        <v>35</v>
      </c>
      <c r="X642" s="24">
        <v>641</v>
      </c>
      <c r="Y642" s="24">
        <v>470.5</v>
      </c>
      <c r="Z642" s="24">
        <v>362</v>
      </c>
      <c r="AA642" s="24">
        <v>-279</v>
      </c>
    </row>
    <row r="643" spans="1:27">
      <c r="A643" s="24" t="s">
        <v>715</v>
      </c>
      <c r="B643" s="24" t="s">
        <v>117</v>
      </c>
      <c r="C643" s="24" t="s">
        <v>716</v>
      </c>
      <c r="D643" s="24">
        <v>86</v>
      </c>
      <c r="E643" s="24">
        <v>867</v>
      </c>
      <c r="F643" s="24">
        <v>84</v>
      </c>
      <c r="G643" s="24">
        <v>251</v>
      </c>
      <c r="H643" s="24">
        <v>92.5</v>
      </c>
      <c r="I643" s="24">
        <v>414</v>
      </c>
      <c r="J643" s="24">
        <v>69</v>
      </c>
      <c r="K643" s="24">
        <v>428</v>
      </c>
      <c r="L643" s="24">
        <v>39</v>
      </c>
      <c r="M643" s="24">
        <v>825</v>
      </c>
      <c r="N643" s="24">
        <v>56</v>
      </c>
      <c r="O643" s="24">
        <v>816</v>
      </c>
      <c r="P643" s="24">
        <v>56</v>
      </c>
      <c r="Q643" s="24">
        <v>849</v>
      </c>
      <c r="R643" s="24">
        <v>72</v>
      </c>
      <c r="S643" s="24">
        <v>256</v>
      </c>
      <c r="T643" s="24">
        <v>57</v>
      </c>
      <c r="U643" s="24">
        <v>306</v>
      </c>
      <c r="V643" s="24">
        <v>426.5</v>
      </c>
      <c r="W643" s="24">
        <v>37</v>
      </c>
      <c r="X643" s="24">
        <v>642</v>
      </c>
      <c r="Y643" s="24">
        <v>444</v>
      </c>
      <c r="Z643" s="24">
        <v>506</v>
      </c>
      <c r="AA643" s="24">
        <v>-136</v>
      </c>
    </row>
    <row r="644" spans="1:27">
      <c r="A644" s="24" t="s">
        <v>2240</v>
      </c>
      <c r="B644" s="24" t="s">
        <v>73</v>
      </c>
      <c r="C644" s="24" t="s">
        <v>2241</v>
      </c>
      <c r="D644" s="24">
        <v>100</v>
      </c>
      <c r="E644" s="24">
        <v>528</v>
      </c>
      <c r="F644" s="24">
        <v>67</v>
      </c>
      <c r="G644" s="24">
        <v>565</v>
      </c>
      <c r="H644" s="24">
        <v>92</v>
      </c>
      <c r="I644" s="24">
        <v>426</v>
      </c>
      <c r="J644" s="24">
        <v>64</v>
      </c>
      <c r="K644" s="24">
        <v>517</v>
      </c>
      <c r="L644" s="24">
        <v>47</v>
      </c>
      <c r="M644" s="24">
        <v>673</v>
      </c>
      <c r="N644" s="24">
        <v>56</v>
      </c>
      <c r="O644" s="24">
        <v>816</v>
      </c>
      <c r="P644" s="24">
        <v>75</v>
      </c>
      <c r="Q644" s="24">
        <v>289</v>
      </c>
      <c r="R644" s="24">
        <v>67</v>
      </c>
      <c r="S644" s="24">
        <v>471</v>
      </c>
      <c r="T644" s="24">
        <v>53</v>
      </c>
      <c r="U644" s="24">
        <v>470</v>
      </c>
      <c r="V644" s="24">
        <v>426</v>
      </c>
      <c r="W644" s="24">
        <v>39</v>
      </c>
      <c r="X644" s="24">
        <v>643</v>
      </c>
      <c r="Y644" s="24">
        <v>433.5</v>
      </c>
      <c r="Z644" s="24">
        <v>554</v>
      </c>
      <c r="AA644" s="24">
        <v>-89</v>
      </c>
    </row>
    <row r="645" spans="1:27">
      <c r="A645" s="24" t="s">
        <v>619</v>
      </c>
      <c r="B645" s="24" t="s">
        <v>17</v>
      </c>
      <c r="C645" s="24" t="s">
        <v>620</v>
      </c>
      <c r="D645" s="24">
        <v>94</v>
      </c>
      <c r="E645" s="24">
        <v>733</v>
      </c>
      <c r="F645" s="24">
        <v>61</v>
      </c>
      <c r="G645" s="24">
        <v>678</v>
      </c>
      <c r="H645" s="24">
        <v>78.5</v>
      </c>
      <c r="I645" s="24">
        <v>712</v>
      </c>
      <c r="J645" s="24">
        <v>65</v>
      </c>
      <c r="K645" s="24">
        <v>501</v>
      </c>
      <c r="L645" s="24">
        <v>50</v>
      </c>
      <c r="M645" s="24">
        <v>599</v>
      </c>
      <c r="N645" s="24">
        <v>77</v>
      </c>
      <c r="O645" s="24">
        <v>275</v>
      </c>
      <c r="P645" s="24">
        <v>83</v>
      </c>
      <c r="Q645" s="24">
        <v>79</v>
      </c>
      <c r="R645" s="24">
        <v>67</v>
      </c>
      <c r="S645" s="24">
        <v>471</v>
      </c>
      <c r="T645" s="24">
        <v>57</v>
      </c>
      <c r="U645" s="24">
        <v>306</v>
      </c>
      <c r="V645" s="24">
        <v>425.5</v>
      </c>
      <c r="W645" s="24">
        <v>41</v>
      </c>
      <c r="X645" s="24">
        <v>644</v>
      </c>
      <c r="Y645" s="24">
        <v>445</v>
      </c>
      <c r="Z645" s="24">
        <v>498</v>
      </c>
      <c r="AA645" s="24">
        <v>-146</v>
      </c>
    </row>
    <row r="646" spans="1:27">
      <c r="A646" s="24" t="s">
        <v>694</v>
      </c>
      <c r="B646" s="24" t="s">
        <v>17</v>
      </c>
      <c r="C646" s="24" t="s">
        <v>695</v>
      </c>
      <c r="D646" s="24">
        <v>100</v>
      </c>
      <c r="E646" s="24">
        <v>528</v>
      </c>
      <c r="F646" s="24">
        <v>55</v>
      </c>
      <c r="G646" s="24">
        <v>766</v>
      </c>
      <c r="H646" s="24">
        <v>104.5</v>
      </c>
      <c r="I646" s="24">
        <v>177</v>
      </c>
      <c r="J646" s="24">
        <v>51</v>
      </c>
      <c r="K646" s="24">
        <v>771</v>
      </c>
      <c r="L646" s="24">
        <v>42</v>
      </c>
      <c r="M646" s="24">
        <v>774</v>
      </c>
      <c r="N646" s="24">
        <v>73</v>
      </c>
      <c r="O646" s="24">
        <v>393</v>
      </c>
      <c r="P646" s="24">
        <v>70</v>
      </c>
      <c r="Q646" s="24">
        <v>473</v>
      </c>
      <c r="R646" s="24">
        <v>70</v>
      </c>
      <c r="S646" s="24">
        <v>327</v>
      </c>
      <c r="T646" s="24">
        <v>47</v>
      </c>
      <c r="U646" s="24">
        <v>719</v>
      </c>
      <c r="V646" s="24">
        <v>425.5</v>
      </c>
      <c r="W646" s="24">
        <v>41</v>
      </c>
      <c r="X646" s="24">
        <v>644</v>
      </c>
      <c r="Y646" s="24">
        <v>456</v>
      </c>
      <c r="Z646" s="24">
        <v>433</v>
      </c>
      <c r="AA646" s="24">
        <v>-211</v>
      </c>
    </row>
    <row r="647" spans="1:27">
      <c r="A647" s="24" t="s">
        <v>1810</v>
      </c>
      <c r="B647" s="24" t="s">
        <v>34</v>
      </c>
      <c r="C647" s="24" t="s">
        <v>1811</v>
      </c>
      <c r="D647" s="24">
        <v>103</v>
      </c>
      <c r="E647" s="24">
        <v>400</v>
      </c>
      <c r="F647" s="24">
        <v>76</v>
      </c>
      <c r="G647" s="24">
        <v>391</v>
      </c>
      <c r="H647" s="24">
        <v>65.5</v>
      </c>
      <c r="I647" s="24">
        <v>879</v>
      </c>
      <c r="J647" s="24">
        <v>59</v>
      </c>
      <c r="K647" s="24">
        <v>626</v>
      </c>
      <c r="L647" s="24">
        <v>51</v>
      </c>
      <c r="M647" s="24">
        <v>571</v>
      </c>
      <c r="N647" s="24">
        <v>71</v>
      </c>
      <c r="O647" s="24">
        <v>462</v>
      </c>
      <c r="P647" s="24">
        <v>80</v>
      </c>
      <c r="Q647" s="24">
        <v>151</v>
      </c>
      <c r="R647" s="24">
        <v>72</v>
      </c>
      <c r="S647" s="24">
        <v>256</v>
      </c>
      <c r="T647" s="24">
        <v>65</v>
      </c>
      <c r="U647" s="24">
        <v>89</v>
      </c>
      <c r="V647" s="24">
        <v>425.5</v>
      </c>
      <c r="W647" s="24">
        <v>36</v>
      </c>
      <c r="X647" s="24">
        <v>644</v>
      </c>
      <c r="Y647" s="24">
        <v>450.5</v>
      </c>
      <c r="Z647" s="24">
        <v>462</v>
      </c>
      <c r="AA647" s="24">
        <v>-182</v>
      </c>
    </row>
    <row r="648" spans="1:27">
      <c r="A648" s="24" t="s">
        <v>865</v>
      </c>
      <c r="B648" s="24" t="s">
        <v>60</v>
      </c>
      <c r="C648" s="24" t="s">
        <v>866</v>
      </c>
      <c r="D648" s="24">
        <v>101</v>
      </c>
      <c r="E648" s="24">
        <v>481</v>
      </c>
      <c r="F648" s="24">
        <v>67</v>
      </c>
      <c r="G648" s="24">
        <v>565</v>
      </c>
      <c r="H648" s="24">
        <v>67.5</v>
      </c>
      <c r="I648" s="24">
        <v>869</v>
      </c>
      <c r="J648" s="24">
        <v>70</v>
      </c>
      <c r="K648" s="24">
        <v>400</v>
      </c>
      <c r="L648" s="24">
        <v>49</v>
      </c>
      <c r="M648" s="24">
        <v>624</v>
      </c>
      <c r="N648" s="24">
        <v>71</v>
      </c>
      <c r="O648" s="24">
        <v>462</v>
      </c>
      <c r="P648" s="24">
        <v>61</v>
      </c>
      <c r="Q648" s="24">
        <v>754</v>
      </c>
      <c r="R648" s="24">
        <v>66</v>
      </c>
      <c r="S648" s="24">
        <v>511</v>
      </c>
      <c r="T648" s="24">
        <v>54</v>
      </c>
      <c r="U648" s="24">
        <v>428</v>
      </c>
      <c r="V648" s="24">
        <v>425.5</v>
      </c>
      <c r="W648" s="24">
        <v>35</v>
      </c>
      <c r="X648" s="24">
        <v>644</v>
      </c>
      <c r="Y648" s="24">
        <v>409.5</v>
      </c>
      <c r="Z648" s="24">
        <v>688</v>
      </c>
      <c r="AA648" s="24">
        <v>44</v>
      </c>
    </row>
    <row r="649" spans="1:27">
      <c r="A649" s="24" t="s">
        <v>1440</v>
      </c>
      <c r="B649" s="24" t="s">
        <v>56</v>
      </c>
      <c r="C649" s="24" t="s">
        <v>1441</v>
      </c>
      <c r="D649" s="24">
        <v>92</v>
      </c>
      <c r="E649" s="24">
        <v>779</v>
      </c>
      <c r="F649" s="24">
        <v>43</v>
      </c>
      <c r="G649" s="24">
        <v>881</v>
      </c>
      <c r="H649" s="24">
        <v>86.5</v>
      </c>
      <c r="I649" s="24">
        <v>566</v>
      </c>
      <c r="J649" s="24">
        <v>75</v>
      </c>
      <c r="K649" s="24">
        <v>299</v>
      </c>
      <c r="L649" s="24">
        <v>60</v>
      </c>
      <c r="M649" s="24">
        <v>322</v>
      </c>
      <c r="N649" s="24">
        <v>69</v>
      </c>
      <c r="O649" s="24">
        <v>523</v>
      </c>
      <c r="P649" s="24">
        <v>62</v>
      </c>
      <c r="Q649" s="24">
        <v>729</v>
      </c>
      <c r="R649" s="24">
        <v>65</v>
      </c>
      <c r="S649" s="24">
        <v>548</v>
      </c>
      <c r="T649" s="24">
        <v>44</v>
      </c>
      <c r="U649" s="24">
        <v>804</v>
      </c>
      <c r="V649" s="24">
        <v>425.5</v>
      </c>
      <c r="W649" s="24">
        <v>37</v>
      </c>
      <c r="X649" s="24">
        <v>644</v>
      </c>
      <c r="Y649" s="24">
        <v>433.5</v>
      </c>
      <c r="Z649" s="24">
        <v>554</v>
      </c>
      <c r="AA649" s="24">
        <v>-90</v>
      </c>
    </row>
    <row r="650" spans="1:27">
      <c r="A650" s="24" t="s">
        <v>2077</v>
      </c>
      <c r="B650" s="24" t="s">
        <v>109</v>
      </c>
      <c r="C650" s="24" t="s">
        <v>2078</v>
      </c>
      <c r="D650" s="24">
        <v>92</v>
      </c>
      <c r="E650" s="24">
        <v>779</v>
      </c>
      <c r="F650" s="24">
        <v>66</v>
      </c>
      <c r="G650" s="24">
        <v>584</v>
      </c>
      <c r="H650" s="24">
        <v>84.5</v>
      </c>
      <c r="I650" s="24">
        <v>607</v>
      </c>
      <c r="J650" s="24">
        <v>58</v>
      </c>
      <c r="K650" s="24">
        <v>649</v>
      </c>
      <c r="L650" s="24">
        <v>63</v>
      </c>
      <c r="M650" s="24">
        <v>262</v>
      </c>
      <c r="N650" s="24">
        <v>62</v>
      </c>
      <c r="O650" s="24">
        <v>716</v>
      </c>
      <c r="P650" s="24">
        <v>62</v>
      </c>
      <c r="Q650" s="24">
        <v>729</v>
      </c>
      <c r="R650" s="24">
        <v>57</v>
      </c>
      <c r="S650" s="24">
        <v>798</v>
      </c>
      <c r="T650" s="24">
        <v>52</v>
      </c>
      <c r="U650" s="24">
        <v>509</v>
      </c>
      <c r="V650" s="24">
        <v>425.5</v>
      </c>
      <c r="W650" s="24">
        <v>36</v>
      </c>
      <c r="X650" s="24">
        <v>644</v>
      </c>
      <c r="Y650" s="24">
        <v>426</v>
      </c>
      <c r="Z650" s="24">
        <v>600</v>
      </c>
      <c r="AA650" s="24">
        <v>-44</v>
      </c>
    </row>
    <row r="651" spans="1:27">
      <c r="A651" s="24" t="s">
        <v>832</v>
      </c>
      <c r="B651" s="24" t="s">
        <v>117</v>
      </c>
      <c r="C651" s="24" t="s">
        <v>833</v>
      </c>
      <c r="D651" s="24">
        <v>97</v>
      </c>
      <c r="E651" s="24">
        <v>645</v>
      </c>
      <c r="F651" s="24">
        <v>62</v>
      </c>
      <c r="G651" s="24">
        <v>665</v>
      </c>
      <c r="H651" s="24">
        <v>97.5</v>
      </c>
      <c r="I651" s="24">
        <v>310</v>
      </c>
      <c r="J651" s="24">
        <v>63</v>
      </c>
      <c r="K651" s="24">
        <v>540</v>
      </c>
      <c r="L651" s="24">
        <v>50</v>
      </c>
      <c r="M651" s="24">
        <v>599</v>
      </c>
      <c r="N651" s="24">
        <v>56</v>
      </c>
      <c r="O651" s="24">
        <v>816</v>
      </c>
      <c r="P651" s="24">
        <v>60</v>
      </c>
      <c r="Q651" s="24">
        <v>777</v>
      </c>
      <c r="R651" s="24">
        <v>71</v>
      </c>
      <c r="S651" s="24">
        <v>290</v>
      </c>
      <c r="T651" s="24">
        <v>42</v>
      </c>
      <c r="U651" s="24">
        <v>845</v>
      </c>
      <c r="V651" s="24">
        <v>425.5</v>
      </c>
      <c r="W651" s="24">
        <v>38</v>
      </c>
      <c r="X651" s="24">
        <v>644</v>
      </c>
      <c r="Y651" s="24">
        <v>428.5</v>
      </c>
      <c r="Z651" s="24">
        <v>582</v>
      </c>
      <c r="AA651" s="24">
        <v>-62</v>
      </c>
    </row>
    <row r="652" spans="1:27">
      <c r="A652" s="24" t="s">
        <v>3241</v>
      </c>
      <c r="B652" s="24" t="s">
        <v>7</v>
      </c>
      <c r="C652" s="24" t="s">
        <v>3248</v>
      </c>
      <c r="D652" s="24">
        <v>92</v>
      </c>
      <c r="E652" s="24">
        <v>779</v>
      </c>
      <c r="F652" s="24">
        <v>64</v>
      </c>
      <c r="G652" s="24">
        <v>627</v>
      </c>
      <c r="H652" s="24">
        <v>97</v>
      </c>
      <c r="I652" s="24">
        <v>327</v>
      </c>
      <c r="J652" s="24">
        <v>59</v>
      </c>
      <c r="K652" s="24">
        <v>626</v>
      </c>
      <c r="L652" s="24">
        <v>40</v>
      </c>
      <c r="M652" s="24">
        <v>811</v>
      </c>
      <c r="N652" s="24">
        <v>73</v>
      </c>
      <c r="O652" s="24">
        <v>393</v>
      </c>
      <c r="P652" s="24">
        <v>53</v>
      </c>
      <c r="Q652" s="24">
        <v>888</v>
      </c>
      <c r="R652" s="24">
        <v>62</v>
      </c>
      <c r="S652" s="24">
        <v>672</v>
      </c>
      <c r="T652" s="24">
        <v>48</v>
      </c>
      <c r="U652" s="24">
        <v>671</v>
      </c>
      <c r="V652" s="24">
        <v>425</v>
      </c>
      <c r="W652" s="24">
        <v>35</v>
      </c>
      <c r="X652" s="24">
        <v>651</v>
      </c>
      <c r="Y652" s="24">
        <v>446.5</v>
      </c>
      <c r="Z652" s="24">
        <v>485</v>
      </c>
      <c r="AA652" s="24">
        <v>-166</v>
      </c>
    </row>
    <row r="653" spans="1:27">
      <c r="A653" s="24" t="s">
        <v>551</v>
      </c>
      <c r="B653" s="24" t="s">
        <v>17</v>
      </c>
      <c r="C653" s="24" t="s">
        <v>552</v>
      </c>
      <c r="D653" s="24">
        <v>101</v>
      </c>
      <c r="E653" s="24">
        <v>481</v>
      </c>
      <c r="F653" s="24">
        <v>50</v>
      </c>
      <c r="G653" s="24">
        <v>831</v>
      </c>
      <c r="H653" s="24">
        <v>77</v>
      </c>
      <c r="I653" s="24">
        <v>741</v>
      </c>
      <c r="J653" s="24">
        <v>80</v>
      </c>
      <c r="K653" s="24">
        <v>207</v>
      </c>
      <c r="L653" s="24">
        <v>46</v>
      </c>
      <c r="M653" s="24">
        <v>702</v>
      </c>
      <c r="N653" s="24">
        <v>71</v>
      </c>
      <c r="O653" s="24">
        <v>462</v>
      </c>
      <c r="P653" s="24">
        <v>65</v>
      </c>
      <c r="Q653" s="24">
        <v>651</v>
      </c>
      <c r="R653" s="24">
        <v>68</v>
      </c>
      <c r="S653" s="24">
        <v>412</v>
      </c>
      <c r="T653" s="24">
        <v>57</v>
      </c>
      <c r="U653" s="24">
        <v>306</v>
      </c>
      <c r="V653" s="24">
        <v>425</v>
      </c>
      <c r="W653" s="24">
        <v>43</v>
      </c>
      <c r="X653" s="24">
        <v>651</v>
      </c>
      <c r="Y653" s="24">
        <v>362</v>
      </c>
      <c r="Z653" s="24">
        <v>855</v>
      </c>
      <c r="AA653" s="24">
        <v>204</v>
      </c>
    </row>
    <row r="654" spans="1:27">
      <c r="A654" s="24" t="s">
        <v>874</v>
      </c>
      <c r="B654" s="24" t="s">
        <v>60</v>
      </c>
      <c r="C654" s="24" t="s">
        <v>875</v>
      </c>
      <c r="D654" s="24">
        <v>108</v>
      </c>
      <c r="E654" s="24">
        <v>212</v>
      </c>
      <c r="F654" s="24">
        <v>65</v>
      </c>
      <c r="G654" s="24">
        <v>604</v>
      </c>
      <c r="H654" s="24">
        <v>98.5</v>
      </c>
      <c r="I654" s="24">
        <v>285</v>
      </c>
      <c r="J654" s="24">
        <v>43</v>
      </c>
      <c r="K654" s="24">
        <v>860</v>
      </c>
      <c r="L654" s="24">
        <v>55</v>
      </c>
      <c r="M654" s="24">
        <v>470</v>
      </c>
      <c r="N654" s="24">
        <v>55</v>
      </c>
      <c r="O654" s="24">
        <v>831</v>
      </c>
      <c r="P654" s="24">
        <v>66</v>
      </c>
      <c r="Q654" s="24">
        <v>604</v>
      </c>
      <c r="R654" s="24">
        <v>63</v>
      </c>
      <c r="S654" s="24">
        <v>633</v>
      </c>
      <c r="T654" s="24">
        <v>42</v>
      </c>
      <c r="U654" s="24">
        <v>845</v>
      </c>
      <c r="V654" s="24">
        <v>424.5</v>
      </c>
      <c r="W654" s="24">
        <v>36</v>
      </c>
      <c r="X654" s="24">
        <v>653</v>
      </c>
      <c r="Y654" s="24">
        <v>426.5</v>
      </c>
      <c r="Z654" s="24">
        <v>595</v>
      </c>
      <c r="AA654" s="24">
        <v>-58</v>
      </c>
    </row>
    <row r="655" spans="1:27">
      <c r="A655" s="24" t="s">
        <v>700</v>
      </c>
      <c r="B655" s="24" t="s">
        <v>117</v>
      </c>
      <c r="C655" s="24" t="s">
        <v>701</v>
      </c>
      <c r="D655" s="24">
        <v>101</v>
      </c>
      <c r="E655" s="24">
        <v>481</v>
      </c>
      <c r="F655" s="24">
        <v>77</v>
      </c>
      <c r="G655" s="24">
        <v>369</v>
      </c>
      <c r="H655" s="24">
        <v>89.5</v>
      </c>
      <c r="I655" s="24">
        <v>494</v>
      </c>
      <c r="J655" s="24">
        <v>59</v>
      </c>
      <c r="K655" s="24">
        <v>626</v>
      </c>
      <c r="L655" s="24">
        <v>43</v>
      </c>
      <c r="M655" s="24">
        <v>757</v>
      </c>
      <c r="N655" s="24">
        <v>55</v>
      </c>
      <c r="O655" s="24">
        <v>831</v>
      </c>
      <c r="P655" s="24">
        <v>79</v>
      </c>
      <c r="Q655" s="24">
        <v>175</v>
      </c>
      <c r="R655" s="24">
        <v>50</v>
      </c>
      <c r="S655" s="24">
        <v>896</v>
      </c>
      <c r="T655" s="24">
        <v>56</v>
      </c>
      <c r="U655" s="24">
        <v>352</v>
      </c>
      <c r="V655" s="24">
        <v>424.5</v>
      </c>
      <c r="W655" s="24">
        <v>39</v>
      </c>
      <c r="X655" s="24">
        <v>653</v>
      </c>
      <c r="Y655" s="24">
        <v>432.5</v>
      </c>
      <c r="Z655" s="24">
        <v>565</v>
      </c>
      <c r="AA655" s="24">
        <v>-88</v>
      </c>
    </row>
    <row r="656" spans="1:27">
      <c r="A656" s="24" t="s">
        <v>590</v>
      </c>
      <c r="B656" s="24" t="s">
        <v>17</v>
      </c>
      <c r="C656" s="24" t="s">
        <v>591</v>
      </c>
      <c r="D656" s="24">
        <v>90</v>
      </c>
      <c r="E656" s="24">
        <v>815</v>
      </c>
      <c r="F656" s="24">
        <v>59</v>
      </c>
      <c r="G656" s="24">
        <v>721</v>
      </c>
      <c r="H656" s="24">
        <v>85</v>
      </c>
      <c r="I656" s="24">
        <v>593</v>
      </c>
      <c r="J656" s="24">
        <v>63</v>
      </c>
      <c r="K656" s="24">
        <v>540</v>
      </c>
      <c r="L656" s="24">
        <v>50</v>
      </c>
      <c r="M656" s="24">
        <v>599</v>
      </c>
      <c r="N656" s="24">
        <v>77</v>
      </c>
      <c r="O656" s="24">
        <v>275</v>
      </c>
      <c r="P656" s="24">
        <v>70</v>
      </c>
      <c r="Q656" s="24">
        <v>473</v>
      </c>
      <c r="R656" s="24">
        <v>76</v>
      </c>
      <c r="S656" s="24">
        <v>125</v>
      </c>
      <c r="T656" s="24">
        <v>62</v>
      </c>
      <c r="U656" s="24">
        <v>146</v>
      </c>
      <c r="V656" s="24">
        <v>424</v>
      </c>
      <c r="W656" s="24">
        <v>44</v>
      </c>
      <c r="X656" s="24">
        <v>655</v>
      </c>
      <c r="Y656" s="24">
        <v>463</v>
      </c>
      <c r="Z656" s="24">
        <v>398</v>
      </c>
      <c r="AA656" s="24">
        <v>-257</v>
      </c>
    </row>
    <row r="657" spans="1:27">
      <c r="A657" s="24" t="s">
        <v>2510</v>
      </c>
      <c r="B657" s="24" t="s">
        <v>131</v>
      </c>
      <c r="C657" s="24" t="s">
        <v>2511</v>
      </c>
      <c r="D657" s="24">
        <v>83</v>
      </c>
      <c r="E657" s="24">
        <v>897</v>
      </c>
      <c r="F657" s="24">
        <v>71</v>
      </c>
      <c r="G657" s="24">
        <v>475</v>
      </c>
      <c r="H657" s="24">
        <v>60</v>
      </c>
      <c r="I657" s="24">
        <v>912</v>
      </c>
      <c r="J657" s="24">
        <v>85</v>
      </c>
      <c r="K657" s="24">
        <v>135</v>
      </c>
      <c r="L657" s="24">
        <v>52</v>
      </c>
      <c r="M657" s="24">
        <v>551</v>
      </c>
      <c r="N657" s="24">
        <v>73</v>
      </c>
      <c r="O657" s="24">
        <v>393</v>
      </c>
      <c r="P657" s="24">
        <v>55</v>
      </c>
      <c r="Q657" s="24">
        <v>868</v>
      </c>
      <c r="R657" s="24">
        <v>69</v>
      </c>
      <c r="S657" s="24">
        <v>367</v>
      </c>
      <c r="T657" s="24">
        <v>64</v>
      </c>
      <c r="U657" s="24">
        <v>103</v>
      </c>
      <c r="V657" s="24">
        <v>424</v>
      </c>
      <c r="W657" s="24">
        <v>36</v>
      </c>
      <c r="X657" s="24">
        <v>655</v>
      </c>
      <c r="Y657" s="24">
        <v>421</v>
      </c>
      <c r="Z657" s="24">
        <v>635</v>
      </c>
      <c r="AA657" s="24">
        <v>-20</v>
      </c>
    </row>
    <row r="658" spans="1:27">
      <c r="A658" s="24" t="s">
        <v>2462</v>
      </c>
      <c r="B658" s="24" t="s">
        <v>131</v>
      </c>
      <c r="C658" s="24" t="s">
        <v>2463</v>
      </c>
      <c r="D658" s="24">
        <v>86</v>
      </c>
      <c r="E658" s="24">
        <v>867</v>
      </c>
      <c r="F658" s="24">
        <v>68</v>
      </c>
      <c r="G658" s="24">
        <v>540</v>
      </c>
      <c r="H658" s="24">
        <v>77.5</v>
      </c>
      <c r="I658" s="24">
        <v>735</v>
      </c>
      <c r="J658" s="24">
        <v>61</v>
      </c>
      <c r="K658" s="24">
        <v>587</v>
      </c>
      <c r="L658" s="24">
        <v>58</v>
      </c>
      <c r="M658" s="24">
        <v>377</v>
      </c>
      <c r="N658" s="24">
        <v>73</v>
      </c>
      <c r="O658" s="24">
        <v>393</v>
      </c>
      <c r="P658" s="24">
        <v>66</v>
      </c>
      <c r="Q658" s="24">
        <v>604</v>
      </c>
      <c r="R658" s="24">
        <v>71</v>
      </c>
      <c r="S658" s="24">
        <v>290</v>
      </c>
      <c r="T658" s="24">
        <v>55</v>
      </c>
      <c r="U658" s="24">
        <v>392</v>
      </c>
      <c r="V658" s="24">
        <v>423.5</v>
      </c>
      <c r="W658" s="24">
        <v>37</v>
      </c>
      <c r="X658" s="24">
        <v>657</v>
      </c>
      <c r="Y658" s="24">
        <v>423</v>
      </c>
      <c r="Z658" s="24">
        <v>618</v>
      </c>
      <c r="AA658" s="24">
        <v>-39</v>
      </c>
    </row>
    <row r="659" spans="1:27">
      <c r="A659" s="24" t="s">
        <v>2770</v>
      </c>
      <c r="B659" s="24" t="s">
        <v>38</v>
      </c>
      <c r="C659" s="24" t="s">
        <v>2771</v>
      </c>
      <c r="D659" s="24">
        <v>106</v>
      </c>
      <c r="E659" s="24">
        <v>287</v>
      </c>
      <c r="F659" s="24">
        <v>52</v>
      </c>
      <c r="G659" s="24">
        <v>807</v>
      </c>
      <c r="H659" s="24">
        <v>88.5</v>
      </c>
      <c r="I659" s="24">
        <v>520</v>
      </c>
      <c r="J659" s="24">
        <v>60</v>
      </c>
      <c r="K659" s="24">
        <v>607</v>
      </c>
      <c r="L659" s="24">
        <v>47</v>
      </c>
      <c r="M659" s="24">
        <v>673</v>
      </c>
      <c r="N659" s="24">
        <v>70</v>
      </c>
      <c r="O659" s="24">
        <v>485</v>
      </c>
      <c r="P659" s="24">
        <v>68</v>
      </c>
      <c r="Q659" s="24">
        <v>541</v>
      </c>
      <c r="R659" s="24">
        <v>61</v>
      </c>
      <c r="S659" s="24">
        <v>703</v>
      </c>
      <c r="T659" s="24">
        <v>45</v>
      </c>
      <c r="U659" s="24">
        <v>781</v>
      </c>
      <c r="V659" s="24">
        <v>423.5</v>
      </c>
      <c r="W659" s="24">
        <v>34</v>
      </c>
      <c r="X659" s="24">
        <v>657</v>
      </c>
      <c r="Y659" s="24">
        <v>392.5</v>
      </c>
      <c r="Z659" s="24">
        <v>757</v>
      </c>
      <c r="AA659" s="24">
        <v>100</v>
      </c>
    </row>
    <row r="660" spans="1:27">
      <c r="A660" s="24" t="s">
        <v>377</v>
      </c>
      <c r="B660" s="24" t="s">
        <v>19</v>
      </c>
      <c r="C660" s="24" t="s">
        <v>378</v>
      </c>
      <c r="D660" s="24">
        <v>106</v>
      </c>
      <c r="E660" s="24">
        <v>287</v>
      </c>
      <c r="F660" s="24">
        <v>68</v>
      </c>
      <c r="G660" s="24">
        <v>540</v>
      </c>
      <c r="H660" s="24">
        <v>75</v>
      </c>
      <c r="I660" s="24">
        <v>777</v>
      </c>
      <c r="J660" s="24">
        <v>45</v>
      </c>
      <c r="K660" s="24">
        <v>840</v>
      </c>
      <c r="L660" s="24">
        <v>55</v>
      </c>
      <c r="M660" s="24">
        <v>470</v>
      </c>
      <c r="N660" s="24">
        <v>74</v>
      </c>
      <c r="O660" s="24">
        <v>366</v>
      </c>
      <c r="P660" s="24">
        <v>63</v>
      </c>
      <c r="Q660" s="24">
        <v>712</v>
      </c>
      <c r="R660" s="24">
        <v>61</v>
      </c>
      <c r="S660" s="24">
        <v>703</v>
      </c>
      <c r="T660" s="24">
        <v>41</v>
      </c>
      <c r="U660" s="24">
        <v>866</v>
      </c>
      <c r="V660" s="24">
        <v>423</v>
      </c>
      <c r="W660" s="24">
        <v>36</v>
      </c>
      <c r="X660" s="24">
        <v>659</v>
      </c>
      <c r="Y660" s="24">
        <v>417.5</v>
      </c>
      <c r="Z660" s="24">
        <v>653</v>
      </c>
      <c r="AA660" s="24">
        <v>-6</v>
      </c>
    </row>
    <row r="661" spans="1:27">
      <c r="A661" s="24" t="s">
        <v>2429</v>
      </c>
      <c r="B661" s="24" t="s">
        <v>131</v>
      </c>
      <c r="C661" s="24" t="s">
        <v>2430</v>
      </c>
      <c r="D661" s="24">
        <v>93</v>
      </c>
      <c r="E661" s="24">
        <v>755</v>
      </c>
      <c r="F661" s="24">
        <v>69</v>
      </c>
      <c r="G661" s="24">
        <v>524</v>
      </c>
      <c r="H661" s="24">
        <v>76</v>
      </c>
      <c r="I661" s="24">
        <v>760</v>
      </c>
      <c r="J661" s="24">
        <v>67</v>
      </c>
      <c r="K661" s="24">
        <v>468</v>
      </c>
      <c r="L661" s="24">
        <v>44</v>
      </c>
      <c r="M661" s="24">
        <v>736</v>
      </c>
      <c r="N661" s="24">
        <v>74</v>
      </c>
      <c r="O661" s="24">
        <v>366</v>
      </c>
      <c r="P661" s="24">
        <v>63</v>
      </c>
      <c r="Q661" s="24">
        <v>712</v>
      </c>
      <c r="R661" s="24">
        <v>62</v>
      </c>
      <c r="S661" s="24">
        <v>672</v>
      </c>
      <c r="T661" s="24">
        <v>47</v>
      </c>
      <c r="U661" s="24">
        <v>719</v>
      </c>
      <c r="V661" s="24">
        <v>423</v>
      </c>
      <c r="W661" s="24">
        <v>38</v>
      </c>
      <c r="X661" s="24">
        <v>659</v>
      </c>
      <c r="Y661" s="24">
        <v>449.5</v>
      </c>
      <c r="Z661" s="24">
        <v>468</v>
      </c>
      <c r="AA661" s="24">
        <v>-191</v>
      </c>
    </row>
    <row r="662" spans="1:27">
      <c r="A662" s="24" t="s">
        <v>2331</v>
      </c>
      <c r="B662" s="24" t="s">
        <v>7</v>
      </c>
      <c r="C662" s="24" t="s">
        <v>2338</v>
      </c>
      <c r="D662" s="24">
        <v>103</v>
      </c>
      <c r="E662" s="24">
        <v>400</v>
      </c>
      <c r="F662" s="24">
        <v>72</v>
      </c>
      <c r="G662" s="24">
        <v>458</v>
      </c>
      <c r="H662" s="24">
        <v>62</v>
      </c>
      <c r="I662" s="24">
        <v>904</v>
      </c>
      <c r="J662" s="24">
        <v>59</v>
      </c>
      <c r="K662" s="24">
        <v>626</v>
      </c>
      <c r="L662" s="24">
        <v>54</v>
      </c>
      <c r="M662" s="24">
        <v>494</v>
      </c>
      <c r="N662" s="24">
        <v>73</v>
      </c>
      <c r="O662" s="24">
        <v>393</v>
      </c>
      <c r="P662" s="24">
        <v>76</v>
      </c>
      <c r="Q662" s="24">
        <v>260</v>
      </c>
      <c r="R662" s="24">
        <v>65</v>
      </c>
      <c r="S662" s="24">
        <v>548</v>
      </c>
      <c r="T662" s="24">
        <v>62</v>
      </c>
      <c r="U662" s="24">
        <v>146</v>
      </c>
      <c r="V662" s="24">
        <v>423</v>
      </c>
      <c r="W662" s="24">
        <v>36</v>
      </c>
      <c r="X662" s="24">
        <v>659</v>
      </c>
      <c r="Y662" s="24">
        <v>350</v>
      </c>
      <c r="Z662" s="24">
        <v>879</v>
      </c>
      <c r="AA662" s="24">
        <v>220</v>
      </c>
    </row>
    <row r="663" spans="1:27">
      <c r="A663" s="24" t="s">
        <v>655</v>
      </c>
      <c r="B663" s="24" t="s">
        <v>17</v>
      </c>
      <c r="C663" s="24" t="s">
        <v>656</v>
      </c>
      <c r="D663" s="24">
        <v>98</v>
      </c>
      <c r="E663" s="24">
        <v>611</v>
      </c>
      <c r="F663" s="24">
        <v>66</v>
      </c>
      <c r="G663" s="24">
        <v>584</v>
      </c>
      <c r="H663" s="24">
        <v>89</v>
      </c>
      <c r="I663" s="24">
        <v>510</v>
      </c>
      <c r="J663" s="24">
        <v>64</v>
      </c>
      <c r="K663" s="24">
        <v>517</v>
      </c>
      <c r="L663" s="24">
        <v>36</v>
      </c>
      <c r="M663" s="24">
        <v>856</v>
      </c>
      <c r="N663" s="24">
        <v>70</v>
      </c>
      <c r="O663" s="24">
        <v>485</v>
      </c>
      <c r="P663" s="24">
        <v>65</v>
      </c>
      <c r="Q663" s="24">
        <v>651</v>
      </c>
      <c r="R663" s="24">
        <v>73</v>
      </c>
      <c r="S663" s="24">
        <v>216</v>
      </c>
      <c r="T663" s="24">
        <v>50</v>
      </c>
      <c r="U663" s="24">
        <v>591</v>
      </c>
      <c r="V663" s="24">
        <v>423</v>
      </c>
      <c r="W663" s="24">
        <v>45</v>
      </c>
      <c r="X663" s="24">
        <v>659</v>
      </c>
      <c r="Y663" s="24">
        <v>452</v>
      </c>
      <c r="Z663" s="24">
        <v>456</v>
      </c>
      <c r="AA663" s="24">
        <v>-203</v>
      </c>
    </row>
    <row r="664" spans="1:27">
      <c r="A664" s="24" t="s">
        <v>1898</v>
      </c>
      <c r="B664" s="24" t="s">
        <v>34</v>
      </c>
      <c r="C664" s="24" t="s">
        <v>1899</v>
      </c>
      <c r="D664" s="24">
        <v>99</v>
      </c>
      <c r="E664" s="24">
        <v>571</v>
      </c>
      <c r="F664" s="24">
        <v>55</v>
      </c>
      <c r="G664" s="24">
        <v>766</v>
      </c>
      <c r="H664" s="24">
        <v>100.5</v>
      </c>
      <c r="I664" s="24">
        <v>247</v>
      </c>
      <c r="J664" s="24">
        <v>48</v>
      </c>
      <c r="K664" s="24">
        <v>820</v>
      </c>
      <c r="L664" s="24">
        <v>52</v>
      </c>
      <c r="M664" s="24">
        <v>551</v>
      </c>
      <c r="N664" s="24">
        <v>68</v>
      </c>
      <c r="O664" s="24">
        <v>555</v>
      </c>
      <c r="P664" s="24">
        <v>59</v>
      </c>
      <c r="Q664" s="24">
        <v>799</v>
      </c>
      <c r="R664" s="24">
        <v>57</v>
      </c>
      <c r="S664" s="24">
        <v>798</v>
      </c>
      <c r="T664" s="24">
        <v>62</v>
      </c>
      <c r="U664" s="24">
        <v>146</v>
      </c>
      <c r="V664" s="24">
        <v>422.5</v>
      </c>
      <c r="W664" s="24">
        <v>37</v>
      </c>
      <c r="X664" s="24">
        <v>663</v>
      </c>
      <c r="Y664" s="24">
        <v>386.5</v>
      </c>
      <c r="Z664" s="24">
        <v>778</v>
      </c>
      <c r="AA664" s="24">
        <v>115</v>
      </c>
    </row>
    <row r="665" spans="1:27">
      <c r="A665" s="24" t="s">
        <v>1306</v>
      </c>
      <c r="B665" s="24" t="s">
        <v>54</v>
      </c>
      <c r="C665" s="24" t="s">
        <v>1700</v>
      </c>
      <c r="D665" s="24">
        <v>108</v>
      </c>
      <c r="E665" s="24">
        <v>212</v>
      </c>
      <c r="F665" s="24">
        <v>63</v>
      </c>
      <c r="G665" s="24">
        <v>642</v>
      </c>
      <c r="H665" s="24">
        <v>84</v>
      </c>
      <c r="I665" s="24">
        <v>623</v>
      </c>
      <c r="J665" s="24">
        <v>48</v>
      </c>
      <c r="K665" s="24">
        <v>820</v>
      </c>
      <c r="L665" s="24">
        <v>45</v>
      </c>
      <c r="M665" s="24">
        <v>720</v>
      </c>
      <c r="N665" s="24">
        <v>74</v>
      </c>
      <c r="O665" s="24">
        <v>366</v>
      </c>
      <c r="P665" s="24">
        <v>62</v>
      </c>
      <c r="Q665" s="24">
        <v>729</v>
      </c>
      <c r="R665" s="24">
        <v>62</v>
      </c>
      <c r="S665" s="24">
        <v>672</v>
      </c>
      <c r="T665" s="24">
        <v>44</v>
      </c>
      <c r="U665" s="24">
        <v>804</v>
      </c>
      <c r="V665" s="24">
        <v>422</v>
      </c>
      <c r="W665" s="24">
        <v>40</v>
      </c>
      <c r="X665" s="24">
        <v>664</v>
      </c>
      <c r="Y665" s="24">
        <v>411</v>
      </c>
      <c r="Z665" s="24">
        <v>679</v>
      </c>
      <c r="AA665" s="24">
        <v>15</v>
      </c>
    </row>
    <row r="666" spans="1:27">
      <c r="A666" s="24" t="s">
        <v>689</v>
      </c>
      <c r="B666" s="24" t="s">
        <v>17</v>
      </c>
      <c r="C666" s="24" t="s">
        <v>690</v>
      </c>
      <c r="D666" s="24">
        <v>91</v>
      </c>
      <c r="E666" s="24">
        <v>799</v>
      </c>
      <c r="F666" s="24">
        <v>62</v>
      </c>
      <c r="G666" s="24">
        <v>665</v>
      </c>
      <c r="H666" s="24">
        <v>96</v>
      </c>
      <c r="I666" s="24">
        <v>346</v>
      </c>
      <c r="J666" s="24">
        <v>59</v>
      </c>
      <c r="K666" s="24">
        <v>626</v>
      </c>
      <c r="L666" s="24">
        <v>47</v>
      </c>
      <c r="M666" s="24">
        <v>673</v>
      </c>
      <c r="N666" s="24">
        <v>67</v>
      </c>
      <c r="O666" s="24">
        <v>587</v>
      </c>
      <c r="P666" s="24">
        <v>53</v>
      </c>
      <c r="Q666" s="24">
        <v>888</v>
      </c>
      <c r="R666" s="24">
        <v>55</v>
      </c>
      <c r="S666" s="24">
        <v>835</v>
      </c>
      <c r="T666" s="24">
        <v>41</v>
      </c>
      <c r="U666" s="24">
        <v>866</v>
      </c>
      <c r="V666" s="24">
        <v>422</v>
      </c>
      <c r="W666" s="24">
        <v>46</v>
      </c>
      <c r="X666" s="24">
        <v>664</v>
      </c>
      <c r="Y666" s="24">
        <v>420.5</v>
      </c>
      <c r="Z666" s="24">
        <v>639</v>
      </c>
      <c r="AA666" s="24">
        <v>-25</v>
      </c>
    </row>
    <row r="667" spans="1:27">
      <c r="A667" s="24" t="s">
        <v>2492</v>
      </c>
      <c r="B667" s="24" t="s">
        <v>131</v>
      </c>
      <c r="C667" s="24" t="s">
        <v>2493</v>
      </c>
      <c r="D667" s="24">
        <v>98</v>
      </c>
      <c r="E667" s="24">
        <v>611</v>
      </c>
      <c r="F667" s="24">
        <v>54</v>
      </c>
      <c r="G667" s="24">
        <v>782</v>
      </c>
      <c r="H667" s="24">
        <v>89.5</v>
      </c>
      <c r="I667" s="24">
        <v>494</v>
      </c>
      <c r="J667" s="24">
        <v>74</v>
      </c>
      <c r="K667" s="24">
        <v>317</v>
      </c>
      <c r="L667" s="24">
        <v>48</v>
      </c>
      <c r="M667" s="24">
        <v>649</v>
      </c>
      <c r="N667" s="24">
        <v>58</v>
      </c>
      <c r="O667" s="24">
        <v>786</v>
      </c>
      <c r="P667" s="24">
        <v>78</v>
      </c>
      <c r="Q667" s="24">
        <v>209</v>
      </c>
      <c r="R667" s="24">
        <v>77</v>
      </c>
      <c r="S667" s="24">
        <v>102</v>
      </c>
      <c r="T667" s="24">
        <v>62</v>
      </c>
      <c r="U667" s="24">
        <v>146</v>
      </c>
      <c r="V667" s="24">
        <v>421.5</v>
      </c>
      <c r="W667" s="24">
        <v>39</v>
      </c>
      <c r="X667" s="24">
        <v>666</v>
      </c>
      <c r="Y667" s="24">
        <v>425</v>
      </c>
      <c r="Z667" s="24">
        <v>607</v>
      </c>
      <c r="AA667" s="24">
        <v>-59</v>
      </c>
    </row>
    <row r="668" spans="1:27">
      <c r="A668" s="24" t="s">
        <v>2764</v>
      </c>
      <c r="B668" s="24" t="s">
        <v>38</v>
      </c>
      <c r="C668" s="24" t="s">
        <v>2765</v>
      </c>
      <c r="D668" s="24">
        <v>112</v>
      </c>
      <c r="E668" s="24">
        <v>114</v>
      </c>
      <c r="F668" s="24">
        <v>78</v>
      </c>
      <c r="G668" s="24">
        <v>353</v>
      </c>
      <c r="H668" s="24">
        <v>68</v>
      </c>
      <c r="I668" s="24">
        <v>863</v>
      </c>
      <c r="J668" s="24">
        <v>37</v>
      </c>
      <c r="K668" s="24">
        <v>901</v>
      </c>
      <c r="L668" s="24">
        <v>55</v>
      </c>
      <c r="M668" s="24">
        <v>470</v>
      </c>
      <c r="N668" s="24">
        <v>71</v>
      </c>
      <c r="O668" s="24">
        <v>462</v>
      </c>
      <c r="P668" s="24">
        <v>71</v>
      </c>
      <c r="Q668" s="24">
        <v>439</v>
      </c>
      <c r="R668" s="24">
        <v>57</v>
      </c>
      <c r="S668" s="24">
        <v>798</v>
      </c>
      <c r="T668" s="24">
        <v>41</v>
      </c>
      <c r="U668" s="24">
        <v>866</v>
      </c>
      <c r="V668" s="24">
        <v>421</v>
      </c>
      <c r="W668" s="24">
        <v>35</v>
      </c>
      <c r="X668" s="24">
        <v>667</v>
      </c>
      <c r="Y668" s="24">
        <v>384.5</v>
      </c>
      <c r="Z668" s="24">
        <v>790</v>
      </c>
      <c r="AA668" s="24">
        <v>123</v>
      </c>
    </row>
    <row r="669" spans="1:27">
      <c r="A669" s="24" t="s">
        <v>2758</v>
      </c>
      <c r="B669" s="24" t="s">
        <v>38</v>
      </c>
      <c r="C669" s="24" t="s">
        <v>2759</v>
      </c>
      <c r="D669" s="24">
        <v>82</v>
      </c>
      <c r="E669" s="24">
        <v>903</v>
      </c>
      <c r="F669" s="24">
        <v>73</v>
      </c>
      <c r="G669" s="24">
        <v>438</v>
      </c>
      <c r="H669" s="24">
        <v>83</v>
      </c>
      <c r="I669" s="24">
        <v>643</v>
      </c>
      <c r="J669" s="24">
        <v>69</v>
      </c>
      <c r="K669" s="24">
        <v>428</v>
      </c>
      <c r="L669" s="24">
        <v>48</v>
      </c>
      <c r="M669" s="24">
        <v>649</v>
      </c>
      <c r="N669" s="24">
        <v>66</v>
      </c>
      <c r="O669" s="24">
        <v>611</v>
      </c>
      <c r="P669" s="24">
        <v>56</v>
      </c>
      <c r="Q669" s="24">
        <v>849</v>
      </c>
      <c r="R669" s="24">
        <v>50</v>
      </c>
      <c r="S669" s="24">
        <v>896</v>
      </c>
      <c r="T669" s="24">
        <v>32</v>
      </c>
      <c r="U669" s="24">
        <v>930</v>
      </c>
      <c r="V669" s="24">
        <v>421</v>
      </c>
      <c r="W669" s="24">
        <v>35</v>
      </c>
      <c r="X669" s="24">
        <v>667</v>
      </c>
      <c r="Y669" s="24">
        <v>415</v>
      </c>
      <c r="Z669" s="24">
        <v>659</v>
      </c>
      <c r="AA669" s="24">
        <v>-8</v>
      </c>
    </row>
    <row r="670" spans="1:27">
      <c r="A670" s="24" t="s">
        <v>2755</v>
      </c>
      <c r="B670" s="24" t="s">
        <v>38</v>
      </c>
      <c r="C670" s="24" t="s">
        <v>2756</v>
      </c>
      <c r="D670" s="24">
        <v>108</v>
      </c>
      <c r="E670" s="24">
        <v>212</v>
      </c>
      <c r="F670" s="24">
        <v>61</v>
      </c>
      <c r="G670" s="24">
        <v>678</v>
      </c>
      <c r="H670" s="24">
        <v>68.5</v>
      </c>
      <c r="I670" s="24">
        <v>858</v>
      </c>
      <c r="J670" s="24">
        <v>59</v>
      </c>
      <c r="K670" s="24">
        <v>626</v>
      </c>
      <c r="L670" s="24">
        <v>47</v>
      </c>
      <c r="M670" s="24">
        <v>673</v>
      </c>
      <c r="N670" s="24">
        <v>77</v>
      </c>
      <c r="O670" s="24">
        <v>275</v>
      </c>
      <c r="P670" s="24">
        <v>75</v>
      </c>
      <c r="Q670" s="24">
        <v>289</v>
      </c>
      <c r="R670" s="24">
        <v>81</v>
      </c>
      <c r="S670" s="24">
        <v>42</v>
      </c>
      <c r="T670" s="24">
        <v>57</v>
      </c>
      <c r="U670" s="24">
        <v>306</v>
      </c>
      <c r="V670" s="24">
        <v>420.5</v>
      </c>
      <c r="W670" s="24">
        <v>37</v>
      </c>
      <c r="X670" s="24">
        <v>669</v>
      </c>
      <c r="Y670" s="24">
        <v>434</v>
      </c>
      <c r="Z670" s="24">
        <v>551</v>
      </c>
      <c r="AA670" s="24">
        <v>-118</v>
      </c>
    </row>
    <row r="671" spans="1:27">
      <c r="A671" s="24" t="s">
        <v>2004</v>
      </c>
      <c r="B671" s="24" t="s">
        <v>109</v>
      </c>
      <c r="C671" s="24" t="s">
        <v>2005</v>
      </c>
      <c r="D671" s="24">
        <v>96</v>
      </c>
      <c r="E671" s="24">
        <v>676</v>
      </c>
      <c r="F671" s="24">
        <v>70</v>
      </c>
      <c r="G671" s="24">
        <v>505</v>
      </c>
      <c r="H671" s="24">
        <v>82.5</v>
      </c>
      <c r="I671" s="24">
        <v>658</v>
      </c>
      <c r="J671" s="24">
        <v>60</v>
      </c>
      <c r="K671" s="24">
        <v>607</v>
      </c>
      <c r="L671" s="24">
        <v>56</v>
      </c>
      <c r="M671" s="24">
        <v>433</v>
      </c>
      <c r="N671" s="24">
        <v>56</v>
      </c>
      <c r="O671" s="24">
        <v>816</v>
      </c>
      <c r="P671" s="24">
        <v>69</v>
      </c>
      <c r="Q671" s="24">
        <v>504</v>
      </c>
      <c r="R671" s="24">
        <v>58</v>
      </c>
      <c r="S671" s="24">
        <v>770</v>
      </c>
      <c r="T671" s="24">
        <v>47</v>
      </c>
      <c r="U671" s="24">
        <v>719</v>
      </c>
      <c r="V671" s="24">
        <v>420.5</v>
      </c>
      <c r="W671" s="24">
        <v>37</v>
      </c>
      <c r="X671" s="24">
        <v>669</v>
      </c>
      <c r="Y671" s="24">
        <v>449</v>
      </c>
      <c r="Z671" s="24">
        <v>473</v>
      </c>
      <c r="AA671" s="24">
        <v>-196</v>
      </c>
    </row>
    <row r="672" spans="1:27">
      <c r="A672" s="24" t="s">
        <v>1976</v>
      </c>
      <c r="B672" s="24" t="s">
        <v>109</v>
      </c>
      <c r="C672" s="24" t="s">
        <v>1977</v>
      </c>
      <c r="D672" s="24">
        <v>96</v>
      </c>
      <c r="E672" s="24">
        <v>676</v>
      </c>
      <c r="F672" s="24">
        <v>54</v>
      </c>
      <c r="G672" s="24">
        <v>782</v>
      </c>
      <c r="H672" s="24">
        <v>104</v>
      </c>
      <c r="I672" s="24">
        <v>188</v>
      </c>
      <c r="J672" s="24">
        <v>57</v>
      </c>
      <c r="K672" s="24">
        <v>665</v>
      </c>
      <c r="L672" s="24">
        <v>48</v>
      </c>
      <c r="M672" s="24">
        <v>649</v>
      </c>
      <c r="N672" s="24">
        <v>61</v>
      </c>
      <c r="O672" s="24">
        <v>734</v>
      </c>
      <c r="P672" s="24">
        <v>69</v>
      </c>
      <c r="Q672" s="24">
        <v>504</v>
      </c>
      <c r="R672" s="24">
        <v>71</v>
      </c>
      <c r="S672" s="24">
        <v>290</v>
      </c>
      <c r="T672" s="24">
        <v>55</v>
      </c>
      <c r="U672" s="24">
        <v>392</v>
      </c>
      <c r="V672" s="24">
        <v>420</v>
      </c>
      <c r="W672" s="24">
        <v>38</v>
      </c>
      <c r="X672" s="24">
        <v>671</v>
      </c>
      <c r="Y672" s="24">
        <v>421.5</v>
      </c>
      <c r="Z672" s="24">
        <v>627</v>
      </c>
      <c r="AA672" s="24">
        <v>-44</v>
      </c>
    </row>
    <row r="673" spans="1:27">
      <c r="A673" s="24" t="s">
        <v>2823</v>
      </c>
      <c r="B673" s="24" t="s">
        <v>38</v>
      </c>
      <c r="C673" s="24" t="s">
        <v>2824</v>
      </c>
      <c r="D673" s="24">
        <v>90</v>
      </c>
      <c r="E673" s="24">
        <v>815</v>
      </c>
      <c r="F673" s="24">
        <v>70</v>
      </c>
      <c r="G673" s="24">
        <v>505</v>
      </c>
      <c r="H673" s="24">
        <v>92.5</v>
      </c>
      <c r="I673" s="24">
        <v>414</v>
      </c>
      <c r="J673" s="24">
        <v>58</v>
      </c>
      <c r="K673" s="24">
        <v>649</v>
      </c>
      <c r="L673" s="24">
        <v>44</v>
      </c>
      <c r="M673" s="24">
        <v>736</v>
      </c>
      <c r="N673" s="24">
        <v>65</v>
      </c>
      <c r="O673" s="24">
        <v>643</v>
      </c>
      <c r="P673" s="24">
        <v>56</v>
      </c>
      <c r="Q673" s="24">
        <v>849</v>
      </c>
      <c r="R673" s="24">
        <v>70</v>
      </c>
      <c r="S673" s="24">
        <v>327</v>
      </c>
      <c r="T673" s="24">
        <v>39</v>
      </c>
      <c r="U673" s="24">
        <v>895</v>
      </c>
      <c r="V673" s="24">
        <v>419.5</v>
      </c>
      <c r="W673" s="24">
        <v>38</v>
      </c>
      <c r="X673" s="24">
        <v>672</v>
      </c>
      <c r="Y673" s="24">
        <v>404.5</v>
      </c>
      <c r="Z673" s="24">
        <v>710</v>
      </c>
      <c r="AA673" s="24">
        <v>38</v>
      </c>
    </row>
    <row r="674" spans="1:27">
      <c r="A674" s="24" t="s">
        <v>1167</v>
      </c>
      <c r="B674" s="24" t="s">
        <v>68</v>
      </c>
      <c r="C674" s="24" t="s">
        <v>1168</v>
      </c>
      <c r="D674" s="24">
        <v>106</v>
      </c>
      <c r="E674" s="24">
        <v>287</v>
      </c>
      <c r="F674" s="24">
        <v>48</v>
      </c>
      <c r="G674" s="24">
        <v>848</v>
      </c>
      <c r="H674" s="24">
        <v>78</v>
      </c>
      <c r="I674" s="24">
        <v>723</v>
      </c>
      <c r="J674" s="24">
        <v>66</v>
      </c>
      <c r="K674" s="24">
        <v>484</v>
      </c>
      <c r="L674" s="24">
        <v>47</v>
      </c>
      <c r="M674" s="24">
        <v>673</v>
      </c>
      <c r="N674" s="24">
        <v>74</v>
      </c>
      <c r="O674" s="24">
        <v>366</v>
      </c>
      <c r="P674" s="24">
        <v>64</v>
      </c>
      <c r="Q674" s="24">
        <v>680</v>
      </c>
      <c r="R674" s="24">
        <v>68</v>
      </c>
      <c r="S674" s="24">
        <v>412</v>
      </c>
      <c r="T674" s="24">
        <v>48</v>
      </c>
      <c r="U674" s="24">
        <v>671</v>
      </c>
      <c r="V674" s="24">
        <v>419</v>
      </c>
      <c r="W674" s="24">
        <v>38</v>
      </c>
      <c r="X674" s="24">
        <v>673</v>
      </c>
      <c r="Y674" s="24">
        <v>369</v>
      </c>
      <c r="Z674" s="24">
        <v>844</v>
      </c>
      <c r="AA674" s="24">
        <v>171</v>
      </c>
    </row>
    <row r="675" spans="1:27">
      <c r="A675" s="24" t="s">
        <v>772</v>
      </c>
      <c r="B675" s="24" t="s">
        <v>117</v>
      </c>
      <c r="C675" s="24" t="s">
        <v>773</v>
      </c>
      <c r="D675" s="24">
        <v>101</v>
      </c>
      <c r="E675" s="24">
        <v>481</v>
      </c>
      <c r="F675" s="24">
        <v>65</v>
      </c>
      <c r="G675" s="24">
        <v>604</v>
      </c>
      <c r="H675" s="24">
        <v>64</v>
      </c>
      <c r="I675" s="24">
        <v>887</v>
      </c>
      <c r="J675" s="24">
        <v>73</v>
      </c>
      <c r="K675" s="24">
        <v>339</v>
      </c>
      <c r="L675" s="24">
        <v>42</v>
      </c>
      <c r="M675" s="24">
        <v>774</v>
      </c>
      <c r="N675" s="24">
        <v>74</v>
      </c>
      <c r="O675" s="24">
        <v>366</v>
      </c>
      <c r="P675" s="24">
        <v>76</v>
      </c>
      <c r="Q675" s="24">
        <v>260</v>
      </c>
      <c r="R675" s="24">
        <v>77</v>
      </c>
      <c r="S675" s="24">
        <v>102</v>
      </c>
      <c r="T675" s="24">
        <v>58</v>
      </c>
      <c r="U675" s="24">
        <v>278</v>
      </c>
      <c r="V675" s="24">
        <v>419</v>
      </c>
      <c r="W675" s="24">
        <v>40</v>
      </c>
      <c r="X675" s="24">
        <v>673</v>
      </c>
      <c r="Y675" s="24">
        <v>388.5</v>
      </c>
      <c r="Z675" s="24">
        <v>770</v>
      </c>
      <c r="AA675" s="24">
        <v>97</v>
      </c>
    </row>
    <row r="676" spans="1:27">
      <c r="A676" s="24" t="s">
        <v>1228</v>
      </c>
      <c r="B676" s="24" t="s">
        <v>54</v>
      </c>
      <c r="C676" s="24" t="s">
        <v>1229</v>
      </c>
      <c r="D676" s="24">
        <v>120</v>
      </c>
      <c r="E676" s="24">
        <v>21</v>
      </c>
      <c r="F676" s="24">
        <v>45</v>
      </c>
      <c r="G676" s="24">
        <v>871</v>
      </c>
      <c r="H676" s="24">
        <v>100</v>
      </c>
      <c r="I676" s="24">
        <v>258</v>
      </c>
      <c r="J676" s="24">
        <v>50</v>
      </c>
      <c r="K676" s="24">
        <v>788</v>
      </c>
      <c r="L676" s="24">
        <v>39</v>
      </c>
      <c r="M676" s="24">
        <v>825</v>
      </c>
      <c r="N676" s="24">
        <v>65</v>
      </c>
      <c r="O676" s="24">
        <v>643</v>
      </c>
      <c r="P676" s="24">
        <v>64</v>
      </c>
      <c r="Q676" s="24">
        <v>680</v>
      </c>
      <c r="R676" s="24">
        <v>62</v>
      </c>
      <c r="S676" s="24">
        <v>672</v>
      </c>
      <c r="T676" s="24">
        <v>47</v>
      </c>
      <c r="U676" s="24">
        <v>719</v>
      </c>
      <c r="V676" s="24">
        <v>419</v>
      </c>
      <c r="W676" s="24">
        <v>41</v>
      </c>
      <c r="X676" s="24">
        <v>673</v>
      </c>
      <c r="Y676" s="24">
        <v>430</v>
      </c>
      <c r="Z676" s="24">
        <v>573</v>
      </c>
      <c r="AA676" s="24">
        <v>-100</v>
      </c>
    </row>
    <row r="677" spans="1:27">
      <c r="A677" s="24" t="s">
        <v>975</v>
      </c>
      <c r="B677" s="24" t="s">
        <v>60</v>
      </c>
      <c r="C677" s="24" t="s">
        <v>976</v>
      </c>
      <c r="D677" s="24">
        <v>117</v>
      </c>
      <c r="E677" s="24">
        <v>40</v>
      </c>
      <c r="F677" s="24">
        <v>43</v>
      </c>
      <c r="G677" s="24">
        <v>881</v>
      </c>
      <c r="H677" s="24">
        <v>90</v>
      </c>
      <c r="I677" s="24">
        <v>482</v>
      </c>
      <c r="J677" s="24">
        <v>50</v>
      </c>
      <c r="K677" s="24">
        <v>788</v>
      </c>
      <c r="L677" s="24">
        <v>58</v>
      </c>
      <c r="M677" s="24">
        <v>377</v>
      </c>
      <c r="N677" s="24">
        <v>61</v>
      </c>
      <c r="O677" s="24">
        <v>734</v>
      </c>
      <c r="P677" s="24">
        <v>71</v>
      </c>
      <c r="Q677" s="24">
        <v>439</v>
      </c>
      <c r="R677" s="24">
        <v>63</v>
      </c>
      <c r="S677" s="24">
        <v>633</v>
      </c>
      <c r="T677" s="24">
        <v>48</v>
      </c>
      <c r="U677" s="24">
        <v>671</v>
      </c>
      <c r="V677" s="24">
        <v>419</v>
      </c>
      <c r="W677" s="24">
        <v>37</v>
      </c>
      <c r="X677" s="24">
        <v>673</v>
      </c>
      <c r="Y677" s="24">
        <v>445</v>
      </c>
      <c r="Z677" s="24">
        <v>498</v>
      </c>
      <c r="AA677" s="24">
        <v>-175</v>
      </c>
    </row>
    <row r="678" spans="1:27">
      <c r="A678" s="24" t="s">
        <v>2308</v>
      </c>
      <c r="B678" s="24" t="s">
        <v>7</v>
      </c>
      <c r="C678" s="24" t="s">
        <v>2309</v>
      </c>
      <c r="D678" s="24">
        <v>96</v>
      </c>
      <c r="E678" s="24">
        <v>676</v>
      </c>
      <c r="F678" s="24">
        <v>51</v>
      </c>
      <c r="G678" s="24">
        <v>817</v>
      </c>
      <c r="H678" s="24">
        <v>92.5</v>
      </c>
      <c r="I678" s="24">
        <v>414</v>
      </c>
      <c r="J678" s="24">
        <v>52</v>
      </c>
      <c r="K678" s="24">
        <v>757</v>
      </c>
      <c r="L678" s="24">
        <v>61</v>
      </c>
      <c r="M678" s="24">
        <v>300</v>
      </c>
      <c r="N678" s="24">
        <v>66</v>
      </c>
      <c r="O678" s="24">
        <v>611</v>
      </c>
      <c r="P678" s="24">
        <v>53</v>
      </c>
      <c r="Q678" s="24">
        <v>888</v>
      </c>
      <c r="R678" s="24">
        <v>63</v>
      </c>
      <c r="S678" s="24">
        <v>633</v>
      </c>
      <c r="T678" s="24">
        <v>59</v>
      </c>
      <c r="U678" s="24">
        <v>233</v>
      </c>
      <c r="V678" s="24">
        <v>418.5</v>
      </c>
      <c r="W678" s="24">
        <v>37</v>
      </c>
      <c r="X678" s="24">
        <v>677</v>
      </c>
      <c r="Y678" s="24">
        <v>378.5</v>
      </c>
      <c r="Z678" s="24">
        <v>811</v>
      </c>
      <c r="AA678" s="24">
        <v>134</v>
      </c>
    </row>
    <row r="679" spans="1:27">
      <c r="A679" s="24" t="s">
        <v>637</v>
      </c>
      <c r="B679" s="24" t="s">
        <v>17</v>
      </c>
      <c r="C679" s="24" t="s">
        <v>638</v>
      </c>
      <c r="D679" s="24">
        <v>110</v>
      </c>
      <c r="E679" s="24">
        <v>159</v>
      </c>
      <c r="F679" s="24">
        <v>55</v>
      </c>
      <c r="G679" s="24">
        <v>766</v>
      </c>
      <c r="H679" s="24">
        <v>85.5</v>
      </c>
      <c r="I679" s="24">
        <v>586</v>
      </c>
      <c r="J679" s="24">
        <v>55</v>
      </c>
      <c r="K679" s="24">
        <v>694</v>
      </c>
      <c r="L679" s="24">
        <v>50</v>
      </c>
      <c r="M679" s="24">
        <v>599</v>
      </c>
      <c r="N679" s="24">
        <v>63</v>
      </c>
      <c r="O679" s="24">
        <v>692</v>
      </c>
      <c r="P679" s="24">
        <v>78</v>
      </c>
      <c r="Q679" s="24">
        <v>209</v>
      </c>
      <c r="R679" s="24">
        <v>65</v>
      </c>
      <c r="S679" s="24">
        <v>548</v>
      </c>
      <c r="T679" s="24">
        <v>46</v>
      </c>
      <c r="U679" s="24">
        <v>755</v>
      </c>
      <c r="V679" s="24">
        <v>418.5</v>
      </c>
      <c r="W679" s="24">
        <v>47</v>
      </c>
      <c r="X679" s="24">
        <v>677</v>
      </c>
      <c r="Y679" s="24">
        <v>405.5</v>
      </c>
      <c r="Z679" s="24">
        <v>701</v>
      </c>
      <c r="AA679" s="24">
        <v>24</v>
      </c>
    </row>
    <row r="680" spans="1:27">
      <c r="A680" s="24" t="s">
        <v>235</v>
      </c>
      <c r="B680" s="24" t="s">
        <v>28</v>
      </c>
      <c r="C680" s="24" t="s">
        <v>236</v>
      </c>
      <c r="D680" s="24">
        <v>97</v>
      </c>
      <c r="E680" s="24">
        <v>645</v>
      </c>
      <c r="F680" s="24">
        <v>57</v>
      </c>
      <c r="G680" s="24">
        <v>744</v>
      </c>
      <c r="H680" s="24">
        <v>78</v>
      </c>
      <c r="I680" s="24">
        <v>723</v>
      </c>
      <c r="J680" s="24">
        <v>77</v>
      </c>
      <c r="K680" s="24">
        <v>274</v>
      </c>
      <c r="L680" s="24">
        <v>49</v>
      </c>
      <c r="M680" s="24">
        <v>624</v>
      </c>
      <c r="N680" s="24">
        <v>60</v>
      </c>
      <c r="O680" s="24">
        <v>748</v>
      </c>
      <c r="P680" s="24">
        <v>65</v>
      </c>
      <c r="Q680" s="24">
        <v>651</v>
      </c>
      <c r="R680" s="24">
        <v>66</v>
      </c>
      <c r="S680" s="24">
        <v>511</v>
      </c>
      <c r="T680" s="24">
        <v>61</v>
      </c>
      <c r="U680" s="24">
        <v>172</v>
      </c>
      <c r="V680" s="24">
        <v>418</v>
      </c>
      <c r="W680" s="24">
        <v>35</v>
      </c>
      <c r="X680" s="24">
        <v>679</v>
      </c>
      <c r="Y680" s="24">
        <v>399.5</v>
      </c>
      <c r="Z680" s="24">
        <v>732</v>
      </c>
      <c r="AA680" s="24">
        <v>53</v>
      </c>
    </row>
    <row r="681" spans="1:27">
      <c r="A681" s="24" t="s">
        <v>1928</v>
      </c>
      <c r="B681" s="24" t="s">
        <v>34</v>
      </c>
      <c r="C681" s="24" t="s">
        <v>1929</v>
      </c>
      <c r="D681" s="24">
        <v>109</v>
      </c>
      <c r="E681" s="24">
        <v>185</v>
      </c>
      <c r="F681" s="24">
        <v>63</v>
      </c>
      <c r="G681" s="24">
        <v>642</v>
      </c>
      <c r="H681" s="24">
        <v>72.5</v>
      </c>
      <c r="I681" s="24">
        <v>814</v>
      </c>
      <c r="J681" s="24">
        <v>65</v>
      </c>
      <c r="K681" s="24">
        <v>501</v>
      </c>
      <c r="L681" s="24">
        <v>31</v>
      </c>
      <c r="M681" s="24">
        <v>893</v>
      </c>
      <c r="N681" s="24">
        <v>77</v>
      </c>
      <c r="O681" s="24">
        <v>275</v>
      </c>
      <c r="P681" s="24">
        <v>72</v>
      </c>
      <c r="Q681" s="24">
        <v>396</v>
      </c>
      <c r="R681" s="24">
        <v>70</v>
      </c>
      <c r="S681" s="24">
        <v>327</v>
      </c>
      <c r="T681" s="24">
        <v>51</v>
      </c>
      <c r="U681" s="24">
        <v>555</v>
      </c>
      <c r="V681" s="24">
        <v>417.5</v>
      </c>
      <c r="W681" s="24">
        <v>38</v>
      </c>
      <c r="X681" s="24">
        <v>680</v>
      </c>
      <c r="Y681" s="24">
        <v>434.5</v>
      </c>
      <c r="Z681" s="24">
        <v>547</v>
      </c>
      <c r="AA681" s="24">
        <v>-133</v>
      </c>
    </row>
    <row r="682" spans="1:27">
      <c r="A682" s="24" t="s">
        <v>262</v>
      </c>
      <c r="B682" s="24" t="s">
        <v>28</v>
      </c>
      <c r="C682" s="24" t="s">
        <v>263</v>
      </c>
      <c r="D682" s="24">
        <v>100</v>
      </c>
      <c r="E682" s="24">
        <v>528</v>
      </c>
      <c r="F682" s="24">
        <v>58</v>
      </c>
      <c r="G682" s="24">
        <v>734</v>
      </c>
      <c r="H682" s="24">
        <v>96.5</v>
      </c>
      <c r="I682" s="24">
        <v>337</v>
      </c>
      <c r="J682" s="24">
        <v>49</v>
      </c>
      <c r="K682" s="24">
        <v>803</v>
      </c>
      <c r="L682" s="24">
        <v>46</v>
      </c>
      <c r="M682" s="24">
        <v>702</v>
      </c>
      <c r="N682" s="24">
        <v>68</v>
      </c>
      <c r="O682" s="24">
        <v>555</v>
      </c>
      <c r="P682" s="24">
        <v>73</v>
      </c>
      <c r="Q682" s="24">
        <v>359</v>
      </c>
      <c r="R682" s="24">
        <v>73</v>
      </c>
      <c r="S682" s="24">
        <v>216</v>
      </c>
      <c r="T682" s="24">
        <v>59</v>
      </c>
      <c r="U682" s="24">
        <v>233</v>
      </c>
      <c r="V682" s="24">
        <v>417.5</v>
      </c>
      <c r="W682" s="24">
        <v>36</v>
      </c>
      <c r="X682" s="24">
        <v>680</v>
      </c>
      <c r="Y682" s="24">
        <v>403</v>
      </c>
      <c r="Z682" s="24">
        <v>717</v>
      </c>
      <c r="AA682" s="24">
        <v>37</v>
      </c>
    </row>
    <row r="683" spans="1:27">
      <c r="A683" s="24" t="s">
        <v>336</v>
      </c>
      <c r="B683" s="24" t="s">
        <v>28</v>
      </c>
      <c r="C683" s="24" t="s">
        <v>337</v>
      </c>
      <c r="D683" s="24">
        <v>111</v>
      </c>
      <c r="E683" s="24">
        <v>136</v>
      </c>
      <c r="F683" s="24">
        <v>56</v>
      </c>
      <c r="G683" s="24">
        <v>755</v>
      </c>
      <c r="H683" s="24">
        <v>89.5</v>
      </c>
      <c r="I683" s="24">
        <v>494</v>
      </c>
      <c r="J683" s="24">
        <v>53</v>
      </c>
      <c r="K683" s="24">
        <v>739</v>
      </c>
      <c r="L683" s="24">
        <v>41</v>
      </c>
      <c r="M683" s="24">
        <v>795</v>
      </c>
      <c r="N683" s="24">
        <v>67</v>
      </c>
      <c r="O683" s="24">
        <v>587</v>
      </c>
      <c r="P683" s="24">
        <v>64</v>
      </c>
      <c r="Q683" s="24">
        <v>680</v>
      </c>
      <c r="R683" s="24">
        <v>66</v>
      </c>
      <c r="S683" s="24">
        <v>511</v>
      </c>
      <c r="T683" s="24">
        <v>54</v>
      </c>
      <c r="U683" s="24">
        <v>428</v>
      </c>
      <c r="V683" s="24">
        <v>417.5</v>
      </c>
      <c r="W683" s="24">
        <v>36</v>
      </c>
      <c r="X683" s="24">
        <v>680</v>
      </c>
      <c r="Y683" s="24">
        <v>408.5</v>
      </c>
      <c r="Z683" s="24">
        <v>690</v>
      </c>
      <c r="AA683" s="24">
        <v>10</v>
      </c>
    </row>
    <row r="684" spans="1:27">
      <c r="A684" s="24" t="s">
        <v>1210</v>
      </c>
      <c r="B684" s="24" t="s">
        <v>54</v>
      </c>
      <c r="C684" s="24" t="s">
        <v>1211</v>
      </c>
      <c r="D684" s="24">
        <v>92</v>
      </c>
      <c r="E684" s="24">
        <v>779</v>
      </c>
      <c r="F684" s="24">
        <v>74</v>
      </c>
      <c r="G684" s="24">
        <v>424</v>
      </c>
      <c r="H684" s="24">
        <v>79.5</v>
      </c>
      <c r="I684" s="24">
        <v>699</v>
      </c>
      <c r="J684" s="24">
        <v>60</v>
      </c>
      <c r="K684" s="24">
        <v>607</v>
      </c>
      <c r="L684" s="24">
        <v>57</v>
      </c>
      <c r="M684" s="24">
        <v>409</v>
      </c>
      <c r="N684" s="24">
        <v>55</v>
      </c>
      <c r="O684" s="24">
        <v>831</v>
      </c>
      <c r="P684" s="24">
        <v>50</v>
      </c>
      <c r="Q684" s="24">
        <v>911</v>
      </c>
      <c r="R684" s="24">
        <v>58</v>
      </c>
      <c r="S684" s="24">
        <v>770</v>
      </c>
      <c r="T684" s="24">
        <v>41</v>
      </c>
      <c r="U684" s="24">
        <v>866</v>
      </c>
      <c r="V684" s="24">
        <v>417.5</v>
      </c>
      <c r="W684" s="24">
        <v>42</v>
      </c>
      <c r="X684" s="24">
        <v>680</v>
      </c>
      <c r="Y684" s="24">
        <v>426.5</v>
      </c>
      <c r="Z684" s="24">
        <v>595</v>
      </c>
      <c r="AA684" s="24">
        <v>-85</v>
      </c>
    </row>
    <row r="685" spans="1:27">
      <c r="A685" s="24" t="s">
        <v>1875</v>
      </c>
      <c r="B685" s="24" t="s">
        <v>34</v>
      </c>
      <c r="C685" s="24" t="s">
        <v>1876</v>
      </c>
      <c r="D685" s="24">
        <v>110</v>
      </c>
      <c r="E685" s="24">
        <v>159</v>
      </c>
      <c r="F685" s="24">
        <v>62</v>
      </c>
      <c r="G685" s="24">
        <v>665</v>
      </c>
      <c r="H685" s="24">
        <v>88.5</v>
      </c>
      <c r="I685" s="24">
        <v>520</v>
      </c>
      <c r="J685" s="24">
        <v>62</v>
      </c>
      <c r="K685" s="24">
        <v>564</v>
      </c>
      <c r="L685" s="24">
        <v>43</v>
      </c>
      <c r="M685" s="24">
        <v>757</v>
      </c>
      <c r="N685" s="24">
        <v>52</v>
      </c>
      <c r="O685" s="24">
        <v>866</v>
      </c>
      <c r="P685" s="24">
        <v>80</v>
      </c>
      <c r="Q685" s="24">
        <v>151</v>
      </c>
      <c r="R685" s="24">
        <v>54</v>
      </c>
      <c r="S685" s="24">
        <v>855</v>
      </c>
      <c r="T685" s="24">
        <v>55</v>
      </c>
      <c r="U685" s="24">
        <v>392</v>
      </c>
      <c r="V685" s="24">
        <v>417.5</v>
      </c>
      <c r="W685" s="24">
        <v>38</v>
      </c>
      <c r="X685" s="24">
        <v>680</v>
      </c>
      <c r="Y685" s="24">
        <v>375</v>
      </c>
      <c r="Z685" s="24">
        <v>824</v>
      </c>
      <c r="AA685" s="24">
        <v>144</v>
      </c>
    </row>
    <row r="686" spans="1:27">
      <c r="A686" s="24" t="s">
        <v>1804</v>
      </c>
      <c r="B686" s="24" t="s">
        <v>34</v>
      </c>
      <c r="C686" s="24" t="s">
        <v>1805</v>
      </c>
      <c r="D686" s="24">
        <v>92</v>
      </c>
      <c r="E686" s="24">
        <v>779</v>
      </c>
      <c r="F686" s="24">
        <v>81</v>
      </c>
      <c r="G686" s="24">
        <v>309</v>
      </c>
      <c r="H686" s="24">
        <v>86</v>
      </c>
      <c r="I686" s="24">
        <v>581</v>
      </c>
      <c r="J686" s="24">
        <v>59</v>
      </c>
      <c r="K686" s="24">
        <v>626</v>
      </c>
      <c r="L686" s="24">
        <v>44</v>
      </c>
      <c r="M686" s="24">
        <v>736</v>
      </c>
      <c r="N686" s="24">
        <v>55</v>
      </c>
      <c r="O686" s="24">
        <v>831</v>
      </c>
      <c r="P686" s="24">
        <v>67</v>
      </c>
      <c r="Q686" s="24">
        <v>570</v>
      </c>
      <c r="R686" s="24">
        <v>66</v>
      </c>
      <c r="S686" s="24">
        <v>511</v>
      </c>
      <c r="T686" s="24">
        <v>42</v>
      </c>
      <c r="U686" s="24">
        <v>845</v>
      </c>
      <c r="V686" s="24">
        <v>417</v>
      </c>
      <c r="W686" s="24">
        <v>40</v>
      </c>
      <c r="X686" s="24">
        <v>685</v>
      </c>
      <c r="Y686" s="24">
        <v>402.5</v>
      </c>
      <c r="Z686" s="24">
        <v>720</v>
      </c>
      <c r="AA686" s="24">
        <v>35</v>
      </c>
    </row>
    <row r="687" spans="1:27">
      <c r="A687" s="24" t="s">
        <v>2710</v>
      </c>
      <c r="B687" s="24" t="s">
        <v>49</v>
      </c>
      <c r="C687" s="24" t="s">
        <v>2708</v>
      </c>
      <c r="D687" s="24">
        <v>101</v>
      </c>
      <c r="E687" s="24">
        <v>481</v>
      </c>
      <c r="F687" s="24">
        <v>68</v>
      </c>
      <c r="G687" s="24">
        <v>540</v>
      </c>
      <c r="H687" s="24">
        <v>71.5</v>
      </c>
      <c r="I687" s="24">
        <v>827</v>
      </c>
      <c r="J687" s="24">
        <v>70</v>
      </c>
      <c r="K687" s="24">
        <v>400</v>
      </c>
      <c r="L687" s="24">
        <v>53</v>
      </c>
      <c r="M687" s="24">
        <v>526</v>
      </c>
      <c r="N687" s="24">
        <v>53</v>
      </c>
      <c r="O687" s="24">
        <v>858</v>
      </c>
      <c r="P687" s="24">
        <v>48</v>
      </c>
      <c r="Q687" s="24">
        <v>923</v>
      </c>
      <c r="R687" s="24">
        <v>55</v>
      </c>
      <c r="S687" s="24">
        <v>835</v>
      </c>
      <c r="T687" s="24">
        <v>55</v>
      </c>
      <c r="U687" s="24">
        <v>392</v>
      </c>
      <c r="V687" s="24">
        <v>416.5</v>
      </c>
      <c r="W687" s="24">
        <v>39</v>
      </c>
      <c r="X687" s="24">
        <v>686</v>
      </c>
      <c r="Y687" s="24">
        <v>385</v>
      </c>
      <c r="Z687" s="24">
        <v>787</v>
      </c>
      <c r="AA687" s="24">
        <v>101</v>
      </c>
    </row>
    <row r="688" spans="1:27">
      <c r="A688" s="24" t="s">
        <v>949</v>
      </c>
      <c r="B688" s="24" t="s">
        <v>60</v>
      </c>
      <c r="C688" s="24" t="s">
        <v>950</v>
      </c>
      <c r="D688" s="24">
        <v>91</v>
      </c>
      <c r="E688" s="24">
        <v>799</v>
      </c>
      <c r="F688" s="24">
        <v>71</v>
      </c>
      <c r="G688" s="24">
        <v>475</v>
      </c>
      <c r="H688" s="24">
        <v>72</v>
      </c>
      <c r="I688" s="24">
        <v>822</v>
      </c>
      <c r="J688" s="24">
        <v>75</v>
      </c>
      <c r="K688" s="24">
        <v>299</v>
      </c>
      <c r="L688" s="24">
        <v>48</v>
      </c>
      <c r="M688" s="24">
        <v>649</v>
      </c>
      <c r="N688" s="24">
        <v>59</v>
      </c>
      <c r="O688" s="24">
        <v>762</v>
      </c>
      <c r="P688" s="24">
        <v>76</v>
      </c>
      <c r="Q688" s="24">
        <v>260</v>
      </c>
      <c r="R688" s="24">
        <v>57</v>
      </c>
      <c r="S688" s="24">
        <v>798</v>
      </c>
      <c r="T688" s="24">
        <v>54</v>
      </c>
      <c r="U688" s="24">
        <v>428</v>
      </c>
      <c r="V688" s="24">
        <v>416</v>
      </c>
      <c r="W688" s="24">
        <v>38</v>
      </c>
      <c r="X688" s="24">
        <v>687</v>
      </c>
      <c r="Y688" s="24">
        <v>369.5</v>
      </c>
      <c r="Z688" s="24">
        <v>843</v>
      </c>
      <c r="AA688" s="24">
        <v>156</v>
      </c>
    </row>
    <row r="689" spans="1:27">
      <c r="A689" s="24" t="s">
        <v>331</v>
      </c>
      <c r="B689" s="24" t="s">
        <v>28</v>
      </c>
      <c r="C689" s="24" t="s">
        <v>332</v>
      </c>
      <c r="D689" s="24">
        <v>100</v>
      </c>
      <c r="E689" s="24">
        <v>528</v>
      </c>
      <c r="F689" s="24">
        <v>64</v>
      </c>
      <c r="G689" s="24">
        <v>627</v>
      </c>
      <c r="H689" s="24">
        <v>62.5</v>
      </c>
      <c r="I689" s="24">
        <v>899</v>
      </c>
      <c r="J689" s="24">
        <v>61</v>
      </c>
      <c r="K689" s="24">
        <v>587</v>
      </c>
      <c r="L689" s="24">
        <v>54</v>
      </c>
      <c r="M689" s="24">
        <v>494</v>
      </c>
      <c r="N689" s="24">
        <v>74</v>
      </c>
      <c r="O689" s="24">
        <v>366</v>
      </c>
      <c r="P689" s="24">
        <v>70</v>
      </c>
      <c r="Q689" s="24">
        <v>473</v>
      </c>
      <c r="R689" s="24">
        <v>66</v>
      </c>
      <c r="S689" s="24">
        <v>511</v>
      </c>
      <c r="T689" s="24">
        <v>50</v>
      </c>
      <c r="U689" s="24">
        <v>591</v>
      </c>
      <c r="V689" s="24">
        <v>415.5</v>
      </c>
      <c r="W689" s="24">
        <v>38</v>
      </c>
      <c r="X689" s="24">
        <v>688</v>
      </c>
      <c r="Y689" s="24">
        <v>370</v>
      </c>
      <c r="Z689" s="24">
        <v>841</v>
      </c>
      <c r="AA689" s="24">
        <v>153</v>
      </c>
    </row>
    <row r="690" spans="1:27">
      <c r="A690" s="24" t="s">
        <v>2533</v>
      </c>
      <c r="B690" s="24" t="s">
        <v>131</v>
      </c>
      <c r="C690" s="24" t="s">
        <v>2534</v>
      </c>
      <c r="D690" s="24">
        <v>100</v>
      </c>
      <c r="E690" s="24">
        <v>528</v>
      </c>
      <c r="F690" s="24">
        <v>83</v>
      </c>
      <c r="G690" s="24">
        <v>267</v>
      </c>
      <c r="H690" s="24">
        <v>70.5</v>
      </c>
      <c r="I690" s="24">
        <v>835</v>
      </c>
      <c r="J690" s="24">
        <v>44</v>
      </c>
      <c r="K690" s="24">
        <v>849</v>
      </c>
      <c r="L690" s="24">
        <v>60</v>
      </c>
      <c r="M690" s="24">
        <v>322</v>
      </c>
      <c r="N690" s="24">
        <v>58</v>
      </c>
      <c r="O690" s="24">
        <v>786</v>
      </c>
      <c r="P690" s="24">
        <v>73</v>
      </c>
      <c r="Q690" s="24">
        <v>359</v>
      </c>
      <c r="R690" s="24">
        <v>63</v>
      </c>
      <c r="S690" s="24">
        <v>633</v>
      </c>
      <c r="T690" s="24">
        <v>63</v>
      </c>
      <c r="U690" s="24">
        <v>123</v>
      </c>
      <c r="V690" s="24">
        <v>415.5</v>
      </c>
      <c r="W690" s="24">
        <v>40</v>
      </c>
      <c r="X690" s="24">
        <v>688</v>
      </c>
      <c r="Y690" s="24">
        <v>401.5</v>
      </c>
      <c r="Z690" s="24">
        <v>722</v>
      </c>
      <c r="AA690" s="24">
        <v>34</v>
      </c>
    </row>
    <row r="691" spans="1:27">
      <c r="A691" s="24" t="s">
        <v>2546</v>
      </c>
      <c r="B691" s="24" t="s">
        <v>131</v>
      </c>
      <c r="C691" s="24" t="s">
        <v>2547</v>
      </c>
      <c r="D691" s="24">
        <v>98</v>
      </c>
      <c r="E691" s="24">
        <v>611</v>
      </c>
      <c r="F691" s="24">
        <v>75</v>
      </c>
      <c r="G691" s="24">
        <v>409</v>
      </c>
      <c r="H691" s="24">
        <v>97.5</v>
      </c>
      <c r="I691" s="24">
        <v>310</v>
      </c>
      <c r="J691" s="24">
        <v>54</v>
      </c>
      <c r="K691" s="24">
        <v>718</v>
      </c>
      <c r="L691" s="24">
        <v>41</v>
      </c>
      <c r="M691" s="24">
        <v>795</v>
      </c>
      <c r="N691" s="24">
        <v>50</v>
      </c>
      <c r="O691" s="24">
        <v>883</v>
      </c>
      <c r="P691" s="24">
        <v>63</v>
      </c>
      <c r="Q691" s="24">
        <v>712</v>
      </c>
      <c r="R691" s="24">
        <v>64</v>
      </c>
      <c r="S691" s="24">
        <v>586</v>
      </c>
      <c r="T691" s="24">
        <v>41</v>
      </c>
      <c r="U691" s="24">
        <v>866</v>
      </c>
      <c r="V691" s="24">
        <v>415.5</v>
      </c>
      <c r="W691" s="24">
        <v>40</v>
      </c>
      <c r="X691" s="24">
        <v>688</v>
      </c>
      <c r="Y691" s="24">
        <v>385</v>
      </c>
      <c r="Z691" s="24">
        <v>787</v>
      </c>
      <c r="AA691" s="24">
        <v>99</v>
      </c>
    </row>
    <row r="692" spans="1:27">
      <c r="A692" s="24" t="s">
        <v>599</v>
      </c>
      <c r="B692" s="24" t="s">
        <v>17</v>
      </c>
      <c r="C692" s="24" t="s">
        <v>600</v>
      </c>
      <c r="D692" s="24">
        <v>84</v>
      </c>
      <c r="E692" s="24">
        <v>891</v>
      </c>
      <c r="F692" s="24">
        <v>71</v>
      </c>
      <c r="G692" s="24">
        <v>475</v>
      </c>
      <c r="H692" s="24">
        <v>75</v>
      </c>
      <c r="I692" s="24">
        <v>777</v>
      </c>
      <c r="J692" s="24">
        <v>60</v>
      </c>
      <c r="K692" s="24">
        <v>607</v>
      </c>
      <c r="L692" s="24">
        <v>60</v>
      </c>
      <c r="M692" s="24">
        <v>322</v>
      </c>
      <c r="N692" s="24">
        <v>65</v>
      </c>
      <c r="O692" s="24">
        <v>643</v>
      </c>
      <c r="P692" s="24">
        <v>53</v>
      </c>
      <c r="Q692" s="24">
        <v>888</v>
      </c>
      <c r="R692" s="24">
        <v>55</v>
      </c>
      <c r="S692" s="24">
        <v>835</v>
      </c>
      <c r="T692" s="24">
        <v>47</v>
      </c>
      <c r="U692" s="24">
        <v>719</v>
      </c>
      <c r="V692" s="24">
        <v>415</v>
      </c>
      <c r="W692" s="24">
        <v>48</v>
      </c>
      <c r="X692" s="24">
        <v>691</v>
      </c>
      <c r="Y692" s="24">
        <v>355</v>
      </c>
      <c r="Z692" s="24">
        <v>869</v>
      </c>
      <c r="AA692" s="24">
        <v>178</v>
      </c>
    </row>
    <row r="693" spans="1:27">
      <c r="A693" s="24" t="s">
        <v>1008</v>
      </c>
      <c r="B693" s="24" t="s">
        <v>60</v>
      </c>
      <c r="C693" s="24" t="s">
        <v>1009</v>
      </c>
      <c r="D693" s="24">
        <v>109</v>
      </c>
      <c r="E693" s="24">
        <v>185</v>
      </c>
      <c r="F693" s="24">
        <v>71</v>
      </c>
      <c r="G693" s="24">
        <v>475</v>
      </c>
      <c r="H693" s="24">
        <v>106</v>
      </c>
      <c r="I693" s="24">
        <v>162</v>
      </c>
      <c r="J693" s="24">
        <v>36</v>
      </c>
      <c r="K693" s="24">
        <v>905</v>
      </c>
      <c r="L693" s="24">
        <v>31</v>
      </c>
      <c r="M693" s="24">
        <v>893</v>
      </c>
      <c r="N693" s="24">
        <v>62</v>
      </c>
      <c r="O693" s="24">
        <v>716</v>
      </c>
      <c r="P693" s="24">
        <v>72</v>
      </c>
      <c r="Q693" s="24">
        <v>396</v>
      </c>
      <c r="R693" s="24">
        <v>64</v>
      </c>
      <c r="S693" s="24">
        <v>586</v>
      </c>
      <c r="T693" s="24">
        <v>57</v>
      </c>
      <c r="U693" s="24">
        <v>306</v>
      </c>
      <c r="V693" s="24">
        <v>415</v>
      </c>
      <c r="W693" s="24">
        <v>39</v>
      </c>
      <c r="X693" s="24">
        <v>691</v>
      </c>
      <c r="Y693" s="24">
        <v>388.5</v>
      </c>
      <c r="Z693" s="24">
        <v>770</v>
      </c>
      <c r="AA693" s="24">
        <v>79</v>
      </c>
    </row>
    <row r="694" spans="1:27">
      <c r="A694" s="24" t="s">
        <v>2080</v>
      </c>
      <c r="B694" s="24" t="s">
        <v>109</v>
      </c>
      <c r="C694" s="24" t="s">
        <v>2081</v>
      </c>
      <c r="D694" s="24">
        <v>90</v>
      </c>
      <c r="E694" s="24">
        <v>815</v>
      </c>
      <c r="F694" s="24">
        <v>68</v>
      </c>
      <c r="G694" s="24">
        <v>540</v>
      </c>
      <c r="H694" s="24">
        <v>87</v>
      </c>
      <c r="I694" s="24">
        <v>554</v>
      </c>
      <c r="J694" s="24">
        <v>74</v>
      </c>
      <c r="K694" s="24">
        <v>317</v>
      </c>
      <c r="L694" s="24">
        <v>36</v>
      </c>
      <c r="M694" s="24">
        <v>856</v>
      </c>
      <c r="N694" s="24">
        <v>60</v>
      </c>
      <c r="O694" s="24">
        <v>748</v>
      </c>
      <c r="P694" s="24">
        <v>52</v>
      </c>
      <c r="Q694" s="24">
        <v>897</v>
      </c>
      <c r="R694" s="24">
        <v>54</v>
      </c>
      <c r="S694" s="24">
        <v>855</v>
      </c>
      <c r="T694" s="24">
        <v>50</v>
      </c>
      <c r="U694" s="24">
        <v>591</v>
      </c>
      <c r="V694" s="24">
        <v>415</v>
      </c>
      <c r="W694" s="24">
        <v>39</v>
      </c>
      <c r="X694" s="24">
        <v>691</v>
      </c>
      <c r="Y694" s="24">
        <v>446.5</v>
      </c>
      <c r="Z694" s="24">
        <v>485</v>
      </c>
      <c r="AA694" s="24">
        <v>-206</v>
      </c>
    </row>
    <row r="695" spans="1:27">
      <c r="A695" s="24" t="s">
        <v>2349</v>
      </c>
      <c r="B695" s="24" t="s">
        <v>7</v>
      </c>
      <c r="C695" s="24" t="s">
        <v>2359</v>
      </c>
      <c r="D695" s="24">
        <v>89</v>
      </c>
      <c r="E695" s="24">
        <v>835</v>
      </c>
      <c r="F695" s="24">
        <v>64</v>
      </c>
      <c r="G695" s="24">
        <v>627</v>
      </c>
      <c r="H695" s="24">
        <v>83.5</v>
      </c>
      <c r="I695" s="24">
        <v>633</v>
      </c>
      <c r="J695" s="24">
        <v>59</v>
      </c>
      <c r="K695" s="24">
        <v>626</v>
      </c>
      <c r="L695" s="24">
        <v>40</v>
      </c>
      <c r="M695" s="24">
        <v>811</v>
      </c>
      <c r="N695" s="24">
        <v>79</v>
      </c>
      <c r="O695" s="24">
        <v>229</v>
      </c>
      <c r="P695" s="24">
        <v>75</v>
      </c>
      <c r="Q695" s="24">
        <v>289</v>
      </c>
      <c r="R695" s="24">
        <v>54</v>
      </c>
      <c r="S695" s="24">
        <v>855</v>
      </c>
      <c r="T695" s="24">
        <v>51</v>
      </c>
      <c r="U695" s="24">
        <v>555</v>
      </c>
      <c r="V695" s="24">
        <v>414.5</v>
      </c>
      <c r="W695" s="24">
        <v>38</v>
      </c>
      <c r="X695" s="24">
        <v>694</v>
      </c>
      <c r="Y695" s="24">
        <v>424</v>
      </c>
      <c r="Z695" s="24">
        <v>612</v>
      </c>
      <c r="AA695" s="24">
        <v>-82</v>
      </c>
    </row>
    <row r="696" spans="1:27">
      <c r="A696" s="24" t="s">
        <v>296</v>
      </c>
      <c r="B696" s="24" t="s">
        <v>28</v>
      </c>
      <c r="C696" s="24" t="s">
        <v>297</v>
      </c>
      <c r="D696" s="24">
        <v>79</v>
      </c>
      <c r="E696" s="24">
        <v>915</v>
      </c>
      <c r="F696" s="24">
        <v>67</v>
      </c>
      <c r="G696" s="24">
        <v>565</v>
      </c>
      <c r="H696" s="24">
        <v>69.5</v>
      </c>
      <c r="I696" s="24">
        <v>848</v>
      </c>
      <c r="J696" s="24">
        <v>70</v>
      </c>
      <c r="K696" s="24">
        <v>400</v>
      </c>
      <c r="L696" s="24">
        <v>58</v>
      </c>
      <c r="M696" s="24">
        <v>377</v>
      </c>
      <c r="N696" s="24">
        <v>71</v>
      </c>
      <c r="O696" s="24">
        <v>462</v>
      </c>
      <c r="P696" s="24">
        <v>60</v>
      </c>
      <c r="Q696" s="24">
        <v>777</v>
      </c>
      <c r="R696" s="24">
        <v>75</v>
      </c>
      <c r="S696" s="24">
        <v>146</v>
      </c>
      <c r="T696" s="24">
        <v>51</v>
      </c>
      <c r="U696" s="24">
        <v>555</v>
      </c>
      <c r="V696" s="24">
        <v>414.5</v>
      </c>
      <c r="W696" s="24">
        <v>39</v>
      </c>
      <c r="X696" s="24">
        <v>694</v>
      </c>
      <c r="Y696" s="24">
        <v>422.5</v>
      </c>
      <c r="Z696" s="24">
        <v>624</v>
      </c>
      <c r="AA696" s="24">
        <v>-70</v>
      </c>
    </row>
    <row r="697" spans="1:27">
      <c r="A697" s="24" t="s">
        <v>1017</v>
      </c>
      <c r="B697" s="24" t="s">
        <v>60</v>
      </c>
      <c r="C697" s="24" t="s">
        <v>1018</v>
      </c>
      <c r="D697" s="24">
        <v>101</v>
      </c>
      <c r="E697" s="24">
        <v>481</v>
      </c>
      <c r="F697" s="24">
        <v>60</v>
      </c>
      <c r="G697" s="24">
        <v>696</v>
      </c>
      <c r="H697" s="24">
        <v>65.5</v>
      </c>
      <c r="I697" s="24">
        <v>879</v>
      </c>
      <c r="J697" s="24">
        <v>61</v>
      </c>
      <c r="K697" s="24">
        <v>587</v>
      </c>
      <c r="L697" s="24">
        <v>59</v>
      </c>
      <c r="M697" s="24">
        <v>348</v>
      </c>
      <c r="N697" s="24">
        <v>68</v>
      </c>
      <c r="O697" s="24">
        <v>555</v>
      </c>
      <c r="P697" s="24">
        <v>74</v>
      </c>
      <c r="Q697" s="24">
        <v>326</v>
      </c>
      <c r="R697" s="24">
        <v>49</v>
      </c>
      <c r="S697" s="24">
        <v>904</v>
      </c>
      <c r="T697" s="24">
        <v>49</v>
      </c>
      <c r="U697" s="24">
        <v>633</v>
      </c>
      <c r="V697" s="24">
        <v>414.5</v>
      </c>
      <c r="W697" s="24">
        <v>40</v>
      </c>
      <c r="X697" s="24">
        <v>694</v>
      </c>
      <c r="Y697" s="24">
        <v>398.5</v>
      </c>
      <c r="Z697" s="24">
        <v>737</v>
      </c>
      <c r="AA697" s="24">
        <v>43</v>
      </c>
    </row>
    <row r="698" spans="1:27">
      <c r="A698" s="24" t="s">
        <v>2465</v>
      </c>
      <c r="B698" s="24" t="s">
        <v>131</v>
      </c>
      <c r="C698" s="24" t="s">
        <v>2466</v>
      </c>
      <c r="D698" s="24">
        <v>86</v>
      </c>
      <c r="E698" s="24">
        <v>867</v>
      </c>
      <c r="F698" s="24">
        <v>75</v>
      </c>
      <c r="G698" s="24">
        <v>409</v>
      </c>
      <c r="H698" s="24">
        <v>84.5</v>
      </c>
      <c r="I698" s="24">
        <v>607</v>
      </c>
      <c r="J698" s="24">
        <v>60</v>
      </c>
      <c r="K698" s="24">
        <v>607</v>
      </c>
      <c r="L698" s="24">
        <v>44</v>
      </c>
      <c r="M698" s="24">
        <v>736</v>
      </c>
      <c r="N698" s="24">
        <v>65</v>
      </c>
      <c r="O698" s="24">
        <v>643</v>
      </c>
      <c r="P698" s="24">
        <v>73</v>
      </c>
      <c r="Q698" s="24">
        <v>359</v>
      </c>
      <c r="R698" s="24">
        <v>61</v>
      </c>
      <c r="S698" s="24">
        <v>703</v>
      </c>
      <c r="T698" s="24">
        <v>60</v>
      </c>
      <c r="U698" s="24">
        <v>203</v>
      </c>
      <c r="V698" s="24">
        <v>414.5</v>
      </c>
      <c r="W698" s="24">
        <v>42</v>
      </c>
      <c r="X698" s="24">
        <v>694</v>
      </c>
      <c r="Y698" s="24">
        <v>441.5</v>
      </c>
      <c r="Z698" s="24">
        <v>520</v>
      </c>
      <c r="AA698" s="24">
        <v>-174</v>
      </c>
    </row>
    <row r="699" spans="1:27">
      <c r="A699" s="24" t="s">
        <v>2411</v>
      </c>
      <c r="B699" s="24" t="s">
        <v>7</v>
      </c>
      <c r="C699" s="24" t="s">
        <v>2418</v>
      </c>
      <c r="D699" s="24">
        <v>101</v>
      </c>
      <c r="E699" s="24">
        <v>481</v>
      </c>
      <c r="F699" s="24">
        <v>55</v>
      </c>
      <c r="G699" s="24">
        <v>766</v>
      </c>
      <c r="H699" s="24">
        <v>100.5</v>
      </c>
      <c r="I699" s="24">
        <v>247</v>
      </c>
      <c r="J699" s="24">
        <v>54</v>
      </c>
      <c r="K699" s="24">
        <v>718</v>
      </c>
      <c r="L699" s="24">
        <v>39</v>
      </c>
      <c r="M699" s="24">
        <v>825</v>
      </c>
      <c r="N699" s="24">
        <v>65</v>
      </c>
      <c r="O699" s="24">
        <v>643</v>
      </c>
      <c r="P699" s="24">
        <v>72</v>
      </c>
      <c r="Q699" s="24">
        <v>396</v>
      </c>
      <c r="R699" s="24">
        <v>48</v>
      </c>
      <c r="S699" s="24">
        <v>912</v>
      </c>
      <c r="T699" s="24">
        <v>43</v>
      </c>
      <c r="U699" s="24">
        <v>824</v>
      </c>
      <c r="V699" s="24">
        <v>414.5</v>
      </c>
      <c r="W699" s="24">
        <v>38</v>
      </c>
      <c r="X699" s="24">
        <v>694</v>
      </c>
      <c r="Y699" s="24">
        <v>423</v>
      </c>
      <c r="Z699" s="24">
        <v>618</v>
      </c>
      <c r="AA699" s="24">
        <v>-76</v>
      </c>
    </row>
    <row r="700" spans="1:27">
      <c r="A700" s="24" t="s">
        <v>2885</v>
      </c>
      <c r="B700" s="24" t="s">
        <v>38</v>
      </c>
      <c r="C700" s="24" t="s">
        <v>2886</v>
      </c>
      <c r="D700" s="24">
        <v>97</v>
      </c>
      <c r="E700" s="24">
        <v>645</v>
      </c>
      <c r="F700" s="24">
        <v>49</v>
      </c>
      <c r="G700" s="24">
        <v>839</v>
      </c>
      <c r="H700" s="24">
        <v>101.5</v>
      </c>
      <c r="I700" s="24">
        <v>225</v>
      </c>
      <c r="J700" s="24">
        <v>63</v>
      </c>
      <c r="K700" s="24">
        <v>540</v>
      </c>
      <c r="L700" s="24">
        <v>41</v>
      </c>
      <c r="M700" s="24">
        <v>795</v>
      </c>
      <c r="N700" s="24">
        <v>63</v>
      </c>
      <c r="O700" s="24">
        <v>692</v>
      </c>
      <c r="P700" s="24">
        <v>62</v>
      </c>
      <c r="Q700" s="24">
        <v>729</v>
      </c>
      <c r="R700" s="24">
        <v>58</v>
      </c>
      <c r="S700" s="24">
        <v>770</v>
      </c>
      <c r="T700" s="24">
        <v>46</v>
      </c>
      <c r="U700" s="24">
        <v>755</v>
      </c>
      <c r="V700" s="24">
        <v>414.5</v>
      </c>
      <c r="W700" s="24">
        <v>39</v>
      </c>
      <c r="X700" s="24">
        <v>694</v>
      </c>
      <c r="Y700" s="24">
        <v>401.5</v>
      </c>
      <c r="Z700" s="24">
        <v>722</v>
      </c>
      <c r="AA700" s="24">
        <v>28</v>
      </c>
    </row>
    <row r="701" spans="1:27">
      <c r="A701" s="24" t="s">
        <v>1870</v>
      </c>
      <c r="B701" s="24" t="s">
        <v>34</v>
      </c>
      <c r="C701" s="24" t="s">
        <v>1680</v>
      </c>
      <c r="D701" s="24">
        <v>110</v>
      </c>
      <c r="E701" s="24">
        <v>159</v>
      </c>
      <c r="F701" s="24">
        <v>72</v>
      </c>
      <c r="G701" s="24">
        <v>458</v>
      </c>
      <c r="H701" s="24">
        <v>75.5</v>
      </c>
      <c r="I701" s="24">
        <v>764</v>
      </c>
      <c r="J701" s="24">
        <v>54</v>
      </c>
      <c r="K701" s="24">
        <v>718</v>
      </c>
      <c r="L701" s="24">
        <v>50</v>
      </c>
      <c r="M701" s="24">
        <v>599</v>
      </c>
      <c r="N701" s="24">
        <v>53</v>
      </c>
      <c r="O701" s="24">
        <v>858</v>
      </c>
      <c r="P701" s="24">
        <v>86</v>
      </c>
      <c r="Q701" s="24">
        <v>34</v>
      </c>
      <c r="R701" s="24">
        <v>68</v>
      </c>
      <c r="S701" s="24">
        <v>412</v>
      </c>
      <c r="T701" s="24">
        <v>61</v>
      </c>
      <c r="U701" s="24">
        <v>172</v>
      </c>
      <c r="V701" s="24">
        <v>414.5</v>
      </c>
      <c r="W701" s="24">
        <v>41</v>
      </c>
      <c r="X701" s="24">
        <v>694</v>
      </c>
      <c r="Y701" s="24">
        <v>397.5</v>
      </c>
      <c r="Z701" s="24">
        <v>743</v>
      </c>
      <c r="AA701" s="24">
        <v>49</v>
      </c>
    </row>
    <row r="702" spans="1:27">
      <c r="A702" s="24" t="s">
        <v>2876</v>
      </c>
      <c r="B702" s="24" t="s">
        <v>38</v>
      </c>
      <c r="C702" s="24" t="s">
        <v>2877</v>
      </c>
      <c r="D702" s="24">
        <v>98</v>
      </c>
      <c r="E702" s="24">
        <v>611</v>
      </c>
      <c r="F702" s="24">
        <v>71</v>
      </c>
      <c r="G702" s="24">
        <v>475</v>
      </c>
      <c r="H702" s="24">
        <v>83</v>
      </c>
      <c r="I702" s="24">
        <v>643</v>
      </c>
      <c r="J702" s="24">
        <v>52</v>
      </c>
      <c r="K702" s="24">
        <v>757</v>
      </c>
      <c r="L702" s="24">
        <v>53</v>
      </c>
      <c r="M702" s="24">
        <v>526</v>
      </c>
      <c r="N702" s="24">
        <v>57</v>
      </c>
      <c r="O702" s="24">
        <v>801</v>
      </c>
      <c r="P702" s="24">
        <v>59</v>
      </c>
      <c r="Q702" s="24">
        <v>799</v>
      </c>
      <c r="R702" s="24">
        <v>63</v>
      </c>
      <c r="S702" s="24">
        <v>633</v>
      </c>
      <c r="T702" s="24">
        <v>59</v>
      </c>
      <c r="U702" s="24">
        <v>233</v>
      </c>
      <c r="V702" s="24">
        <v>414</v>
      </c>
      <c r="W702" s="24">
        <v>40</v>
      </c>
      <c r="X702" s="24">
        <v>701</v>
      </c>
      <c r="Y702" s="24">
        <v>386</v>
      </c>
      <c r="Z702" s="24">
        <v>782</v>
      </c>
      <c r="AA702" s="24">
        <v>81</v>
      </c>
    </row>
    <row r="703" spans="1:27">
      <c r="A703" s="24" t="s">
        <v>1396</v>
      </c>
      <c r="B703" s="24" t="s">
        <v>56</v>
      </c>
      <c r="C703" s="24" t="s">
        <v>1397</v>
      </c>
      <c r="D703" s="24">
        <v>101</v>
      </c>
      <c r="E703" s="24">
        <v>481</v>
      </c>
      <c r="F703" s="24">
        <v>53</v>
      </c>
      <c r="G703" s="24">
        <v>792</v>
      </c>
      <c r="H703" s="24">
        <v>86.5</v>
      </c>
      <c r="I703" s="24">
        <v>566</v>
      </c>
      <c r="J703" s="24">
        <v>51</v>
      </c>
      <c r="K703" s="24">
        <v>771</v>
      </c>
      <c r="L703" s="24">
        <v>55</v>
      </c>
      <c r="M703" s="24">
        <v>470</v>
      </c>
      <c r="N703" s="24">
        <v>67</v>
      </c>
      <c r="O703" s="24">
        <v>587</v>
      </c>
      <c r="P703" s="24">
        <v>88</v>
      </c>
      <c r="Q703" s="24">
        <v>15</v>
      </c>
      <c r="R703" s="24">
        <v>78</v>
      </c>
      <c r="S703" s="24">
        <v>86</v>
      </c>
      <c r="T703" s="24">
        <v>47</v>
      </c>
      <c r="U703" s="24">
        <v>719</v>
      </c>
      <c r="V703" s="24">
        <v>413.5</v>
      </c>
      <c r="W703" s="24">
        <v>38</v>
      </c>
      <c r="X703" s="24">
        <v>702</v>
      </c>
      <c r="Y703" s="24">
        <v>399.5</v>
      </c>
      <c r="Z703" s="24">
        <v>732</v>
      </c>
      <c r="AA703" s="24">
        <v>30</v>
      </c>
    </row>
    <row r="704" spans="1:27">
      <c r="A704" s="24" t="s">
        <v>2391</v>
      </c>
      <c r="B704" s="24" t="s">
        <v>7</v>
      </c>
      <c r="C704" s="24" t="s">
        <v>1754</v>
      </c>
      <c r="D704" s="24">
        <v>111</v>
      </c>
      <c r="E704" s="24">
        <v>136</v>
      </c>
      <c r="F704" s="24">
        <v>65</v>
      </c>
      <c r="G704" s="24">
        <v>604</v>
      </c>
      <c r="H704" s="24">
        <v>71.5</v>
      </c>
      <c r="I704" s="24">
        <v>827</v>
      </c>
      <c r="J704" s="24">
        <v>51</v>
      </c>
      <c r="K704" s="24">
        <v>771</v>
      </c>
      <c r="L704" s="24">
        <v>48</v>
      </c>
      <c r="M704" s="24">
        <v>649</v>
      </c>
      <c r="N704" s="24">
        <v>67</v>
      </c>
      <c r="O704" s="24">
        <v>587</v>
      </c>
      <c r="P704" s="24">
        <v>79</v>
      </c>
      <c r="Q704" s="24">
        <v>175</v>
      </c>
      <c r="R704" s="24">
        <v>70</v>
      </c>
      <c r="S704" s="24">
        <v>327</v>
      </c>
      <c r="T704" s="24">
        <v>63</v>
      </c>
      <c r="U704" s="24">
        <v>123</v>
      </c>
      <c r="V704" s="24">
        <v>413.5</v>
      </c>
      <c r="W704" s="24">
        <v>40</v>
      </c>
      <c r="X704" s="24">
        <v>702</v>
      </c>
      <c r="Y704" s="24">
        <v>449.5</v>
      </c>
      <c r="Z704" s="24">
        <v>468</v>
      </c>
      <c r="AA704" s="24">
        <v>-234</v>
      </c>
    </row>
    <row r="705" spans="1:27">
      <c r="A705" s="24" t="s">
        <v>1062</v>
      </c>
      <c r="B705" s="24" t="s">
        <v>68</v>
      </c>
      <c r="C705" s="24" t="s">
        <v>1063</v>
      </c>
      <c r="D705" s="24">
        <v>98</v>
      </c>
      <c r="E705" s="24">
        <v>611</v>
      </c>
      <c r="F705" s="24">
        <v>66</v>
      </c>
      <c r="G705" s="24">
        <v>584</v>
      </c>
      <c r="H705" s="24">
        <v>64</v>
      </c>
      <c r="I705" s="24">
        <v>887</v>
      </c>
      <c r="J705" s="24">
        <v>60</v>
      </c>
      <c r="K705" s="24">
        <v>607</v>
      </c>
      <c r="L705" s="24">
        <v>61</v>
      </c>
      <c r="M705" s="24">
        <v>300</v>
      </c>
      <c r="N705" s="24">
        <v>64</v>
      </c>
      <c r="O705" s="24">
        <v>667</v>
      </c>
      <c r="P705" s="24">
        <v>64</v>
      </c>
      <c r="Q705" s="24">
        <v>680</v>
      </c>
      <c r="R705" s="24">
        <v>62</v>
      </c>
      <c r="S705" s="24">
        <v>672</v>
      </c>
      <c r="T705" s="24">
        <v>48</v>
      </c>
      <c r="U705" s="24">
        <v>671</v>
      </c>
      <c r="V705" s="24">
        <v>413</v>
      </c>
      <c r="W705" s="24">
        <v>39</v>
      </c>
      <c r="X705" s="24">
        <v>704</v>
      </c>
      <c r="Y705" s="24">
        <v>391.5</v>
      </c>
      <c r="Z705" s="24">
        <v>763</v>
      </c>
      <c r="AA705" s="24">
        <v>59</v>
      </c>
    </row>
    <row r="706" spans="1:27">
      <c r="A706" s="24" t="s">
        <v>1089</v>
      </c>
      <c r="B706" s="24" t="s">
        <v>68</v>
      </c>
      <c r="C706" s="24" t="s">
        <v>1090</v>
      </c>
      <c r="D706" s="24">
        <v>100</v>
      </c>
      <c r="E706" s="24">
        <v>528</v>
      </c>
      <c r="F706" s="24">
        <v>60</v>
      </c>
      <c r="G706" s="24">
        <v>696</v>
      </c>
      <c r="H706" s="24">
        <v>71</v>
      </c>
      <c r="I706" s="24">
        <v>830</v>
      </c>
      <c r="J706" s="24">
        <v>66</v>
      </c>
      <c r="K706" s="24">
        <v>484</v>
      </c>
      <c r="L706" s="24">
        <v>53</v>
      </c>
      <c r="M706" s="24">
        <v>526</v>
      </c>
      <c r="N706" s="24">
        <v>63</v>
      </c>
      <c r="O706" s="24">
        <v>692</v>
      </c>
      <c r="P706" s="24">
        <v>67</v>
      </c>
      <c r="Q706" s="24">
        <v>570</v>
      </c>
      <c r="R706" s="24">
        <v>52</v>
      </c>
      <c r="S706" s="24">
        <v>879</v>
      </c>
      <c r="T706" s="24">
        <v>52</v>
      </c>
      <c r="U706" s="24">
        <v>509</v>
      </c>
      <c r="V706" s="24">
        <v>413</v>
      </c>
      <c r="W706" s="24">
        <v>39</v>
      </c>
      <c r="X706" s="24">
        <v>704</v>
      </c>
      <c r="Y706" s="24">
        <v>376</v>
      </c>
      <c r="Z706" s="24">
        <v>818</v>
      </c>
      <c r="AA706" s="24">
        <v>114</v>
      </c>
    </row>
    <row r="707" spans="1:27">
      <c r="A707" s="24" t="s">
        <v>2568</v>
      </c>
      <c r="B707" s="24" t="s">
        <v>131</v>
      </c>
      <c r="C707" s="24" t="s">
        <v>2569</v>
      </c>
      <c r="D707" s="24">
        <v>104</v>
      </c>
      <c r="E707" s="24">
        <v>357</v>
      </c>
      <c r="F707" s="24">
        <v>56</v>
      </c>
      <c r="G707" s="24">
        <v>755</v>
      </c>
      <c r="H707" s="24">
        <v>94</v>
      </c>
      <c r="I707" s="24">
        <v>382</v>
      </c>
      <c r="J707" s="24">
        <v>58</v>
      </c>
      <c r="K707" s="24">
        <v>649</v>
      </c>
      <c r="L707" s="24">
        <v>44</v>
      </c>
      <c r="M707" s="24">
        <v>736</v>
      </c>
      <c r="N707" s="24">
        <v>57</v>
      </c>
      <c r="O707" s="24">
        <v>801</v>
      </c>
      <c r="P707" s="24">
        <v>79</v>
      </c>
      <c r="Q707" s="24">
        <v>175</v>
      </c>
      <c r="R707" s="24">
        <v>75</v>
      </c>
      <c r="S707" s="24">
        <v>146</v>
      </c>
      <c r="T707" s="24">
        <v>53</v>
      </c>
      <c r="U707" s="24">
        <v>470</v>
      </c>
      <c r="V707" s="24">
        <v>413</v>
      </c>
      <c r="W707" s="24">
        <v>43</v>
      </c>
      <c r="X707" s="24">
        <v>704</v>
      </c>
      <c r="Y707" s="24">
        <v>400.5</v>
      </c>
      <c r="Z707" s="24">
        <v>726</v>
      </c>
      <c r="AA707" s="24">
        <v>22</v>
      </c>
    </row>
    <row r="708" spans="1:27">
      <c r="A708" s="24" t="s">
        <v>220</v>
      </c>
      <c r="B708" s="24" t="s">
        <v>28</v>
      </c>
      <c r="C708" s="24" t="s">
        <v>221</v>
      </c>
      <c r="D708" s="24">
        <v>86</v>
      </c>
      <c r="E708" s="24">
        <v>867</v>
      </c>
      <c r="F708" s="24">
        <v>54</v>
      </c>
      <c r="G708" s="24">
        <v>782</v>
      </c>
      <c r="H708" s="24">
        <v>99</v>
      </c>
      <c r="I708" s="24">
        <v>277</v>
      </c>
      <c r="J708" s="24">
        <v>57</v>
      </c>
      <c r="K708" s="24">
        <v>665</v>
      </c>
      <c r="L708" s="24">
        <v>62</v>
      </c>
      <c r="M708" s="24">
        <v>277</v>
      </c>
      <c r="N708" s="24">
        <v>55</v>
      </c>
      <c r="O708" s="24">
        <v>831</v>
      </c>
      <c r="P708" s="24">
        <v>66</v>
      </c>
      <c r="Q708" s="24">
        <v>604</v>
      </c>
      <c r="R708" s="24">
        <v>65</v>
      </c>
      <c r="S708" s="24">
        <v>548</v>
      </c>
      <c r="T708" s="24">
        <v>57</v>
      </c>
      <c r="U708" s="24">
        <v>306</v>
      </c>
      <c r="V708" s="24">
        <v>413</v>
      </c>
      <c r="W708" s="24">
        <v>40</v>
      </c>
      <c r="X708" s="24">
        <v>704</v>
      </c>
      <c r="Y708" s="24">
        <v>356.5</v>
      </c>
      <c r="Z708" s="24">
        <v>864</v>
      </c>
      <c r="AA708" s="24">
        <v>160</v>
      </c>
    </row>
    <row r="709" spans="1:27">
      <c r="A709" s="24" t="s">
        <v>450</v>
      </c>
      <c r="B709" s="24" t="s">
        <v>19</v>
      </c>
      <c r="C709" s="24" t="s">
        <v>453</v>
      </c>
      <c r="D709" s="24">
        <v>89</v>
      </c>
      <c r="E709" s="24">
        <v>835</v>
      </c>
      <c r="F709" s="24">
        <v>65</v>
      </c>
      <c r="G709" s="24">
        <v>604</v>
      </c>
      <c r="H709" s="24">
        <v>95.5</v>
      </c>
      <c r="I709" s="24">
        <v>357</v>
      </c>
      <c r="J709" s="24">
        <v>62</v>
      </c>
      <c r="K709" s="24">
        <v>564</v>
      </c>
      <c r="L709" s="24">
        <v>43</v>
      </c>
      <c r="M709" s="24">
        <v>757</v>
      </c>
      <c r="N709" s="24">
        <v>58</v>
      </c>
      <c r="O709" s="24">
        <v>786</v>
      </c>
      <c r="P709" s="24">
        <v>72</v>
      </c>
      <c r="Q709" s="24">
        <v>396</v>
      </c>
      <c r="R709" s="24">
        <v>61</v>
      </c>
      <c r="S709" s="24">
        <v>703</v>
      </c>
      <c r="T709" s="24">
        <v>52</v>
      </c>
      <c r="U709" s="24">
        <v>509</v>
      </c>
      <c r="V709" s="24">
        <v>412.5</v>
      </c>
      <c r="W709" s="24">
        <v>37</v>
      </c>
      <c r="X709" s="24">
        <v>708</v>
      </c>
      <c r="Y709" s="24">
        <v>433</v>
      </c>
      <c r="Z709" s="24">
        <v>562</v>
      </c>
      <c r="AA709" s="24">
        <v>-146</v>
      </c>
    </row>
    <row r="710" spans="1:27">
      <c r="A710" s="24" t="s">
        <v>1107</v>
      </c>
      <c r="B710" s="24" t="s">
        <v>68</v>
      </c>
      <c r="C710" s="24" t="s">
        <v>1108</v>
      </c>
      <c r="D710" s="24">
        <v>107</v>
      </c>
      <c r="E710" s="24">
        <v>242</v>
      </c>
      <c r="F710" s="24">
        <v>55</v>
      </c>
      <c r="G710" s="24">
        <v>766</v>
      </c>
      <c r="H710" s="24">
        <v>79.5</v>
      </c>
      <c r="I710" s="24">
        <v>699</v>
      </c>
      <c r="J710" s="24">
        <v>74</v>
      </c>
      <c r="K710" s="24">
        <v>317</v>
      </c>
      <c r="L710" s="24">
        <v>51</v>
      </c>
      <c r="M710" s="24">
        <v>571</v>
      </c>
      <c r="N710" s="24">
        <v>46</v>
      </c>
      <c r="O710" s="24">
        <v>901</v>
      </c>
      <c r="P710" s="24">
        <v>68</v>
      </c>
      <c r="Q710" s="24">
        <v>541</v>
      </c>
      <c r="R710" s="24">
        <v>57</v>
      </c>
      <c r="S710" s="24">
        <v>798</v>
      </c>
      <c r="T710" s="24">
        <v>43</v>
      </c>
      <c r="U710" s="24">
        <v>824</v>
      </c>
      <c r="V710" s="24">
        <v>412.5</v>
      </c>
      <c r="W710" s="24">
        <v>41</v>
      </c>
      <c r="X710" s="24">
        <v>708</v>
      </c>
      <c r="Y710" s="24">
        <v>361.5</v>
      </c>
      <c r="Z710" s="24">
        <v>858</v>
      </c>
      <c r="AA710" s="24">
        <v>150</v>
      </c>
    </row>
    <row r="711" spans="1:27">
      <c r="A711" s="24" t="s">
        <v>1188</v>
      </c>
      <c r="B711" s="24" t="s">
        <v>68</v>
      </c>
      <c r="C711" s="24" t="s">
        <v>1189</v>
      </c>
      <c r="D711" s="24">
        <v>98</v>
      </c>
      <c r="E711" s="24">
        <v>611</v>
      </c>
      <c r="F711" s="24">
        <v>40</v>
      </c>
      <c r="G711" s="24">
        <v>897</v>
      </c>
      <c r="H711" s="24">
        <v>92</v>
      </c>
      <c r="I711" s="24">
        <v>426</v>
      </c>
      <c r="J711" s="24">
        <v>49</v>
      </c>
      <c r="K711" s="24">
        <v>803</v>
      </c>
      <c r="L711" s="24">
        <v>57</v>
      </c>
      <c r="M711" s="24">
        <v>409</v>
      </c>
      <c r="N711" s="24">
        <v>76</v>
      </c>
      <c r="O711" s="24">
        <v>308</v>
      </c>
      <c r="P711" s="24">
        <v>76</v>
      </c>
      <c r="Q711" s="24">
        <v>260</v>
      </c>
      <c r="R711" s="24">
        <v>67</v>
      </c>
      <c r="S711" s="24">
        <v>471</v>
      </c>
      <c r="T711" s="24">
        <v>53</v>
      </c>
      <c r="U711" s="24">
        <v>470</v>
      </c>
      <c r="V711" s="24">
        <v>412</v>
      </c>
      <c r="W711" s="24">
        <v>42</v>
      </c>
      <c r="X711" s="24">
        <v>710</v>
      </c>
      <c r="Y711" s="24">
        <v>446</v>
      </c>
      <c r="Z711" s="24">
        <v>491</v>
      </c>
      <c r="AA711" s="24">
        <v>-219</v>
      </c>
    </row>
    <row r="712" spans="1:27">
      <c r="A712" s="24" t="s">
        <v>1050</v>
      </c>
      <c r="B712" s="24" t="s">
        <v>68</v>
      </c>
      <c r="C712" s="24" t="s">
        <v>1051</v>
      </c>
      <c r="D712" s="24">
        <v>107</v>
      </c>
      <c r="E712" s="24">
        <v>242</v>
      </c>
      <c r="F712" s="24">
        <v>65</v>
      </c>
      <c r="G712" s="24">
        <v>604</v>
      </c>
      <c r="H712" s="24">
        <v>75</v>
      </c>
      <c r="I712" s="24">
        <v>777</v>
      </c>
      <c r="J712" s="24">
        <v>54</v>
      </c>
      <c r="K712" s="24">
        <v>718</v>
      </c>
      <c r="L712" s="24">
        <v>50</v>
      </c>
      <c r="M712" s="24">
        <v>599</v>
      </c>
      <c r="N712" s="24">
        <v>61</v>
      </c>
      <c r="O712" s="24">
        <v>734</v>
      </c>
      <c r="P712" s="24">
        <v>66</v>
      </c>
      <c r="Q712" s="24">
        <v>604</v>
      </c>
      <c r="R712" s="24">
        <v>61</v>
      </c>
      <c r="S712" s="24">
        <v>703</v>
      </c>
      <c r="T712" s="24">
        <v>57</v>
      </c>
      <c r="U712" s="24">
        <v>306</v>
      </c>
      <c r="V712" s="24">
        <v>412</v>
      </c>
      <c r="W712" s="24">
        <v>42</v>
      </c>
      <c r="X712" s="24">
        <v>710</v>
      </c>
      <c r="Y712" s="24">
        <v>371</v>
      </c>
      <c r="Z712" s="24">
        <v>838</v>
      </c>
      <c r="AA712" s="24">
        <v>128</v>
      </c>
    </row>
    <row r="713" spans="1:27">
      <c r="A713" s="24" t="s">
        <v>1881</v>
      </c>
      <c r="B713" s="24" t="s">
        <v>34</v>
      </c>
      <c r="C713" s="24" t="s">
        <v>1882</v>
      </c>
      <c r="D713" s="24">
        <v>102</v>
      </c>
      <c r="E713" s="24">
        <v>442</v>
      </c>
      <c r="F713" s="24">
        <v>35</v>
      </c>
      <c r="G713" s="24">
        <v>911</v>
      </c>
      <c r="H713" s="24">
        <v>83</v>
      </c>
      <c r="I713" s="24">
        <v>643</v>
      </c>
      <c r="J713" s="24">
        <v>72</v>
      </c>
      <c r="K713" s="24">
        <v>358</v>
      </c>
      <c r="L713" s="24">
        <v>61</v>
      </c>
      <c r="M713" s="24">
        <v>300</v>
      </c>
      <c r="N713" s="24">
        <v>59</v>
      </c>
      <c r="O713" s="24">
        <v>762</v>
      </c>
      <c r="P713" s="24">
        <v>56</v>
      </c>
      <c r="Q713" s="24">
        <v>849</v>
      </c>
      <c r="R713" s="24">
        <v>66</v>
      </c>
      <c r="S713" s="24">
        <v>511</v>
      </c>
      <c r="T713" s="24">
        <v>37</v>
      </c>
      <c r="U713" s="24">
        <v>912</v>
      </c>
      <c r="V713" s="24">
        <v>412</v>
      </c>
      <c r="W713" s="24">
        <v>42</v>
      </c>
      <c r="X713" s="24">
        <v>710</v>
      </c>
      <c r="Y713" s="24">
        <v>413</v>
      </c>
      <c r="Z713" s="24">
        <v>665</v>
      </c>
      <c r="AA713" s="24">
        <v>-45</v>
      </c>
    </row>
    <row r="714" spans="1:27">
      <c r="A714" s="24" t="s">
        <v>2063</v>
      </c>
      <c r="B714" s="24" t="s">
        <v>109</v>
      </c>
      <c r="C714" s="24" t="s">
        <v>2064</v>
      </c>
      <c r="D714" s="24">
        <v>100</v>
      </c>
      <c r="E714" s="24">
        <v>528</v>
      </c>
      <c r="F714" s="24">
        <v>46</v>
      </c>
      <c r="G714" s="24">
        <v>862</v>
      </c>
      <c r="H714" s="24">
        <v>78.5</v>
      </c>
      <c r="I714" s="24">
        <v>712</v>
      </c>
      <c r="J714" s="24">
        <v>54</v>
      </c>
      <c r="K714" s="24">
        <v>718</v>
      </c>
      <c r="L714" s="24">
        <v>59</v>
      </c>
      <c r="M714" s="24">
        <v>348</v>
      </c>
      <c r="N714" s="24">
        <v>74</v>
      </c>
      <c r="O714" s="24">
        <v>366</v>
      </c>
      <c r="P714" s="24">
        <v>70</v>
      </c>
      <c r="Q714" s="24">
        <v>473</v>
      </c>
      <c r="R714" s="24">
        <v>68</v>
      </c>
      <c r="S714" s="24">
        <v>412</v>
      </c>
      <c r="T714" s="24">
        <v>49</v>
      </c>
      <c r="U714" s="24">
        <v>633</v>
      </c>
      <c r="V714" s="24">
        <v>411.5</v>
      </c>
      <c r="W714" s="24">
        <v>40</v>
      </c>
      <c r="X714" s="24">
        <v>713</v>
      </c>
      <c r="Y714" s="24">
        <v>405</v>
      </c>
      <c r="Z714" s="24">
        <v>705</v>
      </c>
      <c r="AA714" s="24">
        <v>-8</v>
      </c>
    </row>
    <row r="715" spans="1:27">
      <c r="A715" s="24" t="s">
        <v>2586</v>
      </c>
      <c r="B715" s="24" t="s">
        <v>49</v>
      </c>
      <c r="C715" s="24" t="s">
        <v>2587</v>
      </c>
      <c r="D715" s="24">
        <v>97</v>
      </c>
      <c r="E715" s="24">
        <v>645</v>
      </c>
      <c r="F715" s="24">
        <v>86</v>
      </c>
      <c r="G715" s="24">
        <v>233</v>
      </c>
      <c r="H715" s="24">
        <v>86.5</v>
      </c>
      <c r="I715" s="24">
        <v>566</v>
      </c>
      <c r="J715" s="24">
        <v>52</v>
      </c>
      <c r="K715" s="24">
        <v>757</v>
      </c>
      <c r="L715" s="24">
        <v>38</v>
      </c>
      <c r="M715" s="24">
        <v>840</v>
      </c>
      <c r="N715" s="24">
        <v>52</v>
      </c>
      <c r="O715" s="24">
        <v>866</v>
      </c>
      <c r="P715" s="24">
        <v>65</v>
      </c>
      <c r="Q715" s="24">
        <v>651</v>
      </c>
      <c r="R715" s="24">
        <v>62</v>
      </c>
      <c r="S715" s="24">
        <v>672</v>
      </c>
      <c r="T715" s="24">
        <v>41</v>
      </c>
      <c r="U715" s="24">
        <v>866</v>
      </c>
      <c r="V715" s="24">
        <v>411.5</v>
      </c>
      <c r="W715" s="24">
        <v>40</v>
      </c>
      <c r="X715" s="24">
        <v>713</v>
      </c>
      <c r="Y715" s="24">
        <v>405.5</v>
      </c>
      <c r="Z715" s="24">
        <v>701</v>
      </c>
      <c r="AA715" s="24">
        <v>-12</v>
      </c>
    </row>
    <row r="716" spans="1:27">
      <c r="A716" s="24" t="s">
        <v>470</v>
      </c>
      <c r="B716" s="24" t="s">
        <v>19</v>
      </c>
      <c r="C716" s="24" t="s">
        <v>474</v>
      </c>
      <c r="D716" s="24">
        <v>98</v>
      </c>
      <c r="E716" s="24">
        <v>611</v>
      </c>
      <c r="F716" s="24">
        <v>42</v>
      </c>
      <c r="G716" s="24">
        <v>887</v>
      </c>
      <c r="H716" s="24">
        <v>78</v>
      </c>
      <c r="I716" s="24">
        <v>723</v>
      </c>
      <c r="J716" s="24">
        <v>76</v>
      </c>
      <c r="K716" s="24">
        <v>287</v>
      </c>
      <c r="L716" s="24">
        <v>46</v>
      </c>
      <c r="M716" s="24">
        <v>702</v>
      </c>
      <c r="N716" s="24">
        <v>71</v>
      </c>
      <c r="O716" s="24">
        <v>462</v>
      </c>
      <c r="P716" s="24">
        <v>71</v>
      </c>
      <c r="Q716" s="24">
        <v>439</v>
      </c>
      <c r="R716" s="24">
        <v>81</v>
      </c>
      <c r="S716" s="24">
        <v>42</v>
      </c>
      <c r="T716" s="24">
        <v>57</v>
      </c>
      <c r="U716" s="24">
        <v>306</v>
      </c>
      <c r="V716" s="24">
        <v>411</v>
      </c>
      <c r="W716" s="24">
        <v>38</v>
      </c>
      <c r="X716" s="24">
        <v>715</v>
      </c>
      <c r="Y716" s="24">
        <v>421</v>
      </c>
      <c r="Z716" s="24">
        <v>635</v>
      </c>
      <c r="AA716" s="24">
        <v>-80</v>
      </c>
    </row>
    <row r="717" spans="1:27">
      <c r="A717" s="24" t="s">
        <v>1942</v>
      </c>
      <c r="B717" s="24" t="s">
        <v>109</v>
      </c>
      <c r="C717" s="24" t="s">
        <v>1943</v>
      </c>
      <c r="D717" s="24">
        <v>99</v>
      </c>
      <c r="E717" s="24">
        <v>571</v>
      </c>
      <c r="F717" s="24">
        <v>68</v>
      </c>
      <c r="G717" s="24">
        <v>540</v>
      </c>
      <c r="H717" s="24">
        <v>83</v>
      </c>
      <c r="I717" s="24">
        <v>643</v>
      </c>
      <c r="J717" s="24">
        <v>46</v>
      </c>
      <c r="K717" s="24">
        <v>833</v>
      </c>
      <c r="L717" s="24">
        <v>44</v>
      </c>
      <c r="M717" s="24">
        <v>736</v>
      </c>
      <c r="N717" s="24">
        <v>71</v>
      </c>
      <c r="O717" s="24">
        <v>462</v>
      </c>
      <c r="P717" s="24">
        <v>77</v>
      </c>
      <c r="Q717" s="24">
        <v>240</v>
      </c>
      <c r="R717" s="24">
        <v>78</v>
      </c>
      <c r="S717" s="24">
        <v>86</v>
      </c>
      <c r="T717" s="24">
        <v>53</v>
      </c>
      <c r="U717" s="24">
        <v>470</v>
      </c>
      <c r="V717" s="24">
        <v>411</v>
      </c>
      <c r="W717" s="24">
        <v>41</v>
      </c>
      <c r="X717" s="24">
        <v>715</v>
      </c>
      <c r="Y717" s="24">
        <v>466.5</v>
      </c>
      <c r="Z717" s="24">
        <v>384</v>
      </c>
      <c r="AA717" s="24">
        <v>-331</v>
      </c>
    </row>
    <row r="718" spans="1:27">
      <c r="A718" s="24" t="s">
        <v>494</v>
      </c>
      <c r="B718" s="24" t="s">
        <v>19</v>
      </c>
      <c r="C718" s="24" t="s">
        <v>504</v>
      </c>
      <c r="D718" s="24">
        <v>118</v>
      </c>
      <c r="E718" s="24">
        <v>33</v>
      </c>
      <c r="F718" s="24">
        <v>59</v>
      </c>
      <c r="G718" s="24">
        <v>721</v>
      </c>
      <c r="H718" s="24">
        <v>77</v>
      </c>
      <c r="I718" s="24">
        <v>741</v>
      </c>
      <c r="J718" s="24">
        <v>62</v>
      </c>
      <c r="K718" s="24">
        <v>564</v>
      </c>
      <c r="L718" s="24">
        <v>41</v>
      </c>
      <c r="M718" s="24">
        <v>795</v>
      </c>
      <c r="N718" s="24">
        <v>54</v>
      </c>
      <c r="O718" s="24">
        <v>845</v>
      </c>
      <c r="P718" s="24">
        <v>59</v>
      </c>
      <c r="Q718" s="24">
        <v>799</v>
      </c>
      <c r="R718" s="24">
        <v>58</v>
      </c>
      <c r="S718" s="24">
        <v>770</v>
      </c>
      <c r="T718" s="24">
        <v>51</v>
      </c>
      <c r="U718" s="24">
        <v>555</v>
      </c>
      <c r="V718" s="24">
        <v>411</v>
      </c>
      <c r="W718" s="24">
        <v>38</v>
      </c>
      <c r="X718" s="24">
        <v>715</v>
      </c>
      <c r="Y718" s="24">
        <v>418</v>
      </c>
      <c r="Z718" s="24">
        <v>652</v>
      </c>
      <c r="AA718" s="24">
        <v>-63</v>
      </c>
    </row>
    <row r="719" spans="1:27">
      <c r="A719" s="24" t="s">
        <v>786</v>
      </c>
      <c r="B719" s="24" t="s">
        <v>117</v>
      </c>
      <c r="C719" s="24" t="s">
        <v>787</v>
      </c>
      <c r="D719" s="24">
        <v>95</v>
      </c>
      <c r="E719" s="24">
        <v>710</v>
      </c>
      <c r="F719" s="24">
        <v>57</v>
      </c>
      <c r="G719" s="24">
        <v>744</v>
      </c>
      <c r="H719" s="24">
        <v>79.5</v>
      </c>
      <c r="I719" s="24">
        <v>699</v>
      </c>
      <c r="J719" s="24">
        <v>58</v>
      </c>
      <c r="K719" s="24">
        <v>649</v>
      </c>
      <c r="L719" s="24">
        <v>52</v>
      </c>
      <c r="M719" s="24">
        <v>551</v>
      </c>
      <c r="N719" s="24">
        <v>69</v>
      </c>
      <c r="O719" s="24">
        <v>523</v>
      </c>
      <c r="P719" s="24">
        <v>78</v>
      </c>
      <c r="Q719" s="24">
        <v>209</v>
      </c>
      <c r="R719" s="24">
        <v>64</v>
      </c>
      <c r="S719" s="24">
        <v>586</v>
      </c>
      <c r="T719" s="24">
        <v>59</v>
      </c>
      <c r="U719" s="24">
        <v>233</v>
      </c>
      <c r="V719" s="24">
        <v>410.5</v>
      </c>
      <c r="W719" s="24">
        <v>41</v>
      </c>
      <c r="X719" s="24">
        <v>718</v>
      </c>
      <c r="Y719" s="24">
        <v>403</v>
      </c>
      <c r="Z719" s="24">
        <v>717</v>
      </c>
      <c r="AA719" s="24">
        <v>-1</v>
      </c>
    </row>
    <row r="720" spans="1:27">
      <c r="A720" s="24" t="s">
        <v>868</v>
      </c>
      <c r="B720" s="24" t="s">
        <v>60</v>
      </c>
      <c r="C720" s="24" t="s">
        <v>869</v>
      </c>
      <c r="D720" s="24">
        <v>101</v>
      </c>
      <c r="E720" s="24">
        <v>481</v>
      </c>
      <c r="F720" s="24">
        <v>72</v>
      </c>
      <c r="G720" s="24">
        <v>458</v>
      </c>
      <c r="H720" s="24">
        <v>64.5</v>
      </c>
      <c r="I720" s="24">
        <v>885</v>
      </c>
      <c r="J720" s="24">
        <v>51</v>
      </c>
      <c r="K720" s="24">
        <v>771</v>
      </c>
      <c r="L720" s="24">
        <v>54</v>
      </c>
      <c r="M720" s="24">
        <v>494</v>
      </c>
      <c r="N720" s="24">
        <v>68</v>
      </c>
      <c r="O720" s="24">
        <v>555</v>
      </c>
      <c r="P720" s="24">
        <v>68</v>
      </c>
      <c r="Q720" s="24">
        <v>541</v>
      </c>
      <c r="R720" s="24">
        <v>67</v>
      </c>
      <c r="S720" s="24">
        <v>471</v>
      </c>
      <c r="T720" s="24">
        <v>46</v>
      </c>
      <c r="U720" s="24">
        <v>755</v>
      </c>
      <c r="V720" s="24">
        <v>410.5</v>
      </c>
      <c r="W720" s="24">
        <v>41</v>
      </c>
      <c r="X720" s="24">
        <v>718</v>
      </c>
      <c r="Y720" s="24">
        <v>419</v>
      </c>
      <c r="Z720" s="24">
        <v>647</v>
      </c>
      <c r="AA720" s="24">
        <v>-71</v>
      </c>
    </row>
    <row r="721" spans="1:27">
      <c r="A721" s="24" t="s">
        <v>2749</v>
      </c>
      <c r="B721" s="24" t="s">
        <v>38</v>
      </c>
      <c r="C721" s="24" t="s">
        <v>2750</v>
      </c>
      <c r="D721" s="24">
        <v>96</v>
      </c>
      <c r="E721" s="24">
        <v>676</v>
      </c>
      <c r="F721" s="24">
        <v>61</v>
      </c>
      <c r="G721" s="24">
        <v>678</v>
      </c>
      <c r="H721" s="24">
        <v>72.5</v>
      </c>
      <c r="I721" s="24">
        <v>814</v>
      </c>
      <c r="J721" s="24">
        <v>70</v>
      </c>
      <c r="K721" s="24">
        <v>400</v>
      </c>
      <c r="L721" s="24">
        <v>46</v>
      </c>
      <c r="M721" s="24">
        <v>702</v>
      </c>
      <c r="N721" s="24">
        <v>65</v>
      </c>
      <c r="O721" s="24">
        <v>643</v>
      </c>
      <c r="P721" s="24">
        <v>63</v>
      </c>
      <c r="Q721" s="24">
        <v>712</v>
      </c>
      <c r="R721" s="24">
        <v>40</v>
      </c>
      <c r="S721" s="24">
        <v>932</v>
      </c>
      <c r="T721" s="24">
        <v>45</v>
      </c>
      <c r="U721" s="24">
        <v>781</v>
      </c>
      <c r="V721" s="24">
        <v>410.5</v>
      </c>
      <c r="W721" s="24">
        <v>41</v>
      </c>
      <c r="X721" s="24">
        <v>718</v>
      </c>
      <c r="Y721" s="24">
        <v>424.5</v>
      </c>
      <c r="Z721" s="24">
        <v>609</v>
      </c>
      <c r="AA721" s="24">
        <v>-109</v>
      </c>
    </row>
    <row r="722" spans="1:27">
      <c r="A722" s="24" t="s">
        <v>681</v>
      </c>
      <c r="B722" s="24" t="s">
        <v>17</v>
      </c>
      <c r="C722" s="24" t="s">
        <v>682</v>
      </c>
      <c r="D722" s="24">
        <v>98</v>
      </c>
      <c r="E722" s="24">
        <v>611</v>
      </c>
      <c r="F722" s="24">
        <v>67</v>
      </c>
      <c r="G722" s="24">
        <v>565</v>
      </c>
      <c r="H722" s="24">
        <v>63.5</v>
      </c>
      <c r="I722" s="24">
        <v>893</v>
      </c>
      <c r="J722" s="24">
        <v>67</v>
      </c>
      <c r="K722" s="24">
        <v>468</v>
      </c>
      <c r="L722" s="24">
        <v>61</v>
      </c>
      <c r="M722" s="24">
        <v>300</v>
      </c>
      <c r="N722" s="24">
        <v>54</v>
      </c>
      <c r="O722" s="24">
        <v>845</v>
      </c>
      <c r="P722" s="24">
        <v>63</v>
      </c>
      <c r="Q722" s="24">
        <v>712</v>
      </c>
      <c r="R722" s="24">
        <v>78</v>
      </c>
      <c r="S722" s="24">
        <v>86</v>
      </c>
      <c r="T722" s="24">
        <v>52</v>
      </c>
      <c r="U722" s="24">
        <v>509</v>
      </c>
      <c r="V722" s="24">
        <v>410.5</v>
      </c>
      <c r="W722" s="24">
        <v>49</v>
      </c>
      <c r="X722" s="24">
        <v>718</v>
      </c>
      <c r="Y722" s="24">
        <v>448</v>
      </c>
      <c r="Z722" s="24">
        <v>479</v>
      </c>
      <c r="AA722" s="24">
        <v>-239</v>
      </c>
    </row>
    <row r="723" spans="1:27">
      <c r="A723" s="24" t="s">
        <v>1053</v>
      </c>
      <c r="B723" s="24" t="s">
        <v>68</v>
      </c>
      <c r="C723" s="24" t="s">
        <v>1054</v>
      </c>
      <c r="D723" s="24">
        <v>100</v>
      </c>
      <c r="E723" s="24">
        <v>528</v>
      </c>
      <c r="F723" s="24">
        <v>75</v>
      </c>
      <c r="G723" s="24">
        <v>409</v>
      </c>
      <c r="H723" s="24">
        <v>74</v>
      </c>
      <c r="I723" s="24">
        <v>792</v>
      </c>
      <c r="J723" s="24">
        <v>39</v>
      </c>
      <c r="K723" s="24">
        <v>888</v>
      </c>
      <c r="L723" s="24">
        <v>44</v>
      </c>
      <c r="M723" s="24">
        <v>736</v>
      </c>
      <c r="N723" s="24">
        <v>78</v>
      </c>
      <c r="O723" s="24">
        <v>250</v>
      </c>
      <c r="P723" s="24">
        <v>72</v>
      </c>
      <c r="Q723" s="24">
        <v>396</v>
      </c>
      <c r="R723" s="24">
        <v>63</v>
      </c>
      <c r="S723" s="24">
        <v>633</v>
      </c>
      <c r="T723" s="24">
        <v>41</v>
      </c>
      <c r="U723" s="24">
        <v>866</v>
      </c>
      <c r="V723" s="24">
        <v>410</v>
      </c>
      <c r="W723" s="24">
        <v>44</v>
      </c>
      <c r="X723" s="24">
        <v>722</v>
      </c>
      <c r="Y723" s="24">
        <v>433.5</v>
      </c>
      <c r="Z723" s="24">
        <v>554</v>
      </c>
      <c r="AA723" s="24">
        <v>-168</v>
      </c>
    </row>
    <row r="724" spans="1:27">
      <c r="A724" s="24" t="s">
        <v>362</v>
      </c>
      <c r="B724" s="24" t="s">
        <v>28</v>
      </c>
      <c r="C724" s="24" t="s">
        <v>363</v>
      </c>
      <c r="D724" s="24">
        <v>99</v>
      </c>
      <c r="E724" s="24">
        <v>571</v>
      </c>
      <c r="F724" s="24">
        <v>50</v>
      </c>
      <c r="G724" s="24">
        <v>831</v>
      </c>
      <c r="H724" s="24">
        <v>76.5</v>
      </c>
      <c r="I724" s="24">
        <v>751</v>
      </c>
      <c r="J724" s="24">
        <v>49</v>
      </c>
      <c r="K724" s="24">
        <v>803</v>
      </c>
      <c r="L724" s="24">
        <v>60</v>
      </c>
      <c r="M724" s="24">
        <v>322</v>
      </c>
      <c r="N724" s="24">
        <v>75</v>
      </c>
      <c r="O724" s="24">
        <v>342</v>
      </c>
      <c r="P724" s="24">
        <v>53</v>
      </c>
      <c r="Q724" s="24">
        <v>888</v>
      </c>
      <c r="R724" s="24">
        <v>66</v>
      </c>
      <c r="S724" s="24">
        <v>511</v>
      </c>
      <c r="T724" s="24">
        <v>60</v>
      </c>
      <c r="U724" s="24">
        <v>203</v>
      </c>
      <c r="V724" s="24">
        <v>409.5</v>
      </c>
      <c r="W724" s="24">
        <v>41</v>
      </c>
      <c r="X724" s="24">
        <v>723</v>
      </c>
      <c r="Y724" s="24">
        <v>408</v>
      </c>
      <c r="Z724" s="24">
        <v>692</v>
      </c>
      <c r="AA724" s="24">
        <v>-31</v>
      </c>
    </row>
    <row r="725" spans="1:27">
      <c r="A725" s="24" t="s">
        <v>485</v>
      </c>
      <c r="B725" s="24" t="s">
        <v>19</v>
      </c>
      <c r="C725" s="24" t="s">
        <v>488</v>
      </c>
      <c r="D725" s="24">
        <v>112</v>
      </c>
      <c r="E725" s="24">
        <v>114</v>
      </c>
      <c r="F725" s="24">
        <v>39</v>
      </c>
      <c r="G725" s="24">
        <v>902</v>
      </c>
      <c r="H725" s="24">
        <v>87.5</v>
      </c>
      <c r="I725" s="24">
        <v>542</v>
      </c>
      <c r="J725" s="24">
        <v>47</v>
      </c>
      <c r="K725" s="24">
        <v>825</v>
      </c>
      <c r="L725" s="24">
        <v>49</v>
      </c>
      <c r="M725" s="24">
        <v>624</v>
      </c>
      <c r="N725" s="24">
        <v>75</v>
      </c>
      <c r="O725" s="24">
        <v>342</v>
      </c>
      <c r="P725" s="24">
        <v>81</v>
      </c>
      <c r="Q725" s="24">
        <v>124</v>
      </c>
      <c r="R725" s="24">
        <v>74</v>
      </c>
      <c r="S725" s="24">
        <v>174</v>
      </c>
      <c r="T725" s="24">
        <v>65</v>
      </c>
      <c r="U725" s="24">
        <v>89</v>
      </c>
      <c r="V725" s="24">
        <v>409.5</v>
      </c>
      <c r="W725" s="24">
        <v>40</v>
      </c>
      <c r="X725" s="24">
        <v>723</v>
      </c>
      <c r="Y725" s="24">
        <v>398.5</v>
      </c>
      <c r="Z725" s="24">
        <v>737</v>
      </c>
      <c r="AA725" s="24">
        <v>14</v>
      </c>
    </row>
    <row r="726" spans="1:27">
      <c r="A726" s="24" t="s">
        <v>524</v>
      </c>
      <c r="B726" s="24" t="s">
        <v>19</v>
      </c>
      <c r="C726" s="24" t="s">
        <v>3250</v>
      </c>
      <c r="D726" s="24">
        <v>94</v>
      </c>
      <c r="E726" s="24">
        <v>733</v>
      </c>
      <c r="F726" s="24">
        <v>60</v>
      </c>
      <c r="G726" s="24">
        <v>696</v>
      </c>
      <c r="H726" s="24">
        <v>81.5</v>
      </c>
      <c r="I726" s="24">
        <v>674</v>
      </c>
      <c r="J726" s="24">
        <v>58</v>
      </c>
      <c r="K726" s="24">
        <v>649</v>
      </c>
      <c r="L726" s="24">
        <v>41</v>
      </c>
      <c r="M726" s="24">
        <v>795</v>
      </c>
      <c r="N726" s="24">
        <v>75</v>
      </c>
      <c r="O726" s="24">
        <v>342</v>
      </c>
      <c r="P726" s="24">
        <v>66</v>
      </c>
      <c r="Q726" s="24">
        <v>604</v>
      </c>
      <c r="R726" s="24">
        <v>67</v>
      </c>
      <c r="S726" s="24">
        <v>471</v>
      </c>
      <c r="T726" s="24">
        <v>65</v>
      </c>
      <c r="U726" s="24">
        <v>89</v>
      </c>
      <c r="V726" s="24">
        <v>409.5</v>
      </c>
      <c r="W726" s="24">
        <v>40</v>
      </c>
      <c r="X726" s="24">
        <v>723</v>
      </c>
      <c r="Y726" s="24">
        <v>359</v>
      </c>
      <c r="Z726" s="24">
        <v>860</v>
      </c>
      <c r="AA726" s="24">
        <v>137</v>
      </c>
    </row>
    <row r="727" spans="1:27">
      <c r="A727" s="24" t="s">
        <v>610</v>
      </c>
      <c r="B727" s="24" t="s">
        <v>17</v>
      </c>
      <c r="C727" s="24" t="s">
        <v>1697</v>
      </c>
      <c r="D727" s="24">
        <v>102</v>
      </c>
      <c r="E727" s="24">
        <v>442</v>
      </c>
      <c r="F727" s="24">
        <v>54</v>
      </c>
      <c r="G727" s="24">
        <v>782</v>
      </c>
      <c r="H727" s="24">
        <v>89.5</v>
      </c>
      <c r="I727" s="24">
        <v>494</v>
      </c>
      <c r="J727" s="24">
        <v>61</v>
      </c>
      <c r="K727" s="24">
        <v>587</v>
      </c>
      <c r="L727" s="24">
        <v>31</v>
      </c>
      <c r="M727" s="24">
        <v>893</v>
      </c>
      <c r="N727" s="24">
        <v>72</v>
      </c>
      <c r="O727" s="24">
        <v>433</v>
      </c>
      <c r="P727" s="24">
        <v>80</v>
      </c>
      <c r="Q727" s="24">
        <v>151</v>
      </c>
      <c r="R727" s="24">
        <v>67</v>
      </c>
      <c r="S727" s="24">
        <v>471</v>
      </c>
      <c r="T727" s="24">
        <v>51</v>
      </c>
      <c r="U727" s="24">
        <v>555</v>
      </c>
      <c r="V727" s="24">
        <v>409.5</v>
      </c>
      <c r="W727" s="24">
        <v>50</v>
      </c>
      <c r="X727" s="24">
        <v>723</v>
      </c>
      <c r="Y727" s="24">
        <v>356</v>
      </c>
      <c r="Z727" s="24">
        <v>866</v>
      </c>
      <c r="AA727" s="24">
        <v>143</v>
      </c>
    </row>
    <row r="728" spans="1:27">
      <c r="A728" s="24" t="s">
        <v>2767</v>
      </c>
      <c r="B728" s="24" t="s">
        <v>38</v>
      </c>
      <c r="C728" s="24" t="s">
        <v>2768</v>
      </c>
      <c r="D728" s="24">
        <v>102</v>
      </c>
      <c r="E728" s="24">
        <v>442</v>
      </c>
      <c r="F728" s="24">
        <v>59</v>
      </c>
      <c r="G728" s="24">
        <v>721</v>
      </c>
      <c r="H728" s="24">
        <v>78.5</v>
      </c>
      <c r="I728" s="24">
        <v>712</v>
      </c>
      <c r="J728" s="24">
        <v>55</v>
      </c>
      <c r="K728" s="24">
        <v>694</v>
      </c>
      <c r="L728" s="24">
        <v>45</v>
      </c>
      <c r="M728" s="24">
        <v>720</v>
      </c>
      <c r="N728" s="24">
        <v>70</v>
      </c>
      <c r="O728" s="24">
        <v>485</v>
      </c>
      <c r="P728" s="24">
        <v>71</v>
      </c>
      <c r="Q728" s="24">
        <v>439</v>
      </c>
      <c r="R728" s="24">
        <v>62</v>
      </c>
      <c r="S728" s="24">
        <v>672</v>
      </c>
      <c r="T728" s="24">
        <v>54</v>
      </c>
      <c r="U728" s="24">
        <v>428</v>
      </c>
      <c r="V728" s="24">
        <v>409.5</v>
      </c>
      <c r="W728" s="24">
        <v>42</v>
      </c>
      <c r="X728" s="24">
        <v>723</v>
      </c>
      <c r="Y728" s="24">
        <v>411</v>
      </c>
      <c r="Z728" s="24">
        <v>679</v>
      </c>
      <c r="AA728" s="24">
        <v>-44</v>
      </c>
    </row>
    <row r="729" spans="1:27">
      <c r="A729" s="24" t="s">
        <v>847</v>
      </c>
      <c r="B729" s="24" t="s">
        <v>117</v>
      </c>
      <c r="C729" s="24" t="s">
        <v>848</v>
      </c>
      <c r="D729" s="24">
        <v>84</v>
      </c>
      <c r="E729" s="24">
        <v>891</v>
      </c>
      <c r="F729" s="24">
        <v>68</v>
      </c>
      <c r="G729" s="24">
        <v>540</v>
      </c>
      <c r="H729" s="24">
        <v>92.5</v>
      </c>
      <c r="I729" s="24">
        <v>414</v>
      </c>
      <c r="J729" s="24">
        <v>47</v>
      </c>
      <c r="K729" s="24">
        <v>825</v>
      </c>
      <c r="L729" s="24">
        <v>50</v>
      </c>
      <c r="M729" s="24">
        <v>599</v>
      </c>
      <c r="N729" s="24">
        <v>68</v>
      </c>
      <c r="O729" s="24">
        <v>555</v>
      </c>
      <c r="P729" s="24">
        <v>85</v>
      </c>
      <c r="Q729" s="24">
        <v>45</v>
      </c>
      <c r="R729" s="24">
        <v>59</v>
      </c>
      <c r="S729" s="24">
        <v>746</v>
      </c>
      <c r="T729" s="24">
        <v>51</v>
      </c>
      <c r="U729" s="24">
        <v>555</v>
      </c>
      <c r="V729" s="24">
        <v>409.5</v>
      </c>
      <c r="W729" s="24">
        <v>42</v>
      </c>
      <c r="X729" s="24">
        <v>723</v>
      </c>
      <c r="Y729" s="24">
        <v>406</v>
      </c>
      <c r="Z729" s="24">
        <v>699</v>
      </c>
      <c r="AA729" s="24">
        <v>-24</v>
      </c>
    </row>
    <row r="730" spans="1:27">
      <c r="A730" s="24" t="s">
        <v>271</v>
      </c>
      <c r="B730" s="24" t="s">
        <v>28</v>
      </c>
      <c r="C730" s="24" t="s">
        <v>272</v>
      </c>
      <c r="D730" s="24">
        <v>90</v>
      </c>
      <c r="E730" s="24">
        <v>815</v>
      </c>
      <c r="F730" s="24">
        <v>62</v>
      </c>
      <c r="G730" s="24">
        <v>665</v>
      </c>
      <c r="H730" s="24">
        <v>98.5</v>
      </c>
      <c r="I730" s="24">
        <v>285</v>
      </c>
      <c r="J730" s="24">
        <v>57</v>
      </c>
      <c r="K730" s="24">
        <v>665</v>
      </c>
      <c r="L730" s="24">
        <v>38</v>
      </c>
      <c r="M730" s="24">
        <v>840</v>
      </c>
      <c r="N730" s="24">
        <v>64</v>
      </c>
      <c r="O730" s="24">
        <v>667</v>
      </c>
      <c r="P730" s="24">
        <v>79</v>
      </c>
      <c r="Q730" s="24">
        <v>175</v>
      </c>
      <c r="R730" s="24">
        <v>68</v>
      </c>
      <c r="S730" s="24">
        <v>412</v>
      </c>
      <c r="T730" s="24">
        <v>49</v>
      </c>
      <c r="U730" s="24">
        <v>633</v>
      </c>
      <c r="V730" s="24">
        <v>409.5</v>
      </c>
      <c r="W730" s="24">
        <v>41</v>
      </c>
      <c r="X730" s="24">
        <v>723</v>
      </c>
      <c r="Y730" s="24">
        <v>372.5</v>
      </c>
      <c r="Z730" s="24">
        <v>831</v>
      </c>
      <c r="AA730" s="24">
        <v>108</v>
      </c>
    </row>
    <row r="731" spans="1:27">
      <c r="A731" s="24" t="s">
        <v>1161</v>
      </c>
      <c r="B731" s="24" t="s">
        <v>68</v>
      </c>
      <c r="C731" s="24" t="s">
        <v>1162</v>
      </c>
      <c r="D731" s="24">
        <v>92</v>
      </c>
      <c r="E731" s="24">
        <v>779</v>
      </c>
      <c r="F731" s="24">
        <v>73</v>
      </c>
      <c r="G731" s="24">
        <v>438</v>
      </c>
      <c r="H731" s="24">
        <v>77</v>
      </c>
      <c r="I731" s="24">
        <v>741</v>
      </c>
      <c r="J731" s="24">
        <v>35</v>
      </c>
      <c r="K731" s="24">
        <v>912</v>
      </c>
      <c r="L731" s="24">
        <v>59</v>
      </c>
      <c r="M731" s="24">
        <v>348</v>
      </c>
      <c r="N731" s="24">
        <v>73</v>
      </c>
      <c r="O731" s="24">
        <v>393</v>
      </c>
      <c r="P731" s="24">
        <v>81</v>
      </c>
      <c r="Q731" s="24">
        <v>124</v>
      </c>
      <c r="R731" s="24">
        <v>70</v>
      </c>
      <c r="S731" s="24">
        <v>327</v>
      </c>
      <c r="T731" s="24">
        <v>49</v>
      </c>
      <c r="U731" s="24">
        <v>633</v>
      </c>
      <c r="V731" s="24">
        <v>409</v>
      </c>
      <c r="W731" s="24">
        <v>45</v>
      </c>
      <c r="X731" s="24">
        <v>730</v>
      </c>
      <c r="Y731" s="24">
        <v>436</v>
      </c>
      <c r="Z731" s="24">
        <v>541</v>
      </c>
      <c r="AA731" s="24">
        <v>-189</v>
      </c>
    </row>
    <row r="732" spans="1:27">
      <c r="A732" s="24" t="s">
        <v>444</v>
      </c>
      <c r="B732" s="24" t="s">
        <v>19</v>
      </c>
      <c r="C732" s="24" t="s">
        <v>445</v>
      </c>
      <c r="D732" s="24">
        <v>108</v>
      </c>
      <c r="E732" s="24">
        <v>212</v>
      </c>
      <c r="F732" s="24">
        <v>58</v>
      </c>
      <c r="G732" s="24">
        <v>734</v>
      </c>
      <c r="H732" s="24">
        <v>98</v>
      </c>
      <c r="I732" s="24">
        <v>294</v>
      </c>
      <c r="J732" s="24">
        <v>51</v>
      </c>
      <c r="K732" s="24">
        <v>771</v>
      </c>
      <c r="L732" s="24">
        <v>38</v>
      </c>
      <c r="M732" s="24">
        <v>840</v>
      </c>
      <c r="N732" s="24">
        <v>56</v>
      </c>
      <c r="O732" s="24">
        <v>816</v>
      </c>
      <c r="P732" s="24">
        <v>69</v>
      </c>
      <c r="Q732" s="24">
        <v>504</v>
      </c>
      <c r="R732" s="24">
        <v>62</v>
      </c>
      <c r="S732" s="24">
        <v>672</v>
      </c>
      <c r="T732" s="24">
        <v>48</v>
      </c>
      <c r="U732" s="24">
        <v>671</v>
      </c>
      <c r="V732" s="24">
        <v>409</v>
      </c>
      <c r="W732" s="24">
        <v>42</v>
      </c>
      <c r="X732" s="24">
        <v>730</v>
      </c>
      <c r="Y732" s="24">
        <v>412</v>
      </c>
      <c r="Z732" s="24">
        <v>670</v>
      </c>
      <c r="AA732" s="24">
        <v>-60</v>
      </c>
    </row>
    <row r="733" spans="1:27">
      <c r="A733" s="24" t="s">
        <v>458</v>
      </c>
      <c r="B733" s="24" t="s">
        <v>19</v>
      </c>
      <c r="C733" s="24" t="s">
        <v>462</v>
      </c>
      <c r="D733" s="24">
        <v>105</v>
      </c>
      <c r="E733" s="24">
        <v>325</v>
      </c>
      <c r="F733" s="24">
        <v>60</v>
      </c>
      <c r="G733" s="24">
        <v>696</v>
      </c>
      <c r="H733" s="24">
        <v>74.5</v>
      </c>
      <c r="I733" s="24">
        <v>785</v>
      </c>
      <c r="J733" s="24">
        <v>59</v>
      </c>
      <c r="K733" s="24">
        <v>626</v>
      </c>
      <c r="L733" s="24">
        <v>38</v>
      </c>
      <c r="M733" s="24">
        <v>840</v>
      </c>
      <c r="N733" s="24">
        <v>72</v>
      </c>
      <c r="O733" s="24">
        <v>433</v>
      </c>
      <c r="P733" s="24">
        <v>70</v>
      </c>
      <c r="Q733" s="24">
        <v>473</v>
      </c>
      <c r="R733" s="24">
        <v>52</v>
      </c>
      <c r="S733" s="24">
        <v>879</v>
      </c>
      <c r="T733" s="24">
        <v>55</v>
      </c>
      <c r="U733" s="24">
        <v>392</v>
      </c>
      <c r="V733" s="24">
        <v>408.5</v>
      </c>
      <c r="W733" s="24">
        <v>43</v>
      </c>
      <c r="X733" s="24">
        <v>732</v>
      </c>
      <c r="Y733" s="24">
        <v>419.5</v>
      </c>
      <c r="Z733" s="24">
        <v>645</v>
      </c>
      <c r="AA733" s="24">
        <v>-87</v>
      </c>
    </row>
    <row r="734" spans="1:27">
      <c r="A734" s="24" t="s">
        <v>1452</v>
      </c>
      <c r="B734" s="24" t="s">
        <v>56</v>
      </c>
      <c r="C734" s="24" t="s">
        <v>1453</v>
      </c>
      <c r="D734" s="24">
        <v>95</v>
      </c>
      <c r="E734" s="24">
        <v>710</v>
      </c>
      <c r="F734" s="24">
        <v>58</v>
      </c>
      <c r="G734" s="24">
        <v>734</v>
      </c>
      <c r="H734" s="24">
        <v>81.5</v>
      </c>
      <c r="I734" s="24">
        <v>674</v>
      </c>
      <c r="J734" s="24">
        <v>61</v>
      </c>
      <c r="K734" s="24">
        <v>587</v>
      </c>
      <c r="L734" s="24">
        <v>45</v>
      </c>
      <c r="M734" s="24">
        <v>720</v>
      </c>
      <c r="N734" s="24">
        <v>68</v>
      </c>
      <c r="O734" s="24">
        <v>555</v>
      </c>
      <c r="P734" s="24">
        <v>72</v>
      </c>
      <c r="Q734" s="24">
        <v>396</v>
      </c>
      <c r="R734" s="24">
        <v>66</v>
      </c>
      <c r="S734" s="24">
        <v>511</v>
      </c>
      <c r="T734" s="24">
        <v>47</v>
      </c>
      <c r="U734" s="24">
        <v>719</v>
      </c>
      <c r="V734" s="24">
        <v>408.5</v>
      </c>
      <c r="W734" s="24">
        <v>39</v>
      </c>
      <c r="X734" s="24">
        <v>732</v>
      </c>
      <c r="Y734" s="24">
        <v>381</v>
      </c>
      <c r="Z734" s="24">
        <v>802</v>
      </c>
      <c r="AA734" s="24">
        <v>70</v>
      </c>
    </row>
    <row r="735" spans="1:27">
      <c r="A735" s="24" t="s">
        <v>2803</v>
      </c>
      <c r="B735" s="24" t="s">
        <v>38</v>
      </c>
      <c r="C735" s="24" t="s">
        <v>2804</v>
      </c>
      <c r="D735" s="24">
        <v>87</v>
      </c>
      <c r="E735" s="24">
        <v>857</v>
      </c>
      <c r="F735" s="24">
        <v>66</v>
      </c>
      <c r="G735" s="24">
        <v>584</v>
      </c>
      <c r="H735" s="24">
        <v>98</v>
      </c>
      <c r="I735" s="24">
        <v>294</v>
      </c>
      <c r="J735" s="24">
        <v>57</v>
      </c>
      <c r="K735" s="24">
        <v>665</v>
      </c>
      <c r="L735" s="24">
        <v>20</v>
      </c>
      <c r="M735" s="24">
        <v>932</v>
      </c>
      <c r="N735" s="24">
        <v>80</v>
      </c>
      <c r="O735" s="24">
        <v>205</v>
      </c>
      <c r="P735" s="24">
        <v>74</v>
      </c>
      <c r="Q735" s="24">
        <v>326</v>
      </c>
      <c r="R735" s="24">
        <v>55</v>
      </c>
      <c r="S735" s="24">
        <v>835</v>
      </c>
      <c r="T735" s="24">
        <v>48</v>
      </c>
      <c r="U735" s="24">
        <v>671</v>
      </c>
      <c r="V735" s="24">
        <v>408</v>
      </c>
      <c r="W735" s="24">
        <v>43</v>
      </c>
      <c r="X735" s="24">
        <v>734</v>
      </c>
      <c r="Y735" s="24">
        <v>429</v>
      </c>
      <c r="Z735" s="24">
        <v>580</v>
      </c>
      <c r="AA735" s="24">
        <v>-154</v>
      </c>
    </row>
    <row r="736" spans="1:27">
      <c r="A736" s="24" t="s">
        <v>359</v>
      </c>
      <c r="B736" s="24" t="s">
        <v>28</v>
      </c>
      <c r="C736" s="24" t="s">
        <v>360</v>
      </c>
      <c r="D736" s="24">
        <v>109</v>
      </c>
      <c r="E736" s="24">
        <v>185</v>
      </c>
      <c r="F736" s="24">
        <v>49</v>
      </c>
      <c r="G736" s="24">
        <v>839</v>
      </c>
      <c r="H736" s="24">
        <v>113</v>
      </c>
      <c r="I736" s="24">
        <v>74</v>
      </c>
      <c r="J736" s="24">
        <v>47</v>
      </c>
      <c r="K736" s="24">
        <v>825</v>
      </c>
      <c r="L736" s="24">
        <v>36</v>
      </c>
      <c r="M736" s="24">
        <v>856</v>
      </c>
      <c r="N736" s="24">
        <v>54</v>
      </c>
      <c r="O736" s="24">
        <v>845</v>
      </c>
      <c r="P736" s="24">
        <v>66</v>
      </c>
      <c r="Q736" s="24">
        <v>604</v>
      </c>
      <c r="R736" s="24">
        <v>58</v>
      </c>
      <c r="S736" s="24">
        <v>770</v>
      </c>
      <c r="T736" s="24">
        <v>40</v>
      </c>
      <c r="U736" s="24">
        <v>881</v>
      </c>
      <c r="V736" s="24">
        <v>408</v>
      </c>
      <c r="W736" s="24">
        <v>43</v>
      </c>
      <c r="X736" s="24">
        <v>734</v>
      </c>
      <c r="Y736" s="24">
        <v>375</v>
      </c>
      <c r="Z736" s="24">
        <v>824</v>
      </c>
      <c r="AA736" s="24">
        <v>90</v>
      </c>
    </row>
    <row r="737" spans="1:27">
      <c r="A737" s="24" t="s">
        <v>2620</v>
      </c>
      <c r="B737" s="24" t="s">
        <v>49</v>
      </c>
      <c r="C737" s="24" t="s">
        <v>2621</v>
      </c>
      <c r="D737" s="24">
        <v>90</v>
      </c>
      <c r="E737" s="24">
        <v>815</v>
      </c>
      <c r="F737" s="24">
        <v>71</v>
      </c>
      <c r="G737" s="24">
        <v>475</v>
      </c>
      <c r="H737" s="24">
        <v>94.5</v>
      </c>
      <c r="I737" s="24">
        <v>377</v>
      </c>
      <c r="J737" s="24">
        <v>52</v>
      </c>
      <c r="K737" s="24">
        <v>757</v>
      </c>
      <c r="L737" s="24">
        <v>44</v>
      </c>
      <c r="M737" s="24">
        <v>736</v>
      </c>
      <c r="N737" s="24">
        <v>56</v>
      </c>
      <c r="O737" s="24">
        <v>816</v>
      </c>
      <c r="P737" s="24">
        <v>68</v>
      </c>
      <c r="Q737" s="24">
        <v>541</v>
      </c>
      <c r="R737" s="24">
        <v>46</v>
      </c>
      <c r="S737" s="24">
        <v>921</v>
      </c>
      <c r="T737" s="24">
        <v>49</v>
      </c>
      <c r="U737" s="24">
        <v>633</v>
      </c>
      <c r="V737" s="24">
        <v>407.5</v>
      </c>
      <c r="W737" s="24">
        <v>41</v>
      </c>
      <c r="X737" s="24">
        <v>736</v>
      </c>
      <c r="Y737" s="24">
        <v>386.5</v>
      </c>
      <c r="Z737" s="24">
        <v>778</v>
      </c>
      <c r="AA737" s="24">
        <v>42</v>
      </c>
    </row>
    <row r="738" spans="1:27">
      <c r="A738" s="24" t="s">
        <v>829</v>
      </c>
      <c r="B738" s="24" t="s">
        <v>117</v>
      </c>
      <c r="C738" s="24" t="s">
        <v>830</v>
      </c>
      <c r="D738" s="24">
        <v>93</v>
      </c>
      <c r="E738" s="24">
        <v>755</v>
      </c>
      <c r="F738" s="24">
        <v>84</v>
      </c>
      <c r="G738" s="24">
        <v>251</v>
      </c>
      <c r="H738" s="24">
        <v>63.5</v>
      </c>
      <c r="I738" s="24">
        <v>893</v>
      </c>
      <c r="J738" s="24">
        <v>58</v>
      </c>
      <c r="K738" s="24">
        <v>649</v>
      </c>
      <c r="L738" s="24">
        <v>58</v>
      </c>
      <c r="M738" s="24">
        <v>377</v>
      </c>
      <c r="N738" s="24">
        <v>51</v>
      </c>
      <c r="O738" s="24">
        <v>874</v>
      </c>
      <c r="P738" s="24">
        <v>61</v>
      </c>
      <c r="Q738" s="24">
        <v>754</v>
      </c>
      <c r="R738" s="24">
        <v>60</v>
      </c>
      <c r="S738" s="24">
        <v>727</v>
      </c>
      <c r="T738" s="24">
        <v>45</v>
      </c>
      <c r="U738" s="24">
        <v>781</v>
      </c>
      <c r="V738" s="24">
        <v>407.5</v>
      </c>
      <c r="W738" s="24">
        <v>43</v>
      </c>
      <c r="X738" s="24">
        <v>736</v>
      </c>
      <c r="Y738" s="24">
        <v>423.5</v>
      </c>
      <c r="Z738" s="24">
        <v>616</v>
      </c>
      <c r="AA738" s="24">
        <v>-120</v>
      </c>
    </row>
    <row r="739" spans="1:27">
      <c r="A739" s="24" t="s">
        <v>1399</v>
      </c>
      <c r="B739" s="24" t="s">
        <v>56</v>
      </c>
      <c r="C739" s="24" t="s">
        <v>1400</v>
      </c>
      <c r="D739" s="24">
        <v>94</v>
      </c>
      <c r="E739" s="24">
        <v>733</v>
      </c>
      <c r="F739" s="24">
        <v>55</v>
      </c>
      <c r="G739" s="24">
        <v>766</v>
      </c>
      <c r="H739" s="24">
        <v>71</v>
      </c>
      <c r="I739" s="24">
        <v>830</v>
      </c>
      <c r="J739" s="24">
        <v>71</v>
      </c>
      <c r="K739" s="24">
        <v>378</v>
      </c>
      <c r="L739" s="24">
        <v>37</v>
      </c>
      <c r="M739" s="24">
        <v>850</v>
      </c>
      <c r="N739" s="24">
        <v>79</v>
      </c>
      <c r="O739" s="24">
        <v>229</v>
      </c>
      <c r="P739" s="24">
        <v>70</v>
      </c>
      <c r="Q739" s="24">
        <v>473</v>
      </c>
      <c r="R739" s="24">
        <v>49</v>
      </c>
      <c r="S739" s="24">
        <v>904</v>
      </c>
      <c r="T739" s="24">
        <v>47</v>
      </c>
      <c r="U739" s="24">
        <v>719</v>
      </c>
      <c r="V739" s="24">
        <v>407</v>
      </c>
      <c r="W739" s="24">
        <v>40</v>
      </c>
      <c r="X739" s="24">
        <v>738</v>
      </c>
      <c r="Y739" s="24">
        <v>378.5</v>
      </c>
      <c r="Z739" s="24">
        <v>811</v>
      </c>
      <c r="AA739" s="24">
        <v>73</v>
      </c>
    </row>
    <row r="740" spans="1:27">
      <c r="A740" s="24" t="s">
        <v>2831</v>
      </c>
      <c r="B740" s="24" t="s">
        <v>38</v>
      </c>
      <c r="C740" s="24" t="s">
        <v>2832</v>
      </c>
      <c r="D740" s="24">
        <v>79</v>
      </c>
      <c r="E740" s="24">
        <v>915</v>
      </c>
      <c r="F740" s="24">
        <v>63</v>
      </c>
      <c r="G740" s="24">
        <v>642</v>
      </c>
      <c r="H740" s="24">
        <v>93</v>
      </c>
      <c r="I740" s="24">
        <v>405</v>
      </c>
      <c r="J740" s="24">
        <v>72</v>
      </c>
      <c r="K740" s="24">
        <v>358</v>
      </c>
      <c r="L740" s="24">
        <v>43</v>
      </c>
      <c r="M740" s="24">
        <v>757</v>
      </c>
      <c r="N740" s="24">
        <v>57</v>
      </c>
      <c r="O740" s="24">
        <v>801</v>
      </c>
      <c r="P740" s="24">
        <v>57</v>
      </c>
      <c r="Q740" s="24">
        <v>838</v>
      </c>
      <c r="R740" s="24">
        <v>67</v>
      </c>
      <c r="S740" s="24">
        <v>471</v>
      </c>
      <c r="T740" s="24">
        <v>49</v>
      </c>
      <c r="U740" s="24">
        <v>633</v>
      </c>
      <c r="V740" s="24">
        <v>407</v>
      </c>
      <c r="W740" s="24">
        <v>44</v>
      </c>
      <c r="X740" s="24">
        <v>738</v>
      </c>
      <c r="Y740" s="24">
        <v>407</v>
      </c>
      <c r="Z740" s="24">
        <v>695</v>
      </c>
      <c r="AA740" s="24">
        <v>-43</v>
      </c>
    </row>
    <row r="741" spans="1:27">
      <c r="A741" s="24" t="s">
        <v>1117</v>
      </c>
      <c r="B741" s="24" t="s">
        <v>68</v>
      </c>
      <c r="C741" s="24" t="s">
        <v>1118</v>
      </c>
      <c r="D741" s="24">
        <v>105</v>
      </c>
      <c r="E741" s="24">
        <v>325</v>
      </c>
      <c r="F741" s="24">
        <v>70</v>
      </c>
      <c r="G741" s="24">
        <v>505</v>
      </c>
      <c r="H741" s="24">
        <v>61.5</v>
      </c>
      <c r="I741" s="24">
        <v>906</v>
      </c>
      <c r="J741" s="24">
        <v>49</v>
      </c>
      <c r="K741" s="24">
        <v>803</v>
      </c>
      <c r="L741" s="24">
        <v>46</v>
      </c>
      <c r="M741" s="24">
        <v>702</v>
      </c>
      <c r="N741" s="24">
        <v>75</v>
      </c>
      <c r="O741" s="24">
        <v>342</v>
      </c>
      <c r="P741" s="24">
        <v>73</v>
      </c>
      <c r="Q741" s="24">
        <v>359</v>
      </c>
      <c r="R741" s="24">
        <v>70</v>
      </c>
      <c r="S741" s="24">
        <v>327</v>
      </c>
      <c r="T741" s="24">
        <v>52</v>
      </c>
      <c r="U741" s="24">
        <v>509</v>
      </c>
      <c r="V741" s="24">
        <v>406.5</v>
      </c>
      <c r="W741" s="24">
        <v>46</v>
      </c>
      <c r="X741" s="24">
        <v>740</v>
      </c>
      <c r="Y741" s="24">
        <v>447.5</v>
      </c>
      <c r="Z741" s="24">
        <v>482</v>
      </c>
      <c r="AA741" s="24">
        <v>-258</v>
      </c>
    </row>
    <row r="742" spans="1:27">
      <c r="A742" s="24" t="s">
        <v>1249</v>
      </c>
      <c r="B742" s="24" t="s">
        <v>54</v>
      </c>
      <c r="C742" s="24" t="s">
        <v>1250</v>
      </c>
      <c r="D742" s="24">
        <v>95</v>
      </c>
      <c r="E742" s="24">
        <v>710</v>
      </c>
      <c r="F742" s="24">
        <v>64</v>
      </c>
      <c r="G742" s="24">
        <v>627</v>
      </c>
      <c r="H742" s="24">
        <v>84.5</v>
      </c>
      <c r="I742" s="24">
        <v>607</v>
      </c>
      <c r="J742" s="24">
        <v>49</v>
      </c>
      <c r="K742" s="24">
        <v>803</v>
      </c>
      <c r="L742" s="24">
        <v>45</v>
      </c>
      <c r="M742" s="24">
        <v>720</v>
      </c>
      <c r="N742" s="24">
        <v>69</v>
      </c>
      <c r="O742" s="24">
        <v>523</v>
      </c>
      <c r="P742" s="24">
        <v>77</v>
      </c>
      <c r="Q742" s="24">
        <v>240</v>
      </c>
      <c r="R742" s="24">
        <v>79</v>
      </c>
      <c r="S742" s="24">
        <v>73</v>
      </c>
      <c r="T742" s="24">
        <v>47</v>
      </c>
      <c r="U742" s="24">
        <v>719</v>
      </c>
      <c r="V742" s="24">
        <v>406.5</v>
      </c>
      <c r="W742" s="24">
        <v>43</v>
      </c>
      <c r="X742" s="24">
        <v>740</v>
      </c>
      <c r="Y742" s="24">
        <v>474</v>
      </c>
      <c r="Z742" s="24">
        <v>335</v>
      </c>
      <c r="AA742" s="24">
        <v>-405</v>
      </c>
    </row>
    <row r="743" spans="1:27">
      <c r="A743" s="24" t="s">
        <v>1913</v>
      </c>
      <c r="B743" s="24" t="s">
        <v>34</v>
      </c>
      <c r="C743" s="24" t="s">
        <v>1914</v>
      </c>
      <c r="D743" s="24">
        <v>104</v>
      </c>
      <c r="E743" s="24">
        <v>357</v>
      </c>
      <c r="F743" s="24">
        <v>63</v>
      </c>
      <c r="G743" s="24">
        <v>642</v>
      </c>
      <c r="H743" s="24">
        <v>103.5</v>
      </c>
      <c r="I743" s="24">
        <v>200</v>
      </c>
      <c r="J743" s="24">
        <v>50</v>
      </c>
      <c r="K743" s="24">
        <v>788</v>
      </c>
      <c r="L743" s="24">
        <v>29</v>
      </c>
      <c r="M743" s="24">
        <v>908</v>
      </c>
      <c r="N743" s="24">
        <v>57</v>
      </c>
      <c r="O743" s="24">
        <v>801</v>
      </c>
      <c r="P743" s="24">
        <v>67</v>
      </c>
      <c r="Q743" s="24">
        <v>570</v>
      </c>
      <c r="R743" s="24">
        <v>65</v>
      </c>
      <c r="S743" s="24">
        <v>548</v>
      </c>
      <c r="T743" s="24">
        <v>45</v>
      </c>
      <c r="U743" s="24">
        <v>781</v>
      </c>
      <c r="V743" s="24">
        <v>406.5</v>
      </c>
      <c r="W743" s="24">
        <v>43</v>
      </c>
      <c r="X743" s="24">
        <v>740</v>
      </c>
      <c r="Y743" s="24">
        <v>323.5</v>
      </c>
      <c r="Z743" s="24">
        <v>911</v>
      </c>
      <c r="AA743" s="24">
        <v>171</v>
      </c>
    </row>
    <row r="744" spans="1:27">
      <c r="A744" s="24" t="s">
        <v>1957</v>
      </c>
      <c r="B744" s="24" t="s">
        <v>109</v>
      </c>
      <c r="C744" s="24" t="s">
        <v>1958</v>
      </c>
      <c r="D744" s="24">
        <v>97</v>
      </c>
      <c r="E744" s="24">
        <v>645</v>
      </c>
      <c r="F744" s="24">
        <v>61</v>
      </c>
      <c r="G744" s="24">
        <v>678</v>
      </c>
      <c r="H744" s="24">
        <v>87</v>
      </c>
      <c r="I744" s="24">
        <v>554</v>
      </c>
      <c r="J744" s="24">
        <v>36</v>
      </c>
      <c r="K744" s="24">
        <v>905</v>
      </c>
      <c r="L744" s="24">
        <v>59</v>
      </c>
      <c r="M744" s="24">
        <v>348</v>
      </c>
      <c r="N744" s="24">
        <v>66</v>
      </c>
      <c r="O744" s="24">
        <v>611</v>
      </c>
      <c r="P744" s="24">
        <v>54</v>
      </c>
      <c r="Q744" s="24">
        <v>880</v>
      </c>
      <c r="R744" s="24">
        <v>57</v>
      </c>
      <c r="S744" s="24">
        <v>798</v>
      </c>
      <c r="T744" s="24">
        <v>48</v>
      </c>
      <c r="U744" s="24">
        <v>671</v>
      </c>
      <c r="V744" s="24">
        <v>406</v>
      </c>
      <c r="W744" s="24">
        <v>42</v>
      </c>
      <c r="X744" s="24">
        <v>743</v>
      </c>
      <c r="Y744" s="24">
        <v>397.5</v>
      </c>
      <c r="Z744" s="24">
        <v>743</v>
      </c>
      <c r="AA744" s="24">
        <v>0</v>
      </c>
    </row>
    <row r="745" spans="1:27">
      <c r="A745" s="24" t="s">
        <v>2214</v>
      </c>
      <c r="B745" s="24" t="s">
        <v>73</v>
      </c>
      <c r="C745" s="24" t="s">
        <v>2215</v>
      </c>
      <c r="D745" s="24">
        <v>96</v>
      </c>
      <c r="E745" s="24">
        <v>676</v>
      </c>
      <c r="F745" s="24">
        <v>53</v>
      </c>
      <c r="G745" s="24">
        <v>792</v>
      </c>
      <c r="H745" s="24">
        <v>104.5</v>
      </c>
      <c r="I745" s="24">
        <v>177</v>
      </c>
      <c r="J745" s="24">
        <v>40</v>
      </c>
      <c r="K745" s="24">
        <v>879</v>
      </c>
      <c r="L745" s="24">
        <v>42</v>
      </c>
      <c r="M745" s="24">
        <v>774</v>
      </c>
      <c r="N745" s="24">
        <v>70</v>
      </c>
      <c r="O745" s="24">
        <v>485</v>
      </c>
      <c r="P745" s="24">
        <v>77</v>
      </c>
      <c r="Q745" s="24">
        <v>240</v>
      </c>
      <c r="R745" s="24">
        <v>70</v>
      </c>
      <c r="S745" s="24">
        <v>327</v>
      </c>
      <c r="T745" s="24">
        <v>54</v>
      </c>
      <c r="U745" s="24">
        <v>428</v>
      </c>
      <c r="V745" s="24">
        <v>405.5</v>
      </c>
      <c r="W745" s="24">
        <v>40</v>
      </c>
      <c r="X745" s="24">
        <v>744</v>
      </c>
      <c r="Y745" s="24">
        <v>396</v>
      </c>
      <c r="Z745" s="24">
        <v>747</v>
      </c>
      <c r="AA745" s="24">
        <v>3</v>
      </c>
    </row>
    <row r="746" spans="1:27">
      <c r="A746" s="24" t="s">
        <v>2252</v>
      </c>
      <c r="B746" s="24" t="s">
        <v>73</v>
      </c>
      <c r="C746" s="24" t="s">
        <v>2253</v>
      </c>
      <c r="D746" s="24">
        <v>89</v>
      </c>
      <c r="E746" s="24">
        <v>835</v>
      </c>
      <c r="F746" s="24">
        <v>67</v>
      </c>
      <c r="G746" s="24">
        <v>565</v>
      </c>
      <c r="H746" s="24">
        <v>107.5</v>
      </c>
      <c r="I746" s="24">
        <v>141</v>
      </c>
      <c r="J746" s="24">
        <v>40</v>
      </c>
      <c r="K746" s="24">
        <v>879</v>
      </c>
      <c r="L746" s="24">
        <v>50</v>
      </c>
      <c r="M746" s="24">
        <v>599</v>
      </c>
      <c r="N746" s="24">
        <v>52</v>
      </c>
      <c r="O746" s="24">
        <v>866</v>
      </c>
      <c r="P746" s="24">
        <v>59</v>
      </c>
      <c r="Q746" s="24">
        <v>799</v>
      </c>
      <c r="R746" s="24">
        <v>49</v>
      </c>
      <c r="S746" s="24">
        <v>904</v>
      </c>
      <c r="T746" s="24">
        <v>53</v>
      </c>
      <c r="U746" s="24">
        <v>470</v>
      </c>
      <c r="V746" s="24">
        <v>405.5</v>
      </c>
      <c r="W746" s="24">
        <v>40</v>
      </c>
      <c r="X746" s="24">
        <v>744</v>
      </c>
      <c r="Y746" s="24">
        <v>391.5</v>
      </c>
      <c r="Z746" s="24">
        <v>763</v>
      </c>
      <c r="AA746" s="24">
        <v>19</v>
      </c>
    </row>
    <row r="747" spans="1:27">
      <c r="A747" s="24" t="s">
        <v>1901</v>
      </c>
      <c r="B747" s="24" t="s">
        <v>34</v>
      </c>
      <c r="C747" s="24" t="s">
        <v>1902</v>
      </c>
      <c r="D747" s="24">
        <v>99</v>
      </c>
      <c r="E747" s="24">
        <v>571</v>
      </c>
      <c r="F747" s="24">
        <v>51</v>
      </c>
      <c r="G747" s="24">
        <v>817</v>
      </c>
      <c r="H747" s="24">
        <v>118.5</v>
      </c>
      <c r="I747" s="24">
        <v>36</v>
      </c>
      <c r="J747" s="24">
        <v>41</v>
      </c>
      <c r="K747" s="24">
        <v>871</v>
      </c>
      <c r="L747" s="24">
        <v>48</v>
      </c>
      <c r="M747" s="24">
        <v>649</v>
      </c>
      <c r="N747" s="24">
        <v>48</v>
      </c>
      <c r="O747" s="24">
        <v>892</v>
      </c>
      <c r="P747" s="24">
        <v>80</v>
      </c>
      <c r="Q747" s="24">
        <v>151</v>
      </c>
      <c r="R747" s="24">
        <v>58</v>
      </c>
      <c r="S747" s="24">
        <v>770</v>
      </c>
      <c r="T747" s="24">
        <v>46</v>
      </c>
      <c r="U747" s="24">
        <v>755</v>
      </c>
      <c r="V747" s="24">
        <v>405.5</v>
      </c>
      <c r="W747" s="24">
        <v>44</v>
      </c>
      <c r="X747" s="24">
        <v>744</v>
      </c>
      <c r="Y747" s="24">
        <v>410.5</v>
      </c>
      <c r="Z747" s="24">
        <v>681</v>
      </c>
      <c r="AA747" s="24">
        <v>-63</v>
      </c>
    </row>
    <row r="748" spans="1:27">
      <c r="A748" s="24" t="s">
        <v>1895</v>
      </c>
      <c r="B748" s="24" t="s">
        <v>34</v>
      </c>
      <c r="C748" s="24" t="s">
        <v>1896</v>
      </c>
      <c r="D748" s="24">
        <v>101</v>
      </c>
      <c r="E748" s="24">
        <v>481</v>
      </c>
      <c r="F748" s="24">
        <v>65</v>
      </c>
      <c r="G748" s="24">
        <v>604</v>
      </c>
      <c r="H748" s="24">
        <v>88</v>
      </c>
      <c r="I748" s="24">
        <v>535</v>
      </c>
      <c r="J748" s="24">
        <v>44</v>
      </c>
      <c r="K748" s="24">
        <v>849</v>
      </c>
      <c r="L748" s="24">
        <v>46</v>
      </c>
      <c r="M748" s="24">
        <v>702</v>
      </c>
      <c r="N748" s="24">
        <v>61</v>
      </c>
      <c r="O748" s="24">
        <v>734</v>
      </c>
      <c r="P748" s="24">
        <v>78</v>
      </c>
      <c r="Q748" s="24">
        <v>209</v>
      </c>
      <c r="R748" s="24">
        <v>62</v>
      </c>
      <c r="S748" s="24">
        <v>672</v>
      </c>
      <c r="T748" s="24">
        <v>52</v>
      </c>
      <c r="U748" s="24">
        <v>509</v>
      </c>
      <c r="V748" s="24">
        <v>405</v>
      </c>
      <c r="W748" s="24">
        <v>45</v>
      </c>
      <c r="X748" s="24">
        <v>747</v>
      </c>
      <c r="Y748" s="24">
        <v>418.5</v>
      </c>
      <c r="Z748" s="24">
        <v>649</v>
      </c>
      <c r="AA748" s="24">
        <v>-98</v>
      </c>
    </row>
    <row r="749" spans="1:27">
      <c r="A749" s="24" t="s">
        <v>2343</v>
      </c>
      <c r="B749" s="24" t="s">
        <v>7</v>
      </c>
      <c r="C749" s="24" t="s">
        <v>2350</v>
      </c>
      <c r="D749" s="24">
        <v>95</v>
      </c>
      <c r="E749" s="24">
        <v>710</v>
      </c>
      <c r="F749" s="24">
        <v>53</v>
      </c>
      <c r="G749" s="24">
        <v>792</v>
      </c>
      <c r="H749" s="24">
        <v>97.5</v>
      </c>
      <c r="I749" s="24">
        <v>310</v>
      </c>
      <c r="J749" s="24">
        <v>58</v>
      </c>
      <c r="K749" s="24">
        <v>649</v>
      </c>
      <c r="L749" s="24">
        <v>45</v>
      </c>
      <c r="M749" s="24">
        <v>720</v>
      </c>
      <c r="N749" s="24">
        <v>56</v>
      </c>
      <c r="O749" s="24">
        <v>816</v>
      </c>
      <c r="P749" s="24">
        <v>75</v>
      </c>
      <c r="Q749" s="24">
        <v>289</v>
      </c>
      <c r="R749" s="24">
        <v>67</v>
      </c>
      <c r="S749" s="24">
        <v>471</v>
      </c>
      <c r="T749" s="24">
        <v>55</v>
      </c>
      <c r="U749" s="24">
        <v>392</v>
      </c>
      <c r="V749" s="24">
        <v>404.5</v>
      </c>
      <c r="W749" s="24">
        <v>41</v>
      </c>
      <c r="X749" s="24">
        <v>748</v>
      </c>
      <c r="Y749" s="24">
        <v>414.5</v>
      </c>
      <c r="Z749" s="24">
        <v>662</v>
      </c>
      <c r="AA749" s="24">
        <v>-86</v>
      </c>
    </row>
    <row r="750" spans="1:27">
      <c r="A750" s="24" t="s">
        <v>2580</v>
      </c>
      <c r="B750" s="24" t="s">
        <v>131</v>
      </c>
      <c r="C750" s="24" t="s">
        <v>2581</v>
      </c>
      <c r="D750" s="24">
        <v>92</v>
      </c>
      <c r="E750" s="24">
        <v>779</v>
      </c>
      <c r="F750" s="24">
        <v>72</v>
      </c>
      <c r="G750" s="24">
        <v>458</v>
      </c>
      <c r="H750" s="24">
        <v>87.5</v>
      </c>
      <c r="I750" s="24">
        <v>542</v>
      </c>
      <c r="J750" s="24">
        <v>41</v>
      </c>
      <c r="K750" s="24">
        <v>871</v>
      </c>
      <c r="L750" s="24">
        <v>39</v>
      </c>
      <c r="M750" s="24">
        <v>825</v>
      </c>
      <c r="N750" s="24">
        <v>72</v>
      </c>
      <c r="O750" s="24">
        <v>433</v>
      </c>
      <c r="P750" s="24">
        <v>73</v>
      </c>
      <c r="Q750" s="24">
        <v>359</v>
      </c>
      <c r="R750" s="24">
        <v>69</v>
      </c>
      <c r="S750" s="24">
        <v>367</v>
      </c>
      <c r="T750" s="24">
        <v>48</v>
      </c>
      <c r="U750" s="24">
        <v>671</v>
      </c>
      <c r="V750" s="24">
        <v>403.5</v>
      </c>
      <c r="W750" s="24">
        <v>44</v>
      </c>
      <c r="X750" s="24">
        <v>749</v>
      </c>
      <c r="Y750" s="24">
        <v>379</v>
      </c>
      <c r="Z750" s="24">
        <v>809</v>
      </c>
      <c r="AA750" s="24">
        <v>60</v>
      </c>
    </row>
    <row r="751" spans="1:27">
      <c r="A751" s="24" t="s">
        <v>2095</v>
      </c>
      <c r="B751" s="24" t="s">
        <v>109</v>
      </c>
      <c r="C751" s="24" t="s">
        <v>2096</v>
      </c>
      <c r="D751" s="24">
        <v>93</v>
      </c>
      <c r="E751" s="24">
        <v>755</v>
      </c>
      <c r="F751" s="24">
        <v>69</v>
      </c>
      <c r="G751" s="24">
        <v>524</v>
      </c>
      <c r="H751" s="24">
        <v>81.5</v>
      </c>
      <c r="I751" s="24">
        <v>674</v>
      </c>
      <c r="J751" s="24">
        <v>57</v>
      </c>
      <c r="K751" s="24">
        <v>665</v>
      </c>
      <c r="L751" s="24">
        <v>41</v>
      </c>
      <c r="M751" s="24">
        <v>795</v>
      </c>
      <c r="N751" s="24">
        <v>62</v>
      </c>
      <c r="O751" s="24">
        <v>716</v>
      </c>
      <c r="P751" s="24">
        <v>66</v>
      </c>
      <c r="Q751" s="24">
        <v>604</v>
      </c>
      <c r="R751" s="24">
        <v>67</v>
      </c>
      <c r="S751" s="24">
        <v>471</v>
      </c>
      <c r="T751" s="24">
        <v>55</v>
      </c>
      <c r="U751" s="24">
        <v>392</v>
      </c>
      <c r="V751" s="24">
        <v>403.5</v>
      </c>
      <c r="W751" s="24">
        <v>43</v>
      </c>
      <c r="X751" s="24">
        <v>749</v>
      </c>
      <c r="Y751" s="24">
        <v>373.5</v>
      </c>
      <c r="Z751" s="24">
        <v>827</v>
      </c>
      <c r="AA751" s="24">
        <v>78</v>
      </c>
    </row>
    <row r="752" spans="1:27">
      <c r="A752" s="24" t="s">
        <v>1152</v>
      </c>
      <c r="B752" s="24" t="s">
        <v>68</v>
      </c>
      <c r="C752" s="24" t="s">
        <v>1153</v>
      </c>
      <c r="D752" s="24">
        <v>103</v>
      </c>
      <c r="E752" s="24">
        <v>400</v>
      </c>
      <c r="F752" s="24">
        <v>50</v>
      </c>
      <c r="G752" s="24">
        <v>831</v>
      </c>
      <c r="H752" s="24">
        <v>68</v>
      </c>
      <c r="I752" s="24">
        <v>863</v>
      </c>
      <c r="J752" s="24">
        <v>67</v>
      </c>
      <c r="K752" s="24">
        <v>468</v>
      </c>
      <c r="L752" s="24">
        <v>47</v>
      </c>
      <c r="M752" s="24">
        <v>673</v>
      </c>
      <c r="N752" s="24">
        <v>68</v>
      </c>
      <c r="O752" s="24">
        <v>555</v>
      </c>
      <c r="P752" s="24">
        <v>55</v>
      </c>
      <c r="Q752" s="24">
        <v>868</v>
      </c>
      <c r="R752" s="24">
        <v>68</v>
      </c>
      <c r="S752" s="24">
        <v>412</v>
      </c>
      <c r="T752" s="24">
        <v>57</v>
      </c>
      <c r="U752" s="24">
        <v>306</v>
      </c>
      <c r="V752" s="24">
        <v>403</v>
      </c>
      <c r="W752" s="24">
        <v>47</v>
      </c>
      <c r="X752" s="24">
        <v>751</v>
      </c>
      <c r="Y752" s="24">
        <v>413</v>
      </c>
      <c r="Z752" s="24">
        <v>665</v>
      </c>
      <c r="AA752" s="24">
        <v>-86</v>
      </c>
    </row>
    <row r="753" spans="1:27">
      <c r="A753" s="24" t="s">
        <v>2888</v>
      </c>
      <c r="B753" s="24" t="s">
        <v>38</v>
      </c>
      <c r="C753" s="24" t="s">
        <v>2889</v>
      </c>
      <c r="D753" s="24">
        <v>85</v>
      </c>
      <c r="E753" s="24">
        <v>885</v>
      </c>
      <c r="F753" s="24">
        <v>63</v>
      </c>
      <c r="G753" s="24">
        <v>642</v>
      </c>
      <c r="H753" s="24">
        <v>94</v>
      </c>
      <c r="I753" s="24">
        <v>382</v>
      </c>
      <c r="J753" s="24">
        <v>50</v>
      </c>
      <c r="K753" s="24">
        <v>788</v>
      </c>
      <c r="L753" s="24">
        <v>47</v>
      </c>
      <c r="M753" s="24">
        <v>673</v>
      </c>
      <c r="N753" s="24">
        <v>64</v>
      </c>
      <c r="O753" s="24">
        <v>667</v>
      </c>
      <c r="P753" s="24">
        <v>66</v>
      </c>
      <c r="Q753" s="24">
        <v>604</v>
      </c>
      <c r="R753" s="24">
        <v>75</v>
      </c>
      <c r="S753" s="24">
        <v>146</v>
      </c>
      <c r="T753" s="24">
        <v>43</v>
      </c>
      <c r="U753" s="24">
        <v>824</v>
      </c>
      <c r="V753" s="24">
        <v>403</v>
      </c>
      <c r="W753" s="24">
        <v>45</v>
      </c>
      <c r="X753" s="24">
        <v>751</v>
      </c>
      <c r="Y753" s="24">
        <v>445</v>
      </c>
      <c r="Z753" s="24">
        <v>498</v>
      </c>
      <c r="AA753" s="24">
        <v>-253</v>
      </c>
    </row>
    <row r="754" spans="1:27">
      <c r="A754" s="24" t="s">
        <v>405</v>
      </c>
      <c r="B754" s="24" t="s">
        <v>19</v>
      </c>
      <c r="C754" s="24" t="s">
        <v>406</v>
      </c>
      <c r="D754" s="24">
        <v>91</v>
      </c>
      <c r="E754" s="24">
        <v>799</v>
      </c>
      <c r="F754" s="24">
        <v>72</v>
      </c>
      <c r="G754" s="24">
        <v>458</v>
      </c>
      <c r="H754" s="24">
        <v>83</v>
      </c>
      <c r="I754" s="24">
        <v>643</v>
      </c>
      <c r="J754" s="24">
        <v>49</v>
      </c>
      <c r="K754" s="24">
        <v>803</v>
      </c>
      <c r="L754" s="24">
        <v>48</v>
      </c>
      <c r="M754" s="24">
        <v>649</v>
      </c>
      <c r="N754" s="24">
        <v>60</v>
      </c>
      <c r="O754" s="24">
        <v>748</v>
      </c>
      <c r="P754" s="24">
        <v>72</v>
      </c>
      <c r="Q754" s="24">
        <v>396</v>
      </c>
      <c r="R754" s="24">
        <v>54</v>
      </c>
      <c r="S754" s="24">
        <v>855</v>
      </c>
      <c r="T754" s="24">
        <v>46</v>
      </c>
      <c r="U754" s="24">
        <v>755</v>
      </c>
      <c r="V754" s="24">
        <v>403</v>
      </c>
      <c r="W754" s="24">
        <v>44</v>
      </c>
      <c r="X754" s="24">
        <v>751</v>
      </c>
      <c r="Y754" s="24">
        <v>352</v>
      </c>
      <c r="Z754" s="24">
        <v>876</v>
      </c>
      <c r="AA754" s="24">
        <v>125</v>
      </c>
    </row>
    <row r="755" spans="1:27">
      <c r="A755" s="24" t="s">
        <v>2752</v>
      </c>
      <c r="B755" s="24" t="s">
        <v>38</v>
      </c>
      <c r="C755" s="24" t="s">
        <v>2753</v>
      </c>
      <c r="D755" s="24">
        <v>76</v>
      </c>
      <c r="E755" s="24">
        <v>924</v>
      </c>
      <c r="F755" s="24">
        <v>64</v>
      </c>
      <c r="G755" s="24">
        <v>627</v>
      </c>
      <c r="H755" s="24">
        <v>95</v>
      </c>
      <c r="I755" s="24">
        <v>364</v>
      </c>
      <c r="J755" s="24">
        <v>59</v>
      </c>
      <c r="K755" s="24">
        <v>626</v>
      </c>
      <c r="L755" s="24">
        <v>52</v>
      </c>
      <c r="M755" s="24">
        <v>551</v>
      </c>
      <c r="N755" s="24">
        <v>57</v>
      </c>
      <c r="O755" s="24">
        <v>801</v>
      </c>
      <c r="P755" s="24">
        <v>49</v>
      </c>
      <c r="Q755" s="24">
        <v>919</v>
      </c>
      <c r="R755" s="24">
        <v>53</v>
      </c>
      <c r="S755" s="24">
        <v>869</v>
      </c>
      <c r="T755" s="24">
        <v>42</v>
      </c>
      <c r="U755" s="24">
        <v>845</v>
      </c>
      <c r="V755" s="24">
        <v>403</v>
      </c>
      <c r="W755" s="24">
        <v>45</v>
      </c>
      <c r="X755" s="24">
        <v>751</v>
      </c>
      <c r="Y755" s="24">
        <v>394</v>
      </c>
      <c r="Z755" s="24">
        <v>751</v>
      </c>
      <c r="AA755" s="24">
        <v>0</v>
      </c>
    </row>
    <row r="756" spans="1:27">
      <c r="A756" s="24" t="s">
        <v>521</v>
      </c>
      <c r="B756" s="24" t="s">
        <v>19</v>
      </c>
      <c r="C756" s="24" t="s">
        <v>531</v>
      </c>
      <c r="D756" s="24">
        <v>97</v>
      </c>
      <c r="E756" s="24">
        <v>645</v>
      </c>
      <c r="F756" s="24">
        <v>61</v>
      </c>
      <c r="G756" s="24">
        <v>678</v>
      </c>
      <c r="H756" s="24">
        <v>100</v>
      </c>
      <c r="I756" s="24">
        <v>258</v>
      </c>
      <c r="J756" s="24">
        <v>56</v>
      </c>
      <c r="K756" s="24">
        <v>682</v>
      </c>
      <c r="L756" s="24">
        <v>42</v>
      </c>
      <c r="M756" s="24">
        <v>774</v>
      </c>
      <c r="N756" s="24">
        <v>47</v>
      </c>
      <c r="O756" s="24">
        <v>895</v>
      </c>
      <c r="P756" s="24">
        <v>67</v>
      </c>
      <c r="Q756" s="24">
        <v>570</v>
      </c>
      <c r="R756" s="24">
        <v>58</v>
      </c>
      <c r="S756" s="24">
        <v>770</v>
      </c>
      <c r="T756" s="24">
        <v>43</v>
      </c>
      <c r="U756" s="24">
        <v>824</v>
      </c>
      <c r="V756" s="24">
        <v>403</v>
      </c>
      <c r="W756" s="24">
        <v>44</v>
      </c>
      <c r="X756" s="24">
        <v>751</v>
      </c>
      <c r="Y756" s="24">
        <v>395</v>
      </c>
      <c r="Z756" s="24">
        <v>750</v>
      </c>
      <c r="AA756" s="24">
        <v>-1</v>
      </c>
    </row>
    <row r="757" spans="1:27">
      <c r="A757" s="24" t="s">
        <v>1858</v>
      </c>
      <c r="B757" s="24" t="s">
        <v>34</v>
      </c>
      <c r="C757" s="24" t="s">
        <v>1859</v>
      </c>
      <c r="D757" s="24">
        <v>104</v>
      </c>
      <c r="E757" s="24">
        <v>357</v>
      </c>
      <c r="F757" s="24">
        <v>63</v>
      </c>
      <c r="G757" s="24">
        <v>642</v>
      </c>
      <c r="H757" s="24">
        <v>87</v>
      </c>
      <c r="I757" s="24">
        <v>554</v>
      </c>
      <c r="J757" s="24">
        <v>62</v>
      </c>
      <c r="K757" s="24">
        <v>564</v>
      </c>
      <c r="L757" s="24">
        <v>41</v>
      </c>
      <c r="M757" s="24">
        <v>795</v>
      </c>
      <c r="N757" s="24">
        <v>46</v>
      </c>
      <c r="O757" s="24">
        <v>901</v>
      </c>
      <c r="P757" s="24">
        <v>59</v>
      </c>
      <c r="Q757" s="24">
        <v>799</v>
      </c>
      <c r="R757" s="24">
        <v>58</v>
      </c>
      <c r="S757" s="24">
        <v>770</v>
      </c>
      <c r="T757" s="24">
        <v>43</v>
      </c>
      <c r="U757" s="24">
        <v>824</v>
      </c>
      <c r="V757" s="24">
        <v>403</v>
      </c>
      <c r="W757" s="24">
        <v>46</v>
      </c>
      <c r="X757" s="24">
        <v>751</v>
      </c>
      <c r="Y757" s="24">
        <v>391</v>
      </c>
      <c r="Z757" s="24">
        <v>767</v>
      </c>
      <c r="AA757" s="24">
        <v>16</v>
      </c>
    </row>
    <row r="758" spans="1:27">
      <c r="A758" s="24" t="s">
        <v>314</v>
      </c>
      <c r="B758" s="24" t="s">
        <v>28</v>
      </c>
      <c r="C758" s="24" t="s">
        <v>315</v>
      </c>
      <c r="D758" s="24">
        <v>112</v>
      </c>
      <c r="E758" s="24">
        <v>114</v>
      </c>
      <c r="F758" s="24">
        <v>60</v>
      </c>
      <c r="G758" s="24">
        <v>696</v>
      </c>
      <c r="H758" s="24">
        <v>111</v>
      </c>
      <c r="I758" s="24">
        <v>95</v>
      </c>
      <c r="J758" s="24">
        <v>50</v>
      </c>
      <c r="K758" s="24">
        <v>788</v>
      </c>
      <c r="L758" s="24">
        <v>36</v>
      </c>
      <c r="M758" s="24">
        <v>856</v>
      </c>
      <c r="N758" s="24">
        <v>34</v>
      </c>
      <c r="O758" s="24">
        <v>933</v>
      </c>
      <c r="P758" s="24">
        <v>73</v>
      </c>
      <c r="Q758" s="24">
        <v>359</v>
      </c>
      <c r="R758" s="24">
        <v>62</v>
      </c>
      <c r="S758" s="24">
        <v>672</v>
      </c>
      <c r="T758" s="24">
        <v>44</v>
      </c>
      <c r="U758" s="24">
        <v>804</v>
      </c>
      <c r="V758" s="24">
        <v>403</v>
      </c>
      <c r="W758" s="24">
        <v>44</v>
      </c>
      <c r="X758" s="24">
        <v>751</v>
      </c>
      <c r="Y758" s="24">
        <v>424.5</v>
      </c>
      <c r="Z758" s="24">
        <v>609</v>
      </c>
      <c r="AA758" s="24">
        <v>-142</v>
      </c>
    </row>
    <row r="759" spans="1:27">
      <c r="A759" s="24" t="s">
        <v>2267</v>
      </c>
      <c r="B759" s="24" t="s">
        <v>7</v>
      </c>
      <c r="C759" s="24" t="s">
        <v>2271</v>
      </c>
      <c r="D759" s="24">
        <v>96</v>
      </c>
      <c r="E759" s="24">
        <v>676</v>
      </c>
      <c r="F759" s="24">
        <v>60</v>
      </c>
      <c r="G759" s="24">
        <v>696</v>
      </c>
      <c r="H759" s="24">
        <v>60.5</v>
      </c>
      <c r="I759" s="24">
        <v>910</v>
      </c>
      <c r="J759" s="24">
        <v>64</v>
      </c>
      <c r="K759" s="24">
        <v>517</v>
      </c>
      <c r="L759" s="24">
        <v>50</v>
      </c>
      <c r="M759" s="24">
        <v>599</v>
      </c>
      <c r="N759" s="24">
        <v>72</v>
      </c>
      <c r="O759" s="24">
        <v>433</v>
      </c>
      <c r="P759" s="24">
        <v>72</v>
      </c>
      <c r="Q759" s="24">
        <v>396</v>
      </c>
      <c r="R759" s="24">
        <v>64</v>
      </c>
      <c r="S759" s="24">
        <v>586</v>
      </c>
      <c r="T759" s="24">
        <v>50</v>
      </c>
      <c r="U759" s="24">
        <v>591</v>
      </c>
      <c r="V759" s="24">
        <v>402.5</v>
      </c>
      <c r="W759" s="24">
        <v>42</v>
      </c>
      <c r="X759" s="24">
        <v>758</v>
      </c>
      <c r="Y759" s="24">
        <v>413.5</v>
      </c>
      <c r="Z759" s="24">
        <v>664</v>
      </c>
      <c r="AA759" s="24">
        <v>-94</v>
      </c>
    </row>
    <row r="760" spans="1:27">
      <c r="A760" s="24" t="s">
        <v>2264</v>
      </c>
      <c r="B760" s="24" t="s">
        <v>7</v>
      </c>
      <c r="C760" s="24" t="s">
        <v>2268</v>
      </c>
      <c r="D760" s="24">
        <v>102</v>
      </c>
      <c r="E760" s="24">
        <v>442</v>
      </c>
      <c r="F760" s="24">
        <v>60</v>
      </c>
      <c r="G760" s="24">
        <v>696</v>
      </c>
      <c r="H760" s="24">
        <v>73.5</v>
      </c>
      <c r="I760" s="24">
        <v>798</v>
      </c>
      <c r="J760" s="24">
        <v>60</v>
      </c>
      <c r="K760" s="24">
        <v>607</v>
      </c>
      <c r="L760" s="24">
        <v>35</v>
      </c>
      <c r="M760" s="24">
        <v>870</v>
      </c>
      <c r="N760" s="24">
        <v>72</v>
      </c>
      <c r="O760" s="24">
        <v>433</v>
      </c>
      <c r="P760" s="24">
        <v>68</v>
      </c>
      <c r="Q760" s="24">
        <v>541</v>
      </c>
      <c r="R760" s="24">
        <v>66</v>
      </c>
      <c r="S760" s="24">
        <v>511</v>
      </c>
      <c r="T760" s="24">
        <v>51</v>
      </c>
      <c r="U760" s="24">
        <v>555</v>
      </c>
      <c r="V760" s="24">
        <v>402.5</v>
      </c>
      <c r="W760" s="24">
        <v>42</v>
      </c>
      <c r="X760" s="24">
        <v>758</v>
      </c>
      <c r="Y760" s="24">
        <v>381</v>
      </c>
      <c r="Z760" s="24">
        <v>802</v>
      </c>
      <c r="AA760" s="24">
        <v>44</v>
      </c>
    </row>
    <row r="761" spans="1:27">
      <c r="A761" s="24" t="s">
        <v>3266</v>
      </c>
      <c r="B761" s="24" t="s">
        <v>60</v>
      </c>
      <c r="C761" s="24" t="s">
        <v>3249</v>
      </c>
      <c r="D761" s="24">
        <v>90</v>
      </c>
      <c r="E761" s="24">
        <v>815</v>
      </c>
      <c r="F761" s="24">
        <v>37</v>
      </c>
      <c r="G761" s="24">
        <v>907</v>
      </c>
      <c r="H761" s="24">
        <v>47</v>
      </c>
      <c r="I761" s="24">
        <v>931</v>
      </c>
      <c r="J761" s="24">
        <v>73</v>
      </c>
      <c r="K761" s="24">
        <v>339</v>
      </c>
      <c r="L761" s="24">
        <v>77</v>
      </c>
      <c r="M761" s="24">
        <v>68</v>
      </c>
      <c r="N761" s="24">
        <v>78</v>
      </c>
      <c r="O761" s="24">
        <v>250</v>
      </c>
      <c r="P761" s="24">
        <v>65</v>
      </c>
      <c r="Q761" s="24">
        <v>651</v>
      </c>
      <c r="R761" s="24">
        <v>65</v>
      </c>
      <c r="S761" s="24">
        <v>548</v>
      </c>
      <c r="T761" s="24">
        <v>62</v>
      </c>
      <c r="U761" s="24">
        <v>146</v>
      </c>
      <c r="V761" s="24">
        <v>402</v>
      </c>
      <c r="W761" s="24">
        <v>42</v>
      </c>
      <c r="X761" s="24">
        <v>760</v>
      </c>
      <c r="Y761" s="24">
        <v>411.5</v>
      </c>
      <c r="Z761" s="24">
        <v>674</v>
      </c>
      <c r="AA761" s="24">
        <v>-86</v>
      </c>
    </row>
    <row r="762" spans="1:27">
      <c r="A762" s="24" t="s">
        <v>1979</v>
      </c>
      <c r="B762" s="24" t="s">
        <v>109</v>
      </c>
      <c r="C762" s="24" t="s">
        <v>1980</v>
      </c>
      <c r="D762" s="24">
        <v>105</v>
      </c>
      <c r="E762" s="24">
        <v>325</v>
      </c>
      <c r="F762" s="24">
        <v>66</v>
      </c>
      <c r="G762" s="24">
        <v>584</v>
      </c>
      <c r="H762" s="24">
        <v>69</v>
      </c>
      <c r="I762" s="24">
        <v>852</v>
      </c>
      <c r="J762" s="24">
        <v>49</v>
      </c>
      <c r="K762" s="24">
        <v>803</v>
      </c>
      <c r="L762" s="24">
        <v>52</v>
      </c>
      <c r="M762" s="24">
        <v>551</v>
      </c>
      <c r="N762" s="24">
        <v>61</v>
      </c>
      <c r="O762" s="24">
        <v>734</v>
      </c>
      <c r="P762" s="24">
        <v>71</v>
      </c>
      <c r="Q762" s="24">
        <v>439</v>
      </c>
      <c r="R762" s="24">
        <v>69</v>
      </c>
      <c r="S762" s="24">
        <v>367</v>
      </c>
      <c r="T762" s="24">
        <v>57</v>
      </c>
      <c r="U762" s="24">
        <v>306</v>
      </c>
      <c r="V762" s="24">
        <v>402</v>
      </c>
      <c r="W762" s="24">
        <v>44</v>
      </c>
      <c r="X762" s="24">
        <v>760</v>
      </c>
      <c r="Y762" s="24">
        <v>338</v>
      </c>
      <c r="Z762" s="24">
        <v>898</v>
      </c>
      <c r="AA762" s="24">
        <v>138</v>
      </c>
    </row>
    <row r="763" spans="1:27">
      <c r="A763" s="24" t="s">
        <v>1837</v>
      </c>
      <c r="B763" s="24" t="s">
        <v>34</v>
      </c>
      <c r="C763" s="24" t="s">
        <v>1838</v>
      </c>
      <c r="D763" s="24">
        <v>93</v>
      </c>
      <c r="E763" s="24">
        <v>755</v>
      </c>
      <c r="F763" s="24">
        <v>77</v>
      </c>
      <c r="G763" s="24">
        <v>369</v>
      </c>
      <c r="H763" s="24">
        <v>82</v>
      </c>
      <c r="I763" s="24">
        <v>668</v>
      </c>
      <c r="J763" s="24">
        <v>42</v>
      </c>
      <c r="K763" s="24">
        <v>863</v>
      </c>
      <c r="L763" s="24">
        <v>50</v>
      </c>
      <c r="M763" s="24">
        <v>599</v>
      </c>
      <c r="N763" s="24">
        <v>58</v>
      </c>
      <c r="O763" s="24">
        <v>786</v>
      </c>
      <c r="P763" s="24">
        <v>66</v>
      </c>
      <c r="Q763" s="24">
        <v>604</v>
      </c>
      <c r="R763" s="24">
        <v>74</v>
      </c>
      <c r="S763" s="24">
        <v>174</v>
      </c>
      <c r="T763" s="24">
        <v>47</v>
      </c>
      <c r="U763" s="24">
        <v>719</v>
      </c>
      <c r="V763" s="24">
        <v>402</v>
      </c>
      <c r="W763" s="24">
        <v>47</v>
      </c>
      <c r="X763" s="24">
        <v>760</v>
      </c>
      <c r="Y763" s="24">
        <v>421</v>
      </c>
      <c r="Z763" s="24">
        <v>635</v>
      </c>
      <c r="AA763" s="24">
        <v>-125</v>
      </c>
    </row>
    <row r="764" spans="1:27">
      <c r="A764" s="24" t="s">
        <v>935</v>
      </c>
      <c r="B764" s="24" t="s">
        <v>60</v>
      </c>
      <c r="C764" s="24" t="s">
        <v>936</v>
      </c>
      <c r="D764" s="24">
        <v>100</v>
      </c>
      <c r="E764" s="24">
        <v>528</v>
      </c>
      <c r="F764" s="24">
        <v>66</v>
      </c>
      <c r="G764" s="24">
        <v>584</v>
      </c>
      <c r="H764" s="24">
        <v>56.5</v>
      </c>
      <c r="I764" s="24">
        <v>923</v>
      </c>
      <c r="J764" s="24">
        <v>57</v>
      </c>
      <c r="K764" s="24">
        <v>665</v>
      </c>
      <c r="L764" s="24">
        <v>51</v>
      </c>
      <c r="M764" s="24">
        <v>571</v>
      </c>
      <c r="N764" s="24">
        <v>71</v>
      </c>
      <c r="O764" s="24">
        <v>462</v>
      </c>
      <c r="P764" s="24">
        <v>55</v>
      </c>
      <c r="Q764" s="24">
        <v>868</v>
      </c>
      <c r="R764" s="24">
        <v>61</v>
      </c>
      <c r="S764" s="24">
        <v>703</v>
      </c>
      <c r="T764" s="24">
        <v>61</v>
      </c>
      <c r="U764" s="24">
        <v>172</v>
      </c>
      <c r="V764" s="24">
        <v>401.5</v>
      </c>
      <c r="W764" s="24">
        <v>43</v>
      </c>
      <c r="X764" s="24">
        <v>763</v>
      </c>
      <c r="Y764" s="24">
        <v>404.5</v>
      </c>
      <c r="Z764" s="24">
        <v>710</v>
      </c>
      <c r="AA764" s="24">
        <v>-53</v>
      </c>
    </row>
    <row r="765" spans="1:27">
      <c r="A765" s="24" t="s">
        <v>1798</v>
      </c>
      <c r="B765" s="24" t="s">
        <v>34</v>
      </c>
      <c r="C765" s="24" t="s">
        <v>1799</v>
      </c>
      <c r="D765" s="24">
        <v>88</v>
      </c>
      <c r="E765" s="24">
        <v>851</v>
      </c>
      <c r="F765" s="24">
        <v>64</v>
      </c>
      <c r="G765" s="24">
        <v>627</v>
      </c>
      <c r="H765" s="24">
        <v>70.5</v>
      </c>
      <c r="I765" s="24">
        <v>835</v>
      </c>
      <c r="J765" s="24">
        <v>63</v>
      </c>
      <c r="K765" s="24">
        <v>540</v>
      </c>
      <c r="L765" s="24">
        <v>50</v>
      </c>
      <c r="M765" s="24">
        <v>599</v>
      </c>
      <c r="N765" s="24">
        <v>66</v>
      </c>
      <c r="O765" s="24">
        <v>611</v>
      </c>
      <c r="P765" s="24">
        <v>56</v>
      </c>
      <c r="Q765" s="24">
        <v>849</v>
      </c>
      <c r="R765" s="24">
        <v>58</v>
      </c>
      <c r="S765" s="24">
        <v>770</v>
      </c>
      <c r="T765" s="24">
        <v>35</v>
      </c>
      <c r="U765" s="24">
        <v>924</v>
      </c>
      <c r="V765" s="24">
        <v>401.5</v>
      </c>
      <c r="W765" s="24">
        <v>48</v>
      </c>
      <c r="X765" s="24">
        <v>763</v>
      </c>
      <c r="Y765" s="24">
        <v>399</v>
      </c>
      <c r="Z765" s="24">
        <v>736</v>
      </c>
      <c r="AA765" s="24">
        <v>-27</v>
      </c>
    </row>
    <row r="766" spans="1:27">
      <c r="A766" s="24" t="s">
        <v>1200</v>
      </c>
      <c r="B766" s="24" t="s">
        <v>54</v>
      </c>
      <c r="C766" s="24" t="s">
        <v>1201</v>
      </c>
      <c r="D766" s="24">
        <v>93</v>
      </c>
      <c r="E766" s="24">
        <v>755</v>
      </c>
      <c r="F766" s="24">
        <v>62</v>
      </c>
      <c r="G766" s="24">
        <v>665</v>
      </c>
      <c r="H766" s="24">
        <v>78.5</v>
      </c>
      <c r="I766" s="24">
        <v>712</v>
      </c>
      <c r="J766" s="24">
        <v>50</v>
      </c>
      <c r="K766" s="24">
        <v>788</v>
      </c>
      <c r="L766" s="24">
        <v>56</v>
      </c>
      <c r="M766" s="24">
        <v>433</v>
      </c>
      <c r="N766" s="24">
        <v>62</v>
      </c>
      <c r="O766" s="24">
        <v>716</v>
      </c>
      <c r="P766" s="24">
        <v>69</v>
      </c>
      <c r="Q766" s="24">
        <v>504</v>
      </c>
      <c r="R766" s="24">
        <v>50</v>
      </c>
      <c r="S766" s="24">
        <v>896</v>
      </c>
      <c r="T766" s="24">
        <v>41</v>
      </c>
      <c r="U766" s="24">
        <v>866</v>
      </c>
      <c r="V766" s="24">
        <v>401.5</v>
      </c>
      <c r="W766" s="24">
        <v>44</v>
      </c>
      <c r="X766" s="24">
        <v>763</v>
      </c>
      <c r="Y766" s="24">
        <v>416</v>
      </c>
      <c r="Z766" s="24">
        <v>656</v>
      </c>
      <c r="AA766" s="24">
        <v>-107</v>
      </c>
    </row>
    <row r="767" spans="1:27">
      <c r="A767" s="24" t="s">
        <v>760</v>
      </c>
      <c r="B767" s="24" t="s">
        <v>117</v>
      </c>
      <c r="C767" s="24" t="s">
        <v>761</v>
      </c>
      <c r="D767" s="24">
        <v>105</v>
      </c>
      <c r="E767" s="24">
        <v>325</v>
      </c>
      <c r="F767" s="24">
        <v>60</v>
      </c>
      <c r="G767" s="24">
        <v>696</v>
      </c>
      <c r="H767" s="24">
        <v>78.5</v>
      </c>
      <c r="I767" s="24">
        <v>712</v>
      </c>
      <c r="J767" s="24">
        <v>53</v>
      </c>
      <c r="K767" s="24">
        <v>739</v>
      </c>
      <c r="L767" s="24">
        <v>44</v>
      </c>
      <c r="M767" s="24">
        <v>736</v>
      </c>
      <c r="N767" s="24">
        <v>61</v>
      </c>
      <c r="O767" s="24">
        <v>734</v>
      </c>
      <c r="P767" s="24">
        <v>68</v>
      </c>
      <c r="Q767" s="24">
        <v>541</v>
      </c>
      <c r="R767" s="24">
        <v>67</v>
      </c>
      <c r="S767" s="24">
        <v>471</v>
      </c>
      <c r="T767" s="24">
        <v>53</v>
      </c>
      <c r="U767" s="24">
        <v>470</v>
      </c>
      <c r="V767" s="24">
        <v>401.5</v>
      </c>
      <c r="W767" s="24">
        <v>44</v>
      </c>
      <c r="X767" s="24">
        <v>763</v>
      </c>
      <c r="Y767" s="24">
        <v>384</v>
      </c>
      <c r="Z767" s="24">
        <v>793</v>
      </c>
      <c r="AA767" s="24">
        <v>30</v>
      </c>
    </row>
    <row r="768" spans="1:27">
      <c r="A768" s="24" t="s">
        <v>2631</v>
      </c>
      <c r="B768" s="24" t="s">
        <v>49</v>
      </c>
      <c r="C768" s="24" t="s">
        <v>2634</v>
      </c>
      <c r="D768" s="24">
        <v>108</v>
      </c>
      <c r="E768" s="24">
        <v>212</v>
      </c>
      <c r="F768" s="24">
        <v>43</v>
      </c>
      <c r="G768" s="24">
        <v>881</v>
      </c>
      <c r="H768" s="24">
        <v>77.5</v>
      </c>
      <c r="I768" s="24">
        <v>735</v>
      </c>
      <c r="J768" s="24">
        <v>62</v>
      </c>
      <c r="K768" s="24">
        <v>564</v>
      </c>
      <c r="L768" s="24">
        <v>52</v>
      </c>
      <c r="M768" s="24">
        <v>551</v>
      </c>
      <c r="N768" s="24">
        <v>59</v>
      </c>
      <c r="O768" s="24">
        <v>762</v>
      </c>
      <c r="P768" s="24">
        <v>69</v>
      </c>
      <c r="Q768" s="24">
        <v>504</v>
      </c>
      <c r="R768" s="24">
        <v>70</v>
      </c>
      <c r="S768" s="24">
        <v>327</v>
      </c>
      <c r="T768" s="24">
        <v>62</v>
      </c>
      <c r="U768" s="24">
        <v>146</v>
      </c>
      <c r="V768" s="24">
        <v>401.5</v>
      </c>
      <c r="W768" s="24">
        <v>42</v>
      </c>
      <c r="X768" s="24">
        <v>763</v>
      </c>
      <c r="Y768" s="24">
        <v>427.5</v>
      </c>
      <c r="Z768" s="24">
        <v>589</v>
      </c>
      <c r="AA768" s="24">
        <v>-174</v>
      </c>
    </row>
    <row r="769" spans="1:27">
      <c r="A769" s="24" t="s">
        <v>1364</v>
      </c>
      <c r="B769" s="24" t="s">
        <v>56</v>
      </c>
      <c r="C769" s="24" t="s">
        <v>1365</v>
      </c>
      <c r="D769" s="24">
        <v>102</v>
      </c>
      <c r="E769" s="24">
        <v>442</v>
      </c>
      <c r="F769" s="24">
        <v>55</v>
      </c>
      <c r="G769" s="24">
        <v>766</v>
      </c>
      <c r="H769" s="24">
        <v>77</v>
      </c>
      <c r="I769" s="24">
        <v>741</v>
      </c>
      <c r="J769" s="24">
        <v>64</v>
      </c>
      <c r="K769" s="24">
        <v>517</v>
      </c>
      <c r="L769" s="24">
        <v>37</v>
      </c>
      <c r="M769" s="24">
        <v>850</v>
      </c>
      <c r="N769" s="24">
        <v>66</v>
      </c>
      <c r="O769" s="24">
        <v>611</v>
      </c>
      <c r="P769" s="24">
        <v>82</v>
      </c>
      <c r="Q769" s="24">
        <v>100</v>
      </c>
      <c r="R769" s="24">
        <v>59</v>
      </c>
      <c r="S769" s="24">
        <v>746</v>
      </c>
      <c r="T769" s="24">
        <v>42</v>
      </c>
      <c r="U769" s="24">
        <v>845</v>
      </c>
      <c r="V769" s="24">
        <v>401</v>
      </c>
      <c r="W769" s="24">
        <v>41</v>
      </c>
      <c r="X769" s="24">
        <v>768</v>
      </c>
      <c r="Y769" s="24">
        <v>376</v>
      </c>
      <c r="Z769" s="24">
        <v>818</v>
      </c>
      <c r="AA769" s="24">
        <v>50</v>
      </c>
    </row>
    <row r="770" spans="1:27">
      <c r="A770" s="24" t="s">
        <v>1207</v>
      </c>
      <c r="B770" s="24" t="s">
        <v>54</v>
      </c>
      <c r="C770" s="24" t="s">
        <v>1208</v>
      </c>
      <c r="D770" s="24">
        <v>106</v>
      </c>
      <c r="E770" s="24">
        <v>287</v>
      </c>
      <c r="F770" s="24">
        <v>59</v>
      </c>
      <c r="G770" s="24">
        <v>721</v>
      </c>
      <c r="H770" s="24">
        <v>91</v>
      </c>
      <c r="I770" s="24">
        <v>459</v>
      </c>
      <c r="J770" s="24">
        <v>51</v>
      </c>
      <c r="K770" s="24">
        <v>771</v>
      </c>
      <c r="L770" s="24">
        <v>35</v>
      </c>
      <c r="M770" s="24">
        <v>870</v>
      </c>
      <c r="N770" s="24">
        <v>59</v>
      </c>
      <c r="O770" s="24">
        <v>762</v>
      </c>
      <c r="P770" s="24">
        <v>59</v>
      </c>
      <c r="Q770" s="24">
        <v>799</v>
      </c>
      <c r="R770" s="24">
        <v>55</v>
      </c>
      <c r="S770" s="24">
        <v>835</v>
      </c>
      <c r="T770" s="24">
        <v>57</v>
      </c>
      <c r="U770" s="24">
        <v>306</v>
      </c>
      <c r="V770" s="24">
        <v>401</v>
      </c>
      <c r="W770" s="24">
        <v>45</v>
      </c>
      <c r="X770" s="24">
        <v>768</v>
      </c>
      <c r="Y770" s="24">
        <v>361.5</v>
      </c>
      <c r="Z770" s="24">
        <v>858</v>
      </c>
      <c r="AA770" s="24">
        <v>90</v>
      </c>
    </row>
    <row r="771" spans="1:27">
      <c r="A771" s="24" t="s">
        <v>1246</v>
      </c>
      <c r="B771" s="24" t="s">
        <v>54</v>
      </c>
      <c r="C771" s="24" t="s">
        <v>1247</v>
      </c>
      <c r="D771" s="24">
        <v>75</v>
      </c>
      <c r="E771" s="24">
        <v>926</v>
      </c>
      <c r="F771" s="24">
        <v>54</v>
      </c>
      <c r="G771" s="24">
        <v>782</v>
      </c>
      <c r="H771" s="24">
        <v>59.5</v>
      </c>
      <c r="I771" s="24">
        <v>914</v>
      </c>
      <c r="J771" s="24">
        <v>66</v>
      </c>
      <c r="K771" s="24">
        <v>484</v>
      </c>
      <c r="L771" s="24">
        <v>67</v>
      </c>
      <c r="M771" s="24">
        <v>177</v>
      </c>
      <c r="N771" s="24">
        <v>79</v>
      </c>
      <c r="O771" s="24">
        <v>229</v>
      </c>
      <c r="P771" s="24">
        <v>60</v>
      </c>
      <c r="Q771" s="24">
        <v>777</v>
      </c>
      <c r="R771" s="24">
        <v>72</v>
      </c>
      <c r="S771" s="24">
        <v>256</v>
      </c>
      <c r="T771" s="24">
        <v>60</v>
      </c>
      <c r="U771" s="24">
        <v>203</v>
      </c>
      <c r="V771" s="24">
        <v>400.5</v>
      </c>
      <c r="W771" s="24">
        <v>46</v>
      </c>
      <c r="X771" s="24">
        <v>770</v>
      </c>
      <c r="Y771" s="24">
        <v>453.5</v>
      </c>
      <c r="Z771" s="24">
        <v>446</v>
      </c>
      <c r="AA771" s="24">
        <v>-324</v>
      </c>
    </row>
    <row r="772" spans="1:27">
      <c r="A772" s="24" t="s">
        <v>987</v>
      </c>
      <c r="B772" s="24" t="s">
        <v>60</v>
      </c>
      <c r="C772" s="24" t="s">
        <v>988</v>
      </c>
      <c r="D772" s="24">
        <v>100</v>
      </c>
      <c r="E772" s="24">
        <v>528</v>
      </c>
      <c r="F772" s="24">
        <v>29</v>
      </c>
      <c r="G772" s="24">
        <v>922</v>
      </c>
      <c r="H772" s="24">
        <v>116.5</v>
      </c>
      <c r="I772" s="24">
        <v>46</v>
      </c>
      <c r="J772" s="24">
        <v>41</v>
      </c>
      <c r="K772" s="24">
        <v>871</v>
      </c>
      <c r="L772" s="24">
        <v>44</v>
      </c>
      <c r="M772" s="24">
        <v>736</v>
      </c>
      <c r="N772" s="24">
        <v>70</v>
      </c>
      <c r="O772" s="24">
        <v>485</v>
      </c>
      <c r="P772" s="24">
        <v>61</v>
      </c>
      <c r="Q772" s="24">
        <v>754</v>
      </c>
      <c r="R772" s="24">
        <v>74</v>
      </c>
      <c r="S772" s="24">
        <v>174</v>
      </c>
      <c r="T772" s="24">
        <v>59</v>
      </c>
      <c r="U772" s="24">
        <v>233</v>
      </c>
      <c r="V772" s="24">
        <v>400.5</v>
      </c>
      <c r="W772" s="24">
        <v>44</v>
      </c>
      <c r="X772" s="24">
        <v>770</v>
      </c>
      <c r="Y772" s="24">
        <v>388</v>
      </c>
      <c r="Z772" s="24">
        <v>774</v>
      </c>
      <c r="AA772" s="24">
        <v>4</v>
      </c>
    </row>
    <row r="773" spans="1:27">
      <c r="A773" s="24" t="s">
        <v>894</v>
      </c>
      <c r="B773" s="24" t="s">
        <v>60</v>
      </c>
      <c r="C773" s="24" t="s">
        <v>895</v>
      </c>
      <c r="D773" s="24">
        <v>97</v>
      </c>
      <c r="E773" s="24">
        <v>645</v>
      </c>
      <c r="F773" s="24">
        <v>44</v>
      </c>
      <c r="G773" s="24">
        <v>877</v>
      </c>
      <c r="H773" s="24">
        <v>93.5</v>
      </c>
      <c r="I773" s="24">
        <v>393</v>
      </c>
      <c r="J773" s="24">
        <v>54</v>
      </c>
      <c r="K773" s="24">
        <v>718</v>
      </c>
      <c r="L773" s="24">
        <v>47</v>
      </c>
      <c r="M773" s="24">
        <v>673</v>
      </c>
      <c r="N773" s="24">
        <v>65</v>
      </c>
      <c r="O773" s="24">
        <v>643</v>
      </c>
      <c r="P773" s="24">
        <v>66</v>
      </c>
      <c r="Q773" s="24">
        <v>604</v>
      </c>
      <c r="R773" s="24">
        <v>60</v>
      </c>
      <c r="S773" s="24">
        <v>727</v>
      </c>
      <c r="T773" s="24">
        <v>57</v>
      </c>
      <c r="U773" s="24">
        <v>306</v>
      </c>
      <c r="V773" s="24">
        <v>400.5</v>
      </c>
      <c r="W773" s="24">
        <v>44</v>
      </c>
      <c r="X773" s="24">
        <v>770</v>
      </c>
      <c r="Y773" s="24">
        <v>398</v>
      </c>
      <c r="Z773" s="24">
        <v>740</v>
      </c>
      <c r="AA773" s="24">
        <v>-30</v>
      </c>
    </row>
    <row r="774" spans="1:27">
      <c r="A774" s="24" t="s">
        <v>415</v>
      </c>
      <c r="B774" s="24" t="s">
        <v>19</v>
      </c>
      <c r="C774" s="24" t="s">
        <v>416</v>
      </c>
      <c r="D774" s="24">
        <v>101</v>
      </c>
      <c r="E774" s="24">
        <v>481</v>
      </c>
      <c r="F774" s="24">
        <v>56</v>
      </c>
      <c r="G774" s="24">
        <v>755</v>
      </c>
      <c r="H774" s="24">
        <v>75.5</v>
      </c>
      <c r="I774" s="24">
        <v>764</v>
      </c>
      <c r="J774" s="24">
        <v>54</v>
      </c>
      <c r="K774" s="24">
        <v>718</v>
      </c>
      <c r="L774" s="24">
        <v>51</v>
      </c>
      <c r="M774" s="24">
        <v>571</v>
      </c>
      <c r="N774" s="24">
        <v>63</v>
      </c>
      <c r="O774" s="24">
        <v>692</v>
      </c>
      <c r="P774" s="24">
        <v>71</v>
      </c>
      <c r="Q774" s="24">
        <v>439</v>
      </c>
      <c r="R774" s="24">
        <v>73</v>
      </c>
      <c r="S774" s="24">
        <v>216</v>
      </c>
      <c r="T774" s="24">
        <v>57</v>
      </c>
      <c r="U774" s="24">
        <v>306</v>
      </c>
      <c r="V774" s="24">
        <v>400.5</v>
      </c>
      <c r="W774" s="24">
        <v>46</v>
      </c>
      <c r="X774" s="24">
        <v>770</v>
      </c>
      <c r="Y774" s="24">
        <v>472.5</v>
      </c>
      <c r="Z774" s="24">
        <v>350</v>
      </c>
      <c r="AA774" s="24">
        <v>-420</v>
      </c>
    </row>
    <row r="775" spans="1:27">
      <c r="A775" s="24" t="s">
        <v>859</v>
      </c>
      <c r="B775" s="24" t="s">
        <v>117</v>
      </c>
      <c r="C775" s="24" t="s">
        <v>860</v>
      </c>
      <c r="D775" s="24">
        <v>102</v>
      </c>
      <c r="E775" s="24">
        <v>442</v>
      </c>
      <c r="F775" s="24">
        <v>34</v>
      </c>
      <c r="G775" s="24">
        <v>914</v>
      </c>
      <c r="H775" s="24">
        <v>80</v>
      </c>
      <c r="I775" s="24">
        <v>694</v>
      </c>
      <c r="J775" s="24">
        <v>60</v>
      </c>
      <c r="K775" s="24">
        <v>607</v>
      </c>
      <c r="L775" s="24">
        <v>50</v>
      </c>
      <c r="M775" s="24">
        <v>599</v>
      </c>
      <c r="N775" s="24">
        <v>74</v>
      </c>
      <c r="O775" s="24">
        <v>366</v>
      </c>
      <c r="P775" s="24">
        <v>55</v>
      </c>
      <c r="Q775" s="24">
        <v>868</v>
      </c>
      <c r="R775" s="24">
        <v>53</v>
      </c>
      <c r="S775" s="24">
        <v>869</v>
      </c>
      <c r="T775" s="24">
        <v>48</v>
      </c>
      <c r="U775" s="24">
        <v>671</v>
      </c>
      <c r="V775" s="24">
        <v>400</v>
      </c>
      <c r="W775" s="24">
        <v>45</v>
      </c>
      <c r="X775" s="24">
        <v>774</v>
      </c>
      <c r="Y775" s="24">
        <v>378.5</v>
      </c>
      <c r="Z775" s="24">
        <v>811</v>
      </c>
      <c r="AA775" s="24">
        <v>37</v>
      </c>
    </row>
    <row r="776" spans="1:27">
      <c r="A776" s="24" t="s">
        <v>1993</v>
      </c>
      <c r="B776" s="24" t="s">
        <v>109</v>
      </c>
      <c r="C776" s="24" t="s">
        <v>1994</v>
      </c>
      <c r="D776" s="24">
        <v>97</v>
      </c>
      <c r="E776" s="24">
        <v>645</v>
      </c>
      <c r="F776" s="24">
        <v>41</v>
      </c>
      <c r="G776" s="24">
        <v>894</v>
      </c>
      <c r="H776" s="24">
        <v>84.5</v>
      </c>
      <c r="I776" s="24">
        <v>607</v>
      </c>
      <c r="J776" s="24">
        <v>55</v>
      </c>
      <c r="K776" s="24">
        <v>694</v>
      </c>
      <c r="L776" s="24">
        <v>46</v>
      </c>
      <c r="M776" s="24">
        <v>702</v>
      </c>
      <c r="N776" s="24">
        <v>76</v>
      </c>
      <c r="O776" s="24">
        <v>308</v>
      </c>
      <c r="P776" s="24">
        <v>55</v>
      </c>
      <c r="Q776" s="24">
        <v>868</v>
      </c>
      <c r="R776" s="24">
        <v>78</v>
      </c>
      <c r="S776" s="24">
        <v>86</v>
      </c>
      <c r="T776" s="24">
        <v>43</v>
      </c>
      <c r="U776" s="24">
        <v>824</v>
      </c>
      <c r="V776" s="24">
        <v>399.5</v>
      </c>
      <c r="W776" s="24">
        <v>45</v>
      </c>
      <c r="X776" s="24">
        <v>775</v>
      </c>
      <c r="Y776" s="24">
        <v>402</v>
      </c>
      <c r="Z776" s="24">
        <v>721</v>
      </c>
      <c r="AA776" s="24">
        <v>-54</v>
      </c>
    </row>
    <row r="777" spans="1:27">
      <c r="A777" s="24" t="s">
        <v>2367</v>
      </c>
      <c r="B777" s="24" t="s">
        <v>7</v>
      </c>
      <c r="C777" s="24" t="s">
        <v>2377</v>
      </c>
      <c r="D777" s="24">
        <v>90</v>
      </c>
      <c r="E777" s="24">
        <v>815</v>
      </c>
      <c r="F777" s="24">
        <v>53</v>
      </c>
      <c r="G777" s="24">
        <v>792</v>
      </c>
      <c r="H777" s="24">
        <v>86.5</v>
      </c>
      <c r="I777" s="24">
        <v>566</v>
      </c>
      <c r="J777" s="24">
        <v>62</v>
      </c>
      <c r="K777" s="24">
        <v>564</v>
      </c>
      <c r="L777" s="24">
        <v>43</v>
      </c>
      <c r="M777" s="24">
        <v>757</v>
      </c>
      <c r="N777" s="24">
        <v>65</v>
      </c>
      <c r="O777" s="24">
        <v>643</v>
      </c>
      <c r="P777" s="24">
        <v>85</v>
      </c>
      <c r="Q777" s="24">
        <v>45</v>
      </c>
      <c r="R777" s="24">
        <v>64</v>
      </c>
      <c r="S777" s="24">
        <v>586</v>
      </c>
      <c r="T777" s="24">
        <v>46</v>
      </c>
      <c r="U777" s="24">
        <v>755</v>
      </c>
      <c r="V777" s="24">
        <v>399.5</v>
      </c>
      <c r="W777" s="24">
        <v>44</v>
      </c>
      <c r="X777" s="24">
        <v>775</v>
      </c>
      <c r="Y777" s="24">
        <v>410</v>
      </c>
      <c r="Z777" s="24">
        <v>685</v>
      </c>
      <c r="AA777" s="24">
        <v>-90</v>
      </c>
    </row>
    <row r="778" spans="1:27">
      <c r="A778" s="24" t="s">
        <v>911</v>
      </c>
      <c r="B778" s="24" t="s">
        <v>60</v>
      </c>
      <c r="C778" s="24" t="s">
        <v>912</v>
      </c>
      <c r="D778" s="24">
        <v>96</v>
      </c>
      <c r="E778" s="24">
        <v>676</v>
      </c>
      <c r="F778" s="24">
        <v>52</v>
      </c>
      <c r="G778" s="24">
        <v>807</v>
      </c>
      <c r="H778" s="24">
        <v>92.5</v>
      </c>
      <c r="I778" s="24">
        <v>414</v>
      </c>
      <c r="J778" s="24">
        <v>54</v>
      </c>
      <c r="K778" s="24">
        <v>718</v>
      </c>
      <c r="L778" s="24">
        <v>41</v>
      </c>
      <c r="M778" s="24">
        <v>795</v>
      </c>
      <c r="N778" s="24">
        <v>64</v>
      </c>
      <c r="O778" s="24">
        <v>667</v>
      </c>
      <c r="P778" s="24">
        <v>50</v>
      </c>
      <c r="Q778" s="24">
        <v>911</v>
      </c>
      <c r="R778" s="24">
        <v>58</v>
      </c>
      <c r="S778" s="24">
        <v>770</v>
      </c>
      <c r="T778" s="24">
        <v>45</v>
      </c>
      <c r="U778" s="24">
        <v>781</v>
      </c>
      <c r="V778" s="24">
        <v>399.5</v>
      </c>
      <c r="W778" s="24">
        <v>46</v>
      </c>
      <c r="X778" s="24">
        <v>775</v>
      </c>
      <c r="Y778" s="24">
        <v>403.5</v>
      </c>
      <c r="Z778" s="24">
        <v>715</v>
      </c>
      <c r="AA778" s="24">
        <v>-60</v>
      </c>
    </row>
    <row r="779" spans="1:27">
      <c r="A779" s="24" t="s">
        <v>1234</v>
      </c>
      <c r="B779" s="24" t="s">
        <v>54</v>
      </c>
      <c r="C779" s="24" t="s">
        <v>1235</v>
      </c>
      <c r="D779" s="24">
        <v>95</v>
      </c>
      <c r="E779" s="24">
        <v>710</v>
      </c>
      <c r="F779" s="24">
        <v>69</v>
      </c>
      <c r="G779" s="24">
        <v>524</v>
      </c>
      <c r="H779" s="24">
        <v>101</v>
      </c>
      <c r="I779" s="24">
        <v>234</v>
      </c>
      <c r="J779" s="24">
        <v>40</v>
      </c>
      <c r="K779" s="24">
        <v>879</v>
      </c>
      <c r="L779" s="24">
        <v>41</v>
      </c>
      <c r="M779" s="24">
        <v>795</v>
      </c>
      <c r="N779" s="24">
        <v>53</v>
      </c>
      <c r="O779" s="24">
        <v>858</v>
      </c>
      <c r="P779" s="24">
        <v>60</v>
      </c>
      <c r="Q779" s="24">
        <v>777</v>
      </c>
      <c r="R779" s="24">
        <v>55</v>
      </c>
      <c r="S779" s="24">
        <v>835</v>
      </c>
      <c r="T779" s="24">
        <v>34</v>
      </c>
      <c r="U779" s="24">
        <v>928</v>
      </c>
      <c r="V779" s="24">
        <v>399</v>
      </c>
      <c r="W779" s="24">
        <v>47</v>
      </c>
      <c r="X779" s="24">
        <v>778</v>
      </c>
      <c r="Y779" s="24">
        <v>356</v>
      </c>
      <c r="Z779" s="24">
        <v>866</v>
      </c>
      <c r="AA779" s="24">
        <v>88</v>
      </c>
    </row>
    <row r="780" spans="1:27">
      <c r="A780" s="24" t="s">
        <v>1487</v>
      </c>
      <c r="B780" s="24" t="s">
        <v>56</v>
      </c>
      <c r="C780" s="24" t="s">
        <v>1488</v>
      </c>
      <c r="D780" s="24">
        <v>81</v>
      </c>
      <c r="E780" s="24">
        <v>906</v>
      </c>
      <c r="F780" s="24">
        <v>69</v>
      </c>
      <c r="G780" s="24">
        <v>524</v>
      </c>
      <c r="H780" s="24">
        <v>92</v>
      </c>
      <c r="I780" s="24">
        <v>426</v>
      </c>
      <c r="J780" s="24">
        <v>61</v>
      </c>
      <c r="K780" s="24">
        <v>587</v>
      </c>
      <c r="L780" s="24">
        <v>44</v>
      </c>
      <c r="M780" s="24">
        <v>736</v>
      </c>
      <c r="N780" s="24">
        <v>51</v>
      </c>
      <c r="O780" s="24">
        <v>874</v>
      </c>
      <c r="P780" s="24">
        <v>71</v>
      </c>
      <c r="Q780" s="24">
        <v>439</v>
      </c>
      <c r="R780" s="24">
        <v>59</v>
      </c>
      <c r="S780" s="24">
        <v>746</v>
      </c>
      <c r="T780" s="24">
        <v>47</v>
      </c>
      <c r="U780" s="24">
        <v>719</v>
      </c>
      <c r="V780" s="24">
        <v>398</v>
      </c>
      <c r="W780" s="24">
        <v>42</v>
      </c>
      <c r="X780" s="24">
        <v>779</v>
      </c>
      <c r="Y780" s="24">
        <v>345.5</v>
      </c>
      <c r="Z780" s="24">
        <v>890</v>
      </c>
      <c r="AA780" s="24">
        <v>111</v>
      </c>
    </row>
    <row r="781" spans="1:27">
      <c r="A781" s="24" t="s">
        <v>2453</v>
      </c>
      <c r="B781" s="24" t="s">
        <v>131</v>
      </c>
      <c r="C781" s="24" t="s">
        <v>2454</v>
      </c>
      <c r="D781" s="24">
        <v>87</v>
      </c>
      <c r="E781" s="24">
        <v>857</v>
      </c>
      <c r="F781" s="24">
        <v>71</v>
      </c>
      <c r="G781" s="24">
        <v>475</v>
      </c>
      <c r="H781" s="24">
        <v>73.5</v>
      </c>
      <c r="I781" s="24">
        <v>798</v>
      </c>
      <c r="J781" s="24">
        <v>42</v>
      </c>
      <c r="K781" s="24">
        <v>863</v>
      </c>
      <c r="L781" s="24">
        <v>54</v>
      </c>
      <c r="M781" s="24">
        <v>494</v>
      </c>
      <c r="N781" s="24">
        <v>70</v>
      </c>
      <c r="O781" s="24">
        <v>485</v>
      </c>
      <c r="P781" s="24">
        <v>75</v>
      </c>
      <c r="Q781" s="24">
        <v>289</v>
      </c>
      <c r="R781" s="24">
        <v>70</v>
      </c>
      <c r="S781" s="24">
        <v>327</v>
      </c>
      <c r="T781" s="24">
        <v>65</v>
      </c>
      <c r="U781" s="24">
        <v>89</v>
      </c>
      <c r="V781" s="24">
        <v>397.5</v>
      </c>
      <c r="W781" s="24">
        <v>45</v>
      </c>
      <c r="X781" s="24">
        <v>780</v>
      </c>
      <c r="Y781" s="24">
        <v>406.5</v>
      </c>
      <c r="Z781" s="24">
        <v>698</v>
      </c>
      <c r="AA781" s="24">
        <v>-82</v>
      </c>
    </row>
    <row r="782" spans="1:27">
      <c r="A782" s="24" t="s">
        <v>503</v>
      </c>
      <c r="B782" s="24" t="s">
        <v>19</v>
      </c>
      <c r="C782" s="24" t="s">
        <v>513</v>
      </c>
      <c r="D782" s="24">
        <v>94</v>
      </c>
      <c r="E782" s="24">
        <v>733</v>
      </c>
      <c r="F782" s="24">
        <v>82</v>
      </c>
      <c r="G782" s="24">
        <v>290</v>
      </c>
      <c r="H782" s="24">
        <v>62.5</v>
      </c>
      <c r="I782" s="24">
        <v>899</v>
      </c>
      <c r="J782" s="24">
        <v>57</v>
      </c>
      <c r="K782" s="24">
        <v>665</v>
      </c>
      <c r="L782" s="24">
        <v>50</v>
      </c>
      <c r="M782" s="24">
        <v>599</v>
      </c>
      <c r="N782" s="24">
        <v>52</v>
      </c>
      <c r="O782" s="24">
        <v>866</v>
      </c>
      <c r="P782" s="24">
        <v>68</v>
      </c>
      <c r="Q782" s="24">
        <v>541</v>
      </c>
      <c r="R782" s="24">
        <v>66</v>
      </c>
      <c r="S782" s="24">
        <v>511</v>
      </c>
      <c r="T782" s="24">
        <v>69</v>
      </c>
      <c r="U782" s="24">
        <v>43</v>
      </c>
      <c r="V782" s="24">
        <v>397.5</v>
      </c>
      <c r="W782" s="24">
        <v>47</v>
      </c>
      <c r="X782" s="24">
        <v>780</v>
      </c>
      <c r="Y782" s="24">
        <v>388.5</v>
      </c>
      <c r="Z782" s="24">
        <v>770</v>
      </c>
      <c r="AA782" s="24">
        <v>-10</v>
      </c>
    </row>
    <row r="783" spans="1:27">
      <c r="A783" s="24" t="s">
        <v>1074</v>
      </c>
      <c r="B783" s="24" t="s">
        <v>68</v>
      </c>
      <c r="C783" s="24" t="s">
        <v>1075</v>
      </c>
      <c r="D783" s="24">
        <v>94</v>
      </c>
      <c r="E783" s="24">
        <v>733</v>
      </c>
      <c r="F783" s="24">
        <v>45</v>
      </c>
      <c r="G783" s="24">
        <v>871</v>
      </c>
      <c r="H783" s="24">
        <v>85</v>
      </c>
      <c r="I783" s="24">
        <v>593</v>
      </c>
      <c r="J783" s="24">
        <v>61</v>
      </c>
      <c r="K783" s="24">
        <v>587</v>
      </c>
      <c r="L783" s="24">
        <v>41</v>
      </c>
      <c r="M783" s="24">
        <v>795</v>
      </c>
      <c r="N783" s="24">
        <v>71</v>
      </c>
      <c r="O783" s="24">
        <v>462</v>
      </c>
      <c r="P783" s="24">
        <v>75</v>
      </c>
      <c r="Q783" s="24">
        <v>289</v>
      </c>
      <c r="R783" s="24">
        <v>74</v>
      </c>
      <c r="S783" s="24">
        <v>174</v>
      </c>
      <c r="T783" s="24">
        <v>52</v>
      </c>
      <c r="U783" s="24">
        <v>509</v>
      </c>
      <c r="V783" s="24">
        <v>397</v>
      </c>
      <c r="W783" s="24">
        <v>48</v>
      </c>
      <c r="X783" s="24">
        <v>782</v>
      </c>
      <c r="Y783" s="24">
        <v>393.5</v>
      </c>
      <c r="Z783" s="24">
        <v>753</v>
      </c>
      <c r="AA783" s="24">
        <v>-29</v>
      </c>
    </row>
    <row r="784" spans="1:27">
      <c r="A784" s="24" t="s">
        <v>634</v>
      </c>
      <c r="B784" s="24" t="s">
        <v>17</v>
      </c>
      <c r="C784" s="24" t="s">
        <v>635</v>
      </c>
      <c r="D784" s="24">
        <v>111</v>
      </c>
      <c r="E784" s="24">
        <v>136</v>
      </c>
      <c r="F784" s="24">
        <v>52</v>
      </c>
      <c r="G784" s="24">
        <v>807</v>
      </c>
      <c r="H784" s="24">
        <v>100</v>
      </c>
      <c r="I784" s="24">
        <v>258</v>
      </c>
      <c r="J784" s="24">
        <v>39</v>
      </c>
      <c r="K784" s="24">
        <v>888</v>
      </c>
      <c r="L784" s="24">
        <v>32</v>
      </c>
      <c r="M784" s="24">
        <v>889</v>
      </c>
      <c r="N784" s="24">
        <v>63</v>
      </c>
      <c r="O784" s="24">
        <v>692</v>
      </c>
      <c r="P784" s="24">
        <v>85</v>
      </c>
      <c r="Q784" s="24">
        <v>45</v>
      </c>
      <c r="R784" s="24">
        <v>78</v>
      </c>
      <c r="S784" s="24">
        <v>86</v>
      </c>
      <c r="T784" s="24">
        <v>64</v>
      </c>
      <c r="U784" s="24">
        <v>103</v>
      </c>
      <c r="V784" s="24">
        <v>397</v>
      </c>
      <c r="W784" s="24">
        <v>51</v>
      </c>
      <c r="X784" s="24">
        <v>782</v>
      </c>
      <c r="Y784" s="24">
        <v>428</v>
      </c>
      <c r="Z784" s="24">
        <v>587</v>
      </c>
      <c r="AA784" s="24">
        <v>-195</v>
      </c>
    </row>
    <row r="785" spans="1:27">
      <c r="A785" s="24" t="s">
        <v>709</v>
      </c>
      <c r="B785" s="24" t="s">
        <v>117</v>
      </c>
      <c r="C785" s="24" t="s">
        <v>710</v>
      </c>
      <c r="D785" s="24">
        <v>116</v>
      </c>
      <c r="E785" s="24">
        <v>47</v>
      </c>
      <c r="F785" s="24">
        <v>51</v>
      </c>
      <c r="G785" s="24">
        <v>817</v>
      </c>
      <c r="H785" s="24">
        <v>78</v>
      </c>
      <c r="I785" s="24">
        <v>723</v>
      </c>
      <c r="J785" s="24">
        <v>47</v>
      </c>
      <c r="K785" s="24">
        <v>825</v>
      </c>
      <c r="L785" s="24">
        <v>43</v>
      </c>
      <c r="M785" s="24">
        <v>757</v>
      </c>
      <c r="N785" s="24">
        <v>62</v>
      </c>
      <c r="O785" s="24">
        <v>716</v>
      </c>
      <c r="P785" s="24">
        <v>71</v>
      </c>
      <c r="Q785" s="24">
        <v>439</v>
      </c>
      <c r="R785" s="24">
        <v>80</v>
      </c>
      <c r="S785" s="24">
        <v>54</v>
      </c>
      <c r="T785" s="24">
        <v>56</v>
      </c>
      <c r="U785" s="24">
        <v>352</v>
      </c>
      <c r="V785" s="24">
        <v>397</v>
      </c>
      <c r="W785" s="24">
        <v>46</v>
      </c>
      <c r="X785" s="24">
        <v>782</v>
      </c>
      <c r="Y785" s="24">
        <v>421</v>
      </c>
      <c r="Z785" s="24">
        <v>635</v>
      </c>
      <c r="AA785" s="24">
        <v>-147</v>
      </c>
    </row>
    <row r="786" spans="1:27">
      <c r="A786" s="24" t="s">
        <v>2683</v>
      </c>
      <c r="B786" s="24" t="s">
        <v>49</v>
      </c>
      <c r="C786" s="24" t="s">
        <v>3000</v>
      </c>
      <c r="D786" s="24">
        <v>102</v>
      </c>
      <c r="E786" s="24">
        <v>442</v>
      </c>
      <c r="F786" s="24">
        <v>46</v>
      </c>
      <c r="G786" s="24">
        <v>862</v>
      </c>
      <c r="H786" s="24">
        <v>91</v>
      </c>
      <c r="I786" s="24">
        <v>459</v>
      </c>
      <c r="J786" s="24">
        <v>54</v>
      </c>
      <c r="K786" s="24">
        <v>718</v>
      </c>
      <c r="L786" s="24">
        <v>46</v>
      </c>
      <c r="M786" s="24">
        <v>702</v>
      </c>
      <c r="N786" s="24">
        <v>58</v>
      </c>
      <c r="O786" s="24">
        <v>786</v>
      </c>
      <c r="P786" s="24">
        <v>63</v>
      </c>
      <c r="Q786" s="24">
        <v>712</v>
      </c>
      <c r="R786" s="24">
        <v>73</v>
      </c>
      <c r="S786" s="24">
        <v>216</v>
      </c>
      <c r="T786" s="24">
        <v>68</v>
      </c>
      <c r="U786" s="24">
        <v>54</v>
      </c>
      <c r="V786" s="24">
        <v>397</v>
      </c>
      <c r="W786" s="24">
        <v>43</v>
      </c>
      <c r="X786" s="24">
        <v>782</v>
      </c>
      <c r="Y786" s="24">
        <v>436.5</v>
      </c>
      <c r="Z786" s="24">
        <v>538</v>
      </c>
      <c r="AA786" s="24">
        <v>-244</v>
      </c>
    </row>
    <row r="787" spans="1:27">
      <c r="A787" s="24" t="s">
        <v>763</v>
      </c>
      <c r="B787" s="24" t="s">
        <v>117</v>
      </c>
      <c r="C787" s="24" t="s">
        <v>764</v>
      </c>
      <c r="D787" s="24">
        <v>80</v>
      </c>
      <c r="E787" s="24">
        <v>909</v>
      </c>
      <c r="F787" s="24">
        <v>78</v>
      </c>
      <c r="G787" s="24">
        <v>353</v>
      </c>
      <c r="H787" s="24">
        <v>61</v>
      </c>
      <c r="I787" s="24">
        <v>909</v>
      </c>
      <c r="J787" s="24">
        <v>66</v>
      </c>
      <c r="K787" s="24">
        <v>484</v>
      </c>
      <c r="L787" s="24">
        <v>56</v>
      </c>
      <c r="M787" s="24">
        <v>433</v>
      </c>
      <c r="N787" s="24">
        <v>56</v>
      </c>
      <c r="O787" s="24">
        <v>816</v>
      </c>
      <c r="P787" s="24">
        <v>68</v>
      </c>
      <c r="Q787" s="24">
        <v>541</v>
      </c>
      <c r="R787" s="24">
        <v>61</v>
      </c>
      <c r="S787" s="24">
        <v>703</v>
      </c>
      <c r="T787" s="24">
        <v>52</v>
      </c>
      <c r="U787" s="24">
        <v>509</v>
      </c>
      <c r="V787" s="24">
        <v>397</v>
      </c>
      <c r="W787" s="24">
        <v>46</v>
      </c>
      <c r="X787" s="24">
        <v>782</v>
      </c>
      <c r="Y787" s="24">
        <v>378</v>
      </c>
      <c r="Z787" s="24">
        <v>814</v>
      </c>
      <c r="AA787" s="24">
        <v>32</v>
      </c>
    </row>
    <row r="788" spans="1:27">
      <c r="A788" s="24" t="s">
        <v>1372</v>
      </c>
      <c r="B788" s="24" t="s">
        <v>56</v>
      </c>
      <c r="C788" s="24" t="s">
        <v>1373</v>
      </c>
      <c r="D788" s="24">
        <v>99</v>
      </c>
      <c r="E788" s="24">
        <v>571</v>
      </c>
      <c r="F788" s="24">
        <v>41</v>
      </c>
      <c r="G788" s="24">
        <v>894</v>
      </c>
      <c r="H788" s="24">
        <v>76.5</v>
      </c>
      <c r="I788" s="24">
        <v>751</v>
      </c>
      <c r="J788" s="24">
        <v>52</v>
      </c>
      <c r="K788" s="24">
        <v>757</v>
      </c>
      <c r="L788" s="24">
        <v>43</v>
      </c>
      <c r="M788" s="24">
        <v>757</v>
      </c>
      <c r="N788" s="24">
        <v>85</v>
      </c>
      <c r="O788" s="24">
        <v>96</v>
      </c>
      <c r="P788" s="24">
        <v>66</v>
      </c>
      <c r="Q788" s="24">
        <v>604</v>
      </c>
      <c r="R788" s="24">
        <v>76</v>
      </c>
      <c r="S788" s="24">
        <v>125</v>
      </c>
      <c r="T788" s="24">
        <v>58</v>
      </c>
      <c r="U788" s="24">
        <v>278</v>
      </c>
      <c r="V788" s="24">
        <v>396.5</v>
      </c>
      <c r="W788" s="24">
        <v>43</v>
      </c>
      <c r="X788" s="24">
        <v>787</v>
      </c>
      <c r="Y788" s="24">
        <v>376.5</v>
      </c>
      <c r="Z788" s="24">
        <v>817</v>
      </c>
      <c r="AA788" s="24">
        <v>30</v>
      </c>
    </row>
    <row r="789" spans="1:27">
      <c r="A789" s="24" t="s">
        <v>1466</v>
      </c>
      <c r="B789" s="24" t="s">
        <v>56</v>
      </c>
      <c r="C789" s="24" t="s">
        <v>1467</v>
      </c>
      <c r="D789" s="24">
        <v>113</v>
      </c>
      <c r="E789" s="24">
        <v>95</v>
      </c>
      <c r="F789" s="24">
        <v>49</v>
      </c>
      <c r="G789" s="24">
        <v>839</v>
      </c>
      <c r="H789" s="24">
        <v>85.5</v>
      </c>
      <c r="I789" s="24">
        <v>586</v>
      </c>
      <c r="J789" s="24">
        <v>57</v>
      </c>
      <c r="K789" s="24">
        <v>665</v>
      </c>
      <c r="L789" s="24">
        <v>36</v>
      </c>
      <c r="M789" s="24">
        <v>856</v>
      </c>
      <c r="N789" s="24">
        <v>55</v>
      </c>
      <c r="O789" s="24">
        <v>831</v>
      </c>
      <c r="P789" s="24">
        <v>72</v>
      </c>
      <c r="Q789" s="24">
        <v>396</v>
      </c>
      <c r="R789" s="24">
        <v>68</v>
      </c>
      <c r="S789" s="24">
        <v>412</v>
      </c>
      <c r="T789" s="24">
        <v>56</v>
      </c>
      <c r="U789" s="24">
        <v>352</v>
      </c>
      <c r="V789" s="24">
        <v>395.5</v>
      </c>
      <c r="W789" s="24">
        <v>44</v>
      </c>
      <c r="X789" s="24">
        <v>788</v>
      </c>
      <c r="Y789" s="24">
        <v>412</v>
      </c>
      <c r="Z789" s="24">
        <v>670</v>
      </c>
      <c r="AA789" s="24">
        <v>-118</v>
      </c>
    </row>
    <row r="790" spans="1:27">
      <c r="A790" s="24" t="s">
        <v>1277</v>
      </c>
      <c r="B790" s="24" t="s">
        <v>54</v>
      </c>
      <c r="C790" s="24" t="s">
        <v>1278</v>
      </c>
      <c r="D790" s="24">
        <v>105</v>
      </c>
      <c r="E790" s="24">
        <v>325</v>
      </c>
      <c r="F790" s="24">
        <v>47</v>
      </c>
      <c r="G790" s="24">
        <v>857</v>
      </c>
      <c r="H790" s="24">
        <v>82</v>
      </c>
      <c r="I790" s="24">
        <v>668</v>
      </c>
      <c r="J790" s="24">
        <v>42</v>
      </c>
      <c r="K790" s="24">
        <v>863</v>
      </c>
      <c r="L790" s="24">
        <v>48</v>
      </c>
      <c r="M790" s="24">
        <v>649</v>
      </c>
      <c r="N790" s="24">
        <v>71</v>
      </c>
      <c r="O790" s="24">
        <v>462</v>
      </c>
      <c r="P790" s="24">
        <v>67</v>
      </c>
      <c r="Q790" s="24">
        <v>570</v>
      </c>
      <c r="R790" s="24">
        <v>58</v>
      </c>
      <c r="S790" s="24">
        <v>770</v>
      </c>
      <c r="T790" s="24">
        <v>59</v>
      </c>
      <c r="U790" s="24">
        <v>233</v>
      </c>
      <c r="V790" s="24">
        <v>395</v>
      </c>
      <c r="W790" s="24">
        <v>48</v>
      </c>
      <c r="X790" s="24">
        <v>789</v>
      </c>
      <c r="Y790" s="24">
        <v>411.5</v>
      </c>
      <c r="Z790" s="24">
        <v>674</v>
      </c>
      <c r="AA790" s="24">
        <v>-115</v>
      </c>
    </row>
    <row r="791" spans="1:27">
      <c r="A791" s="24" t="s">
        <v>1948</v>
      </c>
      <c r="B791" s="24" t="s">
        <v>109</v>
      </c>
      <c r="C791" s="24" t="s">
        <v>1949</v>
      </c>
      <c r="D791" s="24">
        <v>100</v>
      </c>
      <c r="E791" s="24">
        <v>528</v>
      </c>
      <c r="F791" s="24">
        <v>72</v>
      </c>
      <c r="G791" s="24">
        <v>458</v>
      </c>
      <c r="H791" s="24">
        <v>107</v>
      </c>
      <c r="I791" s="24">
        <v>148</v>
      </c>
      <c r="J791" s="24">
        <v>40</v>
      </c>
      <c r="K791" s="24">
        <v>879</v>
      </c>
      <c r="L791" s="24">
        <v>22</v>
      </c>
      <c r="M791" s="24">
        <v>929</v>
      </c>
      <c r="N791" s="24">
        <v>54</v>
      </c>
      <c r="O791" s="24">
        <v>845</v>
      </c>
      <c r="P791" s="24">
        <v>65</v>
      </c>
      <c r="Q791" s="24">
        <v>651</v>
      </c>
      <c r="R791" s="24">
        <v>64</v>
      </c>
      <c r="S791" s="24">
        <v>586</v>
      </c>
      <c r="T791" s="24">
        <v>47</v>
      </c>
      <c r="U791" s="24">
        <v>719</v>
      </c>
      <c r="V791" s="24">
        <v>395</v>
      </c>
      <c r="W791" s="24">
        <v>46</v>
      </c>
      <c r="X791" s="24">
        <v>789</v>
      </c>
      <c r="Y791" s="24">
        <v>371.5</v>
      </c>
      <c r="Z791" s="24">
        <v>834</v>
      </c>
      <c r="AA791" s="24">
        <v>45</v>
      </c>
    </row>
    <row r="792" spans="1:27">
      <c r="A792" s="24" t="s">
        <v>1867</v>
      </c>
      <c r="B792" s="24" t="s">
        <v>34</v>
      </c>
      <c r="C792" s="24" t="s">
        <v>1868</v>
      </c>
      <c r="D792" s="24">
        <v>91</v>
      </c>
      <c r="E792" s="24">
        <v>799</v>
      </c>
      <c r="F792" s="24">
        <v>80</v>
      </c>
      <c r="G792" s="24">
        <v>325</v>
      </c>
      <c r="H792" s="24">
        <v>73</v>
      </c>
      <c r="I792" s="24">
        <v>809</v>
      </c>
      <c r="J792" s="24">
        <v>49</v>
      </c>
      <c r="K792" s="24">
        <v>803</v>
      </c>
      <c r="L792" s="24">
        <v>42</v>
      </c>
      <c r="M792" s="24">
        <v>774</v>
      </c>
      <c r="N792" s="24">
        <v>59</v>
      </c>
      <c r="O792" s="24">
        <v>762</v>
      </c>
      <c r="P792" s="24">
        <v>87</v>
      </c>
      <c r="Q792" s="24">
        <v>25</v>
      </c>
      <c r="R792" s="24">
        <v>56</v>
      </c>
      <c r="S792" s="24">
        <v>817</v>
      </c>
      <c r="T792" s="24">
        <v>57</v>
      </c>
      <c r="U792" s="24">
        <v>306</v>
      </c>
      <c r="V792" s="24">
        <v>394</v>
      </c>
      <c r="W792" s="24">
        <v>49</v>
      </c>
      <c r="X792" s="24">
        <v>791</v>
      </c>
      <c r="Y792" s="24">
        <v>335.5</v>
      </c>
      <c r="Z792" s="24">
        <v>900</v>
      </c>
      <c r="AA792" s="24">
        <v>109</v>
      </c>
    </row>
    <row r="793" spans="1:27">
      <c r="A793" s="24" t="s">
        <v>212</v>
      </c>
      <c r="B793" s="24" t="s">
        <v>28</v>
      </c>
      <c r="C793" s="24" t="s">
        <v>213</v>
      </c>
      <c r="D793" s="24">
        <v>101</v>
      </c>
      <c r="E793" s="24">
        <v>481</v>
      </c>
      <c r="F793" s="24">
        <v>63</v>
      </c>
      <c r="G793" s="24">
        <v>642</v>
      </c>
      <c r="H793" s="24">
        <v>91</v>
      </c>
      <c r="I793" s="24">
        <v>459</v>
      </c>
      <c r="J793" s="24">
        <v>51</v>
      </c>
      <c r="K793" s="24">
        <v>771</v>
      </c>
      <c r="L793" s="24">
        <v>39</v>
      </c>
      <c r="M793" s="24">
        <v>825</v>
      </c>
      <c r="N793" s="24">
        <v>49</v>
      </c>
      <c r="O793" s="24">
        <v>888</v>
      </c>
      <c r="P793" s="24">
        <v>78</v>
      </c>
      <c r="Q793" s="24">
        <v>209</v>
      </c>
      <c r="R793" s="24">
        <v>68</v>
      </c>
      <c r="S793" s="24">
        <v>412</v>
      </c>
      <c r="T793" s="24">
        <v>40</v>
      </c>
      <c r="U793" s="24">
        <v>881</v>
      </c>
      <c r="V793" s="24">
        <v>394</v>
      </c>
      <c r="W793" s="24">
        <v>45</v>
      </c>
      <c r="X793" s="24">
        <v>791</v>
      </c>
      <c r="Y793" s="24">
        <v>367.5</v>
      </c>
      <c r="Z793" s="24">
        <v>845</v>
      </c>
      <c r="AA793" s="24">
        <v>54</v>
      </c>
    </row>
    <row r="794" spans="1:27">
      <c r="A794" s="24" t="s">
        <v>2806</v>
      </c>
      <c r="B794" s="24" t="s">
        <v>38</v>
      </c>
      <c r="C794" s="24" t="s">
        <v>2807</v>
      </c>
      <c r="D794" s="24">
        <v>113</v>
      </c>
      <c r="E794" s="24">
        <v>95</v>
      </c>
      <c r="F794" s="24">
        <v>42</v>
      </c>
      <c r="G794" s="24">
        <v>887</v>
      </c>
      <c r="H794" s="24">
        <v>83.5</v>
      </c>
      <c r="I794" s="24">
        <v>633</v>
      </c>
      <c r="J794" s="24">
        <v>63</v>
      </c>
      <c r="K794" s="24">
        <v>540</v>
      </c>
      <c r="L794" s="24">
        <v>38</v>
      </c>
      <c r="M794" s="24">
        <v>840</v>
      </c>
      <c r="N794" s="24">
        <v>54</v>
      </c>
      <c r="O794" s="24">
        <v>845</v>
      </c>
      <c r="P794" s="24">
        <v>67</v>
      </c>
      <c r="Q794" s="24">
        <v>570</v>
      </c>
      <c r="R794" s="24">
        <v>83</v>
      </c>
      <c r="S794" s="24">
        <v>22</v>
      </c>
      <c r="T794" s="24">
        <v>56</v>
      </c>
      <c r="U794" s="24">
        <v>352</v>
      </c>
      <c r="V794" s="24">
        <v>393.5</v>
      </c>
      <c r="W794" s="24">
        <v>47</v>
      </c>
      <c r="X794" s="24">
        <v>793</v>
      </c>
      <c r="Y794" s="24">
        <v>422</v>
      </c>
      <c r="Z794" s="24">
        <v>625</v>
      </c>
      <c r="AA794" s="24">
        <v>-168</v>
      </c>
    </row>
    <row r="795" spans="1:27">
      <c r="A795" s="24" t="s">
        <v>1326</v>
      </c>
      <c r="B795" s="24" t="s">
        <v>54</v>
      </c>
      <c r="C795" s="24" t="s">
        <v>1327</v>
      </c>
      <c r="D795" s="24">
        <v>92</v>
      </c>
      <c r="E795" s="24">
        <v>779</v>
      </c>
      <c r="F795" s="24">
        <v>66</v>
      </c>
      <c r="G795" s="24">
        <v>584</v>
      </c>
      <c r="H795" s="24">
        <v>75</v>
      </c>
      <c r="I795" s="24">
        <v>777</v>
      </c>
      <c r="J795" s="24">
        <v>55</v>
      </c>
      <c r="K795" s="24">
        <v>694</v>
      </c>
      <c r="L795" s="24">
        <v>49</v>
      </c>
      <c r="M795" s="24">
        <v>624</v>
      </c>
      <c r="N795" s="24">
        <v>56</v>
      </c>
      <c r="O795" s="24">
        <v>816</v>
      </c>
      <c r="P795" s="24">
        <v>62</v>
      </c>
      <c r="Q795" s="24">
        <v>729</v>
      </c>
      <c r="R795" s="24">
        <v>54</v>
      </c>
      <c r="S795" s="24">
        <v>855</v>
      </c>
      <c r="T795" s="24">
        <v>44</v>
      </c>
      <c r="U795" s="24">
        <v>804</v>
      </c>
      <c r="V795" s="24">
        <v>393</v>
      </c>
      <c r="W795" s="24">
        <v>49</v>
      </c>
      <c r="X795" s="24">
        <v>794</v>
      </c>
      <c r="Y795" s="24">
        <v>382.5</v>
      </c>
      <c r="Z795" s="24">
        <v>797</v>
      </c>
      <c r="AA795" s="24">
        <v>3</v>
      </c>
    </row>
    <row r="796" spans="1:27">
      <c r="A796" s="24" t="s">
        <v>399</v>
      </c>
      <c r="B796" s="24" t="s">
        <v>19</v>
      </c>
      <c r="C796" s="24" t="s">
        <v>400</v>
      </c>
      <c r="D796" s="24">
        <v>94</v>
      </c>
      <c r="E796" s="24">
        <v>733</v>
      </c>
      <c r="F796" s="24">
        <v>51</v>
      </c>
      <c r="G796" s="24">
        <v>817</v>
      </c>
      <c r="H796" s="24">
        <v>97.5</v>
      </c>
      <c r="I796" s="24">
        <v>310</v>
      </c>
      <c r="J796" s="24">
        <v>50</v>
      </c>
      <c r="K796" s="24">
        <v>788</v>
      </c>
      <c r="L796" s="24">
        <v>41</v>
      </c>
      <c r="M796" s="24">
        <v>795</v>
      </c>
      <c r="N796" s="24">
        <v>59</v>
      </c>
      <c r="O796" s="24">
        <v>762</v>
      </c>
      <c r="P796" s="24">
        <v>57</v>
      </c>
      <c r="Q796" s="24">
        <v>838</v>
      </c>
      <c r="R796" s="24">
        <v>49</v>
      </c>
      <c r="S796" s="24">
        <v>904</v>
      </c>
      <c r="T796" s="24">
        <v>50</v>
      </c>
      <c r="U796" s="24">
        <v>591</v>
      </c>
      <c r="V796" s="24">
        <v>392.5</v>
      </c>
      <c r="W796" s="24">
        <v>48</v>
      </c>
      <c r="X796" s="24">
        <v>795</v>
      </c>
      <c r="Y796" s="24">
        <v>393.5</v>
      </c>
      <c r="Z796" s="24">
        <v>753</v>
      </c>
      <c r="AA796" s="24">
        <v>-42</v>
      </c>
    </row>
    <row r="797" spans="1:27">
      <c r="A797" s="24" t="s">
        <v>2701</v>
      </c>
      <c r="B797" s="24" t="s">
        <v>49</v>
      </c>
      <c r="C797" s="24" t="s">
        <v>2699</v>
      </c>
      <c r="D797" s="24">
        <v>100</v>
      </c>
      <c r="E797" s="24">
        <v>528</v>
      </c>
      <c r="F797" s="24">
        <v>55</v>
      </c>
      <c r="G797" s="24">
        <v>766</v>
      </c>
      <c r="H797" s="24">
        <v>78</v>
      </c>
      <c r="I797" s="24">
        <v>723</v>
      </c>
      <c r="J797" s="24">
        <v>55</v>
      </c>
      <c r="K797" s="24">
        <v>694</v>
      </c>
      <c r="L797" s="24">
        <v>47</v>
      </c>
      <c r="M797" s="24">
        <v>673</v>
      </c>
      <c r="N797" s="24">
        <v>57</v>
      </c>
      <c r="O797" s="24">
        <v>801</v>
      </c>
      <c r="P797" s="24">
        <v>65</v>
      </c>
      <c r="Q797" s="24">
        <v>651</v>
      </c>
      <c r="R797" s="24">
        <v>68</v>
      </c>
      <c r="S797" s="24">
        <v>412</v>
      </c>
      <c r="T797" s="24">
        <v>52</v>
      </c>
      <c r="U797" s="24">
        <v>509</v>
      </c>
      <c r="V797" s="24">
        <v>392</v>
      </c>
      <c r="W797" s="24">
        <v>44</v>
      </c>
      <c r="X797" s="24">
        <v>796</v>
      </c>
      <c r="Y797" s="24">
        <v>409.5</v>
      </c>
      <c r="Z797" s="24">
        <v>688</v>
      </c>
      <c r="AA797" s="24">
        <v>-108</v>
      </c>
    </row>
    <row r="798" spans="1:27">
      <c r="A798" s="24" t="s">
        <v>512</v>
      </c>
      <c r="B798" s="24" t="s">
        <v>19</v>
      </c>
      <c r="C798" s="24" t="s">
        <v>522</v>
      </c>
      <c r="D798" s="24">
        <v>104</v>
      </c>
      <c r="E798" s="24">
        <v>357</v>
      </c>
      <c r="F798" s="24">
        <v>39</v>
      </c>
      <c r="G798" s="24">
        <v>902</v>
      </c>
      <c r="H798" s="24">
        <v>97</v>
      </c>
      <c r="I798" s="24">
        <v>327</v>
      </c>
      <c r="J798" s="24">
        <v>49</v>
      </c>
      <c r="K798" s="24">
        <v>803</v>
      </c>
      <c r="L798" s="24">
        <v>35</v>
      </c>
      <c r="M798" s="24">
        <v>870</v>
      </c>
      <c r="N798" s="24">
        <v>67</v>
      </c>
      <c r="O798" s="24">
        <v>587</v>
      </c>
      <c r="P798" s="24">
        <v>59</v>
      </c>
      <c r="Q798" s="24">
        <v>799</v>
      </c>
      <c r="R798" s="24">
        <v>59</v>
      </c>
      <c r="S798" s="24">
        <v>746</v>
      </c>
      <c r="T798" s="24">
        <v>60</v>
      </c>
      <c r="U798" s="24">
        <v>203</v>
      </c>
      <c r="V798" s="24">
        <v>391</v>
      </c>
      <c r="W798" s="24">
        <v>49</v>
      </c>
      <c r="X798" s="24">
        <v>797</v>
      </c>
      <c r="Y798" s="24">
        <v>433</v>
      </c>
      <c r="Z798" s="24">
        <v>562</v>
      </c>
      <c r="AA798" s="24">
        <v>-235</v>
      </c>
    </row>
    <row r="799" spans="1:27">
      <c r="A799" s="24" t="s">
        <v>2812</v>
      </c>
      <c r="B799" s="24" t="s">
        <v>38</v>
      </c>
      <c r="C799" s="24" t="s">
        <v>2813</v>
      </c>
      <c r="D799" s="24">
        <v>83</v>
      </c>
      <c r="E799" s="24">
        <v>897</v>
      </c>
      <c r="F799" s="24">
        <v>51</v>
      </c>
      <c r="G799" s="24">
        <v>817</v>
      </c>
      <c r="H799" s="24">
        <v>90</v>
      </c>
      <c r="I799" s="24">
        <v>482</v>
      </c>
      <c r="J799" s="24">
        <v>49</v>
      </c>
      <c r="K799" s="24">
        <v>803</v>
      </c>
      <c r="L799" s="24">
        <v>54</v>
      </c>
      <c r="M799" s="24">
        <v>494</v>
      </c>
      <c r="N799" s="24">
        <v>64</v>
      </c>
      <c r="O799" s="24">
        <v>667</v>
      </c>
      <c r="P799" s="24">
        <v>69</v>
      </c>
      <c r="Q799" s="24">
        <v>504</v>
      </c>
      <c r="R799" s="24">
        <v>55</v>
      </c>
      <c r="S799" s="24">
        <v>835</v>
      </c>
      <c r="T799" s="24">
        <v>50</v>
      </c>
      <c r="U799" s="24">
        <v>591</v>
      </c>
      <c r="V799" s="24">
        <v>391</v>
      </c>
      <c r="W799" s="24">
        <v>48</v>
      </c>
      <c r="X799" s="24">
        <v>797</v>
      </c>
      <c r="Y799" s="24">
        <v>395.5</v>
      </c>
      <c r="Z799" s="24">
        <v>748</v>
      </c>
      <c r="AA799" s="24">
        <v>-49</v>
      </c>
    </row>
    <row r="800" spans="1:27">
      <c r="A800" s="24" t="s">
        <v>1840</v>
      </c>
      <c r="B800" s="24" t="s">
        <v>34</v>
      </c>
      <c r="C800" s="24" t="s">
        <v>1841</v>
      </c>
      <c r="D800" s="24">
        <v>96</v>
      </c>
      <c r="E800" s="24">
        <v>676</v>
      </c>
      <c r="F800" s="24">
        <v>62</v>
      </c>
      <c r="G800" s="24">
        <v>665</v>
      </c>
      <c r="H800" s="24">
        <v>91</v>
      </c>
      <c r="I800" s="24">
        <v>459</v>
      </c>
      <c r="J800" s="24">
        <v>49</v>
      </c>
      <c r="K800" s="24">
        <v>803</v>
      </c>
      <c r="L800" s="24">
        <v>29</v>
      </c>
      <c r="M800" s="24">
        <v>908</v>
      </c>
      <c r="N800" s="24">
        <v>64</v>
      </c>
      <c r="O800" s="24">
        <v>667</v>
      </c>
      <c r="P800" s="24">
        <v>71</v>
      </c>
      <c r="Q800" s="24">
        <v>439</v>
      </c>
      <c r="R800" s="24">
        <v>68</v>
      </c>
      <c r="S800" s="24">
        <v>412</v>
      </c>
      <c r="T800" s="24">
        <v>39</v>
      </c>
      <c r="U800" s="24">
        <v>895</v>
      </c>
      <c r="V800" s="24">
        <v>391</v>
      </c>
      <c r="W800" s="24">
        <v>50</v>
      </c>
      <c r="X800" s="24">
        <v>797</v>
      </c>
      <c r="Y800" s="24">
        <v>384.5</v>
      </c>
      <c r="Z800" s="24">
        <v>790</v>
      </c>
      <c r="AA800" s="24">
        <v>-7</v>
      </c>
    </row>
    <row r="801" spans="1:27">
      <c r="A801" s="24" t="s">
        <v>841</v>
      </c>
      <c r="B801" s="24" t="s">
        <v>117</v>
      </c>
      <c r="C801" s="24" t="s">
        <v>842</v>
      </c>
      <c r="D801" s="24">
        <v>93</v>
      </c>
      <c r="E801" s="24">
        <v>755</v>
      </c>
      <c r="F801" s="24">
        <v>43</v>
      </c>
      <c r="G801" s="24">
        <v>881</v>
      </c>
      <c r="H801" s="24">
        <v>59</v>
      </c>
      <c r="I801" s="24">
        <v>916</v>
      </c>
      <c r="J801" s="24">
        <v>68</v>
      </c>
      <c r="K801" s="24">
        <v>453</v>
      </c>
      <c r="L801" s="24">
        <v>65</v>
      </c>
      <c r="M801" s="24">
        <v>223</v>
      </c>
      <c r="N801" s="24">
        <v>63</v>
      </c>
      <c r="O801" s="24">
        <v>692</v>
      </c>
      <c r="P801" s="24">
        <v>44</v>
      </c>
      <c r="Q801" s="24">
        <v>932</v>
      </c>
      <c r="R801" s="24">
        <v>53</v>
      </c>
      <c r="S801" s="24">
        <v>869</v>
      </c>
      <c r="T801" s="24">
        <v>43</v>
      </c>
      <c r="U801" s="24">
        <v>824</v>
      </c>
      <c r="V801" s="24">
        <v>391</v>
      </c>
      <c r="W801" s="24">
        <v>48</v>
      </c>
      <c r="X801" s="24">
        <v>797</v>
      </c>
      <c r="Y801" s="24">
        <v>408</v>
      </c>
      <c r="Z801" s="24">
        <v>692</v>
      </c>
      <c r="AA801" s="24">
        <v>-105</v>
      </c>
    </row>
    <row r="802" spans="1:27">
      <c r="A802" s="24" t="s">
        <v>718</v>
      </c>
      <c r="B802" s="24" t="s">
        <v>117</v>
      </c>
      <c r="C802" s="24" t="s">
        <v>719</v>
      </c>
      <c r="D802" s="24">
        <v>92</v>
      </c>
      <c r="E802" s="24">
        <v>779</v>
      </c>
      <c r="F802" s="24">
        <v>71</v>
      </c>
      <c r="G802" s="24">
        <v>475</v>
      </c>
      <c r="H802" s="24">
        <v>89.5</v>
      </c>
      <c r="I802" s="24">
        <v>494</v>
      </c>
      <c r="J802" s="24">
        <v>51</v>
      </c>
      <c r="K802" s="24">
        <v>771</v>
      </c>
      <c r="L802" s="24">
        <v>29</v>
      </c>
      <c r="M802" s="24">
        <v>908</v>
      </c>
      <c r="N802" s="24">
        <v>58</v>
      </c>
      <c r="O802" s="24">
        <v>786</v>
      </c>
      <c r="P802" s="24">
        <v>68</v>
      </c>
      <c r="Q802" s="24">
        <v>541</v>
      </c>
      <c r="R802" s="24">
        <v>71</v>
      </c>
      <c r="S802" s="24">
        <v>290</v>
      </c>
      <c r="T802" s="24">
        <v>49</v>
      </c>
      <c r="U802" s="24">
        <v>633</v>
      </c>
      <c r="V802" s="24">
        <v>390.5</v>
      </c>
      <c r="W802" s="24">
        <v>49</v>
      </c>
      <c r="X802" s="24">
        <v>801</v>
      </c>
      <c r="Y802" s="24">
        <v>384.5</v>
      </c>
      <c r="Z802" s="24">
        <v>790</v>
      </c>
      <c r="AA802" s="24">
        <v>-11</v>
      </c>
    </row>
    <row r="803" spans="1:27">
      <c r="A803" s="24" t="s">
        <v>578</v>
      </c>
      <c r="B803" s="24" t="s">
        <v>17</v>
      </c>
      <c r="C803" s="24" t="s">
        <v>579</v>
      </c>
      <c r="D803" s="24">
        <v>87</v>
      </c>
      <c r="E803" s="24">
        <v>857</v>
      </c>
      <c r="F803" s="24">
        <v>63</v>
      </c>
      <c r="G803" s="24">
        <v>642</v>
      </c>
      <c r="H803" s="24">
        <v>65</v>
      </c>
      <c r="I803" s="24">
        <v>882</v>
      </c>
      <c r="J803" s="24">
        <v>59</v>
      </c>
      <c r="K803" s="24">
        <v>626</v>
      </c>
      <c r="L803" s="24">
        <v>51</v>
      </c>
      <c r="M803" s="24">
        <v>571</v>
      </c>
      <c r="N803" s="24">
        <v>65</v>
      </c>
      <c r="O803" s="24">
        <v>643</v>
      </c>
      <c r="P803" s="24">
        <v>66</v>
      </c>
      <c r="Q803" s="24">
        <v>604</v>
      </c>
      <c r="R803" s="24">
        <v>67</v>
      </c>
      <c r="S803" s="24">
        <v>471</v>
      </c>
      <c r="T803" s="24">
        <v>57</v>
      </c>
      <c r="U803" s="24">
        <v>306</v>
      </c>
      <c r="V803" s="24">
        <v>390</v>
      </c>
      <c r="W803" s="24">
        <v>52</v>
      </c>
      <c r="X803" s="24">
        <v>802</v>
      </c>
      <c r="Y803" s="24">
        <v>321.5</v>
      </c>
      <c r="Z803" s="24">
        <v>915</v>
      </c>
      <c r="AA803" s="24">
        <v>113</v>
      </c>
    </row>
    <row r="804" spans="1:27">
      <c r="A804" s="24" t="s">
        <v>2896</v>
      </c>
      <c r="B804" s="24" t="s">
        <v>38</v>
      </c>
      <c r="C804" s="24" t="s">
        <v>2897</v>
      </c>
      <c r="D804" s="24">
        <v>108</v>
      </c>
      <c r="E804" s="24">
        <v>212</v>
      </c>
      <c r="F804" s="24">
        <v>51</v>
      </c>
      <c r="G804" s="24">
        <v>817</v>
      </c>
      <c r="H804" s="24">
        <v>95</v>
      </c>
      <c r="I804" s="24">
        <v>364</v>
      </c>
      <c r="J804" s="24">
        <v>44</v>
      </c>
      <c r="K804" s="24">
        <v>849</v>
      </c>
      <c r="L804" s="24">
        <v>31</v>
      </c>
      <c r="M804" s="24">
        <v>893</v>
      </c>
      <c r="N804" s="24">
        <v>61</v>
      </c>
      <c r="O804" s="24">
        <v>734</v>
      </c>
      <c r="P804" s="24">
        <v>63</v>
      </c>
      <c r="Q804" s="24">
        <v>712</v>
      </c>
      <c r="R804" s="24">
        <v>56</v>
      </c>
      <c r="S804" s="24">
        <v>817</v>
      </c>
      <c r="T804" s="24">
        <v>44</v>
      </c>
      <c r="U804" s="24">
        <v>804</v>
      </c>
      <c r="V804" s="24">
        <v>390</v>
      </c>
      <c r="W804" s="24">
        <v>49</v>
      </c>
      <c r="X804" s="24">
        <v>802</v>
      </c>
      <c r="Y804" s="24">
        <v>384</v>
      </c>
      <c r="Z804" s="24">
        <v>793</v>
      </c>
      <c r="AA804" s="24">
        <v>-9</v>
      </c>
    </row>
    <row r="805" spans="1:27">
      <c r="A805" s="24" t="s">
        <v>2022</v>
      </c>
      <c r="B805" s="24" t="s">
        <v>109</v>
      </c>
      <c r="C805" s="24" t="s">
        <v>2023</v>
      </c>
      <c r="D805" s="24">
        <v>108</v>
      </c>
      <c r="E805" s="24">
        <v>212</v>
      </c>
      <c r="F805" s="24">
        <v>69</v>
      </c>
      <c r="G805" s="24">
        <v>524</v>
      </c>
      <c r="H805" s="24">
        <v>78</v>
      </c>
      <c r="I805" s="24">
        <v>723</v>
      </c>
      <c r="J805" s="24">
        <v>52</v>
      </c>
      <c r="K805" s="24">
        <v>757</v>
      </c>
      <c r="L805" s="24">
        <v>36</v>
      </c>
      <c r="M805" s="24">
        <v>856</v>
      </c>
      <c r="N805" s="24">
        <v>47</v>
      </c>
      <c r="O805" s="24">
        <v>895</v>
      </c>
      <c r="P805" s="24">
        <v>70</v>
      </c>
      <c r="Q805" s="24">
        <v>473</v>
      </c>
      <c r="R805" s="24">
        <v>62</v>
      </c>
      <c r="S805" s="24">
        <v>672</v>
      </c>
      <c r="T805" s="24">
        <v>43</v>
      </c>
      <c r="U805" s="24">
        <v>824</v>
      </c>
      <c r="V805" s="24">
        <v>390</v>
      </c>
      <c r="W805" s="24">
        <v>47</v>
      </c>
      <c r="X805" s="24">
        <v>802</v>
      </c>
      <c r="Y805" s="24">
        <v>364</v>
      </c>
      <c r="Z805" s="24">
        <v>851</v>
      </c>
      <c r="AA805" s="24">
        <v>49</v>
      </c>
    </row>
    <row r="806" spans="1:27">
      <c r="A806" s="24" t="s">
        <v>2001</v>
      </c>
      <c r="B806" s="24" t="s">
        <v>109</v>
      </c>
      <c r="C806" s="24" t="s">
        <v>2002</v>
      </c>
      <c r="D806" s="24">
        <v>110</v>
      </c>
      <c r="E806" s="24">
        <v>159</v>
      </c>
      <c r="F806" s="24">
        <v>49</v>
      </c>
      <c r="G806" s="24">
        <v>839</v>
      </c>
      <c r="H806" s="24">
        <v>63</v>
      </c>
      <c r="I806" s="24">
        <v>896</v>
      </c>
      <c r="J806" s="24">
        <v>63</v>
      </c>
      <c r="K806" s="24">
        <v>540</v>
      </c>
      <c r="L806" s="24">
        <v>35</v>
      </c>
      <c r="M806" s="24">
        <v>870</v>
      </c>
      <c r="N806" s="24">
        <v>69</v>
      </c>
      <c r="O806" s="24">
        <v>523</v>
      </c>
      <c r="P806" s="24">
        <v>61</v>
      </c>
      <c r="Q806" s="24">
        <v>754</v>
      </c>
      <c r="R806" s="24">
        <v>70</v>
      </c>
      <c r="S806" s="24">
        <v>327</v>
      </c>
      <c r="T806" s="24">
        <v>48</v>
      </c>
      <c r="U806" s="24">
        <v>671</v>
      </c>
      <c r="V806" s="24">
        <v>389</v>
      </c>
      <c r="W806" s="24">
        <v>48</v>
      </c>
      <c r="X806" s="24">
        <v>805</v>
      </c>
      <c r="Y806" s="24">
        <v>373</v>
      </c>
      <c r="Z806" s="24">
        <v>829</v>
      </c>
      <c r="AA806" s="24">
        <v>24</v>
      </c>
    </row>
    <row r="807" spans="1:27">
      <c r="A807" s="24" t="s">
        <v>2340</v>
      </c>
      <c r="B807" s="24" t="s">
        <v>7</v>
      </c>
      <c r="C807" s="24" t="s">
        <v>2347</v>
      </c>
      <c r="D807" s="24">
        <v>87</v>
      </c>
      <c r="E807" s="24">
        <v>857</v>
      </c>
      <c r="F807" s="24">
        <v>56</v>
      </c>
      <c r="G807" s="24">
        <v>755</v>
      </c>
      <c r="H807" s="24">
        <v>91</v>
      </c>
      <c r="I807" s="24">
        <v>459</v>
      </c>
      <c r="J807" s="24">
        <v>53</v>
      </c>
      <c r="K807" s="24">
        <v>739</v>
      </c>
      <c r="L807" s="24">
        <v>43</v>
      </c>
      <c r="M807" s="24">
        <v>757</v>
      </c>
      <c r="N807" s="24">
        <v>59</v>
      </c>
      <c r="O807" s="24">
        <v>762</v>
      </c>
      <c r="P807" s="24">
        <v>83</v>
      </c>
      <c r="Q807" s="24">
        <v>79</v>
      </c>
      <c r="R807" s="24">
        <v>69</v>
      </c>
      <c r="S807" s="24">
        <v>367</v>
      </c>
      <c r="T807" s="24">
        <v>40</v>
      </c>
      <c r="U807" s="24">
        <v>881</v>
      </c>
      <c r="V807" s="24">
        <v>389</v>
      </c>
      <c r="W807" s="24">
        <v>45</v>
      </c>
      <c r="X807" s="24">
        <v>805</v>
      </c>
      <c r="Y807" s="24">
        <v>418.5</v>
      </c>
      <c r="Z807" s="24">
        <v>649</v>
      </c>
      <c r="AA807" s="24">
        <v>-156</v>
      </c>
    </row>
    <row r="808" spans="1:27">
      <c r="A808" s="24" t="s">
        <v>932</v>
      </c>
      <c r="B808" s="24" t="s">
        <v>60</v>
      </c>
      <c r="C808" s="24" t="s">
        <v>933</v>
      </c>
      <c r="D808" s="24">
        <v>104</v>
      </c>
      <c r="E808" s="24">
        <v>357</v>
      </c>
      <c r="F808" s="24">
        <v>46</v>
      </c>
      <c r="G808" s="24">
        <v>862</v>
      </c>
      <c r="H808" s="24">
        <v>67.5</v>
      </c>
      <c r="I808" s="24">
        <v>869</v>
      </c>
      <c r="J808" s="24">
        <v>54</v>
      </c>
      <c r="K808" s="24">
        <v>718</v>
      </c>
      <c r="L808" s="24">
        <v>58</v>
      </c>
      <c r="M808" s="24">
        <v>377</v>
      </c>
      <c r="N808" s="24">
        <v>59</v>
      </c>
      <c r="O808" s="24">
        <v>762</v>
      </c>
      <c r="P808" s="24">
        <v>65</v>
      </c>
      <c r="Q808" s="24">
        <v>651</v>
      </c>
      <c r="R808" s="24">
        <v>70</v>
      </c>
      <c r="S808" s="24">
        <v>327</v>
      </c>
      <c r="T808" s="24">
        <v>45</v>
      </c>
      <c r="U808" s="24">
        <v>781</v>
      </c>
      <c r="V808" s="24">
        <v>388.5</v>
      </c>
      <c r="W808" s="24">
        <v>47</v>
      </c>
      <c r="X808" s="24">
        <v>807</v>
      </c>
      <c r="Y808" s="24">
        <v>366.5</v>
      </c>
      <c r="Z808" s="24">
        <v>849</v>
      </c>
      <c r="AA808" s="24">
        <v>42</v>
      </c>
    </row>
    <row r="809" spans="1:27">
      <c r="A809" s="24" t="s">
        <v>1904</v>
      </c>
      <c r="B809" s="24" t="s">
        <v>34</v>
      </c>
      <c r="C809" s="24" t="s">
        <v>1905</v>
      </c>
      <c r="D809" s="24">
        <v>106</v>
      </c>
      <c r="E809" s="24">
        <v>287</v>
      </c>
      <c r="F809" s="24">
        <v>47</v>
      </c>
      <c r="G809" s="24">
        <v>857</v>
      </c>
      <c r="H809" s="24">
        <v>84.5</v>
      </c>
      <c r="I809" s="24">
        <v>607</v>
      </c>
      <c r="J809" s="24">
        <v>55</v>
      </c>
      <c r="K809" s="24">
        <v>694</v>
      </c>
      <c r="L809" s="24">
        <v>47</v>
      </c>
      <c r="M809" s="24">
        <v>673</v>
      </c>
      <c r="N809" s="24">
        <v>49</v>
      </c>
      <c r="O809" s="24">
        <v>888</v>
      </c>
      <c r="P809" s="24">
        <v>72</v>
      </c>
      <c r="Q809" s="24">
        <v>396</v>
      </c>
      <c r="R809" s="24">
        <v>67</v>
      </c>
      <c r="S809" s="24">
        <v>471</v>
      </c>
      <c r="T809" s="24">
        <v>46</v>
      </c>
      <c r="U809" s="24">
        <v>755</v>
      </c>
      <c r="V809" s="24">
        <v>388.5</v>
      </c>
      <c r="W809" s="24">
        <v>51</v>
      </c>
      <c r="X809" s="24">
        <v>807</v>
      </c>
      <c r="Y809" s="24">
        <v>393</v>
      </c>
      <c r="Z809" s="24">
        <v>755</v>
      </c>
      <c r="AA809" s="24">
        <v>-52</v>
      </c>
    </row>
    <row r="810" spans="1:27">
      <c r="A810" s="24" t="s">
        <v>2376</v>
      </c>
      <c r="B810" s="24" t="s">
        <v>7</v>
      </c>
      <c r="C810" s="24" t="s">
        <v>2386</v>
      </c>
      <c r="D810" s="24">
        <v>97</v>
      </c>
      <c r="E810" s="24">
        <v>645</v>
      </c>
      <c r="F810" s="24">
        <v>56</v>
      </c>
      <c r="G810" s="24">
        <v>755</v>
      </c>
      <c r="H810" s="24">
        <v>109.5</v>
      </c>
      <c r="I810" s="24">
        <v>113</v>
      </c>
      <c r="J810" s="24">
        <v>57</v>
      </c>
      <c r="K810" s="24">
        <v>665</v>
      </c>
      <c r="L810" s="24">
        <v>32</v>
      </c>
      <c r="M810" s="24">
        <v>889</v>
      </c>
      <c r="N810" s="24">
        <v>37</v>
      </c>
      <c r="O810" s="24">
        <v>929</v>
      </c>
      <c r="P810" s="24">
        <v>86</v>
      </c>
      <c r="Q810" s="24">
        <v>34</v>
      </c>
      <c r="R810" s="24">
        <v>68</v>
      </c>
      <c r="S810" s="24">
        <v>412</v>
      </c>
      <c r="T810" s="24">
        <v>44</v>
      </c>
      <c r="U810" s="24">
        <v>804</v>
      </c>
      <c r="V810" s="24">
        <v>388.5</v>
      </c>
      <c r="W810" s="24">
        <v>46</v>
      </c>
      <c r="X810" s="24">
        <v>807</v>
      </c>
      <c r="Y810" s="24">
        <v>410.5</v>
      </c>
      <c r="Z810" s="24">
        <v>681</v>
      </c>
      <c r="AA810" s="24">
        <v>-126</v>
      </c>
    </row>
    <row r="811" spans="1:27">
      <c r="A811" s="24" t="s">
        <v>2489</v>
      </c>
      <c r="B811" s="24" t="s">
        <v>131</v>
      </c>
      <c r="C811" s="24" t="s">
        <v>2490</v>
      </c>
      <c r="D811" s="24">
        <v>86</v>
      </c>
      <c r="E811" s="24">
        <v>867</v>
      </c>
      <c r="F811" s="24">
        <v>65</v>
      </c>
      <c r="G811" s="24">
        <v>604</v>
      </c>
      <c r="H811" s="24">
        <v>72</v>
      </c>
      <c r="I811" s="24">
        <v>822</v>
      </c>
      <c r="J811" s="24">
        <v>62</v>
      </c>
      <c r="K811" s="24">
        <v>564</v>
      </c>
      <c r="L811" s="24">
        <v>49</v>
      </c>
      <c r="M811" s="24">
        <v>624</v>
      </c>
      <c r="N811" s="24">
        <v>54</v>
      </c>
      <c r="O811" s="24">
        <v>845</v>
      </c>
      <c r="P811" s="24">
        <v>64</v>
      </c>
      <c r="Q811" s="24">
        <v>680</v>
      </c>
      <c r="R811" s="24">
        <v>66</v>
      </c>
      <c r="S811" s="24">
        <v>511</v>
      </c>
      <c r="T811" s="24">
        <v>52</v>
      </c>
      <c r="U811" s="24">
        <v>509</v>
      </c>
      <c r="V811" s="24">
        <v>388</v>
      </c>
      <c r="W811" s="24">
        <v>46</v>
      </c>
      <c r="X811" s="24">
        <v>810</v>
      </c>
      <c r="Y811" s="24">
        <v>394</v>
      </c>
      <c r="Z811" s="24">
        <v>751</v>
      </c>
      <c r="AA811" s="24">
        <v>-59</v>
      </c>
    </row>
    <row r="812" spans="1:27">
      <c r="A812" s="24" t="s">
        <v>1990</v>
      </c>
      <c r="B812" s="24" t="s">
        <v>109</v>
      </c>
      <c r="C812" s="24" t="s">
        <v>1991</v>
      </c>
      <c r="D812" s="24">
        <v>103</v>
      </c>
      <c r="E812" s="24">
        <v>400</v>
      </c>
      <c r="F812" s="24">
        <v>57</v>
      </c>
      <c r="G812" s="24">
        <v>744</v>
      </c>
      <c r="H812" s="24">
        <v>61.5</v>
      </c>
      <c r="I812" s="24">
        <v>906</v>
      </c>
      <c r="J812" s="24">
        <v>51</v>
      </c>
      <c r="K812" s="24">
        <v>771</v>
      </c>
      <c r="L812" s="24">
        <v>45</v>
      </c>
      <c r="M812" s="24">
        <v>720</v>
      </c>
      <c r="N812" s="24">
        <v>70</v>
      </c>
      <c r="O812" s="24">
        <v>485</v>
      </c>
      <c r="P812" s="24">
        <v>73</v>
      </c>
      <c r="Q812" s="24">
        <v>359</v>
      </c>
      <c r="R812" s="24">
        <v>59</v>
      </c>
      <c r="S812" s="24">
        <v>746</v>
      </c>
      <c r="T812" s="24">
        <v>47</v>
      </c>
      <c r="U812" s="24">
        <v>719</v>
      </c>
      <c r="V812" s="24">
        <v>387.5</v>
      </c>
      <c r="W812" s="24">
        <v>49</v>
      </c>
      <c r="X812" s="24">
        <v>811</v>
      </c>
      <c r="Y812" s="24">
        <v>379.5</v>
      </c>
      <c r="Z812" s="24">
        <v>807</v>
      </c>
      <c r="AA812" s="24">
        <v>-4</v>
      </c>
    </row>
    <row r="813" spans="1:27">
      <c r="A813" s="24" t="s">
        <v>500</v>
      </c>
      <c r="B813" s="24" t="s">
        <v>19</v>
      </c>
      <c r="C813" s="24" t="s">
        <v>510</v>
      </c>
      <c r="D813" s="24">
        <v>90</v>
      </c>
      <c r="E813" s="24">
        <v>815</v>
      </c>
      <c r="F813" s="24">
        <v>60</v>
      </c>
      <c r="G813" s="24">
        <v>696</v>
      </c>
      <c r="H813" s="24">
        <v>78.5</v>
      </c>
      <c r="I813" s="24">
        <v>712</v>
      </c>
      <c r="J813" s="24">
        <v>64</v>
      </c>
      <c r="K813" s="24">
        <v>517</v>
      </c>
      <c r="L813" s="24">
        <v>40</v>
      </c>
      <c r="M813" s="24">
        <v>811</v>
      </c>
      <c r="N813" s="24">
        <v>55</v>
      </c>
      <c r="O813" s="24">
        <v>831</v>
      </c>
      <c r="P813" s="24">
        <v>64</v>
      </c>
      <c r="Q813" s="24">
        <v>680</v>
      </c>
      <c r="R813" s="24">
        <v>61</v>
      </c>
      <c r="S813" s="24">
        <v>703</v>
      </c>
      <c r="T813" s="24">
        <v>69</v>
      </c>
      <c r="U813" s="24">
        <v>43</v>
      </c>
      <c r="V813" s="24">
        <v>387.5</v>
      </c>
      <c r="W813" s="24">
        <v>50</v>
      </c>
      <c r="X813" s="24">
        <v>811</v>
      </c>
      <c r="Y813" s="24">
        <v>375.5</v>
      </c>
      <c r="Z813" s="24">
        <v>820</v>
      </c>
      <c r="AA813" s="24">
        <v>9</v>
      </c>
    </row>
    <row r="814" spans="1:27">
      <c r="A814" s="24" t="s">
        <v>739</v>
      </c>
      <c r="B814" s="24" t="s">
        <v>117</v>
      </c>
      <c r="C814" s="24" t="s">
        <v>740</v>
      </c>
      <c r="D814" s="24">
        <v>95</v>
      </c>
      <c r="E814" s="24">
        <v>710</v>
      </c>
      <c r="F814" s="24">
        <v>62</v>
      </c>
      <c r="G814" s="24">
        <v>665</v>
      </c>
      <c r="H814" s="24">
        <v>73</v>
      </c>
      <c r="I814" s="24">
        <v>809</v>
      </c>
      <c r="J814" s="24">
        <v>28</v>
      </c>
      <c r="K814" s="24">
        <v>927</v>
      </c>
      <c r="L814" s="24">
        <v>42</v>
      </c>
      <c r="M814" s="24">
        <v>774</v>
      </c>
      <c r="N814" s="24">
        <v>87</v>
      </c>
      <c r="O814" s="24">
        <v>57</v>
      </c>
      <c r="P814" s="24">
        <v>83</v>
      </c>
      <c r="Q814" s="24">
        <v>79</v>
      </c>
      <c r="R814" s="24">
        <v>80</v>
      </c>
      <c r="S814" s="24">
        <v>54</v>
      </c>
      <c r="T814" s="24">
        <v>62</v>
      </c>
      <c r="U814" s="24">
        <v>146</v>
      </c>
      <c r="V814" s="24">
        <v>387</v>
      </c>
      <c r="W814" s="24">
        <v>50</v>
      </c>
      <c r="X814" s="24">
        <v>813</v>
      </c>
      <c r="Y814" s="24">
        <v>420</v>
      </c>
      <c r="Z814" s="24">
        <v>642</v>
      </c>
      <c r="AA814" s="24">
        <v>-171</v>
      </c>
    </row>
    <row r="815" spans="1:27">
      <c r="A815" s="24" t="s">
        <v>1951</v>
      </c>
      <c r="B815" s="24" t="s">
        <v>109</v>
      </c>
      <c r="C815" s="24" t="s">
        <v>1952</v>
      </c>
      <c r="D815" s="24">
        <v>96</v>
      </c>
      <c r="E815" s="24">
        <v>676</v>
      </c>
      <c r="F815" s="24">
        <v>59</v>
      </c>
      <c r="G815" s="24">
        <v>721</v>
      </c>
      <c r="H815" s="24">
        <v>84</v>
      </c>
      <c r="I815" s="24">
        <v>623</v>
      </c>
      <c r="J815" s="24">
        <v>53</v>
      </c>
      <c r="K815" s="24">
        <v>739</v>
      </c>
      <c r="L815" s="24">
        <v>34</v>
      </c>
      <c r="M815" s="24">
        <v>882</v>
      </c>
      <c r="N815" s="24">
        <v>61</v>
      </c>
      <c r="O815" s="24">
        <v>734</v>
      </c>
      <c r="P815" s="24">
        <v>64</v>
      </c>
      <c r="Q815" s="24">
        <v>680</v>
      </c>
      <c r="R815" s="24">
        <v>52</v>
      </c>
      <c r="S815" s="24">
        <v>879</v>
      </c>
      <c r="T815" s="24">
        <v>54</v>
      </c>
      <c r="U815" s="24">
        <v>428</v>
      </c>
      <c r="V815" s="24">
        <v>387</v>
      </c>
      <c r="W815" s="24">
        <v>50</v>
      </c>
      <c r="X815" s="24">
        <v>813</v>
      </c>
      <c r="Y815" s="24">
        <v>388</v>
      </c>
      <c r="Z815" s="24">
        <v>774</v>
      </c>
      <c r="AA815" s="24">
        <v>-39</v>
      </c>
    </row>
    <row r="816" spans="1:27">
      <c r="A816" s="24" t="s">
        <v>1141</v>
      </c>
      <c r="B816" s="24" t="s">
        <v>68</v>
      </c>
      <c r="C816" s="24" t="s">
        <v>1142</v>
      </c>
      <c r="D816" s="24">
        <v>92</v>
      </c>
      <c r="E816" s="24">
        <v>779</v>
      </c>
      <c r="F816" s="24">
        <v>73</v>
      </c>
      <c r="G816" s="24">
        <v>438</v>
      </c>
      <c r="H816" s="24">
        <v>66.5</v>
      </c>
      <c r="I816" s="24">
        <v>876</v>
      </c>
      <c r="J816" s="24">
        <v>48</v>
      </c>
      <c r="K816" s="24">
        <v>820</v>
      </c>
      <c r="L816" s="24">
        <v>60</v>
      </c>
      <c r="M816" s="24">
        <v>322</v>
      </c>
      <c r="N816" s="24">
        <v>47</v>
      </c>
      <c r="O816" s="24">
        <v>895</v>
      </c>
      <c r="P816" s="24">
        <v>66</v>
      </c>
      <c r="Q816" s="24">
        <v>604</v>
      </c>
      <c r="R816" s="24">
        <v>57</v>
      </c>
      <c r="S816" s="24">
        <v>798</v>
      </c>
      <c r="T816" s="24">
        <v>48</v>
      </c>
      <c r="U816" s="24">
        <v>671</v>
      </c>
      <c r="V816" s="24">
        <v>386.5</v>
      </c>
      <c r="W816" s="24">
        <v>49</v>
      </c>
      <c r="X816" s="24">
        <v>815</v>
      </c>
      <c r="Y816" s="24">
        <v>381.5</v>
      </c>
      <c r="Z816" s="24">
        <v>800</v>
      </c>
      <c r="AA816" s="24">
        <v>-15</v>
      </c>
    </row>
    <row r="817" spans="1:27">
      <c r="A817" s="24" t="s">
        <v>2115</v>
      </c>
      <c r="B817" s="24" t="s">
        <v>73</v>
      </c>
      <c r="C817" s="24" t="s">
        <v>2116</v>
      </c>
      <c r="D817" s="24">
        <v>100</v>
      </c>
      <c r="E817" s="24">
        <v>528</v>
      </c>
      <c r="F817" s="24">
        <v>53</v>
      </c>
      <c r="G817" s="24">
        <v>792</v>
      </c>
      <c r="H817" s="24">
        <v>63</v>
      </c>
      <c r="I817" s="24">
        <v>896</v>
      </c>
      <c r="J817" s="24">
        <v>55</v>
      </c>
      <c r="K817" s="24">
        <v>694</v>
      </c>
      <c r="L817" s="24">
        <v>50</v>
      </c>
      <c r="M817" s="24">
        <v>599</v>
      </c>
      <c r="N817" s="24">
        <v>65</v>
      </c>
      <c r="O817" s="24">
        <v>643</v>
      </c>
      <c r="P817" s="24">
        <v>73</v>
      </c>
      <c r="Q817" s="24">
        <v>359</v>
      </c>
      <c r="R817" s="24">
        <v>66</v>
      </c>
      <c r="S817" s="24">
        <v>511</v>
      </c>
      <c r="T817" s="24">
        <v>53</v>
      </c>
      <c r="U817" s="24">
        <v>470</v>
      </c>
      <c r="V817" s="24">
        <v>386</v>
      </c>
      <c r="W817" s="24">
        <v>42</v>
      </c>
      <c r="X817" s="24">
        <v>816</v>
      </c>
      <c r="Y817" s="24">
        <v>362</v>
      </c>
      <c r="Z817" s="24">
        <v>855</v>
      </c>
      <c r="AA817" s="24">
        <v>39</v>
      </c>
    </row>
    <row r="818" spans="1:27">
      <c r="A818" s="24" t="s">
        <v>1443</v>
      </c>
      <c r="B818" s="24" t="s">
        <v>56</v>
      </c>
      <c r="C818" s="24" t="s">
        <v>1444</v>
      </c>
      <c r="D818" s="24">
        <v>92</v>
      </c>
      <c r="E818" s="24">
        <v>779</v>
      </c>
      <c r="F818" s="24">
        <v>58</v>
      </c>
      <c r="G818" s="24">
        <v>734</v>
      </c>
      <c r="H818" s="24">
        <v>80</v>
      </c>
      <c r="I818" s="24">
        <v>694</v>
      </c>
      <c r="J818" s="24">
        <v>66</v>
      </c>
      <c r="K818" s="24">
        <v>484</v>
      </c>
      <c r="L818" s="24">
        <v>29</v>
      </c>
      <c r="M818" s="24">
        <v>908</v>
      </c>
      <c r="N818" s="24">
        <v>61</v>
      </c>
      <c r="O818" s="24">
        <v>734</v>
      </c>
      <c r="P818" s="24">
        <v>83</v>
      </c>
      <c r="Q818" s="24">
        <v>79</v>
      </c>
      <c r="R818" s="24">
        <v>50</v>
      </c>
      <c r="S818" s="24">
        <v>896</v>
      </c>
      <c r="T818" s="24">
        <v>40</v>
      </c>
      <c r="U818" s="24">
        <v>881</v>
      </c>
      <c r="V818" s="24">
        <v>386</v>
      </c>
      <c r="W818" s="24">
        <v>45</v>
      </c>
      <c r="X818" s="24">
        <v>816</v>
      </c>
      <c r="Y818" s="24">
        <v>392.5</v>
      </c>
      <c r="Z818" s="24">
        <v>757</v>
      </c>
      <c r="AA818" s="24">
        <v>-59</v>
      </c>
    </row>
    <row r="819" spans="1:27">
      <c r="A819" s="24" t="s">
        <v>1449</v>
      </c>
      <c r="B819" s="24" t="s">
        <v>56</v>
      </c>
      <c r="C819" s="24" t="s">
        <v>1450</v>
      </c>
      <c r="D819" s="24">
        <v>115</v>
      </c>
      <c r="E819" s="24">
        <v>65</v>
      </c>
      <c r="F819" s="24">
        <v>46</v>
      </c>
      <c r="G819" s="24">
        <v>862</v>
      </c>
      <c r="H819" s="24">
        <v>101</v>
      </c>
      <c r="I819" s="24">
        <v>234</v>
      </c>
      <c r="J819" s="24">
        <v>48</v>
      </c>
      <c r="K819" s="24">
        <v>820</v>
      </c>
      <c r="L819" s="24">
        <v>31</v>
      </c>
      <c r="M819" s="24">
        <v>893</v>
      </c>
      <c r="N819" s="24">
        <v>45</v>
      </c>
      <c r="O819" s="24">
        <v>911</v>
      </c>
      <c r="P819" s="24">
        <v>71</v>
      </c>
      <c r="Q819" s="24">
        <v>439</v>
      </c>
      <c r="R819" s="24">
        <v>69</v>
      </c>
      <c r="S819" s="24">
        <v>367</v>
      </c>
      <c r="T819" s="24">
        <v>47</v>
      </c>
      <c r="U819" s="24">
        <v>719</v>
      </c>
      <c r="V819" s="24">
        <v>386</v>
      </c>
      <c r="W819" s="24">
        <v>45</v>
      </c>
      <c r="X819" s="24">
        <v>816</v>
      </c>
      <c r="Y819" s="24">
        <v>357.5</v>
      </c>
      <c r="Z819" s="24">
        <v>862</v>
      </c>
      <c r="AA819" s="24">
        <v>46</v>
      </c>
    </row>
    <row r="820" spans="1:27">
      <c r="A820" s="24" t="s">
        <v>2279</v>
      </c>
      <c r="B820" s="24" t="s">
        <v>7</v>
      </c>
      <c r="C820" s="24" t="s">
        <v>3240</v>
      </c>
      <c r="D820" s="24">
        <v>100</v>
      </c>
      <c r="E820" s="24">
        <v>528</v>
      </c>
      <c r="F820" s="24">
        <v>53</v>
      </c>
      <c r="G820" s="24">
        <v>792</v>
      </c>
      <c r="H820" s="24">
        <v>72.5</v>
      </c>
      <c r="I820" s="24">
        <v>814</v>
      </c>
      <c r="J820" s="24">
        <v>64</v>
      </c>
      <c r="K820" s="24">
        <v>517</v>
      </c>
      <c r="L820" s="24">
        <v>30</v>
      </c>
      <c r="M820" s="24">
        <v>902</v>
      </c>
      <c r="N820" s="24">
        <v>66</v>
      </c>
      <c r="O820" s="24">
        <v>611</v>
      </c>
      <c r="P820" s="24">
        <v>45</v>
      </c>
      <c r="Q820" s="24">
        <v>929</v>
      </c>
      <c r="R820" s="24">
        <v>48</v>
      </c>
      <c r="S820" s="24">
        <v>912</v>
      </c>
      <c r="T820" s="24">
        <v>49</v>
      </c>
      <c r="U820" s="24">
        <v>633</v>
      </c>
      <c r="V820" s="24">
        <v>385.5</v>
      </c>
      <c r="W820" s="24">
        <v>47</v>
      </c>
      <c r="X820" s="24">
        <v>819</v>
      </c>
      <c r="Y820" s="24">
        <v>403</v>
      </c>
      <c r="Z820" s="24">
        <v>717</v>
      </c>
      <c r="AA820" s="24">
        <v>-102</v>
      </c>
    </row>
    <row r="821" spans="1:27">
      <c r="A821" s="24" t="s">
        <v>2141</v>
      </c>
      <c r="B821" s="24" t="s">
        <v>73</v>
      </c>
      <c r="C821" s="24" t="s">
        <v>2142</v>
      </c>
      <c r="D821" s="24">
        <v>99</v>
      </c>
      <c r="E821" s="24">
        <v>571</v>
      </c>
      <c r="F821" s="24">
        <v>49</v>
      </c>
      <c r="G821" s="24">
        <v>839</v>
      </c>
      <c r="H821" s="24">
        <v>57.5</v>
      </c>
      <c r="I821" s="24">
        <v>921</v>
      </c>
      <c r="J821" s="24">
        <v>69</v>
      </c>
      <c r="K821" s="24">
        <v>428</v>
      </c>
      <c r="L821" s="24">
        <v>40</v>
      </c>
      <c r="M821" s="24">
        <v>811</v>
      </c>
      <c r="N821" s="24">
        <v>69</v>
      </c>
      <c r="O821" s="24">
        <v>523</v>
      </c>
      <c r="P821" s="24">
        <v>78</v>
      </c>
      <c r="Q821" s="24">
        <v>209</v>
      </c>
      <c r="R821" s="24">
        <v>69</v>
      </c>
      <c r="S821" s="24">
        <v>367</v>
      </c>
      <c r="T821" s="24">
        <v>55</v>
      </c>
      <c r="U821" s="24">
        <v>392</v>
      </c>
      <c r="V821" s="24">
        <v>383.5</v>
      </c>
      <c r="W821" s="24">
        <v>43</v>
      </c>
      <c r="X821" s="24">
        <v>820</v>
      </c>
      <c r="Y821" s="24">
        <v>415</v>
      </c>
      <c r="Z821" s="24">
        <v>659</v>
      </c>
      <c r="AA821" s="24">
        <v>-161</v>
      </c>
    </row>
    <row r="822" spans="1:27">
      <c r="A822" s="24" t="s">
        <v>2223</v>
      </c>
      <c r="B822" s="24" t="s">
        <v>73</v>
      </c>
      <c r="C822" s="24" t="s">
        <v>2224</v>
      </c>
      <c r="D822" s="24">
        <v>113</v>
      </c>
      <c r="E822" s="24">
        <v>95</v>
      </c>
      <c r="F822" s="24">
        <v>42</v>
      </c>
      <c r="G822" s="24">
        <v>887</v>
      </c>
      <c r="H822" s="24">
        <v>81.5</v>
      </c>
      <c r="I822" s="24">
        <v>674</v>
      </c>
      <c r="J822" s="24">
        <v>54</v>
      </c>
      <c r="K822" s="24">
        <v>718</v>
      </c>
      <c r="L822" s="24">
        <v>31</v>
      </c>
      <c r="M822" s="24">
        <v>893</v>
      </c>
      <c r="N822" s="24">
        <v>62</v>
      </c>
      <c r="O822" s="24">
        <v>716</v>
      </c>
      <c r="P822" s="24">
        <v>71</v>
      </c>
      <c r="Q822" s="24">
        <v>439</v>
      </c>
      <c r="R822" s="24">
        <v>74</v>
      </c>
      <c r="S822" s="24">
        <v>174</v>
      </c>
      <c r="T822" s="24">
        <v>48</v>
      </c>
      <c r="U822" s="24">
        <v>671</v>
      </c>
      <c r="V822" s="24">
        <v>383.5</v>
      </c>
      <c r="W822" s="24">
        <v>43</v>
      </c>
      <c r="X822" s="24">
        <v>820</v>
      </c>
      <c r="Y822" s="24">
        <v>398.5</v>
      </c>
      <c r="Z822" s="24">
        <v>737</v>
      </c>
      <c r="AA822" s="24">
        <v>-83</v>
      </c>
    </row>
    <row r="823" spans="1:27">
      <c r="A823" s="24" t="s">
        <v>917</v>
      </c>
      <c r="B823" s="24" t="s">
        <v>60</v>
      </c>
      <c r="C823" s="24" t="s">
        <v>918</v>
      </c>
      <c r="D823" s="24">
        <v>110</v>
      </c>
      <c r="E823" s="24">
        <v>159</v>
      </c>
      <c r="F823" s="24">
        <v>46</v>
      </c>
      <c r="G823" s="24">
        <v>862</v>
      </c>
      <c r="H823" s="24">
        <v>96.5</v>
      </c>
      <c r="I823" s="24">
        <v>337</v>
      </c>
      <c r="J823" s="24">
        <v>39</v>
      </c>
      <c r="K823" s="24">
        <v>888</v>
      </c>
      <c r="L823" s="24">
        <v>35</v>
      </c>
      <c r="M823" s="24">
        <v>870</v>
      </c>
      <c r="N823" s="24">
        <v>57</v>
      </c>
      <c r="O823" s="24">
        <v>801</v>
      </c>
      <c r="P823" s="24">
        <v>68</v>
      </c>
      <c r="Q823" s="24">
        <v>541</v>
      </c>
      <c r="R823" s="24">
        <v>75</v>
      </c>
      <c r="S823" s="24">
        <v>146</v>
      </c>
      <c r="T823" s="24">
        <v>57</v>
      </c>
      <c r="U823" s="24">
        <v>306</v>
      </c>
      <c r="V823" s="24">
        <v>383.5</v>
      </c>
      <c r="W823" s="24">
        <v>48</v>
      </c>
      <c r="X823" s="24">
        <v>820</v>
      </c>
      <c r="Y823" s="24">
        <v>412</v>
      </c>
      <c r="Z823" s="24">
        <v>670</v>
      </c>
      <c r="AA823" s="24">
        <v>-150</v>
      </c>
    </row>
    <row r="824" spans="1:27">
      <c r="A824" s="24" t="s">
        <v>2188</v>
      </c>
      <c r="B824" s="24" t="s">
        <v>73</v>
      </c>
      <c r="C824" s="24" t="s">
        <v>2189</v>
      </c>
      <c r="D824" s="24">
        <v>96</v>
      </c>
      <c r="E824" s="24">
        <v>676</v>
      </c>
      <c r="F824" s="24">
        <v>52</v>
      </c>
      <c r="G824" s="24">
        <v>807</v>
      </c>
      <c r="H824" s="24">
        <v>78</v>
      </c>
      <c r="I824" s="24">
        <v>723</v>
      </c>
      <c r="J824" s="24">
        <v>53</v>
      </c>
      <c r="K824" s="24">
        <v>739</v>
      </c>
      <c r="L824" s="24">
        <v>45</v>
      </c>
      <c r="M824" s="24">
        <v>720</v>
      </c>
      <c r="N824" s="24">
        <v>58</v>
      </c>
      <c r="O824" s="24">
        <v>786</v>
      </c>
      <c r="P824" s="24">
        <v>55</v>
      </c>
      <c r="Q824" s="24">
        <v>868</v>
      </c>
      <c r="R824" s="24">
        <v>48</v>
      </c>
      <c r="S824" s="24">
        <v>912</v>
      </c>
      <c r="T824" s="24">
        <v>38</v>
      </c>
      <c r="U824" s="24">
        <v>905</v>
      </c>
      <c r="V824" s="24">
        <v>382</v>
      </c>
      <c r="W824" s="24">
        <v>45</v>
      </c>
      <c r="X824" s="24">
        <v>823</v>
      </c>
      <c r="Y824" s="24">
        <v>399.5</v>
      </c>
      <c r="Z824" s="24">
        <v>732</v>
      </c>
      <c r="AA824" s="24">
        <v>-91</v>
      </c>
    </row>
    <row r="825" spans="1:27">
      <c r="A825" s="24" t="s">
        <v>978</v>
      </c>
      <c r="B825" s="24" t="s">
        <v>60</v>
      </c>
      <c r="C825" s="24" t="s">
        <v>979</v>
      </c>
      <c r="D825" s="24">
        <v>104</v>
      </c>
      <c r="E825" s="24">
        <v>357</v>
      </c>
      <c r="F825" s="24">
        <v>49</v>
      </c>
      <c r="G825" s="24">
        <v>839</v>
      </c>
      <c r="H825" s="24">
        <v>58</v>
      </c>
      <c r="I825" s="24">
        <v>918</v>
      </c>
      <c r="J825" s="24">
        <v>63</v>
      </c>
      <c r="K825" s="24">
        <v>540</v>
      </c>
      <c r="L825" s="24">
        <v>54</v>
      </c>
      <c r="M825" s="24">
        <v>494</v>
      </c>
      <c r="N825" s="24">
        <v>54</v>
      </c>
      <c r="O825" s="24">
        <v>845</v>
      </c>
      <c r="P825" s="24">
        <v>52</v>
      </c>
      <c r="Q825" s="24">
        <v>897</v>
      </c>
      <c r="R825" s="24">
        <v>55</v>
      </c>
      <c r="S825" s="24">
        <v>835</v>
      </c>
      <c r="T825" s="24">
        <v>53</v>
      </c>
      <c r="U825" s="24">
        <v>470</v>
      </c>
      <c r="V825" s="24">
        <v>382</v>
      </c>
      <c r="W825" s="24">
        <v>49</v>
      </c>
      <c r="X825" s="24">
        <v>823</v>
      </c>
      <c r="Y825" s="24">
        <v>383.5</v>
      </c>
      <c r="Z825" s="24">
        <v>795</v>
      </c>
      <c r="AA825" s="24">
        <v>-28</v>
      </c>
    </row>
    <row r="826" spans="1:27">
      <c r="A826" s="24" t="s">
        <v>923</v>
      </c>
      <c r="B826" s="24" t="s">
        <v>60</v>
      </c>
      <c r="C826" s="24" t="s">
        <v>924</v>
      </c>
      <c r="D826" s="24">
        <v>102</v>
      </c>
      <c r="E826" s="24">
        <v>442</v>
      </c>
      <c r="F826" s="24">
        <v>58</v>
      </c>
      <c r="G826" s="24">
        <v>734</v>
      </c>
      <c r="H826" s="24">
        <v>73.5</v>
      </c>
      <c r="I826" s="24">
        <v>798</v>
      </c>
      <c r="J826" s="24">
        <v>39</v>
      </c>
      <c r="K826" s="24">
        <v>888</v>
      </c>
      <c r="L826" s="24">
        <v>43</v>
      </c>
      <c r="M826" s="24">
        <v>757</v>
      </c>
      <c r="N826" s="24">
        <v>66</v>
      </c>
      <c r="O826" s="24">
        <v>611</v>
      </c>
      <c r="P826" s="24">
        <v>80</v>
      </c>
      <c r="Q826" s="24">
        <v>151</v>
      </c>
      <c r="R826" s="24">
        <v>73</v>
      </c>
      <c r="S826" s="24">
        <v>216</v>
      </c>
      <c r="T826" s="24">
        <v>52</v>
      </c>
      <c r="U826" s="24">
        <v>509</v>
      </c>
      <c r="V826" s="24">
        <v>381.5</v>
      </c>
      <c r="W826" s="24">
        <v>50</v>
      </c>
      <c r="X826" s="24">
        <v>825</v>
      </c>
      <c r="Y826" s="24">
        <v>352</v>
      </c>
      <c r="Z826" s="24">
        <v>876</v>
      </c>
      <c r="AA826" s="24">
        <v>51</v>
      </c>
    </row>
    <row r="827" spans="1:27">
      <c r="A827" s="24" t="s">
        <v>2150</v>
      </c>
      <c r="B827" s="24" t="s">
        <v>73</v>
      </c>
      <c r="C827" s="24" t="s">
        <v>2151</v>
      </c>
      <c r="D827" s="24">
        <v>105</v>
      </c>
      <c r="E827" s="24">
        <v>325</v>
      </c>
      <c r="F827" s="24">
        <v>59</v>
      </c>
      <c r="G827" s="24">
        <v>721</v>
      </c>
      <c r="H827" s="24">
        <v>82.5</v>
      </c>
      <c r="I827" s="24">
        <v>658</v>
      </c>
      <c r="J827" s="24">
        <v>42</v>
      </c>
      <c r="K827" s="24">
        <v>863</v>
      </c>
      <c r="L827" s="24">
        <v>51</v>
      </c>
      <c r="M827" s="24">
        <v>571</v>
      </c>
      <c r="N827" s="24">
        <v>42</v>
      </c>
      <c r="O827" s="24">
        <v>921</v>
      </c>
      <c r="P827" s="24">
        <v>75</v>
      </c>
      <c r="Q827" s="24">
        <v>289</v>
      </c>
      <c r="R827" s="24">
        <v>67</v>
      </c>
      <c r="S827" s="24">
        <v>471</v>
      </c>
      <c r="T827" s="24">
        <v>45</v>
      </c>
      <c r="U827" s="24">
        <v>781</v>
      </c>
      <c r="V827" s="24">
        <v>381.5</v>
      </c>
      <c r="W827" s="24">
        <v>46</v>
      </c>
      <c r="X827" s="24">
        <v>825</v>
      </c>
      <c r="Y827" s="24">
        <v>364</v>
      </c>
      <c r="Z827" s="24">
        <v>851</v>
      </c>
      <c r="AA827" s="24">
        <v>26</v>
      </c>
    </row>
    <row r="828" spans="1:27">
      <c r="A828" s="24" t="s">
        <v>1478</v>
      </c>
      <c r="B828" s="24" t="s">
        <v>56</v>
      </c>
      <c r="C828" s="24" t="s">
        <v>1479</v>
      </c>
      <c r="D828" s="24">
        <v>109</v>
      </c>
      <c r="E828" s="24">
        <v>185</v>
      </c>
      <c r="F828" s="24">
        <v>56</v>
      </c>
      <c r="G828" s="24">
        <v>755</v>
      </c>
      <c r="H828" s="24">
        <v>84</v>
      </c>
      <c r="I828" s="24">
        <v>623</v>
      </c>
      <c r="J828" s="24">
        <v>49</v>
      </c>
      <c r="K828" s="24">
        <v>803</v>
      </c>
      <c r="L828" s="24">
        <v>26</v>
      </c>
      <c r="M828" s="24">
        <v>918</v>
      </c>
      <c r="N828" s="24">
        <v>57</v>
      </c>
      <c r="O828" s="24">
        <v>801</v>
      </c>
      <c r="P828" s="24">
        <v>66</v>
      </c>
      <c r="Q828" s="24">
        <v>604</v>
      </c>
      <c r="R828" s="24">
        <v>78</v>
      </c>
      <c r="S828" s="24">
        <v>86</v>
      </c>
      <c r="T828" s="24">
        <v>52</v>
      </c>
      <c r="U828" s="24">
        <v>509</v>
      </c>
      <c r="V828" s="24">
        <v>381</v>
      </c>
      <c r="W828" s="24">
        <v>47</v>
      </c>
      <c r="X828" s="24">
        <v>827</v>
      </c>
      <c r="Y828" s="24">
        <v>383</v>
      </c>
      <c r="Z828" s="24">
        <v>796</v>
      </c>
      <c r="AA828" s="24">
        <v>-31</v>
      </c>
    </row>
    <row r="829" spans="1:27">
      <c r="A829" s="24" t="s">
        <v>1945</v>
      </c>
      <c r="B829" s="24" t="s">
        <v>109</v>
      </c>
      <c r="C829" s="24" t="s">
        <v>1946</v>
      </c>
      <c r="D829" s="24">
        <v>98</v>
      </c>
      <c r="E829" s="24">
        <v>611</v>
      </c>
      <c r="F829" s="24">
        <v>64</v>
      </c>
      <c r="G829" s="24">
        <v>627</v>
      </c>
      <c r="H829" s="24">
        <v>84</v>
      </c>
      <c r="I829" s="24">
        <v>623</v>
      </c>
      <c r="J829" s="24">
        <v>35</v>
      </c>
      <c r="K829" s="24">
        <v>912</v>
      </c>
      <c r="L829" s="24">
        <v>44</v>
      </c>
      <c r="M829" s="24">
        <v>736</v>
      </c>
      <c r="N829" s="24">
        <v>56</v>
      </c>
      <c r="O829" s="24">
        <v>816</v>
      </c>
      <c r="P829" s="24">
        <v>82</v>
      </c>
      <c r="Q829" s="24">
        <v>100</v>
      </c>
      <c r="R829" s="24">
        <v>62</v>
      </c>
      <c r="S829" s="24">
        <v>672</v>
      </c>
      <c r="T829" s="24">
        <v>50</v>
      </c>
      <c r="U829" s="24">
        <v>591</v>
      </c>
      <c r="V829" s="24">
        <v>381</v>
      </c>
      <c r="W829" s="24">
        <v>51</v>
      </c>
      <c r="X829" s="24">
        <v>827</v>
      </c>
      <c r="Y829" s="24">
        <v>392.5</v>
      </c>
      <c r="Z829" s="24">
        <v>757</v>
      </c>
      <c r="AA829" s="24">
        <v>-70</v>
      </c>
    </row>
    <row r="830" spans="1:27">
      <c r="A830" s="24" t="s">
        <v>1268</v>
      </c>
      <c r="B830" s="24" t="s">
        <v>54</v>
      </c>
      <c r="C830" s="24" t="s">
        <v>1269</v>
      </c>
      <c r="D830" s="24">
        <v>111</v>
      </c>
      <c r="E830" s="24">
        <v>136</v>
      </c>
      <c r="F830" s="24">
        <v>50</v>
      </c>
      <c r="G830" s="24">
        <v>831</v>
      </c>
      <c r="H830" s="24">
        <v>69</v>
      </c>
      <c r="I830" s="24">
        <v>852</v>
      </c>
      <c r="J830" s="24">
        <v>49</v>
      </c>
      <c r="K830" s="24">
        <v>803</v>
      </c>
      <c r="L830" s="24">
        <v>48</v>
      </c>
      <c r="M830" s="24">
        <v>649</v>
      </c>
      <c r="N830" s="24">
        <v>54</v>
      </c>
      <c r="O830" s="24">
        <v>845</v>
      </c>
      <c r="P830" s="24">
        <v>61</v>
      </c>
      <c r="Q830" s="24">
        <v>754</v>
      </c>
      <c r="R830" s="24">
        <v>64</v>
      </c>
      <c r="S830" s="24">
        <v>586</v>
      </c>
      <c r="T830" s="24">
        <v>46</v>
      </c>
      <c r="U830" s="24">
        <v>755</v>
      </c>
      <c r="V830" s="24">
        <v>381</v>
      </c>
      <c r="W830" s="24">
        <v>50</v>
      </c>
      <c r="X830" s="24">
        <v>827</v>
      </c>
      <c r="Y830" s="24">
        <v>367.5</v>
      </c>
      <c r="Z830" s="24">
        <v>845</v>
      </c>
      <c r="AA830" s="24">
        <v>18</v>
      </c>
    </row>
    <row r="831" spans="1:27">
      <c r="A831" s="24" t="s">
        <v>420</v>
      </c>
      <c r="B831" s="24" t="s">
        <v>19</v>
      </c>
      <c r="C831" s="24" t="s">
        <v>3245</v>
      </c>
      <c r="D831" s="24">
        <v>89</v>
      </c>
      <c r="E831" s="24">
        <v>835</v>
      </c>
      <c r="F831" s="24">
        <v>53</v>
      </c>
      <c r="G831" s="24">
        <v>792</v>
      </c>
      <c r="H831" s="24">
        <v>70.5</v>
      </c>
      <c r="I831" s="24">
        <v>835</v>
      </c>
      <c r="J831" s="24">
        <v>62</v>
      </c>
      <c r="K831" s="24">
        <v>564</v>
      </c>
      <c r="L831" s="24">
        <v>42</v>
      </c>
      <c r="M831" s="24">
        <v>774</v>
      </c>
      <c r="N831" s="24">
        <v>64</v>
      </c>
      <c r="O831" s="24">
        <v>667</v>
      </c>
      <c r="P831" s="24">
        <v>65</v>
      </c>
      <c r="Q831" s="24">
        <v>651</v>
      </c>
      <c r="R831" s="24">
        <v>72</v>
      </c>
      <c r="S831" s="24">
        <v>256</v>
      </c>
      <c r="T831" s="24">
        <v>50</v>
      </c>
      <c r="U831" s="24">
        <v>591</v>
      </c>
      <c r="V831" s="24">
        <v>380.5</v>
      </c>
      <c r="W831" s="24">
        <v>51</v>
      </c>
      <c r="X831" s="24">
        <v>830</v>
      </c>
      <c r="Y831" s="24">
        <v>387</v>
      </c>
      <c r="Z831" s="24">
        <v>777</v>
      </c>
      <c r="AA831" s="24">
        <v>-53</v>
      </c>
    </row>
    <row r="832" spans="1:27">
      <c r="A832" s="24" t="s">
        <v>783</v>
      </c>
      <c r="B832" s="24" t="s">
        <v>117</v>
      </c>
      <c r="C832" s="24" t="s">
        <v>784</v>
      </c>
      <c r="D832" s="24">
        <v>104</v>
      </c>
      <c r="E832" s="24">
        <v>357</v>
      </c>
      <c r="F832" s="24">
        <v>62</v>
      </c>
      <c r="G832" s="24">
        <v>665</v>
      </c>
      <c r="H832" s="24">
        <v>68.5</v>
      </c>
      <c r="I832" s="24">
        <v>858</v>
      </c>
      <c r="J832" s="24">
        <v>49</v>
      </c>
      <c r="K832" s="24">
        <v>803</v>
      </c>
      <c r="L832" s="24">
        <v>37</v>
      </c>
      <c r="M832" s="24">
        <v>850</v>
      </c>
      <c r="N832" s="24">
        <v>60</v>
      </c>
      <c r="O832" s="24">
        <v>748</v>
      </c>
      <c r="P832" s="24">
        <v>58</v>
      </c>
      <c r="Q832" s="24">
        <v>820</v>
      </c>
      <c r="R832" s="24">
        <v>63</v>
      </c>
      <c r="S832" s="24">
        <v>633</v>
      </c>
      <c r="T832" s="24">
        <v>40</v>
      </c>
      <c r="U832" s="24">
        <v>881</v>
      </c>
      <c r="V832" s="24">
        <v>380.5</v>
      </c>
      <c r="W832" s="24">
        <v>51</v>
      </c>
      <c r="X832" s="24">
        <v>830</v>
      </c>
      <c r="Y832" s="24">
        <v>386</v>
      </c>
      <c r="Z832" s="24">
        <v>782</v>
      </c>
      <c r="AA832" s="24">
        <v>-48</v>
      </c>
    </row>
    <row r="833" spans="1:27">
      <c r="A833" s="24" t="s">
        <v>1002</v>
      </c>
      <c r="B833" s="24" t="s">
        <v>60</v>
      </c>
      <c r="C833" s="24" t="s">
        <v>1003</v>
      </c>
      <c r="D833" s="24">
        <v>95</v>
      </c>
      <c r="E833" s="24">
        <v>710</v>
      </c>
      <c r="F833" s="24">
        <v>56</v>
      </c>
      <c r="G833" s="24">
        <v>755</v>
      </c>
      <c r="H833" s="24">
        <v>84.5</v>
      </c>
      <c r="I833" s="24">
        <v>607</v>
      </c>
      <c r="J833" s="24">
        <v>42</v>
      </c>
      <c r="K833" s="24">
        <v>863</v>
      </c>
      <c r="L833" s="24">
        <v>41</v>
      </c>
      <c r="M833" s="24">
        <v>795</v>
      </c>
      <c r="N833" s="24">
        <v>60</v>
      </c>
      <c r="O833" s="24">
        <v>748</v>
      </c>
      <c r="P833" s="24">
        <v>58</v>
      </c>
      <c r="Q833" s="24">
        <v>820</v>
      </c>
      <c r="R833" s="24">
        <v>56</v>
      </c>
      <c r="S833" s="24">
        <v>817</v>
      </c>
      <c r="T833" s="24">
        <v>45</v>
      </c>
      <c r="U833" s="24">
        <v>781</v>
      </c>
      <c r="V833" s="24">
        <v>378.5</v>
      </c>
      <c r="W833" s="24">
        <v>51</v>
      </c>
      <c r="X833" s="24">
        <v>832</v>
      </c>
      <c r="Y833" s="24">
        <v>336</v>
      </c>
      <c r="Z833" s="24">
        <v>899</v>
      </c>
      <c r="AA833" s="24">
        <v>67</v>
      </c>
    </row>
    <row r="834" spans="1:27">
      <c r="A834" s="24" t="s">
        <v>2450</v>
      </c>
      <c r="B834" s="24" t="s">
        <v>131</v>
      </c>
      <c r="C834" s="24" t="s">
        <v>2451</v>
      </c>
      <c r="D834" s="24">
        <v>95</v>
      </c>
      <c r="E834" s="24">
        <v>710</v>
      </c>
      <c r="F834" s="24">
        <v>49</v>
      </c>
      <c r="G834" s="24">
        <v>839</v>
      </c>
      <c r="H834" s="24">
        <v>87</v>
      </c>
      <c r="I834" s="24">
        <v>554</v>
      </c>
      <c r="J834" s="24">
        <v>44</v>
      </c>
      <c r="K834" s="24">
        <v>849</v>
      </c>
      <c r="L834" s="24">
        <v>39</v>
      </c>
      <c r="M834" s="24">
        <v>825</v>
      </c>
      <c r="N834" s="24">
        <v>64</v>
      </c>
      <c r="O834" s="24">
        <v>667</v>
      </c>
      <c r="P834" s="24">
        <v>64</v>
      </c>
      <c r="Q834" s="24">
        <v>680</v>
      </c>
      <c r="R834" s="24">
        <v>58</v>
      </c>
      <c r="S834" s="24">
        <v>770</v>
      </c>
      <c r="T834" s="24">
        <v>46</v>
      </c>
      <c r="U834" s="24">
        <v>755</v>
      </c>
      <c r="V834" s="24">
        <v>378</v>
      </c>
      <c r="W834" s="24">
        <v>47</v>
      </c>
      <c r="X834" s="24">
        <v>833</v>
      </c>
      <c r="Y834" s="24">
        <v>385</v>
      </c>
      <c r="Z834" s="24">
        <v>787</v>
      </c>
      <c r="AA834" s="24">
        <v>-46</v>
      </c>
    </row>
    <row r="835" spans="1:27">
      <c r="A835" s="24" t="s">
        <v>256</v>
      </c>
      <c r="B835" s="24" t="s">
        <v>28</v>
      </c>
      <c r="C835" s="24" t="s">
        <v>257</v>
      </c>
      <c r="D835" s="24">
        <v>80</v>
      </c>
      <c r="E835" s="24">
        <v>909</v>
      </c>
      <c r="F835" s="24">
        <v>45</v>
      </c>
      <c r="G835" s="24">
        <v>871</v>
      </c>
      <c r="H835" s="24">
        <v>83.5</v>
      </c>
      <c r="I835" s="24">
        <v>633</v>
      </c>
      <c r="J835" s="24">
        <v>64</v>
      </c>
      <c r="K835" s="24">
        <v>517</v>
      </c>
      <c r="L835" s="24">
        <v>46</v>
      </c>
      <c r="M835" s="24">
        <v>702</v>
      </c>
      <c r="N835" s="24">
        <v>59</v>
      </c>
      <c r="O835" s="24">
        <v>762</v>
      </c>
      <c r="P835" s="24">
        <v>63</v>
      </c>
      <c r="Q835" s="24">
        <v>712</v>
      </c>
      <c r="R835" s="24">
        <v>59</v>
      </c>
      <c r="S835" s="24">
        <v>746</v>
      </c>
      <c r="T835" s="24">
        <v>52</v>
      </c>
      <c r="U835" s="24">
        <v>509</v>
      </c>
      <c r="V835" s="24">
        <v>377.5</v>
      </c>
      <c r="W835" s="24">
        <v>46</v>
      </c>
      <c r="X835" s="24">
        <v>834</v>
      </c>
      <c r="Y835" s="24">
        <v>374</v>
      </c>
      <c r="Z835" s="24">
        <v>826</v>
      </c>
      <c r="AA835" s="24">
        <v>-8</v>
      </c>
    </row>
    <row r="836" spans="1:27">
      <c r="A836" s="24" t="s">
        <v>1303</v>
      </c>
      <c r="B836" s="24" t="s">
        <v>54</v>
      </c>
      <c r="C836" s="24" t="s">
        <v>1304</v>
      </c>
      <c r="D836" s="24">
        <v>92</v>
      </c>
      <c r="E836" s="24">
        <v>779</v>
      </c>
      <c r="F836" s="24">
        <v>55</v>
      </c>
      <c r="G836" s="24">
        <v>766</v>
      </c>
      <c r="H836" s="24">
        <v>75</v>
      </c>
      <c r="I836" s="24">
        <v>777</v>
      </c>
      <c r="J836" s="24">
        <v>45</v>
      </c>
      <c r="K836" s="24">
        <v>840</v>
      </c>
      <c r="L836" s="24">
        <v>42</v>
      </c>
      <c r="M836" s="24">
        <v>774</v>
      </c>
      <c r="N836" s="24">
        <v>68</v>
      </c>
      <c r="O836" s="24">
        <v>555</v>
      </c>
      <c r="P836" s="24">
        <v>61</v>
      </c>
      <c r="Q836" s="24">
        <v>754</v>
      </c>
      <c r="R836" s="24">
        <v>73</v>
      </c>
      <c r="S836" s="24">
        <v>216</v>
      </c>
      <c r="T836" s="24">
        <v>47</v>
      </c>
      <c r="U836" s="24">
        <v>719</v>
      </c>
      <c r="V836" s="24">
        <v>377</v>
      </c>
      <c r="W836" s="24">
        <v>51</v>
      </c>
      <c r="X836" s="24">
        <v>835</v>
      </c>
      <c r="Y836" s="24">
        <v>373</v>
      </c>
      <c r="Z836" s="24">
        <v>829</v>
      </c>
      <c r="AA836" s="24">
        <v>-6</v>
      </c>
    </row>
    <row r="837" spans="1:27">
      <c r="A837" s="24" t="s">
        <v>2426</v>
      </c>
      <c r="B837" s="24" t="s">
        <v>131</v>
      </c>
      <c r="C837" s="24" t="s">
        <v>2427</v>
      </c>
      <c r="D837" s="24">
        <v>86</v>
      </c>
      <c r="E837" s="24">
        <v>867</v>
      </c>
      <c r="F837" s="24">
        <v>67</v>
      </c>
      <c r="G837" s="24">
        <v>565</v>
      </c>
      <c r="H837" s="24">
        <v>71</v>
      </c>
      <c r="I837" s="24">
        <v>830</v>
      </c>
      <c r="J837" s="24">
        <v>59</v>
      </c>
      <c r="K837" s="24">
        <v>626</v>
      </c>
      <c r="L837" s="24">
        <v>43</v>
      </c>
      <c r="M837" s="24">
        <v>757</v>
      </c>
      <c r="N837" s="24">
        <v>51</v>
      </c>
      <c r="O837" s="24">
        <v>874</v>
      </c>
      <c r="P837" s="24">
        <v>67</v>
      </c>
      <c r="Q837" s="24">
        <v>570</v>
      </c>
      <c r="R837" s="24">
        <v>64</v>
      </c>
      <c r="S837" s="24">
        <v>586</v>
      </c>
      <c r="T837" s="24">
        <v>59</v>
      </c>
      <c r="U837" s="24">
        <v>233</v>
      </c>
      <c r="V837" s="24">
        <v>377</v>
      </c>
      <c r="W837" s="24">
        <v>48</v>
      </c>
      <c r="X837" s="24">
        <v>835</v>
      </c>
      <c r="Y837" s="24">
        <v>371.5</v>
      </c>
      <c r="Z837" s="24">
        <v>834</v>
      </c>
      <c r="AA837" s="24">
        <v>-1</v>
      </c>
    </row>
    <row r="838" spans="1:27">
      <c r="A838" s="24" t="s">
        <v>1434</v>
      </c>
      <c r="B838" s="24" t="s">
        <v>56</v>
      </c>
      <c r="C838" s="24" t="s">
        <v>1435</v>
      </c>
      <c r="D838" s="24">
        <v>73</v>
      </c>
      <c r="E838" s="24">
        <v>927</v>
      </c>
      <c r="F838" s="24">
        <v>47</v>
      </c>
      <c r="G838" s="24">
        <v>857</v>
      </c>
      <c r="H838" s="24">
        <v>96.5</v>
      </c>
      <c r="I838" s="24">
        <v>337</v>
      </c>
      <c r="J838" s="24">
        <v>55</v>
      </c>
      <c r="K838" s="24">
        <v>694</v>
      </c>
      <c r="L838" s="24">
        <v>36</v>
      </c>
      <c r="M838" s="24">
        <v>856</v>
      </c>
      <c r="N838" s="24">
        <v>69</v>
      </c>
      <c r="O838" s="24">
        <v>523</v>
      </c>
      <c r="P838" s="24">
        <v>83</v>
      </c>
      <c r="Q838" s="24">
        <v>79</v>
      </c>
      <c r="R838" s="24">
        <v>79</v>
      </c>
      <c r="S838" s="24">
        <v>73</v>
      </c>
      <c r="T838" s="24">
        <v>55</v>
      </c>
      <c r="U838" s="24">
        <v>392</v>
      </c>
      <c r="V838" s="24">
        <v>376.5</v>
      </c>
      <c r="W838" s="24">
        <v>48</v>
      </c>
      <c r="X838" s="24">
        <v>837</v>
      </c>
      <c r="Y838" s="24">
        <v>373.5</v>
      </c>
      <c r="Z838" s="24">
        <v>827</v>
      </c>
      <c r="AA838" s="24">
        <v>-10</v>
      </c>
    </row>
    <row r="839" spans="1:27">
      <c r="A839" s="24" t="s">
        <v>311</v>
      </c>
      <c r="B839" s="24" t="s">
        <v>28</v>
      </c>
      <c r="C839" s="24" t="s">
        <v>312</v>
      </c>
      <c r="D839" s="24">
        <v>94</v>
      </c>
      <c r="E839" s="24">
        <v>733</v>
      </c>
      <c r="F839" s="24">
        <v>57</v>
      </c>
      <c r="G839" s="24">
        <v>744</v>
      </c>
      <c r="H839" s="24">
        <v>86.5</v>
      </c>
      <c r="I839" s="24">
        <v>566</v>
      </c>
      <c r="J839" s="24">
        <v>40</v>
      </c>
      <c r="K839" s="24">
        <v>879</v>
      </c>
      <c r="L839" s="24">
        <v>30</v>
      </c>
      <c r="M839" s="24">
        <v>902</v>
      </c>
      <c r="N839" s="24">
        <v>69</v>
      </c>
      <c r="O839" s="24">
        <v>523</v>
      </c>
      <c r="P839" s="24">
        <v>67</v>
      </c>
      <c r="Q839" s="24">
        <v>570</v>
      </c>
      <c r="R839" s="24">
        <v>59</v>
      </c>
      <c r="S839" s="24">
        <v>746</v>
      </c>
      <c r="T839" s="24">
        <v>51</v>
      </c>
      <c r="U839" s="24">
        <v>555</v>
      </c>
      <c r="V839" s="24">
        <v>376.5</v>
      </c>
      <c r="W839" s="24">
        <v>47</v>
      </c>
      <c r="X839" s="24">
        <v>837</v>
      </c>
      <c r="Y839" s="24">
        <v>347.5</v>
      </c>
      <c r="Z839" s="24">
        <v>886</v>
      </c>
      <c r="AA839" s="24">
        <v>49</v>
      </c>
    </row>
    <row r="840" spans="1:27">
      <c r="A840" s="24" t="s">
        <v>2441</v>
      </c>
      <c r="B840" s="24" t="s">
        <v>131</v>
      </c>
      <c r="C840" s="24" t="s">
        <v>2442</v>
      </c>
      <c r="D840" s="24">
        <v>83</v>
      </c>
      <c r="E840" s="24">
        <v>897</v>
      </c>
      <c r="F840" s="24">
        <v>71</v>
      </c>
      <c r="G840" s="24">
        <v>475</v>
      </c>
      <c r="H840" s="24">
        <v>72</v>
      </c>
      <c r="I840" s="24">
        <v>822</v>
      </c>
      <c r="J840" s="24">
        <v>53</v>
      </c>
      <c r="K840" s="24">
        <v>739</v>
      </c>
      <c r="L840" s="24">
        <v>44</v>
      </c>
      <c r="M840" s="24">
        <v>736</v>
      </c>
      <c r="N840" s="24">
        <v>53</v>
      </c>
      <c r="O840" s="24">
        <v>858</v>
      </c>
      <c r="P840" s="24">
        <v>56</v>
      </c>
      <c r="Q840" s="24">
        <v>849</v>
      </c>
      <c r="R840" s="24">
        <v>73</v>
      </c>
      <c r="S840" s="24">
        <v>216</v>
      </c>
      <c r="T840" s="24">
        <v>50</v>
      </c>
      <c r="U840" s="24">
        <v>591</v>
      </c>
      <c r="V840" s="24">
        <v>376</v>
      </c>
      <c r="W840" s="24">
        <v>49</v>
      </c>
      <c r="X840" s="24">
        <v>839</v>
      </c>
      <c r="Y840" s="24">
        <v>339.5</v>
      </c>
      <c r="Z840" s="24">
        <v>896</v>
      </c>
      <c r="AA840" s="24">
        <v>57</v>
      </c>
    </row>
    <row r="841" spans="1:27">
      <c r="A841" s="24" t="s">
        <v>2605</v>
      </c>
      <c r="B841" s="24" t="s">
        <v>49</v>
      </c>
      <c r="C841" s="24" t="s">
        <v>2609</v>
      </c>
      <c r="D841" s="24">
        <v>99</v>
      </c>
      <c r="E841" s="24">
        <v>571</v>
      </c>
      <c r="F841" s="24">
        <v>57</v>
      </c>
      <c r="G841" s="24">
        <v>744</v>
      </c>
      <c r="H841" s="24">
        <v>101.5</v>
      </c>
      <c r="I841" s="24">
        <v>225</v>
      </c>
      <c r="J841" s="24">
        <v>40</v>
      </c>
      <c r="K841" s="24">
        <v>879</v>
      </c>
      <c r="L841" s="24">
        <v>31</v>
      </c>
      <c r="M841" s="24">
        <v>893</v>
      </c>
      <c r="N841" s="24">
        <v>47</v>
      </c>
      <c r="O841" s="24">
        <v>895</v>
      </c>
      <c r="P841" s="24">
        <v>62</v>
      </c>
      <c r="Q841" s="24">
        <v>729</v>
      </c>
      <c r="R841" s="24">
        <v>47</v>
      </c>
      <c r="S841" s="24">
        <v>916</v>
      </c>
      <c r="T841" s="24">
        <v>56</v>
      </c>
      <c r="U841" s="24">
        <v>352</v>
      </c>
      <c r="V841" s="24">
        <v>375.5</v>
      </c>
      <c r="W841" s="24">
        <v>45</v>
      </c>
      <c r="X841" s="24">
        <v>840</v>
      </c>
      <c r="Y841" s="24">
        <v>424</v>
      </c>
      <c r="Z841" s="24">
        <v>612</v>
      </c>
      <c r="AA841" s="24">
        <v>-228</v>
      </c>
    </row>
    <row r="842" spans="1:27">
      <c r="A842" s="24" t="s">
        <v>2864</v>
      </c>
      <c r="B842" s="24" t="s">
        <v>38</v>
      </c>
      <c r="C842" s="24" t="s">
        <v>2865</v>
      </c>
      <c r="D842" s="24">
        <v>100</v>
      </c>
      <c r="E842" s="24">
        <v>528</v>
      </c>
      <c r="F842" s="24">
        <v>61</v>
      </c>
      <c r="G842" s="24">
        <v>678</v>
      </c>
      <c r="H842" s="24">
        <v>83</v>
      </c>
      <c r="I842" s="24">
        <v>643</v>
      </c>
      <c r="J842" s="24">
        <v>36</v>
      </c>
      <c r="K842" s="24">
        <v>905</v>
      </c>
      <c r="L842" s="24">
        <v>31</v>
      </c>
      <c r="M842" s="24">
        <v>893</v>
      </c>
      <c r="N842" s="24">
        <v>64</v>
      </c>
      <c r="O842" s="24">
        <v>667</v>
      </c>
      <c r="P842" s="24">
        <v>69</v>
      </c>
      <c r="Q842" s="24">
        <v>504</v>
      </c>
      <c r="R842" s="24">
        <v>63</v>
      </c>
      <c r="S842" s="24">
        <v>633</v>
      </c>
      <c r="T842" s="24">
        <v>57</v>
      </c>
      <c r="U842" s="24">
        <v>306</v>
      </c>
      <c r="V842" s="24">
        <v>375</v>
      </c>
      <c r="W842" s="24">
        <v>50</v>
      </c>
      <c r="X842" s="24">
        <v>841</v>
      </c>
      <c r="Y842" s="24">
        <v>370.5</v>
      </c>
      <c r="Z842" s="24">
        <v>840</v>
      </c>
      <c r="AA842" s="24">
        <v>-1</v>
      </c>
    </row>
    <row r="843" spans="1:27">
      <c r="A843" s="24" t="s">
        <v>299</v>
      </c>
      <c r="B843" s="24" t="s">
        <v>28</v>
      </c>
      <c r="C843" s="24" t="s">
        <v>300</v>
      </c>
      <c r="D843" s="24">
        <v>95</v>
      </c>
      <c r="E843" s="24">
        <v>710</v>
      </c>
      <c r="F843" s="24">
        <v>57</v>
      </c>
      <c r="G843" s="24">
        <v>744</v>
      </c>
      <c r="H843" s="24">
        <v>77</v>
      </c>
      <c r="I843" s="24">
        <v>741</v>
      </c>
      <c r="J843" s="24">
        <v>45</v>
      </c>
      <c r="K843" s="24">
        <v>840</v>
      </c>
      <c r="L843" s="24">
        <v>42</v>
      </c>
      <c r="M843" s="24">
        <v>774</v>
      </c>
      <c r="N843" s="24">
        <v>59</v>
      </c>
      <c r="O843" s="24">
        <v>762</v>
      </c>
      <c r="P843" s="24">
        <v>56</v>
      </c>
      <c r="Q843" s="24">
        <v>849</v>
      </c>
      <c r="R843" s="24">
        <v>67</v>
      </c>
      <c r="S843" s="24">
        <v>471</v>
      </c>
      <c r="T843" s="24">
        <v>42</v>
      </c>
      <c r="U843" s="24">
        <v>845</v>
      </c>
      <c r="V843" s="24">
        <v>375</v>
      </c>
      <c r="W843" s="24">
        <v>48</v>
      </c>
      <c r="X843" s="24">
        <v>841</v>
      </c>
      <c r="Y843" s="24">
        <v>388</v>
      </c>
      <c r="Z843" s="24">
        <v>774</v>
      </c>
      <c r="AA843" s="24">
        <v>-67</v>
      </c>
    </row>
    <row r="844" spans="1:27">
      <c r="A844" s="24" t="s">
        <v>2296</v>
      </c>
      <c r="B844" s="24" t="s">
        <v>7</v>
      </c>
      <c r="C844" s="24" t="s">
        <v>2294</v>
      </c>
      <c r="D844" s="24">
        <v>68</v>
      </c>
      <c r="E844" s="24">
        <v>931</v>
      </c>
      <c r="F844" s="24">
        <v>63</v>
      </c>
      <c r="G844" s="24">
        <v>642</v>
      </c>
      <c r="H844" s="24">
        <v>87</v>
      </c>
      <c r="I844" s="24">
        <v>554</v>
      </c>
      <c r="J844" s="24">
        <v>70</v>
      </c>
      <c r="K844" s="24">
        <v>400</v>
      </c>
      <c r="L844" s="24">
        <v>39</v>
      </c>
      <c r="M844" s="24">
        <v>825</v>
      </c>
      <c r="N844" s="24">
        <v>48</v>
      </c>
      <c r="O844" s="24">
        <v>892</v>
      </c>
      <c r="P844" s="24">
        <v>76</v>
      </c>
      <c r="Q844" s="24">
        <v>260</v>
      </c>
      <c r="R844" s="24">
        <v>63</v>
      </c>
      <c r="S844" s="24">
        <v>633</v>
      </c>
      <c r="T844" s="24">
        <v>59</v>
      </c>
      <c r="U844" s="24">
        <v>233</v>
      </c>
      <c r="V844" s="24">
        <v>375</v>
      </c>
      <c r="W844" s="24">
        <v>48</v>
      </c>
      <c r="X844" s="24">
        <v>841</v>
      </c>
      <c r="Y844" s="24">
        <v>406</v>
      </c>
      <c r="Z844" s="24">
        <v>699</v>
      </c>
      <c r="AA844" s="24">
        <v>-142</v>
      </c>
    </row>
    <row r="845" spans="1:27">
      <c r="A845" s="24" t="s">
        <v>1475</v>
      </c>
      <c r="B845" s="24" t="s">
        <v>56</v>
      </c>
      <c r="C845" s="24" t="s">
        <v>1476</v>
      </c>
      <c r="D845" s="24">
        <v>113</v>
      </c>
      <c r="E845" s="24">
        <v>95</v>
      </c>
      <c r="F845" s="24">
        <v>48</v>
      </c>
      <c r="G845" s="24">
        <v>848</v>
      </c>
      <c r="H845" s="24">
        <v>92.5</v>
      </c>
      <c r="I845" s="24">
        <v>414</v>
      </c>
      <c r="J845" s="24">
        <v>28</v>
      </c>
      <c r="K845" s="24">
        <v>927</v>
      </c>
      <c r="L845" s="24">
        <v>26</v>
      </c>
      <c r="M845" s="24">
        <v>918</v>
      </c>
      <c r="N845" s="24">
        <v>67</v>
      </c>
      <c r="O845" s="24">
        <v>587</v>
      </c>
      <c r="P845" s="24">
        <v>80</v>
      </c>
      <c r="Q845" s="24">
        <v>151</v>
      </c>
      <c r="R845" s="24">
        <v>77</v>
      </c>
      <c r="S845" s="24">
        <v>102</v>
      </c>
      <c r="T845" s="24">
        <v>56</v>
      </c>
      <c r="U845" s="24">
        <v>352</v>
      </c>
      <c r="V845" s="24">
        <v>374.5</v>
      </c>
      <c r="W845" s="24">
        <v>49</v>
      </c>
      <c r="X845" s="24">
        <v>844</v>
      </c>
      <c r="Y845" s="24">
        <v>349</v>
      </c>
      <c r="Z845" s="24">
        <v>881</v>
      </c>
      <c r="AA845" s="24">
        <v>37</v>
      </c>
    </row>
    <row r="846" spans="1:27">
      <c r="A846" s="24" t="s">
        <v>1158</v>
      </c>
      <c r="B846" s="24" t="s">
        <v>68</v>
      </c>
      <c r="C846" s="24" t="s">
        <v>1159</v>
      </c>
      <c r="D846" s="24">
        <v>86</v>
      </c>
      <c r="E846" s="24">
        <v>867</v>
      </c>
      <c r="F846" s="24">
        <v>75</v>
      </c>
      <c r="G846" s="24">
        <v>409</v>
      </c>
      <c r="H846" s="24">
        <v>68.5</v>
      </c>
      <c r="I846" s="24">
        <v>858</v>
      </c>
      <c r="J846" s="24">
        <v>40</v>
      </c>
      <c r="K846" s="24">
        <v>879</v>
      </c>
      <c r="L846" s="24">
        <v>39</v>
      </c>
      <c r="M846" s="24">
        <v>825</v>
      </c>
      <c r="N846" s="24">
        <v>66</v>
      </c>
      <c r="O846" s="24">
        <v>611</v>
      </c>
      <c r="P846" s="24">
        <v>62</v>
      </c>
      <c r="Q846" s="24">
        <v>729</v>
      </c>
      <c r="R846" s="24">
        <v>63</v>
      </c>
      <c r="S846" s="24">
        <v>633</v>
      </c>
      <c r="T846" s="24">
        <v>61</v>
      </c>
      <c r="U846" s="24">
        <v>172</v>
      </c>
      <c r="V846" s="24">
        <v>374.5</v>
      </c>
      <c r="W846" s="24">
        <v>50</v>
      </c>
      <c r="X846" s="24">
        <v>844</v>
      </c>
      <c r="Y846" s="24">
        <v>349</v>
      </c>
      <c r="Z846" s="24">
        <v>881</v>
      </c>
      <c r="AA846" s="24">
        <v>37</v>
      </c>
    </row>
    <row r="847" spans="1:27">
      <c r="A847" s="24" t="s">
        <v>2737</v>
      </c>
      <c r="B847" s="24" t="s">
        <v>49</v>
      </c>
      <c r="C847" s="24" t="s">
        <v>2738</v>
      </c>
      <c r="D847" s="24">
        <v>94</v>
      </c>
      <c r="E847" s="24">
        <v>733</v>
      </c>
      <c r="F847" s="24">
        <v>51</v>
      </c>
      <c r="G847" s="24">
        <v>817</v>
      </c>
      <c r="H847" s="24">
        <v>85.5</v>
      </c>
      <c r="I847" s="24">
        <v>586</v>
      </c>
      <c r="J847" s="24">
        <v>44</v>
      </c>
      <c r="K847" s="24">
        <v>849</v>
      </c>
      <c r="L847" s="24">
        <v>37</v>
      </c>
      <c r="M847" s="24">
        <v>850</v>
      </c>
      <c r="N847" s="24">
        <v>63</v>
      </c>
      <c r="O847" s="24">
        <v>692</v>
      </c>
      <c r="P847" s="24">
        <v>71</v>
      </c>
      <c r="Q847" s="24">
        <v>439</v>
      </c>
      <c r="R847" s="24">
        <v>60</v>
      </c>
      <c r="S847" s="24">
        <v>727</v>
      </c>
      <c r="T847" s="24">
        <v>51</v>
      </c>
      <c r="U847" s="24">
        <v>555</v>
      </c>
      <c r="V847" s="24">
        <v>374.5</v>
      </c>
      <c r="W847" s="24">
        <v>46</v>
      </c>
      <c r="X847" s="24">
        <v>844</v>
      </c>
      <c r="Y847" s="24">
        <v>398</v>
      </c>
      <c r="Z847" s="24">
        <v>740</v>
      </c>
      <c r="AA847" s="24">
        <v>-104</v>
      </c>
    </row>
    <row r="848" spans="1:27">
      <c r="A848" s="24" t="s">
        <v>2843</v>
      </c>
      <c r="B848" s="24" t="s">
        <v>38</v>
      </c>
      <c r="C848" s="24" t="s">
        <v>2844</v>
      </c>
      <c r="D848" s="24">
        <v>95</v>
      </c>
      <c r="E848" s="24">
        <v>710</v>
      </c>
      <c r="F848" s="24">
        <v>49</v>
      </c>
      <c r="G848" s="24">
        <v>839</v>
      </c>
      <c r="H848" s="24">
        <v>78.5</v>
      </c>
      <c r="I848" s="24">
        <v>712</v>
      </c>
      <c r="J848" s="24">
        <v>46</v>
      </c>
      <c r="K848" s="24">
        <v>833</v>
      </c>
      <c r="L848" s="24">
        <v>47</v>
      </c>
      <c r="M848" s="24">
        <v>673</v>
      </c>
      <c r="N848" s="24">
        <v>59</v>
      </c>
      <c r="O848" s="24">
        <v>762</v>
      </c>
      <c r="P848" s="24">
        <v>78</v>
      </c>
      <c r="Q848" s="24">
        <v>209</v>
      </c>
      <c r="R848" s="24">
        <v>68</v>
      </c>
      <c r="S848" s="24">
        <v>412</v>
      </c>
      <c r="T848" s="24">
        <v>49</v>
      </c>
      <c r="U848" s="24">
        <v>633</v>
      </c>
      <c r="V848" s="24">
        <v>374.5</v>
      </c>
      <c r="W848" s="24">
        <v>51</v>
      </c>
      <c r="X848" s="24">
        <v>844</v>
      </c>
      <c r="Y848" s="24">
        <v>357.5</v>
      </c>
      <c r="Z848" s="24">
        <v>862</v>
      </c>
      <c r="AA848" s="24">
        <v>18</v>
      </c>
    </row>
    <row r="849" spans="1:27">
      <c r="A849" s="24" t="s">
        <v>2797</v>
      </c>
      <c r="B849" s="24" t="s">
        <v>38</v>
      </c>
      <c r="C849" s="24" t="s">
        <v>2798</v>
      </c>
      <c r="D849" s="24">
        <v>102</v>
      </c>
      <c r="E849" s="24">
        <v>442</v>
      </c>
      <c r="F849" s="24">
        <v>50</v>
      </c>
      <c r="G849" s="24">
        <v>831</v>
      </c>
      <c r="H849" s="24">
        <v>70.5</v>
      </c>
      <c r="I849" s="24">
        <v>835</v>
      </c>
      <c r="J849" s="24">
        <v>59</v>
      </c>
      <c r="K849" s="24">
        <v>626</v>
      </c>
      <c r="L849" s="24">
        <v>35</v>
      </c>
      <c r="M849" s="24">
        <v>870</v>
      </c>
      <c r="N849" s="24">
        <v>58</v>
      </c>
      <c r="O849" s="24">
        <v>786</v>
      </c>
      <c r="P849" s="24">
        <v>70</v>
      </c>
      <c r="Q849" s="24">
        <v>473</v>
      </c>
      <c r="R849" s="24">
        <v>61</v>
      </c>
      <c r="S849" s="24">
        <v>703</v>
      </c>
      <c r="T849" s="24">
        <v>51</v>
      </c>
      <c r="U849" s="24">
        <v>555</v>
      </c>
      <c r="V849" s="24">
        <v>374.5</v>
      </c>
      <c r="W849" s="24">
        <v>51</v>
      </c>
      <c r="X849" s="24">
        <v>844</v>
      </c>
      <c r="Y849" s="24">
        <v>309</v>
      </c>
      <c r="Z849" s="24">
        <v>923</v>
      </c>
      <c r="AA849" s="24">
        <v>79</v>
      </c>
    </row>
    <row r="850" spans="1:27">
      <c r="A850" s="24" t="s">
        <v>733</v>
      </c>
      <c r="B850" s="24" t="s">
        <v>117</v>
      </c>
      <c r="C850" s="24" t="s">
        <v>734</v>
      </c>
      <c r="D850" s="24">
        <v>79</v>
      </c>
      <c r="E850" s="24">
        <v>915</v>
      </c>
      <c r="F850" s="24">
        <v>68</v>
      </c>
      <c r="G850" s="24">
        <v>540</v>
      </c>
      <c r="H850" s="24">
        <v>64.5</v>
      </c>
      <c r="I850" s="24">
        <v>885</v>
      </c>
      <c r="J850" s="24">
        <v>61</v>
      </c>
      <c r="K850" s="24">
        <v>587</v>
      </c>
      <c r="L850" s="24">
        <v>51</v>
      </c>
      <c r="M850" s="24">
        <v>571</v>
      </c>
      <c r="N850" s="24">
        <v>51</v>
      </c>
      <c r="O850" s="24">
        <v>874</v>
      </c>
      <c r="P850" s="24">
        <v>70</v>
      </c>
      <c r="Q850" s="24">
        <v>473</v>
      </c>
      <c r="R850" s="24">
        <v>52</v>
      </c>
      <c r="S850" s="24">
        <v>879</v>
      </c>
      <c r="T850" s="24">
        <v>47</v>
      </c>
      <c r="U850" s="24">
        <v>719</v>
      </c>
      <c r="V850" s="24">
        <v>374.5</v>
      </c>
      <c r="W850" s="24">
        <v>52</v>
      </c>
      <c r="X850" s="24">
        <v>844</v>
      </c>
      <c r="Y850" s="24">
        <v>392.5</v>
      </c>
      <c r="Z850" s="24">
        <v>757</v>
      </c>
      <c r="AA850" s="24">
        <v>-87</v>
      </c>
    </row>
    <row r="851" spans="1:27">
      <c r="A851" s="24" t="s">
        <v>1786</v>
      </c>
      <c r="B851" s="24" t="s">
        <v>34</v>
      </c>
      <c r="C851" s="24" t="s">
        <v>1787</v>
      </c>
      <c r="D851" s="24">
        <v>99</v>
      </c>
      <c r="E851" s="24">
        <v>571</v>
      </c>
      <c r="F851" s="24">
        <v>60</v>
      </c>
      <c r="G851" s="24">
        <v>696</v>
      </c>
      <c r="H851" s="24">
        <v>58</v>
      </c>
      <c r="I851" s="24">
        <v>918</v>
      </c>
      <c r="J851" s="24">
        <v>51</v>
      </c>
      <c r="K851" s="24">
        <v>771</v>
      </c>
      <c r="L851" s="24">
        <v>49</v>
      </c>
      <c r="M851" s="24">
        <v>624</v>
      </c>
      <c r="N851" s="24">
        <v>57</v>
      </c>
      <c r="O851" s="24">
        <v>801</v>
      </c>
      <c r="P851" s="24">
        <v>71</v>
      </c>
      <c r="Q851" s="24">
        <v>439</v>
      </c>
      <c r="R851" s="24">
        <v>74</v>
      </c>
      <c r="S851" s="24">
        <v>174</v>
      </c>
      <c r="T851" s="24">
        <v>49</v>
      </c>
      <c r="U851" s="24">
        <v>633</v>
      </c>
      <c r="V851" s="24">
        <v>374</v>
      </c>
      <c r="W851" s="24">
        <v>52</v>
      </c>
      <c r="X851" s="24">
        <v>850</v>
      </c>
      <c r="Y851" s="24">
        <v>391.5</v>
      </c>
      <c r="Z851" s="24">
        <v>763</v>
      </c>
      <c r="AA851" s="24">
        <v>-87</v>
      </c>
    </row>
    <row r="852" spans="1:27">
      <c r="A852" s="24" t="s">
        <v>2174</v>
      </c>
      <c r="B852" s="24" t="s">
        <v>73</v>
      </c>
      <c r="C852" s="24" t="s">
        <v>2175</v>
      </c>
      <c r="D852" s="24">
        <v>98</v>
      </c>
      <c r="E852" s="24">
        <v>611</v>
      </c>
      <c r="F852" s="24">
        <v>59</v>
      </c>
      <c r="G852" s="24">
        <v>721</v>
      </c>
      <c r="H852" s="24">
        <v>75.5</v>
      </c>
      <c r="I852" s="24">
        <v>764</v>
      </c>
      <c r="J852" s="24">
        <v>44</v>
      </c>
      <c r="K852" s="24">
        <v>849</v>
      </c>
      <c r="L852" s="24">
        <v>36</v>
      </c>
      <c r="M852" s="24">
        <v>856</v>
      </c>
      <c r="N852" s="24">
        <v>61</v>
      </c>
      <c r="O852" s="24">
        <v>734</v>
      </c>
      <c r="P852" s="24">
        <v>65</v>
      </c>
      <c r="Q852" s="24">
        <v>651</v>
      </c>
      <c r="R852" s="24">
        <v>54</v>
      </c>
      <c r="S852" s="24">
        <v>855</v>
      </c>
      <c r="T852" s="24">
        <v>28</v>
      </c>
      <c r="U852" s="24">
        <v>933</v>
      </c>
      <c r="V852" s="24">
        <v>373.5</v>
      </c>
      <c r="W852" s="24">
        <v>47</v>
      </c>
      <c r="X852" s="24">
        <v>851</v>
      </c>
      <c r="Y852" s="24">
        <v>334.5</v>
      </c>
      <c r="Z852" s="24">
        <v>902</v>
      </c>
      <c r="AA852" s="24">
        <v>51</v>
      </c>
    </row>
    <row r="853" spans="1:27">
      <c r="A853" s="24" t="s">
        <v>613</v>
      </c>
      <c r="B853" s="24" t="s">
        <v>17</v>
      </c>
      <c r="C853" s="24" t="s">
        <v>614</v>
      </c>
      <c r="D853" s="24">
        <v>90</v>
      </c>
      <c r="E853" s="24">
        <v>815</v>
      </c>
      <c r="F853" s="24">
        <v>72</v>
      </c>
      <c r="G853" s="24">
        <v>458</v>
      </c>
      <c r="H853" s="24">
        <v>72.5</v>
      </c>
      <c r="I853" s="24">
        <v>814</v>
      </c>
      <c r="J853" s="24">
        <v>52</v>
      </c>
      <c r="K853" s="24">
        <v>757</v>
      </c>
      <c r="L853" s="24">
        <v>35</v>
      </c>
      <c r="M853" s="24">
        <v>870</v>
      </c>
      <c r="N853" s="24">
        <v>52</v>
      </c>
      <c r="O853" s="24">
        <v>866</v>
      </c>
      <c r="P853" s="24">
        <v>66</v>
      </c>
      <c r="Q853" s="24">
        <v>604</v>
      </c>
      <c r="R853" s="24">
        <v>74</v>
      </c>
      <c r="S853" s="24">
        <v>174</v>
      </c>
      <c r="T853" s="24">
        <v>62</v>
      </c>
      <c r="U853" s="24">
        <v>146</v>
      </c>
      <c r="V853" s="24">
        <v>373.5</v>
      </c>
      <c r="W853" s="24">
        <v>53</v>
      </c>
      <c r="X853" s="24">
        <v>851</v>
      </c>
      <c r="Y853" s="24">
        <v>398</v>
      </c>
      <c r="Z853" s="24">
        <v>740</v>
      </c>
      <c r="AA853" s="24">
        <v>-111</v>
      </c>
    </row>
    <row r="854" spans="1:27">
      <c r="A854" s="24" t="s">
        <v>2597</v>
      </c>
      <c r="B854" s="24" t="s">
        <v>49</v>
      </c>
      <c r="C854" s="24" t="s">
        <v>2598</v>
      </c>
      <c r="D854" s="24">
        <v>76</v>
      </c>
      <c r="E854" s="24">
        <v>924</v>
      </c>
      <c r="F854" s="24">
        <v>59</v>
      </c>
      <c r="G854" s="24">
        <v>721</v>
      </c>
      <c r="H854" s="24">
        <v>76.5</v>
      </c>
      <c r="I854" s="24">
        <v>751</v>
      </c>
      <c r="J854" s="24">
        <v>61</v>
      </c>
      <c r="K854" s="24">
        <v>587</v>
      </c>
      <c r="L854" s="24">
        <v>57</v>
      </c>
      <c r="M854" s="24">
        <v>409</v>
      </c>
      <c r="N854" s="24">
        <v>44</v>
      </c>
      <c r="O854" s="24">
        <v>914</v>
      </c>
      <c r="P854" s="24">
        <v>63</v>
      </c>
      <c r="Q854" s="24">
        <v>712</v>
      </c>
      <c r="R854" s="24">
        <v>55</v>
      </c>
      <c r="S854" s="24">
        <v>835</v>
      </c>
      <c r="T854" s="24">
        <v>36</v>
      </c>
      <c r="U854" s="24">
        <v>918</v>
      </c>
      <c r="V854" s="24">
        <v>373.5</v>
      </c>
      <c r="W854" s="24">
        <v>47</v>
      </c>
      <c r="X854" s="24">
        <v>851</v>
      </c>
      <c r="Y854" s="24">
        <v>432</v>
      </c>
      <c r="Z854" s="24">
        <v>566</v>
      </c>
      <c r="AA854" s="24">
        <v>-285</v>
      </c>
    </row>
    <row r="855" spans="1:27">
      <c r="A855" s="24" t="s">
        <v>1426</v>
      </c>
      <c r="B855" s="24" t="s">
        <v>56</v>
      </c>
      <c r="C855" s="24" t="s">
        <v>1427</v>
      </c>
      <c r="D855" s="24">
        <v>94</v>
      </c>
      <c r="E855" s="24">
        <v>733</v>
      </c>
      <c r="F855" s="24">
        <v>50</v>
      </c>
      <c r="G855" s="24">
        <v>831</v>
      </c>
      <c r="H855" s="24">
        <v>71.5</v>
      </c>
      <c r="I855" s="24">
        <v>827</v>
      </c>
      <c r="J855" s="24">
        <v>58</v>
      </c>
      <c r="K855" s="24">
        <v>649</v>
      </c>
      <c r="L855" s="24">
        <v>26</v>
      </c>
      <c r="M855" s="24">
        <v>918</v>
      </c>
      <c r="N855" s="24">
        <v>73</v>
      </c>
      <c r="O855" s="24">
        <v>393</v>
      </c>
      <c r="P855" s="24">
        <v>67</v>
      </c>
      <c r="Q855" s="24">
        <v>570</v>
      </c>
      <c r="R855" s="24">
        <v>59</v>
      </c>
      <c r="S855" s="24">
        <v>746</v>
      </c>
      <c r="T855" s="24">
        <v>53</v>
      </c>
      <c r="U855" s="24">
        <v>470</v>
      </c>
      <c r="V855" s="24">
        <v>372.5</v>
      </c>
      <c r="W855" s="24">
        <v>50</v>
      </c>
      <c r="X855" s="24">
        <v>854</v>
      </c>
      <c r="Y855" s="24">
        <v>347.5</v>
      </c>
      <c r="Z855" s="24">
        <v>886</v>
      </c>
      <c r="AA855" s="24">
        <v>32</v>
      </c>
    </row>
    <row r="856" spans="1:27">
      <c r="A856" s="24" t="s">
        <v>1884</v>
      </c>
      <c r="B856" s="24" t="s">
        <v>34</v>
      </c>
      <c r="C856" s="24" t="s">
        <v>1885</v>
      </c>
      <c r="D856" s="24">
        <v>101</v>
      </c>
      <c r="E856" s="24">
        <v>481</v>
      </c>
      <c r="F856" s="24">
        <v>26</v>
      </c>
      <c r="G856" s="24">
        <v>927</v>
      </c>
      <c r="H856" s="24">
        <v>93</v>
      </c>
      <c r="I856" s="24">
        <v>405</v>
      </c>
      <c r="J856" s="24">
        <v>58</v>
      </c>
      <c r="K856" s="24">
        <v>649</v>
      </c>
      <c r="L856" s="24">
        <v>40</v>
      </c>
      <c r="M856" s="24">
        <v>811</v>
      </c>
      <c r="N856" s="24">
        <v>54</v>
      </c>
      <c r="O856" s="24">
        <v>845</v>
      </c>
      <c r="P856" s="24">
        <v>67</v>
      </c>
      <c r="Q856" s="24">
        <v>570</v>
      </c>
      <c r="R856" s="24">
        <v>73</v>
      </c>
      <c r="S856" s="24">
        <v>216</v>
      </c>
      <c r="T856" s="24">
        <v>48</v>
      </c>
      <c r="U856" s="24">
        <v>671</v>
      </c>
      <c r="V856" s="24">
        <v>372</v>
      </c>
      <c r="W856" s="24">
        <v>53</v>
      </c>
      <c r="X856" s="24">
        <v>855</v>
      </c>
      <c r="Y856" s="24">
        <v>388.5</v>
      </c>
      <c r="Z856" s="24">
        <v>770</v>
      </c>
      <c r="AA856" s="24">
        <v>-85</v>
      </c>
    </row>
    <row r="857" spans="1:27">
      <c r="A857" s="24" t="s">
        <v>351</v>
      </c>
      <c r="B857" s="24" t="s">
        <v>28</v>
      </c>
      <c r="C857" s="24" t="s">
        <v>352</v>
      </c>
      <c r="D857" s="24">
        <v>80</v>
      </c>
      <c r="E857" s="24">
        <v>909</v>
      </c>
      <c r="F857" s="24">
        <v>51</v>
      </c>
      <c r="G857" s="24">
        <v>817</v>
      </c>
      <c r="H857" s="24">
        <v>91.5</v>
      </c>
      <c r="I857" s="24">
        <v>444</v>
      </c>
      <c r="J857" s="24">
        <v>45</v>
      </c>
      <c r="K857" s="24">
        <v>840</v>
      </c>
      <c r="L857" s="24">
        <v>49</v>
      </c>
      <c r="M857" s="24">
        <v>624</v>
      </c>
      <c r="N857" s="24">
        <v>55</v>
      </c>
      <c r="O857" s="24">
        <v>831</v>
      </c>
      <c r="P857" s="24">
        <v>74</v>
      </c>
      <c r="Q857" s="24">
        <v>326</v>
      </c>
      <c r="R857" s="24">
        <v>59</v>
      </c>
      <c r="S857" s="24">
        <v>746</v>
      </c>
      <c r="T857" s="24">
        <v>50</v>
      </c>
      <c r="U857" s="24">
        <v>591</v>
      </c>
      <c r="V857" s="24">
        <v>371.5</v>
      </c>
      <c r="W857" s="24">
        <v>49</v>
      </c>
      <c r="X857" s="24">
        <v>856</v>
      </c>
      <c r="Y857" s="24">
        <v>382</v>
      </c>
      <c r="Z857" s="24">
        <v>798</v>
      </c>
      <c r="AA857" s="24">
        <v>-58</v>
      </c>
    </row>
    <row r="858" spans="1:27">
      <c r="A858" s="24" t="s">
        <v>2147</v>
      </c>
      <c r="B858" s="24" t="s">
        <v>73</v>
      </c>
      <c r="C858" s="24" t="s">
        <v>2148</v>
      </c>
      <c r="D858" s="24">
        <v>100</v>
      </c>
      <c r="E858" s="24">
        <v>528</v>
      </c>
      <c r="F858" s="24">
        <v>47</v>
      </c>
      <c r="G858" s="24">
        <v>857</v>
      </c>
      <c r="H858" s="24">
        <v>65</v>
      </c>
      <c r="I858" s="24">
        <v>882</v>
      </c>
      <c r="J858" s="24">
        <v>59</v>
      </c>
      <c r="K858" s="24">
        <v>626</v>
      </c>
      <c r="L858" s="24">
        <v>42</v>
      </c>
      <c r="M858" s="24">
        <v>774</v>
      </c>
      <c r="N858" s="24">
        <v>58</v>
      </c>
      <c r="O858" s="24">
        <v>786</v>
      </c>
      <c r="P858" s="24">
        <v>72</v>
      </c>
      <c r="Q858" s="24">
        <v>396</v>
      </c>
      <c r="R858" s="24">
        <v>77</v>
      </c>
      <c r="S858" s="24">
        <v>102</v>
      </c>
      <c r="T858" s="24">
        <v>61</v>
      </c>
      <c r="U858" s="24">
        <v>172</v>
      </c>
      <c r="V858" s="24">
        <v>371</v>
      </c>
      <c r="W858" s="24">
        <v>48</v>
      </c>
      <c r="X858" s="24">
        <v>857</v>
      </c>
      <c r="Y858" s="24">
        <v>323</v>
      </c>
      <c r="Z858" s="24">
        <v>912</v>
      </c>
      <c r="AA858" s="24">
        <v>55</v>
      </c>
    </row>
    <row r="859" spans="1:27">
      <c r="A859" s="24" t="s">
        <v>1132</v>
      </c>
      <c r="B859" s="24" t="s">
        <v>68</v>
      </c>
      <c r="C859" s="24" t="s">
        <v>1133</v>
      </c>
      <c r="D859" s="24">
        <v>87</v>
      </c>
      <c r="E859" s="24">
        <v>857</v>
      </c>
      <c r="F859" s="24">
        <v>67</v>
      </c>
      <c r="G859" s="24">
        <v>565</v>
      </c>
      <c r="H859" s="24">
        <v>68</v>
      </c>
      <c r="I859" s="24">
        <v>863</v>
      </c>
      <c r="J859" s="24">
        <v>63</v>
      </c>
      <c r="K859" s="24">
        <v>540</v>
      </c>
      <c r="L859" s="24">
        <v>35</v>
      </c>
      <c r="M859" s="24">
        <v>870</v>
      </c>
      <c r="N859" s="24">
        <v>51</v>
      </c>
      <c r="O859" s="24">
        <v>874</v>
      </c>
      <c r="P859" s="24">
        <v>44</v>
      </c>
      <c r="Q859" s="24">
        <v>932</v>
      </c>
      <c r="R859" s="24">
        <v>54</v>
      </c>
      <c r="S859" s="24">
        <v>855</v>
      </c>
      <c r="T859" s="24">
        <v>50</v>
      </c>
      <c r="U859" s="24">
        <v>591</v>
      </c>
      <c r="V859" s="24">
        <v>371</v>
      </c>
      <c r="W859" s="24">
        <v>51</v>
      </c>
      <c r="X859" s="24">
        <v>857</v>
      </c>
      <c r="Y859" s="24">
        <v>325.5</v>
      </c>
      <c r="Z859" s="24">
        <v>909</v>
      </c>
      <c r="AA859" s="24">
        <v>52</v>
      </c>
    </row>
    <row r="860" spans="1:27">
      <c r="A860" s="24" t="s">
        <v>2626</v>
      </c>
      <c r="B860" s="24" t="s">
        <v>49</v>
      </c>
      <c r="C860" s="24" t="s">
        <v>2629</v>
      </c>
      <c r="D860" s="24">
        <v>90</v>
      </c>
      <c r="E860" s="24">
        <v>815</v>
      </c>
      <c r="F860" s="24">
        <v>57</v>
      </c>
      <c r="G860" s="24">
        <v>744</v>
      </c>
      <c r="H860" s="24">
        <v>87</v>
      </c>
      <c r="I860" s="24">
        <v>554</v>
      </c>
      <c r="J860" s="24">
        <v>50</v>
      </c>
      <c r="K860" s="24">
        <v>788</v>
      </c>
      <c r="L860" s="24">
        <v>36</v>
      </c>
      <c r="M860" s="24">
        <v>856</v>
      </c>
      <c r="N860" s="24">
        <v>50</v>
      </c>
      <c r="O860" s="24">
        <v>883</v>
      </c>
      <c r="P860" s="24">
        <v>55</v>
      </c>
      <c r="Q860" s="24">
        <v>868</v>
      </c>
      <c r="R860" s="24">
        <v>59</v>
      </c>
      <c r="S860" s="24">
        <v>746</v>
      </c>
      <c r="T860" s="24">
        <v>40</v>
      </c>
      <c r="U860" s="24">
        <v>881</v>
      </c>
      <c r="V860" s="24">
        <v>370</v>
      </c>
      <c r="W860" s="24">
        <v>48</v>
      </c>
      <c r="X860" s="24">
        <v>859</v>
      </c>
      <c r="Y860" s="24">
        <v>405.5</v>
      </c>
      <c r="Z860" s="24">
        <v>701</v>
      </c>
      <c r="AA860" s="24">
        <v>-158</v>
      </c>
    </row>
    <row r="861" spans="1:27">
      <c r="A861" s="24" t="s">
        <v>1502</v>
      </c>
      <c r="B861" s="24" t="s">
        <v>56</v>
      </c>
      <c r="C861" s="24" t="s">
        <v>1503</v>
      </c>
      <c r="D861" s="24">
        <v>91</v>
      </c>
      <c r="E861" s="24">
        <v>799</v>
      </c>
      <c r="F861" s="24">
        <v>60</v>
      </c>
      <c r="G861" s="24">
        <v>696</v>
      </c>
      <c r="H861" s="24">
        <v>85</v>
      </c>
      <c r="I861" s="24">
        <v>593</v>
      </c>
      <c r="J861" s="24">
        <v>38</v>
      </c>
      <c r="K861" s="24">
        <v>895</v>
      </c>
      <c r="L861" s="24">
        <v>27</v>
      </c>
      <c r="M861" s="24">
        <v>914</v>
      </c>
      <c r="N861" s="24">
        <v>68</v>
      </c>
      <c r="O861" s="24">
        <v>555</v>
      </c>
      <c r="P861" s="24">
        <v>79</v>
      </c>
      <c r="Q861" s="24">
        <v>175</v>
      </c>
      <c r="R861" s="24">
        <v>78</v>
      </c>
      <c r="S861" s="24">
        <v>86</v>
      </c>
      <c r="T861" s="24">
        <v>40</v>
      </c>
      <c r="U861" s="24">
        <v>881</v>
      </c>
      <c r="V861" s="24">
        <v>369</v>
      </c>
      <c r="W861" s="24">
        <v>51</v>
      </c>
      <c r="X861" s="24">
        <v>860</v>
      </c>
      <c r="Y861" s="24">
        <v>392</v>
      </c>
      <c r="Z861" s="24">
        <v>761</v>
      </c>
      <c r="AA861" s="24">
        <v>-99</v>
      </c>
    </row>
    <row r="862" spans="1:27">
      <c r="A862" s="24" t="s">
        <v>492</v>
      </c>
      <c r="B862" s="24" t="s">
        <v>19</v>
      </c>
      <c r="C862" s="24" t="s">
        <v>501</v>
      </c>
      <c r="D862" s="24">
        <v>101</v>
      </c>
      <c r="E862" s="24">
        <v>481</v>
      </c>
      <c r="F862" s="24">
        <v>68</v>
      </c>
      <c r="G862" s="24">
        <v>540</v>
      </c>
      <c r="H862" s="24">
        <v>76</v>
      </c>
      <c r="I862" s="24">
        <v>760</v>
      </c>
      <c r="J862" s="24">
        <v>35</v>
      </c>
      <c r="K862" s="24">
        <v>912</v>
      </c>
      <c r="L862" s="24">
        <v>36</v>
      </c>
      <c r="M862" s="24">
        <v>856</v>
      </c>
      <c r="N862" s="24">
        <v>53</v>
      </c>
      <c r="O862" s="24">
        <v>858</v>
      </c>
      <c r="P862" s="24">
        <v>56</v>
      </c>
      <c r="Q862" s="24">
        <v>849</v>
      </c>
      <c r="R862" s="24">
        <v>65</v>
      </c>
      <c r="S862" s="24">
        <v>548</v>
      </c>
      <c r="T862" s="24">
        <v>65</v>
      </c>
      <c r="U862" s="24">
        <v>89</v>
      </c>
      <c r="V862" s="24">
        <v>369</v>
      </c>
      <c r="W862" s="24">
        <v>52</v>
      </c>
      <c r="X862" s="24">
        <v>860</v>
      </c>
      <c r="Y862" s="24">
        <v>364</v>
      </c>
      <c r="Z862" s="24">
        <v>851</v>
      </c>
      <c r="AA862" s="24">
        <v>-9</v>
      </c>
    </row>
    <row r="863" spans="1:27">
      <c r="A863" s="24" t="s">
        <v>684</v>
      </c>
      <c r="B863" s="24" t="s">
        <v>17</v>
      </c>
      <c r="C863" s="24" t="s">
        <v>685</v>
      </c>
      <c r="D863" s="24">
        <v>95</v>
      </c>
      <c r="E863" s="24">
        <v>710</v>
      </c>
      <c r="F863" s="24">
        <v>38</v>
      </c>
      <c r="G863" s="24">
        <v>904</v>
      </c>
      <c r="H863" s="24">
        <v>91.5</v>
      </c>
      <c r="I863" s="24">
        <v>444</v>
      </c>
      <c r="J863" s="24">
        <v>46</v>
      </c>
      <c r="K863" s="24">
        <v>833</v>
      </c>
      <c r="L863" s="24">
        <v>42</v>
      </c>
      <c r="M863" s="24">
        <v>774</v>
      </c>
      <c r="N863" s="24">
        <v>56</v>
      </c>
      <c r="O863" s="24">
        <v>816</v>
      </c>
      <c r="P863" s="24">
        <v>74</v>
      </c>
      <c r="Q863" s="24">
        <v>326</v>
      </c>
      <c r="R863" s="24">
        <v>61</v>
      </c>
      <c r="S863" s="24">
        <v>703</v>
      </c>
      <c r="T863" s="24">
        <v>47</v>
      </c>
      <c r="U863" s="24">
        <v>719</v>
      </c>
      <c r="V863" s="24">
        <v>368.5</v>
      </c>
      <c r="W863" s="24">
        <v>54</v>
      </c>
      <c r="X863" s="24">
        <v>862</v>
      </c>
      <c r="Y863" s="24">
        <v>427.5</v>
      </c>
      <c r="Z863" s="24">
        <v>589</v>
      </c>
      <c r="AA863" s="24">
        <v>-273</v>
      </c>
    </row>
    <row r="864" spans="1:27">
      <c r="A864" s="24" t="s">
        <v>1179</v>
      </c>
      <c r="B864" s="24" t="s">
        <v>68</v>
      </c>
      <c r="C864" s="24" t="s">
        <v>1180</v>
      </c>
      <c r="D864" s="24">
        <v>102</v>
      </c>
      <c r="E864" s="24">
        <v>442</v>
      </c>
      <c r="F864" s="24">
        <v>64</v>
      </c>
      <c r="G864" s="24">
        <v>627</v>
      </c>
      <c r="H864" s="24">
        <v>72.5</v>
      </c>
      <c r="I864" s="24">
        <v>814</v>
      </c>
      <c r="J864" s="24">
        <v>41</v>
      </c>
      <c r="K864" s="24">
        <v>871</v>
      </c>
      <c r="L864" s="24">
        <v>39</v>
      </c>
      <c r="M864" s="24">
        <v>825</v>
      </c>
      <c r="N864" s="24">
        <v>50</v>
      </c>
      <c r="O864" s="24">
        <v>883</v>
      </c>
      <c r="P864" s="24">
        <v>56</v>
      </c>
      <c r="Q864" s="24">
        <v>849</v>
      </c>
      <c r="R864" s="24">
        <v>45</v>
      </c>
      <c r="S864" s="24">
        <v>923</v>
      </c>
      <c r="T864" s="24">
        <v>42</v>
      </c>
      <c r="U864" s="24">
        <v>845</v>
      </c>
      <c r="V864" s="24">
        <v>368.5</v>
      </c>
      <c r="W864" s="24">
        <v>52</v>
      </c>
      <c r="X864" s="24">
        <v>862</v>
      </c>
      <c r="Y864" s="24">
        <v>324</v>
      </c>
      <c r="Z864" s="24">
        <v>910</v>
      </c>
      <c r="AA864" s="24">
        <v>48</v>
      </c>
    </row>
    <row r="865" spans="1:27">
      <c r="A865" s="24" t="s">
        <v>712</v>
      </c>
      <c r="B865" s="24" t="s">
        <v>117</v>
      </c>
      <c r="C865" s="24" t="s">
        <v>713</v>
      </c>
      <c r="D865" s="24">
        <v>99</v>
      </c>
      <c r="E865" s="24">
        <v>571</v>
      </c>
      <c r="F865" s="24">
        <v>45</v>
      </c>
      <c r="G865" s="24">
        <v>871</v>
      </c>
      <c r="H865" s="24">
        <v>82.5</v>
      </c>
      <c r="I865" s="24">
        <v>658</v>
      </c>
      <c r="J865" s="24">
        <v>54</v>
      </c>
      <c r="K865" s="24">
        <v>718</v>
      </c>
      <c r="L865" s="24">
        <v>39</v>
      </c>
      <c r="M865" s="24">
        <v>825</v>
      </c>
      <c r="N865" s="24">
        <v>49</v>
      </c>
      <c r="O865" s="24">
        <v>888</v>
      </c>
      <c r="P865" s="24">
        <v>65</v>
      </c>
      <c r="Q865" s="24">
        <v>651</v>
      </c>
      <c r="R865" s="24">
        <v>63</v>
      </c>
      <c r="S865" s="24">
        <v>633</v>
      </c>
      <c r="T865" s="24">
        <v>41</v>
      </c>
      <c r="U865" s="24">
        <v>866</v>
      </c>
      <c r="V865" s="24">
        <v>368.5</v>
      </c>
      <c r="W865" s="24">
        <v>53</v>
      </c>
      <c r="X865" s="24">
        <v>862</v>
      </c>
      <c r="Y865" s="24">
        <v>370</v>
      </c>
      <c r="Z865" s="24">
        <v>841</v>
      </c>
      <c r="AA865" s="24">
        <v>-21</v>
      </c>
    </row>
    <row r="866" spans="1:27">
      <c r="A866" s="24" t="s">
        <v>2158</v>
      </c>
      <c r="B866" s="24" t="s">
        <v>73</v>
      </c>
      <c r="C866" s="24" t="s">
        <v>2159</v>
      </c>
      <c r="D866" s="24">
        <v>98</v>
      </c>
      <c r="E866" s="24">
        <v>611</v>
      </c>
      <c r="F866" s="24">
        <v>48</v>
      </c>
      <c r="G866" s="24">
        <v>848</v>
      </c>
      <c r="H866" s="24">
        <v>81</v>
      </c>
      <c r="I866" s="24">
        <v>680</v>
      </c>
      <c r="J866" s="24">
        <v>38</v>
      </c>
      <c r="K866" s="24">
        <v>895</v>
      </c>
      <c r="L866" s="24">
        <v>43</v>
      </c>
      <c r="M866" s="24">
        <v>757</v>
      </c>
      <c r="N866" s="24">
        <v>60</v>
      </c>
      <c r="O866" s="24">
        <v>748</v>
      </c>
      <c r="P866" s="24">
        <v>62</v>
      </c>
      <c r="Q866" s="24">
        <v>729</v>
      </c>
      <c r="R866" s="24">
        <v>69</v>
      </c>
      <c r="S866" s="24">
        <v>367</v>
      </c>
      <c r="T866" s="24">
        <v>57</v>
      </c>
      <c r="U866" s="24">
        <v>306</v>
      </c>
      <c r="V866" s="24">
        <v>368</v>
      </c>
      <c r="W866" s="24">
        <v>49</v>
      </c>
      <c r="X866" s="24">
        <v>865</v>
      </c>
      <c r="Y866" s="24">
        <v>397.5</v>
      </c>
      <c r="Z866" s="24">
        <v>743</v>
      </c>
      <c r="AA866" s="24">
        <v>-122</v>
      </c>
    </row>
    <row r="867" spans="1:27">
      <c r="A867" s="24" t="s">
        <v>2761</v>
      </c>
      <c r="B867" s="24" t="s">
        <v>38</v>
      </c>
      <c r="C867" s="24" t="s">
        <v>2762</v>
      </c>
      <c r="D867" s="24">
        <v>103</v>
      </c>
      <c r="E867" s="24">
        <v>400</v>
      </c>
      <c r="F867" s="24">
        <v>42</v>
      </c>
      <c r="G867" s="24">
        <v>887</v>
      </c>
      <c r="H867" s="24">
        <v>92</v>
      </c>
      <c r="I867" s="24">
        <v>426</v>
      </c>
      <c r="J867" s="24">
        <v>30</v>
      </c>
      <c r="K867" s="24">
        <v>924</v>
      </c>
      <c r="L867" s="24">
        <v>36</v>
      </c>
      <c r="M867" s="24">
        <v>856</v>
      </c>
      <c r="N867" s="24">
        <v>64</v>
      </c>
      <c r="O867" s="24">
        <v>667</v>
      </c>
      <c r="P867" s="24">
        <v>60</v>
      </c>
      <c r="Q867" s="24">
        <v>777</v>
      </c>
      <c r="R867" s="24">
        <v>59</v>
      </c>
      <c r="S867" s="24">
        <v>746</v>
      </c>
      <c r="T867" s="24">
        <v>39</v>
      </c>
      <c r="U867" s="24">
        <v>895</v>
      </c>
      <c r="V867" s="24">
        <v>367</v>
      </c>
      <c r="W867" s="24">
        <v>53</v>
      </c>
      <c r="X867" s="24">
        <v>866</v>
      </c>
      <c r="Y867" s="24">
        <v>386.5</v>
      </c>
      <c r="Z867" s="24">
        <v>778</v>
      </c>
      <c r="AA867" s="24">
        <v>-88</v>
      </c>
    </row>
    <row r="868" spans="1:27">
      <c r="A868" s="24" t="s">
        <v>2334</v>
      </c>
      <c r="B868" s="24" t="s">
        <v>7</v>
      </c>
      <c r="C868" s="24" t="s">
        <v>2341</v>
      </c>
      <c r="D868" s="24">
        <v>96</v>
      </c>
      <c r="E868" s="24">
        <v>676</v>
      </c>
      <c r="F868" s="24">
        <v>45</v>
      </c>
      <c r="G868" s="24">
        <v>871</v>
      </c>
      <c r="H868" s="24">
        <v>76.5</v>
      </c>
      <c r="I868" s="24">
        <v>751</v>
      </c>
      <c r="J868" s="24">
        <v>51</v>
      </c>
      <c r="K868" s="24">
        <v>771</v>
      </c>
      <c r="L868" s="24">
        <v>36</v>
      </c>
      <c r="M868" s="24">
        <v>856</v>
      </c>
      <c r="N868" s="24">
        <v>62</v>
      </c>
      <c r="O868" s="24">
        <v>716</v>
      </c>
      <c r="P868" s="24">
        <v>82</v>
      </c>
      <c r="Q868" s="24">
        <v>100</v>
      </c>
      <c r="R868" s="24">
        <v>70</v>
      </c>
      <c r="S868" s="24">
        <v>327</v>
      </c>
      <c r="T868" s="24">
        <v>57</v>
      </c>
      <c r="U868" s="24">
        <v>306</v>
      </c>
      <c r="V868" s="24">
        <v>366.5</v>
      </c>
      <c r="W868" s="24">
        <v>49</v>
      </c>
      <c r="X868" s="24">
        <v>867</v>
      </c>
      <c r="Y868" s="24">
        <v>401.5</v>
      </c>
      <c r="Z868" s="24">
        <v>722</v>
      </c>
      <c r="AA868" s="24">
        <v>-145</v>
      </c>
    </row>
    <row r="869" spans="1:27">
      <c r="A869" s="24" t="s">
        <v>2677</v>
      </c>
      <c r="B869" s="24" t="s">
        <v>49</v>
      </c>
      <c r="C869" s="24" t="s">
        <v>2678</v>
      </c>
      <c r="D869" s="24">
        <v>91</v>
      </c>
      <c r="E869" s="24">
        <v>799</v>
      </c>
      <c r="F869" s="24">
        <v>53</v>
      </c>
      <c r="G869" s="24">
        <v>792</v>
      </c>
      <c r="H869" s="24">
        <v>75.5</v>
      </c>
      <c r="I869" s="24">
        <v>764</v>
      </c>
      <c r="J869" s="24">
        <v>50</v>
      </c>
      <c r="K869" s="24">
        <v>788</v>
      </c>
      <c r="L869" s="24">
        <v>42</v>
      </c>
      <c r="M869" s="24">
        <v>774</v>
      </c>
      <c r="N869" s="24">
        <v>55</v>
      </c>
      <c r="O869" s="24">
        <v>831</v>
      </c>
      <c r="P869" s="24">
        <v>64</v>
      </c>
      <c r="Q869" s="24">
        <v>680</v>
      </c>
      <c r="R869" s="24">
        <v>62</v>
      </c>
      <c r="S869" s="24">
        <v>672</v>
      </c>
      <c r="T869" s="24">
        <v>38</v>
      </c>
      <c r="U869" s="24">
        <v>905</v>
      </c>
      <c r="V869" s="24">
        <v>366.5</v>
      </c>
      <c r="W869" s="24">
        <v>49</v>
      </c>
      <c r="X869" s="24">
        <v>867</v>
      </c>
      <c r="Y869" s="24">
        <v>372</v>
      </c>
      <c r="Z869" s="24">
        <v>832</v>
      </c>
      <c r="AA869" s="24">
        <v>-35</v>
      </c>
    </row>
    <row r="870" spans="1:27">
      <c r="A870" s="24" t="s">
        <v>2127</v>
      </c>
      <c r="B870" s="24" t="s">
        <v>73</v>
      </c>
      <c r="C870" s="24" t="s">
        <v>2128</v>
      </c>
      <c r="D870" s="24">
        <v>95</v>
      </c>
      <c r="E870" s="24">
        <v>710</v>
      </c>
      <c r="F870" s="24">
        <v>46</v>
      </c>
      <c r="G870" s="24">
        <v>862</v>
      </c>
      <c r="H870" s="24">
        <v>90.5</v>
      </c>
      <c r="I870" s="24">
        <v>471</v>
      </c>
      <c r="J870" s="24">
        <v>52</v>
      </c>
      <c r="K870" s="24">
        <v>757</v>
      </c>
      <c r="L870" s="24">
        <v>37</v>
      </c>
      <c r="M870" s="24">
        <v>850</v>
      </c>
      <c r="N870" s="24">
        <v>46</v>
      </c>
      <c r="O870" s="24">
        <v>901</v>
      </c>
      <c r="P870" s="24">
        <v>62</v>
      </c>
      <c r="Q870" s="24">
        <v>729</v>
      </c>
      <c r="R870" s="24">
        <v>77</v>
      </c>
      <c r="S870" s="24">
        <v>102</v>
      </c>
      <c r="T870" s="24">
        <v>50</v>
      </c>
      <c r="U870" s="24">
        <v>591</v>
      </c>
      <c r="V870" s="24">
        <v>366.5</v>
      </c>
      <c r="W870" s="24">
        <v>50</v>
      </c>
      <c r="X870" s="24">
        <v>867</v>
      </c>
      <c r="Y870" s="24">
        <v>356</v>
      </c>
      <c r="Z870" s="24">
        <v>866</v>
      </c>
      <c r="AA870" s="24">
        <v>-1</v>
      </c>
    </row>
    <row r="871" spans="1:27">
      <c r="A871" s="24" t="s">
        <v>1292</v>
      </c>
      <c r="B871" s="24" t="s">
        <v>54</v>
      </c>
      <c r="C871" s="24" t="s">
        <v>1293</v>
      </c>
      <c r="D871" s="24">
        <v>96</v>
      </c>
      <c r="E871" s="24">
        <v>676</v>
      </c>
      <c r="F871" s="24">
        <v>52</v>
      </c>
      <c r="G871" s="24">
        <v>807</v>
      </c>
      <c r="H871" s="24">
        <v>78</v>
      </c>
      <c r="I871" s="24">
        <v>723</v>
      </c>
      <c r="J871" s="24">
        <v>46</v>
      </c>
      <c r="K871" s="24">
        <v>833</v>
      </c>
      <c r="L871" s="24">
        <v>27</v>
      </c>
      <c r="M871" s="24">
        <v>914</v>
      </c>
      <c r="N871" s="24">
        <v>66</v>
      </c>
      <c r="O871" s="24">
        <v>611</v>
      </c>
      <c r="P871" s="24">
        <v>56</v>
      </c>
      <c r="Q871" s="24">
        <v>849</v>
      </c>
      <c r="R871" s="24">
        <v>59</v>
      </c>
      <c r="S871" s="24">
        <v>746</v>
      </c>
      <c r="T871" s="24">
        <v>40</v>
      </c>
      <c r="U871" s="24">
        <v>881</v>
      </c>
      <c r="V871" s="24">
        <v>365</v>
      </c>
      <c r="W871" s="24">
        <v>52</v>
      </c>
      <c r="X871" s="24">
        <v>870</v>
      </c>
      <c r="Y871" s="24">
        <v>277</v>
      </c>
      <c r="Z871" s="24">
        <v>930</v>
      </c>
      <c r="AA871" s="24">
        <v>60</v>
      </c>
    </row>
    <row r="872" spans="1:27">
      <c r="A872" s="24" t="s">
        <v>2707</v>
      </c>
      <c r="B872" s="24" t="s">
        <v>49</v>
      </c>
      <c r="C872" s="24" t="s">
        <v>2705</v>
      </c>
      <c r="D872" s="24">
        <v>98</v>
      </c>
      <c r="E872" s="24">
        <v>611</v>
      </c>
      <c r="F872" s="24">
        <v>43</v>
      </c>
      <c r="G872" s="24">
        <v>881</v>
      </c>
      <c r="H872" s="24">
        <v>69</v>
      </c>
      <c r="I872" s="24">
        <v>852</v>
      </c>
      <c r="J872" s="24">
        <v>57</v>
      </c>
      <c r="K872" s="24">
        <v>665</v>
      </c>
      <c r="L872" s="24">
        <v>42</v>
      </c>
      <c r="M872" s="24">
        <v>774</v>
      </c>
      <c r="N872" s="24">
        <v>55</v>
      </c>
      <c r="O872" s="24">
        <v>831</v>
      </c>
      <c r="P872" s="24">
        <v>56</v>
      </c>
      <c r="Q872" s="24">
        <v>849</v>
      </c>
      <c r="R872" s="24">
        <v>53</v>
      </c>
      <c r="S872" s="24">
        <v>869</v>
      </c>
      <c r="T872" s="24">
        <v>36</v>
      </c>
      <c r="U872" s="24">
        <v>918</v>
      </c>
      <c r="V872" s="24">
        <v>364</v>
      </c>
      <c r="W872" s="24">
        <v>50</v>
      </c>
      <c r="X872" s="24">
        <v>871</v>
      </c>
      <c r="Y872" s="24">
        <v>366</v>
      </c>
      <c r="Z872" s="24">
        <v>850</v>
      </c>
      <c r="AA872" s="24">
        <v>-21</v>
      </c>
    </row>
    <row r="873" spans="1:27">
      <c r="A873" s="24" t="s">
        <v>897</v>
      </c>
      <c r="B873" s="24" t="s">
        <v>60</v>
      </c>
      <c r="C873" s="24" t="s">
        <v>898</v>
      </c>
      <c r="D873" s="24">
        <v>98</v>
      </c>
      <c r="E873" s="24">
        <v>611</v>
      </c>
      <c r="F873" s="24">
        <v>66</v>
      </c>
      <c r="G873" s="24">
        <v>584</v>
      </c>
      <c r="H873" s="24">
        <v>72</v>
      </c>
      <c r="I873" s="24">
        <v>822</v>
      </c>
      <c r="J873" s="24">
        <v>35</v>
      </c>
      <c r="K873" s="24">
        <v>912</v>
      </c>
      <c r="L873" s="24">
        <v>40</v>
      </c>
      <c r="M873" s="24">
        <v>811</v>
      </c>
      <c r="N873" s="24">
        <v>53</v>
      </c>
      <c r="O873" s="24">
        <v>858</v>
      </c>
      <c r="P873" s="24">
        <v>57</v>
      </c>
      <c r="Q873" s="24">
        <v>838</v>
      </c>
      <c r="R873" s="24">
        <v>56</v>
      </c>
      <c r="S873" s="24">
        <v>817</v>
      </c>
      <c r="T873" s="24">
        <v>37</v>
      </c>
      <c r="U873" s="24">
        <v>912</v>
      </c>
      <c r="V873" s="24">
        <v>364</v>
      </c>
      <c r="W873" s="24">
        <v>52</v>
      </c>
      <c r="X873" s="24">
        <v>871</v>
      </c>
      <c r="Y873" s="24">
        <v>340</v>
      </c>
      <c r="Z873" s="24">
        <v>895</v>
      </c>
      <c r="AA873" s="24">
        <v>24</v>
      </c>
    </row>
    <row r="874" spans="1:27">
      <c r="A874" s="24" t="s">
        <v>342</v>
      </c>
      <c r="B874" s="24" t="s">
        <v>28</v>
      </c>
      <c r="C874" s="24" t="s">
        <v>343</v>
      </c>
      <c r="D874" s="24">
        <v>90</v>
      </c>
      <c r="E874" s="24">
        <v>815</v>
      </c>
      <c r="F874" s="24">
        <v>71</v>
      </c>
      <c r="G874" s="24">
        <v>475</v>
      </c>
      <c r="H874" s="24">
        <v>58.5</v>
      </c>
      <c r="I874" s="24">
        <v>917</v>
      </c>
      <c r="J874" s="24">
        <v>40</v>
      </c>
      <c r="K874" s="24">
        <v>879</v>
      </c>
      <c r="L874" s="24">
        <v>38</v>
      </c>
      <c r="M874" s="24">
        <v>840</v>
      </c>
      <c r="N874" s="24">
        <v>66</v>
      </c>
      <c r="O874" s="24">
        <v>611</v>
      </c>
      <c r="P874" s="24">
        <v>63</v>
      </c>
      <c r="Q874" s="24">
        <v>712</v>
      </c>
      <c r="R874" s="24">
        <v>64</v>
      </c>
      <c r="S874" s="24">
        <v>586</v>
      </c>
      <c r="T874" s="24">
        <v>56</v>
      </c>
      <c r="U874" s="24">
        <v>352</v>
      </c>
      <c r="V874" s="24">
        <v>363.5</v>
      </c>
      <c r="W874" s="24">
        <v>50</v>
      </c>
      <c r="X874" s="24">
        <v>873</v>
      </c>
      <c r="Y874" s="24">
        <v>342</v>
      </c>
      <c r="Z874" s="24">
        <v>892</v>
      </c>
      <c r="AA874" s="24">
        <v>19</v>
      </c>
    </row>
    <row r="875" spans="1:27">
      <c r="A875" s="24" t="s">
        <v>2447</v>
      </c>
      <c r="B875" s="24" t="s">
        <v>131</v>
      </c>
      <c r="C875" s="24" t="s">
        <v>2448</v>
      </c>
      <c r="D875" s="24">
        <v>90</v>
      </c>
      <c r="E875" s="24">
        <v>815</v>
      </c>
      <c r="F875" s="24">
        <v>46</v>
      </c>
      <c r="G875" s="24">
        <v>862</v>
      </c>
      <c r="H875" s="24">
        <v>78.5</v>
      </c>
      <c r="I875" s="24">
        <v>712</v>
      </c>
      <c r="J875" s="24">
        <v>46</v>
      </c>
      <c r="K875" s="24">
        <v>833</v>
      </c>
      <c r="L875" s="24">
        <v>43</v>
      </c>
      <c r="M875" s="24">
        <v>757</v>
      </c>
      <c r="N875" s="24">
        <v>60</v>
      </c>
      <c r="O875" s="24">
        <v>748</v>
      </c>
      <c r="P875" s="24">
        <v>74</v>
      </c>
      <c r="Q875" s="24">
        <v>326</v>
      </c>
      <c r="R875" s="24">
        <v>57</v>
      </c>
      <c r="S875" s="24">
        <v>798</v>
      </c>
      <c r="T875" s="24">
        <v>41</v>
      </c>
      <c r="U875" s="24">
        <v>866</v>
      </c>
      <c r="V875" s="24">
        <v>363.5</v>
      </c>
      <c r="W875" s="24">
        <v>50</v>
      </c>
      <c r="X875" s="24">
        <v>873</v>
      </c>
      <c r="Y875" s="24">
        <v>347.5</v>
      </c>
      <c r="Z875" s="24">
        <v>886</v>
      </c>
      <c r="AA875" s="24">
        <v>13</v>
      </c>
    </row>
    <row r="876" spans="1:27">
      <c r="A876" s="24" t="s">
        <v>1176</v>
      </c>
      <c r="B876" s="24" t="s">
        <v>68</v>
      </c>
      <c r="C876" s="24" t="s">
        <v>1177</v>
      </c>
      <c r="D876" s="24">
        <v>87</v>
      </c>
      <c r="E876" s="24">
        <v>857</v>
      </c>
      <c r="F876" s="24">
        <v>43</v>
      </c>
      <c r="G876" s="24">
        <v>881</v>
      </c>
      <c r="H876" s="24">
        <v>62</v>
      </c>
      <c r="I876" s="24">
        <v>904</v>
      </c>
      <c r="J876" s="24">
        <v>56</v>
      </c>
      <c r="K876" s="24">
        <v>682</v>
      </c>
      <c r="L876" s="24">
        <v>54</v>
      </c>
      <c r="M876" s="24">
        <v>494</v>
      </c>
      <c r="N876" s="24">
        <v>61</v>
      </c>
      <c r="O876" s="24">
        <v>734</v>
      </c>
      <c r="P876" s="24">
        <v>61</v>
      </c>
      <c r="Q876" s="24">
        <v>754</v>
      </c>
      <c r="R876" s="24">
        <v>41</v>
      </c>
      <c r="S876" s="24">
        <v>930</v>
      </c>
      <c r="T876" s="24">
        <v>44</v>
      </c>
      <c r="U876" s="24">
        <v>804</v>
      </c>
      <c r="V876" s="24">
        <v>363</v>
      </c>
      <c r="W876" s="24">
        <v>53</v>
      </c>
      <c r="X876" s="24">
        <v>875</v>
      </c>
      <c r="Y876" s="24">
        <v>352.5</v>
      </c>
      <c r="Z876" s="24">
        <v>875</v>
      </c>
      <c r="AA876" s="24">
        <v>0</v>
      </c>
    </row>
    <row r="877" spans="1:27">
      <c r="A877" s="24" t="s">
        <v>602</v>
      </c>
      <c r="B877" s="24" t="s">
        <v>17</v>
      </c>
      <c r="C877" s="24" t="s">
        <v>603</v>
      </c>
      <c r="D877" s="24">
        <v>99</v>
      </c>
      <c r="E877" s="24">
        <v>571</v>
      </c>
      <c r="F877" s="24">
        <v>37</v>
      </c>
      <c r="G877" s="24">
        <v>907</v>
      </c>
      <c r="H877" s="24">
        <v>92.5</v>
      </c>
      <c r="I877" s="24">
        <v>414</v>
      </c>
      <c r="J877" s="24">
        <v>55</v>
      </c>
      <c r="K877" s="24">
        <v>694</v>
      </c>
      <c r="L877" s="24">
        <v>24</v>
      </c>
      <c r="M877" s="24">
        <v>923</v>
      </c>
      <c r="N877" s="24">
        <v>55</v>
      </c>
      <c r="O877" s="24">
        <v>831</v>
      </c>
      <c r="P877" s="24">
        <v>54</v>
      </c>
      <c r="Q877" s="24">
        <v>880</v>
      </c>
      <c r="R877" s="24">
        <v>50</v>
      </c>
      <c r="S877" s="24">
        <v>896</v>
      </c>
      <c r="T877" s="24">
        <v>41</v>
      </c>
      <c r="U877" s="24">
        <v>866</v>
      </c>
      <c r="V877" s="24">
        <v>362.5</v>
      </c>
      <c r="W877" s="24">
        <v>55</v>
      </c>
      <c r="X877" s="24">
        <v>876</v>
      </c>
      <c r="Y877" s="24">
        <v>341.5</v>
      </c>
      <c r="Z877" s="24">
        <v>893</v>
      </c>
      <c r="AA877" s="24">
        <v>17</v>
      </c>
    </row>
    <row r="878" spans="1:27">
      <c r="A878" s="24" t="s">
        <v>914</v>
      </c>
      <c r="B878" s="24" t="s">
        <v>60</v>
      </c>
      <c r="C878" s="24" t="s">
        <v>915</v>
      </c>
      <c r="D878" s="24">
        <v>95</v>
      </c>
      <c r="E878" s="24">
        <v>710</v>
      </c>
      <c r="F878" s="24">
        <v>52</v>
      </c>
      <c r="G878" s="24">
        <v>807</v>
      </c>
      <c r="H878" s="24">
        <v>61.5</v>
      </c>
      <c r="I878" s="24">
        <v>906</v>
      </c>
      <c r="J878" s="24">
        <v>62</v>
      </c>
      <c r="K878" s="24">
        <v>564</v>
      </c>
      <c r="L878" s="24">
        <v>38</v>
      </c>
      <c r="M878" s="24">
        <v>840</v>
      </c>
      <c r="N878" s="24">
        <v>54</v>
      </c>
      <c r="O878" s="24">
        <v>845</v>
      </c>
      <c r="P878" s="24">
        <v>79</v>
      </c>
      <c r="Q878" s="24">
        <v>175</v>
      </c>
      <c r="R878" s="24">
        <v>60</v>
      </c>
      <c r="S878" s="24">
        <v>727</v>
      </c>
      <c r="T878" s="24">
        <v>52</v>
      </c>
      <c r="U878" s="24">
        <v>509</v>
      </c>
      <c r="V878" s="24">
        <v>362.5</v>
      </c>
      <c r="W878" s="24">
        <v>53</v>
      </c>
      <c r="X878" s="24">
        <v>876</v>
      </c>
      <c r="Y878" s="24">
        <v>350</v>
      </c>
      <c r="Z878" s="24">
        <v>879</v>
      </c>
      <c r="AA878" s="24">
        <v>3</v>
      </c>
    </row>
    <row r="879" spans="1:27">
      <c r="A879" s="24" t="s">
        <v>2177</v>
      </c>
      <c r="B879" s="24" t="s">
        <v>73</v>
      </c>
      <c r="C879" s="24" t="s">
        <v>2178</v>
      </c>
      <c r="D879" s="24">
        <v>97</v>
      </c>
      <c r="E879" s="24">
        <v>645</v>
      </c>
      <c r="F879" s="24">
        <v>48</v>
      </c>
      <c r="G879" s="24">
        <v>848</v>
      </c>
      <c r="H879" s="24">
        <v>89</v>
      </c>
      <c r="I879" s="24">
        <v>510</v>
      </c>
      <c r="J879" s="24">
        <v>32</v>
      </c>
      <c r="K879" s="24">
        <v>922</v>
      </c>
      <c r="L879" s="24">
        <v>37</v>
      </c>
      <c r="M879" s="24">
        <v>850</v>
      </c>
      <c r="N879" s="24">
        <v>59</v>
      </c>
      <c r="O879" s="24">
        <v>762</v>
      </c>
      <c r="P879" s="24">
        <v>79</v>
      </c>
      <c r="Q879" s="24">
        <v>175</v>
      </c>
      <c r="R879" s="24">
        <v>68</v>
      </c>
      <c r="S879" s="24">
        <v>412</v>
      </c>
      <c r="T879" s="24">
        <v>36</v>
      </c>
      <c r="U879" s="24">
        <v>918</v>
      </c>
      <c r="V879" s="24">
        <v>362</v>
      </c>
      <c r="W879" s="24">
        <v>51</v>
      </c>
      <c r="X879" s="24">
        <v>878</v>
      </c>
      <c r="Y879" s="24">
        <v>399.5</v>
      </c>
      <c r="Z879" s="24">
        <v>732</v>
      </c>
      <c r="AA879" s="24">
        <v>-146</v>
      </c>
    </row>
    <row r="880" spans="1:27">
      <c r="A880" s="24" t="s">
        <v>2388</v>
      </c>
      <c r="B880" s="24" t="s">
        <v>7</v>
      </c>
      <c r="C880" s="24" t="s">
        <v>2398</v>
      </c>
      <c r="D880" s="24">
        <v>105</v>
      </c>
      <c r="E880" s="24">
        <v>325</v>
      </c>
      <c r="F880" s="24">
        <v>42</v>
      </c>
      <c r="G880" s="24">
        <v>887</v>
      </c>
      <c r="H880" s="24">
        <v>83.5</v>
      </c>
      <c r="I880" s="24">
        <v>633</v>
      </c>
      <c r="J880" s="24">
        <v>44</v>
      </c>
      <c r="K880" s="24">
        <v>849</v>
      </c>
      <c r="L880" s="24">
        <v>40</v>
      </c>
      <c r="M880" s="24">
        <v>811</v>
      </c>
      <c r="N880" s="24">
        <v>46</v>
      </c>
      <c r="O880" s="24">
        <v>901</v>
      </c>
      <c r="P880" s="24">
        <v>73</v>
      </c>
      <c r="Q880" s="24">
        <v>359</v>
      </c>
      <c r="R880" s="24">
        <v>69</v>
      </c>
      <c r="S880" s="24">
        <v>367</v>
      </c>
      <c r="T880" s="24">
        <v>52</v>
      </c>
      <c r="U880" s="24">
        <v>509</v>
      </c>
      <c r="V880" s="24">
        <v>360.5</v>
      </c>
      <c r="W880" s="24">
        <v>50</v>
      </c>
      <c r="X880" s="24">
        <v>879</v>
      </c>
      <c r="Y880" s="24">
        <v>381.5</v>
      </c>
      <c r="Z880" s="24">
        <v>800</v>
      </c>
      <c r="AA880" s="24">
        <v>-79</v>
      </c>
    </row>
    <row r="881" spans="1:27">
      <c r="A881" s="24" t="s">
        <v>748</v>
      </c>
      <c r="B881" s="24" t="s">
        <v>117</v>
      </c>
      <c r="C881" s="24" t="s">
        <v>749</v>
      </c>
      <c r="D881" s="24">
        <v>95</v>
      </c>
      <c r="E881" s="24">
        <v>710</v>
      </c>
      <c r="F881" s="24">
        <v>53</v>
      </c>
      <c r="G881" s="24">
        <v>792</v>
      </c>
      <c r="H881" s="24">
        <v>57.5</v>
      </c>
      <c r="I881" s="24">
        <v>921</v>
      </c>
      <c r="J881" s="24">
        <v>45</v>
      </c>
      <c r="K881" s="24">
        <v>840</v>
      </c>
      <c r="L881" s="24">
        <v>42</v>
      </c>
      <c r="M881" s="24">
        <v>774</v>
      </c>
      <c r="N881" s="24">
        <v>66</v>
      </c>
      <c r="O881" s="24">
        <v>611</v>
      </c>
      <c r="P881" s="24">
        <v>82</v>
      </c>
      <c r="Q881" s="24">
        <v>100</v>
      </c>
      <c r="R881" s="24">
        <v>74</v>
      </c>
      <c r="S881" s="24">
        <v>174</v>
      </c>
      <c r="T881" s="24">
        <v>66</v>
      </c>
      <c r="U881" s="24">
        <v>80</v>
      </c>
      <c r="V881" s="24">
        <v>358.5</v>
      </c>
      <c r="W881" s="24">
        <v>54</v>
      </c>
      <c r="X881" s="24">
        <v>880</v>
      </c>
      <c r="Y881" s="24">
        <v>386</v>
      </c>
      <c r="Z881" s="24">
        <v>782</v>
      </c>
      <c r="AA881" s="24">
        <v>-98</v>
      </c>
    </row>
    <row r="882" spans="1:27">
      <c r="A882" s="24" t="s">
        <v>2647</v>
      </c>
      <c r="B882" s="24" t="s">
        <v>49</v>
      </c>
      <c r="C882" s="24" t="s">
        <v>2651</v>
      </c>
      <c r="D882" s="24">
        <v>102</v>
      </c>
      <c r="E882" s="24">
        <v>442</v>
      </c>
      <c r="F882" s="24">
        <v>40</v>
      </c>
      <c r="G882" s="24">
        <v>897</v>
      </c>
      <c r="H882" s="24">
        <v>71</v>
      </c>
      <c r="I882" s="24">
        <v>830</v>
      </c>
      <c r="J882" s="24">
        <v>41</v>
      </c>
      <c r="K882" s="24">
        <v>871</v>
      </c>
      <c r="L882" s="24">
        <v>45</v>
      </c>
      <c r="M882" s="24">
        <v>720</v>
      </c>
      <c r="N882" s="24">
        <v>59</v>
      </c>
      <c r="O882" s="24">
        <v>762</v>
      </c>
      <c r="P882" s="24">
        <v>77</v>
      </c>
      <c r="Q882" s="24">
        <v>240</v>
      </c>
      <c r="R882" s="24">
        <v>45</v>
      </c>
      <c r="S882" s="24">
        <v>923</v>
      </c>
      <c r="T882" s="24">
        <v>48</v>
      </c>
      <c r="U882" s="24">
        <v>671</v>
      </c>
      <c r="V882" s="24">
        <v>358</v>
      </c>
      <c r="W882" s="24">
        <v>51</v>
      </c>
      <c r="X882" s="24">
        <v>881</v>
      </c>
      <c r="Y882" s="24">
        <v>345.5</v>
      </c>
      <c r="Z882" s="24">
        <v>890</v>
      </c>
      <c r="AA882" s="24">
        <v>9</v>
      </c>
    </row>
    <row r="883" spans="1:27">
      <c r="A883" s="24" t="s">
        <v>2273</v>
      </c>
      <c r="B883" s="24" t="s">
        <v>7</v>
      </c>
      <c r="C883" s="24" t="s">
        <v>2277</v>
      </c>
      <c r="D883" s="24">
        <v>86</v>
      </c>
      <c r="E883" s="24">
        <v>867</v>
      </c>
      <c r="F883" s="24">
        <v>61</v>
      </c>
      <c r="G883" s="24">
        <v>678</v>
      </c>
      <c r="H883" s="24">
        <v>67.5</v>
      </c>
      <c r="I883" s="24">
        <v>869</v>
      </c>
      <c r="J883" s="24">
        <v>41</v>
      </c>
      <c r="K883" s="24">
        <v>871</v>
      </c>
      <c r="L883" s="24">
        <v>39</v>
      </c>
      <c r="M883" s="24">
        <v>825</v>
      </c>
      <c r="N883" s="24">
        <v>63</v>
      </c>
      <c r="O883" s="24">
        <v>692</v>
      </c>
      <c r="P883" s="24">
        <v>73</v>
      </c>
      <c r="Q883" s="24">
        <v>359</v>
      </c>
      <c r="R883" s="24">
        <v>44</v>
      </c>
      <c r="S883" s="24">
        <v>927</v>
      </c>
      <c r="T883" s="24">
        <v>53</v>
      </c>
      <c r="U883" s="24">
        <v>470</v>
      </c>
      <c r="V883" s="24">
        <v>357.5</v>
      </c>
      <c r="W883" s="24">
        <v>51</v>
      </c>
      <c r="X883" s="24">
        <v>882</v>
      </c>
      <c r="Y883" s="24">
        <v>391</v>
      </c>
      <c r="Z883" s="24">
        <v>767</v>
      </c>
      <c r="AA883" s="24">
        <v>-115</v>
      </c>
    </row>
    <row r="884" spans="1:27">
      <c r="A884" s="24" t="s">
        <v>969</v>
      </c>
      <c r="B884" s="24" t="s">
        <v>60</v>
      </c>
      <c r="C884" s="24" t="s">
        <v>970</v>
      </c>
      <c r="D884" s="24">
        <v>107</v>
      </c>
      <c r="E884" s="24">
        <v>242</v>
      </c>
      <c r="F884" s="24">
        <v>53</v>
      </c>
      <c r="G884" s="24">
        <v>792</v>
      </c>
      <c r="H884" s="24">
        <v>67</v>
      </c>
      <c r="I884" s="24">
        <v>874</v>
      </c>
      <c r="J884" s="24">
        <v>43</v>
      </c>
      <c r="K884" s="24">
        <v>860</v>
      </c>
      <c r="L884" s="24">
        <v>41</v>
      </c>
      <c r="M884" s="24">
        <v>795</v>
      </c>
      <c r="N884" s="24">
        <v>46</v>
      </c>
      <c r="O884" s="24">
        <v>901</v>
      </c>
      <c r="P884" s="24">
        <v>78</v>
      </c>
      <c r="Q884" s="24">
        <v>209</v>
      </c>
      <c r="R884" s="24">
        <v>69</v>
      </c>
      <c r="S884" s="24">
        <v>367</v>
      </c>
      <c r="T884" s="24">
        <v>35</v>
      </c>
      <c r="U884" s="24">
        <v>924</v>
      </c>
      <c r="V884" s="24">
        <v>357</v>
      </c>
      <c r="W884" s="24">
        <v>54</v>
      </c>
      <c r="X884" s="24">
        <v>883</v>
      </c>
      <c r="Y884" s="24">
        <v>354</v>
      </c>
      <c r="Z884" s="24">
        <v>872</v>
      </c>
      <c r="AA884" s="24">
        <v>-11</v>
      </c>
    </row>
    <row r="885" spans="1:27">
      <c r="A885" s="24" t="s">
        <v>1982</v>
      </c>
      <c r="B885" s="24" t="s">
        <v>109</v>
      </c>
      <c r="C885" s="24" t="s">
        <v>1983</v>
      </c>
      <c r="D885" s="24">
        <v>97</v>
      </c>
      <c r="E885" s="24">
        <v>645</v>
      </c>
      <c r="F885" s="24">
        <v>57</v>
      </c>
      <c r="G885" s="24">
        <v>744</v>
      </c>
      <c r="H885" s="24">
        <v>62.5</v>
      </c>
      <c r="I885" s="24">
        <v>899</v>
      </c>
      <c r="J885" s="24">
        <v>45</v>
      </c>
      <c r="K885" s="24">
        <v>840</v>
      </c>
      <c r="L885" s="24">
        <v>48</v>
      </c>
      <c r="M885" s="24">
        <v>649</v>
      </c>
      <c r="N885" s="24">
        <v>47</v>
      </c>
      <c r="O885" s="24">
        <v>895</v>
      </c>
      <c r="P885" s="24">
        <v>64</v>
      </c>
      <c r="Q885" s="24">
        <v>680</v>
      </c>
      <c r="R885" s="24">
        <v>55</v>
      </c>
      <c r="S885" s="24">
        <v>835</v>
      </c>
      <c r="T885" s="24">
        <v>44</v>
      </c>
      <c r="U885" s="24">
        <v>804</v>
      </c>
      <c r="V885" s="24">
        <v>356.5</v>
      </c>
      <c r="W885" s="24">
        <v>52</v>
      </c>
      <c r="X885" s="24">
        <v>884</v>
      </c>
      <c r="Y885" s="24">
        <v>349</v>
      </c>
      <c r="Z885" s="24">
        <v>881</v>
      </c>
      <c r="AA885" s="24">
        <v>-3</v>
      </c>
    </row>
    <row r="886" spans="1:27">
      <c r="A886" s="24" t="s">
        <v>418</v>
      </c>
      <c r="B886" s="24" t="s">
        <v>19</v>
      </c>
      <c r="C886" s="24" t="s">
        <v>419</v>
      </c>
      <c r="D886" s="24">
        <v>89</v>
      </c>
      <c r="E886" s="24">
        <v>835</v>
      </c>
      <c r="F886" s="24">
        <v>46</v>
      </c>
      <c r="G886" s="24">
        <v>862</v>
      </c>
      <c r="H886" s="24">
        <v>79.5</v>
      </c>
      <c r="I886" s="24">
        <v>699</v>
      </c>
      <c r="J886" s="24">
        <v>36</v>
      </c>
      <c r="K886" s="24">
        <v>905</v>
      </c>
      <c r="L886" s="24">
        <v>47</v>
      </c>
      <c r="M886" s="24">
        <v>673</v>
      </c>
      <c r="N886" s="24">
        <v>58</v>
      </c>
      <c r="O886" s="24">
        <v>786</v>
      </c>
      <c r="P886" s="24">
        <v>79</v>
      </c>
      <c r="Q886" s="24">
        <v>175</v>
      </c>
      <c r="R886" s="24">
        <v>71</v>
      </c>
      <c r="S886" s="24">
        <v>290</v>
      </c>
      <c r="T886" s="24">
        <v>66</v>
      </c>
      <c r="U886" s="24">
        <v>80</v>
      </c>
      <c r="V886" s="24">
        <v>355.5</v>
      </c>
      <c r="W886" s="24">
        <v>53</v>
      </c>
      <c r="X886" s="24">
        <v>885</v>
      </c>
      <c r="Y886" s="24">
        <v>392</v>
      </c>
      <c r="Z886" s="24">
        <v>761</v>
      </c>
      <c r="AA886" s="24">
        <v>-124</v>
      </c>
    </row>
    <row r="887" spans="1:27">
      <c r="A887" s="24" t="s">
        <v>2007</v>
      </c>
      <c r="B887" s="24" t="s">
        <v>109</v>
      </c>
      <c r="C887" s="24" t="s">
        <v>2008</v>
      </c>
      <c r="D887" s="24">
        <v>84</v>
      </c>
      <c r="E887" s="24">
        <v>891</v>
      </c>
      <c r="F887" s="24">
        <v>34</v>
      </c>
      <c r="G887" s="24">
        <v>914</v>
      </c>
      <c r="H887" s="24">
        <v>55.5</v>
      </c>
      <c r="I887" s="24">
        <v>925</v>
      </c>
      <c r="J887" s="24">
        <v>83</v>
      </c>
      <c r="K887" s="24">
        <v>163</v>
      </c>
      <c r="L887" s="24">
        <v>49</v>
      </c>
      <c r="M887" s="24">
        <v>624</v>
      </c>
      <c r="N887" s="24">
        <v>50</v>
      </c>
      <c r="O887" s="24">
        <v>883</v>
      </c>
      <c r="P887" s="24">
        <v>59</v>
      </c>
      <c r="Q887" s="24">
        <v>799</v>
      </c>
      <c r="R887" s="24">
        <v>53</v>
      </c>
      <c r="S887" s="24">
        <v>869</v>
      </c>
      <c r="T887" s="24">
        <v>51</v>
      </c>
      <c r="U887" s="24">
        <v>555</v>
      </c>
      <c r="V887" s="24">
        <v>355.5</v>
      </c>
      <c r="W887" s="24">
        <v>53</v>
      </c>
      <c r="X887" s="24">
        <v>885</v>
      </c>
      <c r="Y887" s="24">
        <v>358.5</v>
      </c>
      <c r="Z887" s="24">
        <v>861</v>
      </c>
      <c r="AA887" s="24">
        <v>-24</v>
      </c>
    </row>
    <row r="888" spans="1:27">
      <c r="A888" s="24" t="s">
        <v>2051</v>
      </c>
      <c r="B888" s="24" t="s">
        <v>109</v>
      </c>
      <c r="C888" s="24" t="s">
        <v>2052</v>
      </c>
      <c r="D888" s="24">
        <v>90</v>
      </c>
      <c r="E888" s="24">
        <v>815</v>
      </c>
      <c r="F888" s="24">
        <v>41</v>
      </c>
      <c r="G888" s="24">
        <v>894</v>
      </c>
      <c r="H888" s="24">
        <v>87</v>
      </c>
      <c r="I888" s="24">
        <v>554</v>
      </c>
      <c r="J888" s="24">
        <v>30</v>
      </c>
      <c r="K888" s="24">
        <v>924</v>
      </c>
      <c r="L888" s="24">
        <v>43</v>
      </c>
      <c r="M888" s="24">
        <v>757</v>
      </c>
      <c r="N888" s="24">
        <v>64</v>
      </c>
      <c r="O888" s="24">
        <v>667</v>
      </c>
      <c r="P888" s="24">
        <v>85</v>
      </c>
      <c r="Q888" s="24">
        <v>45</v>
      </c>
      <c r="R888" s="24">
        <v>68</v>
      </c>
      <c r="S888" s="24">
        <v>412</v>
      </c>
      <c r="T888" s="24">
        <v>65</v>
      </c>
      <c r="U888" s="24">
        <v>89</v>
      </c>
      <c r="V888" s="24">
        <v>355</v>
      </c>
      <c r="W888" s="24">
        <v>54</v>
      </c>
      <c r="X888" s="24">
        <v>887</v>
      </c>
      <c r="Y888" s="24">
        <v>329</v>
      </c>
      <c r="Z888" s="24">
        <v>907</v>
      </c>
      <c r="AA888" s="24">
        <v>20</v>
      </c>
    </row>
    <row r="889" spans="1:27">
      <c r="A889" s="24" t="s">
        <v>996</v>
      </c>
      <c r="B889" s="24" t="s">
        <v>60</v>
      </c>
      <c r="C889" s="24" t="s">
        <v>997</v>
      </c>
      <c r="D889" s="24">
        <v>68</v>
      </c>
      <c r="E889" s="24">
        <v>931</v>
      </c>
      <c r="F889" s="24">
        <v>65</v>
      </c>
      <c r="G889" s="24">
        <v>604</v>
      </c>
      <c r="H889" s="24">
        <v>73.5</v>
      </c>
      <c r="I889" s="24">
        <v>798</v>
      </c>
      <c r="J889" s="24">
        <v>53</v>
      </c>
      <c r="K889" s="24">
        <v>739</v>
      </c>
      <c r="L889" s="24">
        <v>34</v>
      </c>
      <c r="M889" s="24">
        <v>882</v>
      </c>
      <c r="N889" s="24">
        <v>61</v>
      </c>
      <c r="O889" s="24">
        <v>734</v>
      </c>
      <c r="P889" s="24">
        <v>64</v>
      </c>
      <c r="Q889" s="24">
        <v>680</v>
      </c>
      <c r="R889" s="24">
        <v>71</v>
      </c>
      <c r="S889" s="24">
        <v>290</v>
      </c>
      <c r="T889" s="24">
        <v>43</v>
      </c>
      <c r="U889" s="24">
        <v>824</v>
      </c>
      <c r="V889" s="24">
        <v>354.5</v>
      </c>
      <c r="W889" s="24">
        <v>55</v>
      </c>
      <c r="X889" s="24">
        <v>888</v>
      </c>
      <c r="Y889" s="24">
        <v>389</v>
      </c>
      <c r="Z889" s="24">
        <v>769</v>
      </c>
      <c r="AA889" s="24">
        <v>-119</v>
      </c>
    </row>
    <row r="890" spans="1:27">
      <c r="A890" s="24" t="s">
        <v>2400</v>
      </c>
      <c r="B890" s="24" t="s">
        <v>7</v>
      </c>
      <c r="C890" s="24" t="s">
        <v>2406</v>
      </c>
      <c r="D890" s="24">
        <v>97</v>
      </c>
      <c r="E890" s="24">
        <v>645</v>
      </c>
      <c r="F890" s="24">
        <v>46</v>
      </c>
      <c r="G890" s="24">
        <v>862</v>
      </c>
      <c r="H890" s="24">
        <v>91.5</v>
      </c>
      <c r="I890" s="24">
        <v>444</v>
      </c>
      <c r="J890" s="24">
        <v>45</v>
      </c>
      <c r="K890" s="24">
        <v>840</v>
      </c>
      <c r="L890" s="24">
        <v>30</v>
      </c>
      <c r="M890" s="24">
        <v>902</v>
      </c>
      <c r="N890" s="24">
        <v>44</v>
      </c>
      <c r="O890" s="24">
        <v>914</v>
      </c>
      <c r="P890" s="24">
        <v>74</v>
      </c>
      <c r="Q890" s="24">
        <v>326</v>
      </c>
      <c r="R890" s="24">
        <v>55</v>
      </c>
      <c r="S890" s="24">
        <v>835</v>
      </c>
      <c r="T890" s="24">
        <v>38</v>
      </c>
      <c r="U890" s="24">
        <v>905</v>
      </c>
      <c r="V890" s="24">
        <v>353.5</v>
      </c>
      <c r="W890" s="24">
        <v>52</v>
      </c>
      <c r="X890" s="24">
        <v>889</v>
      </c>
      <c r="Y890" s="24">
        <v>348</v>
      </c>
      <c r="Z890" s="24">
        <v>885</v>
      </c>
      <c r="AA890" s="24">
        <v>-4</v>
      </c>
    </row>
    <row r="891" spans="1:27">
      <c r="A891" s="24" t="s">
        <v>1262</v>
      </c>
      <c r="B891" s="24" t="s">
        <v>54</v>
      </c>
      <c r="C891" s="24" t="s">
        <v>1263</v>
      </c>
      <c r="D891" s="24">
        <v>96</v>
      </c>
      <c r="E891" s="24">
        <v>676</v>
      </c>
      <c r="F891" s="24">
        <v>35</v>
      </c>
      <c r="G891" s="24">
        <v>911</v>
      </c>
      <c r="H891" s="24">
        <v>75.5</v>
      </c>
      <c r="I891" s="24">
        <v>764</v>
      </c>
      <c r="J891" s="24">
        <v>28</v>
      </c>
      <c r="K891" s="24">
        <v>927</v>
      </c>
      <c r="L891" s="24">
        <v>59</v>
      </c>
      <c r="M891" s="24">
        <v>348</v>
      </c>
      <c r="N891" s="24">
        <v>59</v>
      </c>
      <c r="O891" s="24">
        <v>762</v>
      </c>
      <c r="P891" s="24">
        <v>63</v>
      </c>
      <c r="Q891" s="24">
        <v>712</v>
      </c>
      <c r="R891" s="24">
        <v>70</v>
      </c>
      <c r="S891" s="24">
        <v>327</v>
      </c>
      <c r="T891" s="24">
        <v>45</v>
      </c>
      <c r="U891" s="24">
        <v>781</v>
      </c>
      <c r="V891" s="24">
        <v>352.5</v>
      </c>
      <c r="W891" s="24">
        <v>53</v>
      </c>
      <c r="X891" s="24">
        <v>890</v>
      </c>
      <c r="Y891" s="24">
        <v>375.5</v>
      </c>
      <c r="Z891" s="24">
        <v>820</v>
      </c>
      <c r="AA891" s="24">
        <v>-70</v>
      </c>
    </row>
    <row r="892" spans="1:27">
      <c r="A892" s="24" t="s">
        <v>2773</v>
      </c>
      <c r="B892" s="24" t="s">
        <v>38</v>
      </c>
      <c r="C892" s="24" t="s">
        <v>2774</v>
      </c>
      <c r="D892" s="24">
        <v>85</v>
      </c>
      <c r="E892" s="24">
        <v>885</v>
      </c>
      <c r="F892" s="24">
        <v>42</v>
      </c>
      <c r="G892" s="24">
        <v>887</v>
      </c>
      <c r="H892" s="24">
        <v>64</v>
      </c>
      <c r="I892" s="24">
        <v>887</v>
      </c>
      <c r="J892" s="24">
        <v>62</v>
      </c>
      <c r="K892" s="24">
        <v>564</v>
      </c>
      <c r="L892" s="24">
        <v>53</v>
      </c>
      <c r="M892" s="24">
        <v>526</v>
      </c>
      <c r="N892" s="24">
        <v>46</v>
      </c>
      <c r="O892" s="24">
        <v>901</v>
      </c>
      <c r="P892" s="24">
        <v>64</v>
      </c>
      <c r="Q892" s="24">
        <v>680</v>
      </c>
      <c r="R892" s="24">
        <v>50</v>
      </c>
      <c r="S892" s="24">
        <v>896</v>
      </c>
      <c r="T892" s="24">
        <v>59</v>
      </c>
      <c r="U892" s="24">
        <v>233</v>
      </c>
      <c r="V892" s="24">
        <v>352</v>
      </c>
      <c r="W892" s="24">
        <v>54</v>
      </c>
      <c r="X892" s="24">
        <v>891</v>
      </c>
      <c r="Y892" s="24">
        <v>381</v>
      </c>
      <c r="Z892" s="24">
        <v>802</v>
      </c>
      <c r="AA892" s="24">
        <v>-89</v>
      </c>
    </row>
    <row r="893" spans="1:27">
      <c r="A893" s="24" t="s">
        <v>1846</v>
      </c>
      <c r="B893" s="24" t="s">
        <v>34</v>
      </c>
      <c r="C893" s="24" t="s">
        <v>1847</v>
      </c>
      <c r="D893" s="24">
        <v>88</v>
      </c>
      <c r="E893" s="24">
        <v>851</v>
      </c>
      <c r="F893" s="24">
        <v>53</v>
      </c>
      <c r="G893" s="24">
        <v>792</v>
      </c>
      <c r="H893" s="24">
        <v>69</v>
      </c>
      <c r="I893" s="24">
        <v>852</v>
      </c>
      <c r="J893" s="24">
        <v>61</v>
      </c>
      <c r="K893" s="24">
        <v>587</v>
      </c>
      <c r="L893" s="24">
        <v>39</v>
      </c>
      <c r="M893" s="24">
        <v>825</v>
      </c>
      <c r="N893" s="24">
        <v>42</v>
      </c>
      <c r="O893" s="24">
        <v>921</v>
      </c>
      <c r="P893" s="24">
        <v>82</v>
      </c>
      <c r="Q893" s="24">
        <v>100</v>
      </c>
      <c r="R893" s="24">
        <v>63</v>
      </c>
      <c r="S893" s="24">
        <v>633</v>
      </c>
      <c r="T893" s="24">
        <v>61</v>
      </c>
      <c r="U893" s="24">
        <v>172</v>
      </c>
      <c r="V893" s="24">
        <v>352</v>
      </c>
      <c r="W893" s="24">
        <v>54</v>
      </c>
      <c r="X893" s="24">
        <v>891</v>
      </c>
      <c r="Y893" s="24">
        <v>385.5</v>
      </c>
      <c r="Z893" s="24">
        <v>786</v>
      </c>
      <c r="AA893" s="24">
        <v>-105</v>
      </c>
    </row>
    <row r="894" spans="1:27">
      <c r="A894" s="24" t="s">
        <v>3232</v>
      </c>
      <c r="B894" s="24" t="s">
        <v>109</v>
      </c>
      <c r="C894" s="24" t="s">
        <v>3197</v>
      </c>
      <c r="D894" s="24">
        <v>96</v>
      </c>
      <c r="E894" s="24">
        <v>676</v>
      </c>
      <c r="F894" s="24">
        <v>29</v>
      </c>
      <c r="G894" s="24">
        <v>922</v>
      </c>
      <c r="H894" s="24">
        <v>93.5</v>
      </c>
      <c r="I894" s="24">
        <v>393</v>
      </c>
      <c r="J894" s="24">
        <v>47</v>
      </c>
      <c r="K894" s="24">
        <v>825</v>
      </c>
      <c r="L894" s="24">
        <v>39</v>
      </c>
      <c r="M894" s="24">
        <v>825</v>
      </c>
      <c r="N894" s="24">
        <v>46</v>
      </c>
      <c r="O894" s="24">
        <v>901</v>
      </c>
      <c r="P894" s="24">
        <v>64</v>
      </c>
      <c r="Q894" s="24">
        <v>680</v>
      </c>
      <c r="R894" s="24">
        <v>65</v>
      </c>
      <c r="S894" s="24">
        <v>548</v>
      </c>
      <c r="T894" s="24">
        <v>51</v>
      </c>
      <c r="U894" s="24">
        <v>555</v>
      </c>
      <c r="V894" s="24">
        <v>350.5</v>
      </c>
      <c r="W894" s="24">
        <v>55</v>
      </c>
      <c r="X894" s="24">
        <v>893</v>
      </c>
      <c r="Y894" s="24">
        <v>353</v>
      </c>
      <c r="Z894" s="24">
        <v>873</v>
      </c>
      <c r="AA894" s="24">
        <v>-20</v>
      </c>
    </row>
    <row r="895" spans="1:27">
      <c r="A895" s="24" t="s">
        <v>646</v>
      </c>
      <c r="B895" s="24" t="s">
        <v>17</v>
      </c>
      <c r="C895" s="24" t="s">
        <v>647</v>
      </c>
      <c r="D895" s="24">
        <v>99</v>
      </c>
      <c r="E895" s="24">
        <v>571</v>
      </c>
      <c r="F895" s="24">
        <v>48</v>
      </c>
      <c r="G895" s="24">
        <v>848</v>
      </c>
      <c r="H895" s="24">
        <v>91</v>
      </c>
      <c r="I895" s="24">
        <v>459</v>
      </c>
      <c r="J895" s="24">
        <v>49</v>
      </c>
      <c r="K895" s="24">
        <v>803</v>
      </c>
      <c r="L895" s="24">
        <v>24</v>
      </c>
      <c r="M895" s="24">
        <v>923</v>
      </c>
      <c r="N895" s="24">
        <v>39</v>
      </c>
      <c r="O895" s="24">
        <v>927</v>
      </c>
      <c r="P895" s="24">
        <v>50</v>
      </c>
      <c r="Q895" s="24">
        <v>911</v>
      </c>
      <c r="R895" s="24">
        <v>73</v>
      </c>
      <c r="S895" s="24">
        <v>216</v>
      </c>
      <c r="T895" s="24">
        <v>49</v>
      </c>
      <c r="U895" s="24">
        <v>633</v>
      </c>
      <c r="V895" s="24">
        <v>350</v>
      </c>
      <c r="W895" s="24">
        <v>56</v>
      </c>
      <c r="X895" s="24">
        <v>894</v>
      </c>
      <c r="Y895" s="24">
        <v>379</v>
      </c>
      <c r="Z895" s="24">
        <v>809</v>
      </c>
      <c r="AA895" s="24">
        <v>-85</v>
      </c>
    </row>
    <row r="896" spans="1:27">
      <c r="A896" s="24" t="s">
        <v>441</v>
      </c>
      <c r="B896" s="24" t="s">
        <v>19</v>
      </c>
      <c r="C896" s="24" t="s">
        <v>442</v>
      </c>
      <c r="D896" s="24">
        <v>100</v>
      </c>
      <c r="E896" s="24">
        <v>528</v>
      </c>
      <c r="F896" s="24">
        <v>38</v>
      </c>
      <c r="G896" s="24">
        <v>904</v>
      </c>
      <c r="H896" s="24">
        <v>64</v>
      </c>
      <c r="I896" s="24">
        <v>887</v>
      </c>
      <c r="J896" s="24">
        <v>46</v>
      </c>
      <c r="K896" s="24">
        <v>833</v>
      </c>
      <c r="L896" s="24">
        <v>42</v>
      </c>
      <c r="M896" s="24">
        <v>774</v>
      </c>
      <c r="N896" s="24">
        <v>58</v>
      </c>
      <c r="O896" s="24">
        <v>786</v>
      </c>
      <c r="P896" s="24">
        <v>60</v>
      </c>
      <c r="Q896" s="24">
        <v>777</v>
      </c>
      <c r="R896" s="24">
        <v>68</v>
      </c>
      <c r="S896" s="24">
        <v>412</v>
      </c>
      <c r="T896" s="24">
        <v>56</v>
      </c>
      <c r="U896" s="24">
        <v>352</v>
      </c>
      <c r="V896" s="24">
        <v>348</v>
      </c>
      <c r="W896" s="24">
        <v>54</v>
      </c>
      <c r="X896" s="24">
        <v>895</v>
      </c>
      <c r="Y896" s="24">
        <v>405</v>
      </c>
      <c r="Z896" s="24">
        <v>705</v>
      </c>
      <c r="AA896" s="24">
        <v>-190</v>
      </c>
    </row>
    <row r="897" spans="1:27">
      <c r="A897" s="24" t="s">
        <v>250</v>
      </c>
      <c r="B897" s="24" t="s">
        <v>28</v>
      </c>
      <c r="C897" s="24" t="s">
        <v>251</v>
      </c>
      <c r="D897" s="24">
        <v>77</v>
      </c>
      <c r="E897" s="24">
        <v>922</v>
      </c>
      <c r="F897" s="24">
        <v>24</v>
      </c>
      <c r="G897" s="24">
        <v>931</v>
      </c>
      <c r="H897" s="24">
        <v>90.5</v>
      </c>
      <c r="I897" s="24">
        <v>471</v>
      </c>
      <c r="J897" s="24">
        <v>68</v>
      </c>
      <c r="K897" s="24">
        <v>453</v>
      </c>
      <c r="L897" s="24">
        <v>42</v>
      </c>
      <c r="M897" s="24">
        <v>774</v>
      </c>
      <c r="N897" s="24">
        <v>46</v>
      </c>
      <c r="O897" s="24">
        <v>901</v>
      </c>
      <c r="P897" s="24">
        <v>54</v>
      </c>
      <c r="Q897" s="24">
        <v>880</v>
      </c>
      <c r="R897" s="24">
        <v>68</v>
      </c>
      <c r="S897" s="24">
        <v>412</v>
      </c>
      <c r="T897" s="24">
        <v>51</v>
      </c>
      <c r="U897" s="24">
        <v>555</v>
      </c>
      <c r="V897" s="24">
        <v>347.5</v>
      </c>
      <c r="W897" s="24">
        <v>51</v>
      </c>
      <c r="X897" s="24">
        <v>896</v>
      </c>
      <c r="Y897" s="24">
        <v>302.5</v>
      </c>
      <c r="Z897" s="24">
        <v>925</v>
      </c>
      <c r="AA897" s="24">
        <v>29</v>
      </c>
    </row>
    <row r="898" spans="1:27">
      <c r="A898" s="24" t="s">
        <v>229</v>
      </c>
      <c r="B898" s="24" t="s">
        <v>28</v>
      </c>
      <c r="C898" s="24" t="s">
        <v>230</v>
      </c>
      <c r="D898" s="24">
        <v>100</v>
      </c>
      <c r="E898" s="24">
        <v>528</v>
      </c>
      <c r="F898" s="24">
        <v>50</v>
      </c>
      <c r="G898" s="24">
        <v>831</v>
      </c>
      <c r="H898" s="24">
        <v>51.5</v>
      </c>
      <c r="I898" s="24">
        <v>928</v>
      </c>
      <c r="J898" s="24">
        <v>58</v>
      </c>
      <c r="K898" s="24">
        <v>649</v>
      </c>
      <c r="L898" s="24">
        <v>30</v>
      </c>
      <c r="M898" s="24">
        <v>902</v>
      </c>
      <c r="N898" s="24">
        <v>57</v>
      </c>
      <c r="O898" s="24">
        <v>801</v>
      </c>
      <c r="P898" s="24">
        <v>73</v>
      </c>
      <c r="Q898" s="24">
        <v>359</v>
      </c>
      <c r="R898" s="24">
        <v>73</v>
      </c>
      <c r="S898" s="24">
        <v>216</v>
      </c>
      <c r="T898" s="24">
        <v>54</v>
      </c>
      <c r="U898" s="24">
        <v>428</v>
      </c>
      <c r="V898" s="24">
        <v>346.5</v>
      </c>
      <c r="W898" s="24">
        <v>52</v>
      </c>
      <c r="X898" s="24">
        <v>897</v>
      </c>
      <c r="Y898" s="24">
        <v>371</v>
      </c>
      <c r="Z898" s="24">
        <v>838</v>
      </c>
      <c r="AA898" s="24">
        <v>-59</v>
      </c>
    </row>
    <row r="899" spans="1:27">
      <c r="A899" s="24" t="s">
        <v>2565</v>
      </c>
      <c r="B899" s="24" t="s">
        <v>131</v>
      </c>
      <c r="C899" s="24" t="s">
        <v>2566</v>
      </c>
      <c r="D899" s="24">
        <v>100</v>
      </c>
      <c r="E899" s="24">
        <v>528</v>
      </c>
      <c r="F899" s="24">
        <v>51</v>
      </c>
      <c r="G899" s="24">
        <v>817</v>
      </c>
      <c r="H899" s="24">
        <v>62.5</v>
      </c>
      <c r="I899" s="24">
        <v>899</v>
      </c>
      <c r="J899" s="24">
        <v>47</v>
      </c>
      <c r="K899" s="24">
        <v>825</v>
      </c>
      <c r="L899" s="24">
        <v>43</v>
      </c>
      <c r="M899" s="24">
        <v>757</v>
      </c>
      <c r="N899" s="24">
        <v>43</v>
      </c>
      <c r="O899" s="24">
        <v>919</v>
      </c>
      <c r="P899" s="24">
        <v>61</v>
      </c>
      <c r="Q899" s="24">
        <v>754</v>
      </c>
      <c r="R899" s="24">
        <v>66</v>
      </c>
      <c r="S899" s="24">
        <v>511</v>
      </c>
      <c r="T899" s="24">
        <v>57</v>
      </c>
      <c r="U899" s="24">
        <v>306</v>
      </c>
      <c r="V899" s="24">
        <v>346.5</v>
      </c>
      <c r="W899" s="24">
        <v>51</v>
      </c>
      <c r="X899" s="24">
        <v>897</v>
      </c>
      <c r="Y899" s="24">
        <v>312.5</v>
      </c>
      <c r="Z899" s="24">
        <v>921</v>
      </c>
      <c r="AA899" s="24">
        <v>24</v>
      </c>
    </row>
    <row r="900" spans="1:27">
      <c r="A900" s="24" t="s">
        <v>2617</v>
      </c>
      <c r="B900" s="24" t="s">
        <v>49</v>
      </c>
      <c r="C900" s="24" t="s">
        <v>2618</v>
      </c>
      <c r="D900" s="24">
        <v>86</v>
      </c>
      <c r="E900" s="24">
        <v>867</v>
      </c>
      <c r="F900" s="24">
        <v>40</v>
      </c>
      <c r="G900" s="24">
        <v>897</v>
      </c>
      <c r="H900" s="24">
        <v>83</v>
      </c>
      <c r="I900" s="24">
        <v>643</v>
      </c>
      <c r="J900" s="24">
        <v>46</v>
      </c>
      <c r="K900" s="24">
        <v>833</v>
      </c>
      <c r="L900" s="24">
        <v>36</v>
      </c>
      <c r="M900" s="24">
        <v>856</v>
      </c>
      <c r="N900" s="24">
        <v>55</v>
      </c>
      <c r="O900" s="24">
        <v>831</v>
      </c>
      <c r="P900" s="24">
        <v>61</v>
      </c>
      <c r="Q900" s="24">
        <v>754</v>
      </c>
      <c r="R900" s="24">
        <v>55</v>
      </c>
      <c r="S900" s="24">
        <v>835</v>
      </c>
      <c r="T900" s="24">
        <v>47</v>
      </c>
      <c r="U900" s="24">
        <v>719</v>
      </c>
      <c r="V900" s="24">
        <v>346</v>
      </c>
      <c r="W900" s="24">
        <v>52</v>
      </c>
      <c r="X900" s="24">
        <v>899</v>
      </c>
      <c r="Y900" s="24">
        <v>329</v>
      </c>
      <c r="Z900" s="24">
        <v>907</v>
      </c>
      <c r="AA900" s="24">
        <v>8</v>
      </c>
    </row>
    <row r="901" spans="1:27">
      <c r="A901" s="24" t="s">
        <v>393</v>
      </c>
      <c r="B901" s="24" t="s">
        <v>19</v>
      </c>
      <c r="C901" s="24" t="s">
        <v>394</v>
      </c>
      <c r="D901" s="24">
        <v>92</v>
      </c>
      <c r="E901" s="24">
        <v>779</v>
      </c>
      <c r="F901" s="24">
        <v>48</v>
      </c>
      <c r="G901" s="24">
        <v>848</v>
      </c>
      <c r="H901" s="24">
        <v>68.5</v>
      </c>
      <c r="I901" s="24">
        <v>858</v>
      </c>
      <c r="J901" s="24">
        <v>49</v>
      </c>
      <c r="K901" s="24">
        <v>803</v>
      </c>
      <c r="L901" s="24">
        <v>39</v>
      </c>
      <c r="M901" s="24">
        <v>825</v>
      </c>
      <c r="N901" s="24">
        <v>48</v>
      </c>
      <c r="O901" s="24">
        <v>892</v>
      </c>
      <c r="P901" s="24">
        <v>61</v>
      </c>
      <c r="Q901" s="24">
        <v>754</v>
      </c>
      <c r="R901" s="24">
        <v>57</v>
      </c>
      <c r="S901" s="24">
        <v>798</v>
      </c>
      <c r="T901" s="24">
        <v>51</v>
      </c>
      <c r="U901" s="24">
        <v>555</v>
      </c>
      <c r="V901" s="24">
        <v>344.5</v>
      </c>
      <c r="W901" s="24">
        <v>55</v>
      </c>
      <c r="X901" s="24">
        <v>900</v>
      </c>
      <c r="Y901" s="24">
        <v>400.5</v>
      </c>
      <c r="Z901" s="24">
        <v>726</v>
      </c>
      <c r="AA901" s="24">
        <v>-174</v>
      </c>
    </row>
    <row r="902" spans="1:27">
      <c r="A902" s="24" t="s">
        <v>1123</v>
      </c>
      <c r="B902" s="24" t="s">
        <v>68</v>
      </c>
      <c r="C902" s="24" t="s">
        <v>1124</v>
      </c>
      <c r="D902" s="24">
        <v>93</v>
      </c>
      <c r="E902" s="24">
        <v>755</v>
      </c>
      <c r="F902" s="24">
        <v>55</v>
      </c>
      <c r="G902" s="24">
        <v>766</v>
      </c>
      <c r="H902" s="24">
        <v>79.5</v>
      </c>
      <c r="I902" s="24">
        <v>699</v>
      </c>
      <c r="J902" s="24">
        <v>38</v>
      </c>
      <c r="K902" s="24">
        <v>895</v>
      </c>
      <c r="L902" s="24">
        <v>33</v>
      </c>
      <c r="M902" s="24">
        <v>885</v>
      </c>
      <c r="N902" s="24">
        <v>46</v>
      </c>
      <c r="O902" s="24">
        <v>901</v>
      </c>
      <c r="P902" s="24">
        <v>67</v>
      </c>
      <c r="Q902" s="24">
        <v>570</v>
      </c>
      <c r="R902" s="24">
        <v>63</v>
      </c>
      <c r="S902" s="24">
        <v>633</v>
      </c>
      <c r="T902" s="24">
        <v>44</v>
      </c>
      <c r="U902" s="24">
        <v>804</v>
      </c>
      <c r="V902" s="24">
        <v>344.5</v>
      </c>
      <c r="W902" s="24">
        <v>54</v>
      </c>
      <c r="X902" s="24">
        <v>900</v>
      </c>
      <c r="Y902" s="24">
        <v>322</v>
      </c>
      <c r="Z902" s="24">
        <v>913</v>
      </c>
      <c r="AA902" s="24">
        <v>13</v>
      </c>
    </row>
    <row r="903" spans="1:27">
      <c r="A903" s="24" t="s">
        <v>268</v>
      </c>
      <c r="B903" s="24" t="s">
        <v>28</v>
      </c>
      <c r="C903" s="24" t="s">
        <v>269</v>
      </c>
      <c r="D903" s="24">
        <v>86</v>
      </c>
      <c r="E903" s="24">
        <v>867</v>
      </c>
      <c r="F903" s="24">
        <v>32</v>
      </c>
      <c r="G903" s="24">
        <v>918</v>
      </c>
      <c r="H903" s="24">
        <v>111</v>
      </c>
      <c r="I903" s="24">
        <v>95</v>
      </c>
      <c r="J903" s="24">
        <v>45</v>
      </c>
      <c r="K903" s="24">
        <v>840</v>
      </c>
      <c r="L903" s="24">
        <v>28</v>
      </c>
      <c r="M903" s="24">
        <v>912</v>
      </c>
      <c r="N903" s="24">
        <v>42</v>
      </c>
      <c r="O903" s="24">
        <v>921</v>
      </c>
      <c r="P903" s="24">
        <v>59</v>
      </c>
      <c r="Q903" s="24">
        <v>799</v>
      </c>
      <c r="R903" s="24">
        <v>63</v>
      </c>
      <c r="S903" s="24">
        <v>633</v>
      </c>
      <c r="T903" s="24">
        <v>62</v>
      </c>
      <c r="U903" s="24">
        <v>146</v>
      </c>
      <c r="V903" s="24">
        <v>344</v>
      </c>
      <c r="W903" s="24">
        <v>53</v>
      </c>
      <c r="X903" s="24">
        <v>902</v>
      </c>
      <c r="Y903" s="24">
        <v>331.5</v>
      </c>
      <c r="Z903" s="24">
        <v>903</v>
      </c>
      <c r="AA903" s="24">
        <v>1</v>
      </c>
    </row>
    <row r="904" spans="1:27">
      <c r="A904" s="24" t="s">
        <v>2698</v>
      </c>
      <c r="B904" s="24" t="s">
        <v>49</v>
      </c>
      <c r="C904" s="24" t="s">
        <v>2696</v>
      </c>
      <c r="D904" s="24">
        <v>90</v>
      </c>
      <c r="E904" s="24">
        <v>815</v>
      </c>
      <c r="F904" s="24">
        <v>51</v>
      </c>
      <c r="G904" s="24">
        <v>817</v>
      </c>
      <c r="H904" s="24">
        <v>70</v>
      </c>
      <c r="I904" s="24">
        <v>842</v>
      </c>
      <c r="J904" s="24">
        <v>49</v>
      </c>
      <c r="K904" s="24">
        <v>803</v>
      </c>
      <c r="L904" s="24">
        <v>26</v>
      </c>
      <c r="M904" s="24">
        <v>918</v>
      </c>
      <c r="N904" s="24">
        <v>57</v>
      </c>
      <c r="O904" s="24">
        <v>801</v>
      </c>
      <c r="P904" s="24">
        <v>59</v>
      </c>
      <c r="Q904" s="24">
        <v>799</v>
      </c>
      <c r="R904" s="24">
        <v>56</v>
      </c>
      <c r="S904" s="24">
        <v>817</v>
      </c>
      <c r="T904" s="24">
        <v>42</v>
      </c>
      <c r="U904" s="24">
        <v>845</v>
      </c>
      <c r="V904" s="24">
        <v>343</v>
      </c>
      <c r="W904" s="24">
        <v>53</v>
      </c>
      <c r="X904" s="24">
        <v>903</v>
      </c>
      <c r="Y904" s="24">
        <v>338.5</v>
      </c>
      <c r="Z904" s="24">
        <v>897</v>
      </c>
      <c r="AA904" s="24">
        <v>-6</v>
      </c>
    </row>
    <row r="905" spans="1:27">
      <c r="A905" s="24" t="s">
        <v>2112</v>
      </c>
      <c r="B905" s="24" t="s">
        <v>73</v>
      </c>
      <c r="C905" s="24" t="s">
        <v>2113</v>
      </c>
      <c r="D905" s="24">
        <v>79</v>
      </c>
      <c r="E905" s="24">
        <v>915</v>
      </c>
      <c r="F905" s="24">
        <v>38</v>
      </c>
      <c r="G905" s="24">
        <v>904</v>
      </c>
      <c r="H905" s="24">
        <v>78.5</v>
      </c>
      <c r="I905" s="24">
        <v>712</v>
      </c>
      <c r="J905" s="24">
        <v>41</v>
      </c>
      <c r="K905" s="24">
        <v>871</v>
      </c>
      <c r="L905" s="24">
        <v>47</v>
      </c>
      <c r="M905" s="24">
        <v>673</v>
      </c>
      <c r="N905" s="24">
        <v>58</v>
      </c>
      <c r="O905" s="24">
        <v>786</v>
      </c>
      <c r="P905" s="24">
        <v>60</v>
      </c>
      <c r="Q905" s="24">
        <v>777</v>
      </c>
      <c r="R905" s="24">
        <v>63</v>
      </c>
      <c r="S905" s="24">
        <v>633</v>
      </c>
      <c r="T905" s="24">
        <v>54</v>
      </c>
      <c r="U905" s="24">
        <v>428</v>
      </c>
      <c r="V905" s="24">
        <v>341.5</v>
      </c>
      <c r="W905" s="24">
        <v>52</v>
      </c>
      <c r="X905" s="24">
        <v>904</v>
      </c>
      <c r="Y905" s="24">
        <v>322</v>
      </c>
      <c r="Z905" s="24">
        <v>913</v>
      </c>
      <c r="AA905" s="24">
        <v>9</v>
      </c>
    </row>
    <row r="906" spans="1:27">
      <c r="A906" s="24" t="s">
        <v>2471</v>
      </c>
      <c r="B906" s="24" t="s">
        <v>131</v>
      </c>
      <c r="C906" s="24" t="s">
        <v>2472</v>
      </c>
      <c r="D906" s="24">
        <v>71</v>
      </c>
      <c r="E906" s="24">
        <v>928</v>
      </c>
      <c r="F906" s="24">
        <v>53</v>
      </c>
      <c r="G906" s="24">
        <v>792</v>
      </c>
      <c r="H906" s="24">
        <v>90</v>
      </c>
      <c r="I906" s="24">
        <v>482</v>
      </c>
      <c r="J906" s="24">
        <v>39</v>
      </c>
      <c r="K906" s="24">
        <v>888</v>
      </c>
      <c r="L906" s="24">
        <v>44</v>
      </c>
      <c r="M906" s="24">
        <v>736</v>
      </c>
      <c r="N906" s="24">
        <v>44</v>
      </c>
      <c r="O906" s="24">
        <v>914</v>
      </c>
      <c r="P906" s="24">
        <v>57</v>
      </c>
      <c r="Q906" s="24">
        <v>838</v>
      </c>
      <c r="R906" s="24">
        <v>41</v>
      </c>
      <c r="S906" s="24">
        <v>930</v>
      </c>
      <c r="T906" s="24">
        <v>39</v>
      </c>
      <c r="U906" s="24">
        <v>895</v>
      </c>
      <c r="V906" s="24">
        <v>341</v>
      </c>
      <c r="W906" s="24">
        <v>52</v>
      </c>
      <c r="X906" s="24">
        <v>905</v>
      </c>
      <c r="Y906" s="24">
        <v>341.5</v>
      </c>
      <c r="Z906" s="24">
        <v>893</v>
      </c>
      <c r="AA906" s="24">
        <v>-12</v>
      </c>
    </row>
    <row r="907" spans="1:27">
      <c r="A907" s="24" t="s">
        <v>2653</v>
      </c>
      <c r="B907" s="24" t="s">
        <v>49</v>
      </c>
      <c r="C907" s="24" t="s">
        <v>2657</v>
      </c>
      <c r="D907" s="24">
        <v>86</v>
      </c>
      <c r="E907" s="24">
        <v>867</v>
      </c>
      <c r="F907" s="24">
        <v>40</v>
      </c>
      <c r="G907" s="24">
        <v>897</v>
      </c>
      <c r="H907" s="24">
        <v>89.5</v>
      </c>
      <c r="I907" s="24">
        <v>494</v>
      </c>
      <c r="J907" s="24">
        <v>34</v>
      </c>
      <c r="K907" s="24">
        <v>916</v>
      </c>
      <c r="L907" s="24">
        <v>45</v>
      </c>
      <c r="M907" s="24">
        <v>720</v>
      </c>
      <c r="N907" s="24">
        <v>45</v>
      </c>
      <c r="O907" s="24">
        <v>911</v>
      </c>
      <c r="P907" s="24">
        <v>47</v>
      </c>
      <c r="Q907" s="24">
        <v>925</v>
      </c>
      <c r="R907" s="24">
        <v>53</v>
      </c>
      <c r="S907" s="24">
        <v>869</v>
      </c>
      <c r="T907" s="24">
        <v>41</v>
      </c>
      <c r="U907" s="24">
        <v>866</v>
      </c>
      <c r="V907" s="24">
        <v>339.5</v>
      </c>
      <c r="W907" s="24">
        <v>54</v>
      </c>
      <c r="X907" s="24">
        <v>906</v>
      </c>
      <c r="Y907" s="24">
        <v>319.5</v>
      </c>
      <c r="Z907" s="24">
        <v>916</v>
      </c>
      <c r="AA907" s="24">
        <v>10</v>
      </c>
    </row>
    <row r="908" spans="1:27">
      <c r="A908" s="24" t="s">
        <v>1402</v>
      </c>
      <c r="B908" s="24" t="s">
        <v>56</v>
      </c>
      <c r="C908" s="24" t="s">
        <v>1403</v>
      </c>
      <c r="D908" s="24">
        <v>71</v>
      </c>
      <c r="E908" s="24">
        <v>928</v>
      </c>
      <c r="F908" s="24">
        <v>55</v>
      </c>
      <c r="G908" s="24">
        <v>766</v>
      </c>
      <c r="H908" s="24">
        <v>67</v>
      </c>
      <c r="I908" s="24">
        <v>874</v>
      </c>
      <c r="J908" s="24">
        <v>51</v>
      </c>
      <c r="K908" s="24">
        <v>771</v>
      </c>
      <c r="L908" s="24">
        <v>36</v>
      </c>
      <c r="M908" s="24">
        <v>856</v>
      </c>
      <c r="N908" s="24">
        <v>59</v>
      </c>
      <c r="O908" s="24">
        <v>762</v>
      </c>
      <c r="P908" s="24">
        <v>65</v>
      </c>
      <c r="Q908" s="24">
        <v>651</v>
      </c>
      <c r="R908" s="24">
        <v>59</v>
      </c>
      <c r="S908" s="24">
        <v>746</v>
      </c>
      <c r="T908" s="24">
        <v>54</v>
      </c>
      <c r="U908" s="24">
        <v>428</v>
      </c>
      <c r="V908" s="24">
        <v>339</v>
      </c>
      <c r="W908" s="24">
        <v>52</v>
      </c>
      <c r="X908" s="24">
        <v>907</v>
      </c>
      <c r="Y908" s="24">
        <v>405</v>
      </c>
      <c r="Z908" s="24">
        <v>705</v>
      </c>
      <c r="AA908" s="24">
        <v>-202</v>
      </c>
    </row>
    <row r="909" spans="1:27">
      <c r="A909" s="24" t="s">
        <v>1517</v>
      </c>
      <c r="B909" s="24" t="s">
        <v>56</v>
      </c>
      <c r="C909" s="24" t="s">
        <v>1518</v>
      </c>
      <c r="D909" s="24">
        <v>104</v>
      </c>
      <c r="E909" s="24">
        <v>357</v>
      </c>
      <c r="F909" s="24">
        <v>44</v>
      </c>
      <c r="G909" s="24">
        <v>877</v>
      </c>
      <c r="H909" s="24">
        <v>73.5</v>
      </c>
      <c r="I909" s="24">
        <v>798</v>
      </c>
      <c r="J909" s="24">
        <v>37</v>
      </c>
      <c r="K909" s="24">
        <v>901</v>
      </c>
      <c r="L909" s="24">
        <v>21</v>
      </c>
      <c r="M909" s="24">
        <v>931</v>
      </c>
      <c r="N909" s="24">
        <v>59</v>
      </c>
      <c r="O909" s="24">
        <v>762</v>
      </c>
      <c r="P909" s="24">
        <v>67</v>
      </c>
      <c r="Q909" s="24">
        <v>570</v>
      </c>
      <c r="R909" s="24">
        <v>68</v>
      </c>
      <c r="S909" s="24">
        <v>412</v>
      </c>
      <c r="T909" s="24">
        <v>53</v>
      </c>
      <c r="U909" s="24">
        <v>470</v>
      </c>
      <c r="V909" s="24">
        <v>338.5</v>
      </c>
      <c r="W909" s="24">
        <v>53</v>
      </c>
      <c r="X909" s="24">
        <v>908</v>
      </c>
      <c r="Y909" s="24">
        <v>309.5</v>
      </c>
      <c r="Z909" s="24">
        <v>922</v>
      </c>
      <c r="AA909" s="24">
        <v>14</v>
      </c>
    </row>
    <row r="910" spans="1:27">
      <c r="A910" s="24" t="s">
        <v>2246</v>
      </c>
      <c r="B910" s="24" t="s">
        <v>73</v>
      </c>
      <c r="C910" s="24" t="s">
        <v>2247</v>
      </c>
      <c r="D910" s="24">
        <v>86</v>
      </c>
      <c r="E910" s="24">
        <v>867</v>
      </c>
      <c r="F910" s="24">
        <v>49</v>
      </c>
      <c r="G910" s="24">
        <v>839</v>
      </c>
      <c r="H910" s="24">
        <v>77</v>
      </c>
      <c r="I910" s="24">
        <v>741</v>
      </c>
      <c r="J910" s="24">
        <v>39</v>
      </c>
      <c r="K910" s="24">
        <v>888</v>
      </c>
      <c r="L910" s="24">
        <v>33</v>
      </c>
      <c r="M910" s="24">
        <v>885</v>
      </c>
      <c r="N910" s="24">
        <v>54</v>
      </c>
      <c r="O910" s="24">
        <v>845</v>
      </c>
      <c r="P910" s="24">
        <v>66</v>
      </c>
      <c r="Q910" s="24">
        <v>604</v>
      </c>
      <c r="R910" s="24">
        <v>81</v>
      </c>
      <c r="S910" s="24">
        <v>42</v>
      </c>
      <c r="T910" s="24">
        <v>51</v>
      </c>
      <c r="U910" s="24">
        <v>555</v>
      </c>
      <c r="V910" s="24">
        <v>338</v>
      </c>
      <c r="W910" s="24">
        <v>53</v>
      </c>
      <c r="X910" s="24">
        <v>909</v>
      </c>
      <c r="Y910" s="24">
        <v>315</v>
      </c>
      <c r="Z910" s="24">
        <v>919</v>
      </c>
      <c r="AA910" s="24">
        <v>10</v>
      </c>
    </row>
    <row r="911" spans="1:27">
      <c r="A911" s="24" t="s">
        <v>1967</v>
      </c>
      <c r="B911" s="24" t="s">
        <v>109</v>
      </c>
      <c r="C911" s="24" t="s">
        <v>1968</v>
      </c>
      <c r="D911" s="24">
        <v>92</v>
      </c>
      <c r="E911" s="24">
        <v>779</v>
      </c>
      <c r="F911" s="24">
        <v>42</v>
      </c>
      <c r="G911" s="24">
        <v>887</v>
      </c>
      <c r="H911" s="24">
        <v>65</v>
      </c>
      <c r="I911" s="24">
        <v>882</v>
      </c>
      <c r="J911" s="24">
        <v>60</v>
      </c>
      <c r="K911" s="24">
        <v>607</v>
      </c>
      <c r="L911" s="24">
        <v>28</v>
      </c>
      <c r="M911" s="24">
        <v>912</v>
      </c>
      <c r="N911" s="24">
        <v>51</v>
      </c>
      <c r="O911" s="24">
        <v>874</v>
      </c>
      <c r="P911" s="24">
        <v>45</v>
      </c>
      <c r="Q911" s="24">
        <v>929</v>
      </c>
      <c r="R911" s="24">
        <v>54</v>
      </c>
      <c r="S911" s="24">
        <v>855</v>
      </c>
      <c r="T911" s="24">
        <v>49</v>
      </c>
      <c r="U911" s="24">
        <v>633</v>
      </c>
      <c r="V911" s="24">
        <v>338</v>
      </c>
      <c r="W911" s="24">
        <v>56</v>
      </c>
      <c r="X911" s="24">
        <v>909</v>
      </c>
      <c r="Y911" s="24">
        <v>330.5</v>
      </c>
      <c r="Z911" s="24">
        <v>904</v>
      </c>
      <c r="AA911" s="24">
        <v>-5</v>
      </c>
    </row>
    <row r="912" spans="1:27">
      <c r="A912" s="24" t="s">
        <v>972</v>
      </c>
      <c r="B912" s="24" t="s">
        <v>60</v>
      </c>
      <c r="C912" s="24" t="s">
        <v>973</v>
      </c>
      <c r="D912" s="24">
        <v>98</v>
      </c>
      <c r="E912" s="24">
        <v>611</v>
      </c>
      <c r="F912" s="24">
        <v>52</v>
      </c>
      <c r="G912" s="24">
        <v>807</v>
      </c>
      <c r="H912" s="24">
        <v>45</v>
      </c>
      <c r="I912" s="24">
        <v>933</v>
      </c>
      <c r="J912" s="24">
        <v>50</v>
      </c>
      <c r="K912" s="24">
        <v>788</v>
      </c>
      <c r="L912" s="24">
        <v>44</v>
      </c>
      <c r="M912" s="24">
        <v>736</v>
      </c>
      <c r="N912" s="24">
        <v>46</v>
      </c>
      <c r="O912" s="24">
        <v>901</v>
      </c>
      <c r="P912" s="24">
        <v>59</v>
      </c>
      <c r="Q912" s="24">
        <v>799</v>
      </c>
      <c r="R912" s="24">
        <v>66</v>
      </c>
      <c r="S912" s="24">
        <v>511</v>
      </c>
      <c r="T912" s="24">
        <v>42</v>
      </c>
      <c r="U912" s="24">
        <v>845</v>
      </c>
      <c r="V912" s="24">
        <v>335</v>
      </c>
      <c r="W912" s="24">
        <v>56</v>
      </c>
      <c r="X912" s="24">
        <v>911</v>
      </c>
      <c r="Y912" s="24">
        <v>356.5</v>
      </c>
      <c r="Z912" s="24">
        <v>864</v>
      </c>
      <c r="AA912" s="24">
        <v>-47</v>
      </c>
    </row>
    <row r="913" spans="1:27">
      <c r="A913" s="24" t="s">
        <v>2583</v>
      </c>
      <c r="B913" s="24" t="s">
        <v>131</v>
      </c>
      <c r="C913" s="24" t="s">
        <v>2584</v>
      </c>
      <c r="D913" s="24">
        <v>91</v>
      </c>
      <c r="E913" s="24">
        <v>799</v>
      </c>
      <c r="F913" s="24">
        <v>37</v>
      </c>
      <c r="G913" s="24">
        <v>907</v>
      </c>
      <c r="H913" s="24">
        <v>68</v>
      </c>
      <c r="I913" s="24">
        <v>863</v>
      </c>
      <c r="J913" s="24">
        <v>44</v>
      </c>
      <c r="K913" s="24">
        <v>849</v>
      </c>
      <c r="L913" s="24">
        <v>40</v>
      </c>
      <c r="M913" s="24">
        <v>811</v>
      </c>
      <c r="N913" s="24">
        <v>54</v>
      </c>
      <c r="O913" s="24">
        <v>845</v>
      </c>
      <c r="P913" s="24">
        <v>78</v>
      </c>
      <c r="Q913" s="24">
        <v>209</v>
      </c>
      <c r="R913" s="24">
        <v>71</v>
      </c>
      <c r="S913" s="24">
        <v>290</v>
      </c>
      <c r="T913" s="24">
        <v>64</v>
      </c>
      <c r="U913" s="24">
        <v>103</v>
      </c>
      <c r="V913" s="24">
        <v>334</v>
      </c>
      <c r="W913" s="24">
        <v>53</v>
      </c>
      <c r="X913" s="24">
        <v>912</v>
      </c>
      <c r="Y913" s="24">
        <v>367</v>
      </c>
      <c r="Z913" s="24">
        <v>847</v>
      </c>
      <c r="AA913" s="24">
        <v>-65</v>
      </c>
    </row>
    <row r="914" spans="1:27">
      <c r="A914" s="24" t="s">
        <v>871</v>
      </c>
      <c r="B914" s="24" t="s">
        <v>60</v>
      </c>
      <c r="C914" s="24" t="s">
        <v>872</v>
      </c>
      <c r="D914" s="24">
        <v>86</v>
      </c>
      <c r="E914" s="24">
        <v>867</v>
      </c>
      <c r="F914" s="24">
        <v>48</v>
      </c>
      <c r="G914" s="24">
        <v>848</v>
      </c>
      <c r="H914" s="24">
        <v>69.5</v>
      </c>
      <c r="I914" s="24">
        <v>848</v>
      </c>
      <c r="J914" s="24">
        <v>38</v>
      </c>
      <c r="K914" s="24">
        <v>895</v>
      </c>
      <c r="L914" s="24">
        <v>35</v>
      </c>
      <c r="M914" s="24">
        <v>870</v>
      </c>
      <c r="N914" s="24">
        <v>51</v>
      </c>
      <c r="O914" s="24">
        <v>874</v>
      </c>
      <c r="P914" s="24">
        <v>51</v>
      </c>
      <c r="Q914" s="24">
        <v>906</v>
      </c>
      <c r="R914" s="24">
        <v>56</v>
      </c>
      <c r="S914" s="24">
        <v>817</v>
      </c>
      <c r="T914" s="24">
        <v>37</v>
      </c>
      <c r="U914" s="24">
        <v>912</v>
      </c>
      <c r="V914" s="24">
        <v>327.5</v>
      </c>
      <c r="W914" s="24">
        <v>57</v>
      </c>
      <c r="X914" s="24">
        <v>913</v>
      </c>
      <c r="Y914" s="24">
        <v>289.5</v>
      </c>
      <c r="Z914" s="24">
        <v>929</v>
      </c>
      <c r="AA914" s="24">
        <v>16</v>
      </c>
    </row>
    <row r="915" spans="1:27">
      <c r="A915" s="24" t="s">
        <v>1026</v>
      </c>
      <c r="B915" s="24" t="s">
        <v>68</v>
      </c>
      <c r="C915" s="24" t="s">
        <v>1027</v>
      </c>
      <c r="D915" s="24">
        <v>98</v>
      </c>
      <c r="E915" s="24">
        <v>611</v>
      </c>
      <c r="F915" s="24">
        <v>27</v>
      </c>
      <c r="G915" s="24">
        <v>924</v>
      </c>
      <c r="H915" s="24">
        <v>65.5</v>
      </c>
      <c r="I915" s="24">
        <v>879</v>
      </c>
      <c r="J915" s="24">
        <v>36</v>
      </c>
      <c r="K915" s="24">
        <v>905</v>
      </c>
      <c r="L915" s="24">
        <v>38</v>
      </c>
      <c r="M915" s="24">
        <v>840</v>
      </c>
      <c r="N915" s="24">
        <v>62</v>
      </c>
      <c r="O915" s="24">
        <v>716</v>
      </c>
      <c r="P915" s="24">
        <v>70</v>
      </c>
      <c r="Q915" s="24">
        <v>473</v>
      </c>
      <c r="R915" s="24">
        <v>66</v>
      </c>
      <c r="S915" s="24">
        <v>511</v>
      </c>
      <c r="T915" s="24">
        <v>48</v>
      </c>
      <c r="U915" s="24">
        <v>671</v>
      </c>
      <c r="V915" s="24">
        <v>326.5</v>
      </c>
      <c r="W915" s="24">
        <v>55</v>
      </c>
      <c r="X915" s="24">
        <v>914</v>
      </c>
      <c r="Y915" s="24">
        <v>353</v>
      </c>
      <c r="Z915" s="24">
        <v>873</v>
      </c>
      <c r="AA915" s="24">
        <v>-41</v>
      </c>
    </row>
    <row r="916" spans="1:27">
      <c r="A916" s="24" t="s">
        <v>1222</v>
      </c>
      <c r="B916" s="24" t="s">
        <v>54</v>
      </c>
      <c r="C916" s="24" t="s">
        <v>3244</v>
      </c>
      <c r="D916" s="24">
        <v>93</v>
      </c>
      <c r="E916" s="24">
        <v>755</v>
      </c>
      <c r="F916" s="24">
        <v>30</v>
      </c>
      <c r="G916" s="24">
        <v>919</v>
      </c>
      <c r="H916" s="24">
        <v>94</v>
      </c>
      <c r="I916" s="24">
        <v>382</v>
      </c>
      <c r="J916" s="24">
        <v>22</v>
      </c>
      <c r="K916" s="24">
        <v>932</v>
      </c>
      <c r="L916" s="24">
        <v>26</v>
      </c>
      <c r="M916" s="24">
        <v>918</v>
      </c>
      <c r="N916" s="24">
        <v>61</v>
      </c>
      <c r="O916" s="24">
        <v>734</v>
      </c>
      <c r="P916" s="24">
        <v>60</v>
      </c>
      <c r="Q916" s="24">
        <v>777</v>
      </c>
      <c r="R916" s="24">
        <v>76</v>
      </c>
      <c r="S916" s="24">
        <v>125</v>
      </c>
      <c r="T916" s="24">
        <v>53</v>
      </c>
      <c r="U916" s="24">
        <v>470</v>
      </c>
      <c r="V916" s="24">
        <v>326</v>
      </c>
      <c r="W916" s="24">
        <v>54</v>
      </c>
      <c r="X916" s="24">
        <v>915</v>
      </c>
      <c r="Y916" s="24">
        <v>349</v>
      </c>
      <c r="Z916" s="24">
        <v>881</v>
      </c>
      <c r="AA916" s="24">
        <v>-34</v>
      </c>
    </row>
    <row r="917" spans="1:27">
      <c r="A917" s="24" t="s">
        <v>2904</v>
      </c>
      <c r="B917" s="24" t="s">
        <v>38</v>
      </c>
      <c r="C917" s="24" t="s">
        <v>2905</v>
      </c>
      <c r="D917" s="24">
        <v>99</v>
      </c>
      <c r="E917" s="24">
        <v>571</v>
      </c>
      <c r="F917" s="24">
        <v>30</v>
      </c>
      <c r="G917" s="24">
        <v>919</v>
      </c>
      <c r="H917" s="24">
        <v>88.5</v>
      </c>
      <c r="I917" s="24">
        <v>520</v>
      </c>
      <c r="J917" s="24">
        <v>33</v>
      </c>
      <c r="K917" s="24">
        <v>920</v>
      </c>
      <c r="L917" s="24">
        <v>23</v>
      </c>
      <c r="M917" s="24">
        <v>928</v>
      </c>
      <c r="N917" s="24">
        <v>52</v>
      </c>
      <c r="O917" s="24">
        <v>866</v>
      </c>
      <c r="P917" s="24">
        <v>52</v>
      </c>
      <c r="Q917" s="24">
        <v>897</v>
      </c>
      <c r="R917" s="24">
        <v>63</v>
      </c>
      <c r="S917" s="24">
        <v>633</v>
      </c>
      <c r="T917" s="24">
        <v>67</v>
      </c>
      <c r="U917" s="24">
        <v>66</v>
      </c>
      <c r="V917" s="24">
        <v>325.5</v>
      </c>
      <c r="W917" s="24">
        <v>55</v>
      </c>
      <c r="X917" s="24">
        <v>916</v>
      </c>
      <c r="Y917" s="24">
        <v>316.5</v>
      </c>
      <c r="Z917" s="24">
        <v>917</v>
      </c>
      <c r="AA917" s="24">
        <v>1</v>
      </c>
    </row>
    <row r="918" spans="1:27">
      <c r="A918" s="24" t="s">
        <v>2561</v>
      </c>
      <c r="B918" s="24" t="s">
        <v>131</v>
      </c>
      <c r="C918" s="24" t="s">
        <v>2562</v>
      </c>
      <c r="D918" s="24">
        <v>98</v>
      </c>
      <c r="E918" s="24">
        <v>611</v>
      </c>
      <c r="F918" s="24">
        <v>48</v>
      </c>
      <c r="G918" s="24">
        <v>848</v>
      </c>
      <c r="H918" s="24">
        <v>75.5</v>
      </c>
      <c r="I918" s="24">
        <v>764</v>
      </c>
      <c r="J918" s="24">
        <v>34</v>
      </c>
      <c r="K918" s="24">
        <v>916</v>
      </c>
      <c r="L918" s="24">
        <v>20</v>
      </c>
      <c r="M918" s="24">
        <v>932</v>
      </c>
      <c r="N918" s="24">
        <v>49</v>
      </c>
      <c r="O918" s="24">
        <v>888</v>
      </c>
      <c r="P918" s="24">
        <v>59</v>
      </c>
      <c r="Q918" s="24">
        <v>799</v>
      </c>
      <c r="R918" s="24">
        <v>60</v>
      </c>
      <c r="S918" s="24">
        <v>727</v>
      </c>
      <c r="T918" s="24">
        <v>37</v>
      </c>
      <c r="U918" s="24">
        <v>912</v>
      </c>
      <c r="V918" s="24">
        <v>324.5</v>
      </c>
      <c r="W918" s="24">
        <v>54</v>
      </c>
      <c r="X918" s="24">
        <v>917</v>
      </c>
      <c r="Y918" s="24">
        <v>316</v>
      </c>
      <c r="Z918" s="24">
        <v>918</v>
      </c>
      <c r="AA918" s="24">
        <v>1</v>
      </c>
    </row>
    <row r="919" spans="1:27">
      <c r="A919" s="24" t="s">
        <v>2734</v>
      </c>
      <c r="B919" s="24" t="s">
        <v>49</v>
      </c>
      <c r="C919" s="24" t="s">
        <v>2735</v>
      </c>
      <c r="D919" s="24">
        <v>91</v>
      </c>
      <c r="E919" s="24">
        <v>799</v>
      </c>
      <c r="F919" s="24">
        <v>35</v>
      </c>
      <c r="G919" s="24">
        <v>911</v>
      </c>
      <c r="H919" s="24">
        <v>84.5</v>
      </c>
      <c r="I919" s="24">
        <v>607</v>
      </c>
      <c r="J919" s="24">
        <v>52</v>
      </c>
      <c r="K919" s="24">
        <v>757</v>
      </c>
      <c r="L919" s="24">
        <v>15</v>
      </c>
      <c r="M919" s="24">
        <v>934</v>
      </c>
      <c r="N919" s="24">
        <v>44</v>
      </c>
      <c r="O919" s="24">
        <v>914</v>
      </c>
      <c r="P919" s="24">
        <v>56</v>
      </c>
      <c r="Q919" s="24">
        <v>849</v>
      </c>
      <c r="R919" s="24">
        <v>45</v>
      </c>
      <c r="S919" s="24">
        <v>923</v>
      </c>
      <c r="T919" s="24">
        <v>40</v>
      </c>
      <c r="U919" s="24">
        <v>881</v>
      </c>
      <c r="V919" s="24">
        <v>321.5</v>
      </c>
      <c r="W919" s="24">
        <v>55</v>
      </c>
      <c r="X919" s="24">
        <v>918</v>
      </c>
      <c r="Y919" s="24">
        <v>363.5</v>
      </c>
      <c r="Z919" s="24">
        <v>854</v>
      </c>
      <c r="AA919" s="24">
        <v>-64</v>
      </c>
    </row>
    <row r="920" spans="1:27">
      <c r="A920" s="24" t="s">
        <v>1825</v>
      </c>
      <c r="B920" s="24" t="s">
        <v>34</v>
      </c>
      <c r="C920" s="24" t="s">
        <v>1826</v>
      </c>
      <c r="D920" s="24">
        <v>86</v>
      </c>
      <c r="E920" s="24">
        <v>867</v>
      </c>
      <c r="F920" s="24">
        <v>61</v>
      </c>
      <c r="G920" s="24">
        <v>678</v>
      </c>
      <c r="H920" s="24">
        <v>46</v>
      </c>
      <c r="I920" s="24">
        <v>932</v>
      </c>
      <c r="J920" s="24">
        <v>42</v>
      </c>
      <c r="K920" s="24">
        <v>863</v>
      </c>
      <c r="L920" s="24">
        <v>32</v>
      </c>
      <c r="M920" s="24">
        <v>889</v>
      </c>
      <c r="N920" s="24">
        <v>52</v>
      </c>
      <c r="O920" s="24">
        <v>866</v>
      </c>
      <c r="P920" s="24">
        <v>66</v>
      </c>
      <c r="Q920" s="24">
        <v>604</v>
      </c>
      <c r="R920" s="24">
        <v>63</v>
      </c>
      <c r="S920" s="24">
        <v>633</v>
      </c>
      <c r="T920" s="24">
        <v>59</v>
      </c>
      <c r="U920" s="24">
        <v>233</v>
      </c>
      <c r="V920" s="24">
        <v>319</v>
      </c>
      <c r="W920" s="24">
        <v>55</v>
      </c>
      <c r="X920" s="24">
        <v>919</v>
      </c>
      <c r="Y920" s="24">
        <v>313</v>
      </c>
      <c r="Z920" s="24">
        <v>920</v>
      </c>
      <c r="AA920" s="24">
        <v>1</v>
      </c>
    </row>
    <row r="921" spans="1:27">
      <c r="A921" s="24" t="s">
        <v>2326</v>
      </c>
      <c r="B921" s="24" t="s">
        <v>7</v>
      </c>
      <c r="C921" s="24" t="s">
        <v>2332</v>
      </c>
      <c r="D921" s="24">
        <v>81</v>
      </c>
      <c r="E921" s="24">
        <v>906</v>
      </c>
      <c r="F921" s="24">
        <v>30</v>
      </c>
      <c r="G921" s="24">
        <v>919</v>
      </c>
      <c r="H921" s="24">
        <v>94</v>
      </c>
      <c r="I921" s="24">
        <v>382</v>
      </c>
      <c r="J921" s="24">
        <v>43</v>
      </c>
      <c r="K921" s="24">
        <v>860</v>
      </c>
      <c r="L921" s="24">
        <v>33</v>
      </c>
      <c r="M921" s="24">
        <v>885</v>
      </c>
      <c r="N921" s="24">
        <v>38</v>
      </c>
      <c r="O921" s="24">
        <v>928</v>
      </c>
      <c r="P921" s="24">
        <v>77</v>
      </c>
      <c r="Q921" s="24">
        <v>240</v>
      </c>
      <c r="R921" s="24">
        <v>69</v>
      </c>
      <c r="S921" s="24">
        <v>367</v>
      </c>
      <c r="T921" s="24">
        <v>59</v>
      </c>
      <c r="U921" s="24">
        <v>233</v>
      </c>
      <c r="V921" s="24">
        <v>319</v>
      </c>
      <c r="W921" s="24">
        <v>53</v>
      </c>
      <c r="X921" s="24">
        <v>919</v>
      </c>
      <c r="Y921" s="24">
        <v>329.5</v>
      </c>
      <c r="Z921" s="24">
        <v>905</v>
      </c>
      <c r="AA921" s="24">
        <v>-14</v>
      </c>
    </row>
    <row r="922" spans="1:27">
      <c r="A922" s="24" t="s">
        <v>2420</v>
      </c>
      <c r="B922" s="24" t="s">
        <v>7</v>
      </c>
      <c r="C922" s="24" t="s">
        <v>3246</v>
      </c>
      <c r="D922" s="24">
        <v>82</v>
      </c>
      <c r="E922" s="24">
        <v>903</v>
      </c>
      <c r="F922" s="24">
        <v>27</v>
      </c>
      <c r="G922" s="24">
        <v>924</v>
      </c>
      <c r="H922" s="24">
        <v>83</v>
      </c>
      <c r="I922" s="24">
        <v>643</v>
      </c>
      <c r="J922" s="24">
        <v>42</v>
      </c>
      <c r="K922" s="24">
        <v>863</v>
      </c>
      <c r="L922" s="24">
        <v>31</v>
      </c>
      <c r="M922" s="24">
        <v>893</v>
      </c>
      <c r="N922" s="24">
        <v>53</v>
      </c>
      <c r="O922" s="24">
        <v>858</v>
      </c>
      <c r="P922" s="24">
        <v>66</v>
      </c>
      <c r="Q922" s="24">
        <v>604</v>
      </c>
      <c r="R922" s="24">
        <v>59</v>
      </c>
      <c r="S922" s="24">
        <v>746</v>
      </c>
      <c r="T922" s="24">
        <v>48</v>
      </c>
      <c r="U922" s="24">
        <v>671</v>
      </c>
      <c r="V922" s="24">
        <v>318</v>
      </c>
      <c r="W922" s="24">
        <v>54</v>
      </c>
      <c r="X922" s="24">
        <v>921</v>
      </c>
      <c r="Y922" s="24">
        <v>355</v>
      </c>
      <c r="Z922" s="24">
        <v>869</v>
      </c>
      <c r="AA922" s="24">
        <v>-52</v>
      </c>
    </row>
    <row r="923" spans="1:27">
      <c r="A923" s="24" t="s">
        <v>328</v>
      </c>
      <c r="B923" s="24" t="s">
        <v>28</v>
      </c>
      <c r="C923" s="24" t="s">
        <v>329</v>
      </c>
      <c r="D923" s="24">
        <v>79</v>
      </c>
      <c r="E923" s="24">
        <v>915</v>
      </c>
      <c r="F923" s="24">
        <v>33</v>
      </c>
      <c r="G923" s="24">
        <v>917</v>
      </c>
      <c r="H923" s="24">
        <v>77</v>
      </c>
      <c r="I923" s="24">
        <v>741</v>
      </c>
      <c r="J923" s="24">
        <v>37</v>
      </c>
      <c r="K923" s="24">
        <v>901</v>
      </c>
      <c r="L923" s="24">
        <v>47</v>
      </c>
      <c r="M923" s="24">
        <v>673</v>
      </c>
      <c r="N923" s="24">
        <v>43</v>
      </c>
      <c r="O923" s="24">
        <v>919</v>
      </c>
      <c r="P923" s="24">
        <v>66</v>
      </c>
      <c r="Q923" s="24">
        <v>604</v>
      </c>
      <c r="R923" s="24">
        <v>71</v>
      </c>
      <c r="S923" s="24">
        <v>290</v>
      </c>
      <c r="T923" s="24">
        <v>59</v>
      </c>
      <c r="U923" s="24">
        <v>233</v>
      </c>
      <c r="V923" s="24">
        <v>316</v>
      </c>
      <c r="W923" s="24">
        <v>54</v>
      </c>
      <c r="X923" s="24">
        <v>922</v>
      </c>
      <c r="Y923" s="24">
        <v>221.5</v>
      </c>
      <c r="Z923" s="24">
        <v>934</v>
      </c>
      <c r="AA923" s="24">
        <v>12</v>
      </c>
    </row>
    <row r="924" spans="1:27">
      <c r="A924" s="24" t="s">
        <v>2226</v>
      </c>
      <c r="B924" s="24" t="s">
        <v>73</v>
      </c>
      <c r="C924" s="24" t="s">
        <v>2227</v>
      </c>
      <c r="D924" s="24">
        <v>93</v>
      </c>
      <c r="E924" s="24">
        <v>755</v>
      </c>
      <c r="F924" s="24">
        <v>25</v>
      </c>
      <c r="G924" s="24">
        <v>928</v>
      </c>
      <c r="H924" s="24">
        <v>95.5</v>
      </c>
      <c r="I924" s="24">
        <v>357</v>
      </c>
      <c r="J924" s="24">
        <v>26</v>
      </c>
      <c r="K924" s="24">
        <v>930</v>
      </c>
      <c r="L924" s="24">
        <v>33</v>
      </c>
      <c r="M924" s="24">
        <v>885</v>
      </c>
      <c r="N924" s="24">
        <v>42</v>
      </c>
      <c r="O924" s="24">
        <v>921</v>
      </c>
      <c r="P924" s="24">
        <v>51</v>
      </c>
      <c r="Q924" s="24">
        <v>906</v>
      </c>
      <c r="R924" s="24">
        <v>73</v>
      </c>
      <c r="S924" s="24">
        <v>216</v>
      </c>
      <c r="T924" s="24">
        <v>45</v>
      </c>
      <c r="U924" s="24">
        <v>781</v>
      </c>
      <c r="V924" s="24">
        <v>314.5</v>
      </c>
      <c r="W924" s="24">
        <v>54</v>
      </c>
      <c r="X924" s="24">
        <v>923</v>
      </c>
      <c r="Y924" s="24">
        <v>329.5</v>
      </c>
      <c r="Z924" s="24">
        <v>905</v>
      </c>
      <c r="AA924" s="24">
        <v>-18</v>
      </c>
    </row>
    <row r="925" spans="1:27">
      <c r="A925" s="24" t="s">
        <v>2361</v>
      </c>
      <c r="B925" s="24" t="s">
        <v>7</v>
      </c>
      <c r="C925" s="24" t="s">
        <v>2371</v>
      </c>
      <c r="D925" s="24">
        <v>78</v>
      </c>
      <c r="E925" s="24">
        <v>921</v>
      </c>
      <c r="F925" s="24">
        <v>40</v>
      </c>
      <c r="G925" s="24">
        <v>897</v>
      </c>
      <c r="H925" s="24">
        <v>93</v>
      </c>
      <c r="I925" s="24">
        <v>405</v>
      </c>
      <c r="J925" s="24">
        <v>38</v>
      </c>
      <c r="K925" s="24">
        <v>895</v>
      </c>
      <c r="L925" s="24">
        <v>22</v>
      </c>
      <c r="M925" s="24">
        <v>929</v>
      </c>
      <c r="N925" s="24">
        <v>36</v>
      </c>
      <c r="O925" s="24">
        <v>930</v>
      </c>
      <c r="P925" s="24">
        <v>66</v>
      </c>
      <c r="Q925" s="24">
        <v>604</v>
      </c>
      <c r="R925" s="24">
        <v>77</v>
      </c>
      <c r="S925" s="24">
        <v>102</v>
      </c>
      <c r="T925" s="24">
        <v>58</v>
      </c>
      <c r="U925" s="24">
        <v>278</v>
      </c>
      <c r="V925" s="24">
        <v>307</v>
      </c>
      <c r="W925" s="24">
        <v>55</v>
      </c>
      <c r="X925" s="24">
        <v>924</v>
      </c>
      <c r="Y925" s="24">
        <v>302</v>
      </c>
      <c r="Z925" s="24">
        <v>926</v>
      </c>
      <c r="AA925" s="24">
        <v>2</v>
      </c>
    </row>
    <row r="926" spans="1:27">
      <c r="A926" s="24" t="s">
        <v>1987</v>
      </c>
      <c r="B926" s="24" t="s">
        <v>109</v>
      </c>
      <c r="C926" s="24" t="s">
        <v>1988</v>
      </c>
      <c r="D926" s="24">
        <v>95</v>
      </c>
      <c r="E926" s="24">
        <v>710</v>
      </c>
      <c r="F926" s="24">
        <v>34</v>
      </c>
      <c r="G926" s="24">
        <v>914</v>
      </c>
      <c r="H926" s="24">
        <v>70</v>
      </c>
      <c r="I926" s="24">
        <v>842</v>
      </c>
      <c r="J926" s="24">
        <v>22</v>
      </c>
      <c r="K926" s="24">
        <v>932</v>
      </c>
      <c r="L926" s="24">
        <v>51</v>
      </c>
      <c r="M926" s="24">
        <v>571</v>
      </c>
      <c r="N926" s="24">
        <v>35</v>
      </c>
      <c r="O926" s="24">
        <v>932</v>
      </c>
      <c r="P926" s="24">
        <v>71</v>
      </c>
      <c r="Q926" s="24">
        <v>439</v>
      </c>
      <c r="R926" s="24">
        <v>80</v>
      </c>
      <c r="S926" s="24">
        <v>54</v>
      </c>
      <c r="T926" s="24">
        <v>39</v>
      </c>
      <c r="U926" s="24">
        <v>895</v>
      </c>
      <c r="V926" s="24">
        <v>307</v>
      </c>
      <c r="W926" s="24">
        <v>57</v>
      </c>
      <c r="X926" s="24">
        <v>924</v>
      </c>
      <c r="Y926" s="24">
        <v>298</v>
      </c>
      <c r="Z926" s="24">
        <v>927</v>
      </c>
      <c r="AA926" s="24">
        <v>3</v>
      </c>
    </row>
    <row r="927" spans="1:27">
      <c r="A927" s="24" t="s">
        <v>1170</v>
      </c>
      <c r="B927" s="24" t="s">
        <v>68</v>
      </c>
      <c r="C927" s="24" t="s">
        <v>1171</v>
      </c>
      <c r="D927" s="24">
        <v>93</v>
      </c>
      <c r="E927" s="24">
        <v>755</v>
      </c>
      <c r="F927" s="24">
        <v>25</v>
      </c>
      <c r="G927" s="24">
        <v>928</v>
      </c>
      <c r="H927" s="24">
        <v>67.5</v>
      </c>
      <c r="I927" s="24">
        <v>869</v>
      </c>
      <c r="J927" s="24">
        <v>34</v>
      </c>
      <c r="K927" s="24">
        <v>916</v>
      </c>
      <c r="L927" s="24">
        <v>27</v>
      </c>
      <c r="M927" s="24">
        <v>914</v>
      </c>
      <c r="N927" s="24">
        <v>56</v>
      </c>
      <c r="O927" s="24">
        <v>816</v>
      </c>
      <c r="P927" s="24">
        <v>80</v>
      </c>
      <c r="Q927" s="24">
        <v>151</v>
      </c>
      <c r="R927" s="24">
        <v>67</v>
      </c>
      <c r="S927" s="24">
        <v>471</v>
      </c>
      <c r="T927" s="24">
        <v>50</v>
      </c>
      <c r="U927" s="24">
        <v>591</v>
      </c>
      <c r="V927" s="24">
        <v>302.5</v>
      </c>
      <c r="W927" s="24">
        <v>56</v>
      </c>
      <c r="X927" s="24">
        <v>926</v>
      </c>
      <c r="Y927" s="24">
        <v>307</v>
      </c>
      <c r="Z927" s="24">
        <v>924</v>
      </c>
      <c r="AA927" s="24">
        <v>-2</v>
      </c>
    </row>
    <row r="928" spans="1:27">
      <c r="A928" s="24" t="s">
        <v>2623</v>
      </c>
      <c r="B928" s="24" t="s">
        <v>49</v>
      </c>
      <c r="C928" s="24" t="s">
        <v>2624</v>
      </c>
      <c r="D928" s="24">
        <v>94</v>
      </c>
      <c r="E928" s="24">
        <v>733</v>
      </c>
      <c r="F928" s="24">
        <v>14</v>
      </c>
      <c r="G928" s="24">
        <v>933</v>
      </c>
      <c r="H928" s="24">
        <v>94</v>
      </c>
      <c r="I928" s="24">
        <v>382</v>
      </c>
      <c r="J928" s="24">
        <v>31</v>
      </c>
      <c r="K928" s="24">
        <v>923</v>
      </c>
      <c r="L928" s="24">
        <v>24</v>
      </c>
      <c r="M928" s="24">
        <v>923</v>
      </c>
      <c r="N928" s="24">
        <v>45</v>
      </c>
      <c r="O928" s="24">
        <v>911</v>
      </c>
      <c r="P928" s="24">
        <v>50</v>
      </c>
      <c r="Q928" s="24">
        <v>911</v>
      </c>
      <c r="R928" s="24">
        <v>68</v>
      </c>
      <c r="S928" s="24">
        <v>412</v>
      </c>
      <c r="T928" s="24">
        <v>55</v>
      </c>
      <c r="U928" s="24">
        <v>392</v>
      </c>
      <c r="V928" s="24">
        <v>302</v>
      </c>
      <c r="W928" s="24">
        <v>56</v>
      </c>
      <c r="X928" s="24">
        <v>927</v>
      </c>
      <c r="Y928" s="24">
        <v>352</v>
      </c>
      <c r="Z928" s="24">
        <v>876</v>
      </c>
      <c r="AA928" s="24">
        <v>-51</v>
      </c>
    </row>
    <row r="929" spans="1:27">
      <c r="A929" s="24" t="s">
        <v>2249</v>
      </c>
      <c r="B929" s="24" t="s">
        <v>73</v>
      </c>
      <c r="C929" s="24" t="s">
        <v>2250</v>
      </c>
      <c r="D929" s="24">
        <v>88</v>
      </c>
      <c r="E929" s="24">
        <v>851</v>
      </c>
      <c r="F929" s="24">
        <v>36</v>
      </c>
      <c r="G929" s="24">
        <v>910</v>
      </c>
      <c r="H929" s="24">
        <v>88.5</v>
      </c>
      <c r="I929" s="24">
        <v>520</v>
      </c>
      <c r="J929" s="24">
        <v>18</v>
      </c>
      <c r="K929" s="24">
        <v>934</v>
      </c>
      <c r="L929" s="24">
        <v>35</v>
      </c>
      <c r="M929" s="24">
        <v>870</v>
      </c>
      <c r="N929" s="24">
        <v>34</v>
      </c>
      <c r="O929" s="24">
        <v>933</v>
      </c>
      <c r="P929" s="24">
        <v>58</v>
      </c>
      <c r="Q929" s="24">
        <v>820</v>
      </c>
      <c r="R929" s="24">
        <v>55</v>
      </c>
      <c r="S929" s="24">
        <v>835</v>
      </c>
      <c r="T929" s="24">
        <v>45</v>
      </c>
      <c r="U929" s="24">
        <v>781</v>
      </c>
      <c r="V929" s="24">
        <v>299.5</v>
      </c>
      <c r="W929" s="24">
        <v>55</v>
      </c>
      <c r="X929" s="24">
        <v>928</v>
      </c>
    </row>
    <row r="930" spans="1:27">
      <c r="A930" s="24" t="s">
        <v>1280</v>
      </c>
      <c r="B930" s="24" t="s">
        <v>54</v>
      </c>
      <c r="C930" s="24" t="s">
        <v>1281</v>
      </c>
      <c r="D930" s="24">
        <v>91</v>
      </c>
      <c r="E930" s="24">
        <v>799</v>
      </c>
      <c r="F930" s="24">
        <v>18</v>
      </c>
      <c r="G930" s="24">
        <v>932</v>
      </c>
      <c r="H930" s="24">
        <v>63.5</v>
      </c>
      <c r="I930" s="24">
        <v>893</v>
      </c>
      <c r="J930" s="24">
        <v>36</v>
      </c>
      <c r="K930" s="24">
        <v>905</v>
      </c>
      <c r="L930" s="24">
        <v>30</v>
      </c>
      <c r="M930" s="24">
        <v>902</v>
      </c>
      <c r="N930" s="24">
        <v>55</v>
      </c>
      <c r="O930" s="24">
        <v>831</v>
      </c>
      <c r="P930" s="24">
        <v>74</v>
      </c>
      <c r="Q930" s="24">
        <v>326</v>
      </c>
      <c r="R930" s="24">
        <v>54</v>
      </c>
      <c r="S930" s="24">
        <v>855</v>
      </c>
      <c r="T930" s="24">
        <v>43</v>
      </c>
      <c r="U930" s="24">
        <v>824</v>
      </c>
      <c r="V930" s="24">
        <v>293.5</v>
      </c>
      <c r="W930" s="24">
        <v>55</v>
      </c>
      <c r="X930" s="24">
        <v>929</v>
      </c>
      <c r="Y930" s="24">
        <v>425.5</v>
      </c>
      <c r="Z930" s="24">
        <v>602</v>
      </c>
      <c r="AA930" s="24">
        <v>-327</v>
      </c>
    </row>
    <row r="931" spans="1:27">
      <c r="A931" s="24" t="s">
        <v>557</v>
      </c>
      <c r="B931" s="24" t="s">
        <v>17</v>
      </c>
      <c r="C931" s="24" t="s">
        <v>558</v>
      </c>
      <c r="D931" s="24">
        <v>60</v>
      </c>
      <c r="E931" s="24">
        <v>933</v>
      </c>
      <c r="F931" s="24">
        <v>44</v>
      </c>
      <c r="G931" s="24">
        <v>877</v>
      </c>
      <c r="H931" s="24">
        <v>58</v>
      </c>
      <c r="I931" s="24">
        <v>918</v>
      </c>
      <c r="J931" s="24">
        <v>42</v>
      </c>
      <c r="K931" s="24">
        <v>863</v>
      </c>
      <c r="L931" s="24">
        <v>45</v>
      </c>
      <c r="M931" s="24">
        <v>720</v>
      </c>
      <c r="N931" s="24">
        <v>40</v>
      </c>
      <c r="O931" s="24">
        <v>926</v>
      </c>
      <c r="P931" s="24">
        <v>50</v>
      </c>
      <c r="Q931" s="24">
        <v>911</v>
      </c>
      <c r="R931" s="24">
        <v>69</v>
      </c>
      <c r="S931" s="24">
        <v>367</v>
      </c>
      <c r="T931" s="24">
        <v>59</v>
      </c>
      <c r="U931" s="24">
        <v>233</v>
      </c>
      <c r="V931" s="24">
        <v>289</v>
      </c>
      <c r="W931" s="24">
        <v>57</v>
      </c>
      <c r="X931" s="24">
        <v>930</v>
      </c>
      <c r="Y931" s="24">
        <v>263.5</v>
      </c>
      <c r="Z931" s="24">
        <v>931</v>
      </c>
      <c r="AA931" s="24">
        <v>1</v>
      </c>
    </row>
    <row r="932" spans="1:27">
      <c r="A932" s="24" t="s">
        <v>2160</v>
      </c>
      <c r="B932" s="24" t="s">
        <v>73</v>
      </c>
      <c r="C932" s="24" t="s">
        <v>2161</v>
      </c>
      <c r="D932" s="24">
        <v>89</v>
      </c>
      <c r="E932" s="24">
        <v>835</v>
      </c>
      <c r="F932" s="24">
        <v>27</v>
      </c>
      <c r="G932" s="24">
        <v>924</v>
      </c>
      <c r="H932" s="24">
        <v>50.5</v>
      </c>
      <c r="I932" s="24">
        <v>930</v>
      </c>
      <c r="J932" s="24">
        <v>39</v>
      </c>
      <c r="K932" s="24">
        <v>888</v>
      </c>
      <c r="L932" s="24">
        <v>32</v>
      </c>
      <c r="M932" s="24">
        <v>889</v>
      </c>
      <c r="N932" s="24">
        <v>50</v>
      </c>
      <c r="O932" s="24">
        <v>883</v>
      </c>
      <c r="P932" s="24">
        <v>61</v>
      </c>
      <c r="Q932" s="24">
        <v>754</v>
      </c>
      <c r="R932" s="24">
        <v>64</v>
      </c>
      <c r="S932" s="24">
        <v>586</v>
      </c>
      <c r="T932" s="24">
        <v>43</v>
      </c>
      <c r="U932" s="24">
        <v>824</v>
      </c>
      <c r="V932" s="24">
        <v>287.5</v>
      </c>
      <c r="W932" s="24">
        <v>56</v>
      </c>
      <c r="X932" s="24">
        <v>931</v>
      </c>
      <c r="Y932" s="24">
        <v>291.5</v>
      </c>
      <c r="Z932" s="24">
        <v>928</v>
      </c>
      <c r="AA932" s="24">
        <v>-3</v>
      </c>
    </row>
    <row r="933" spans="1:27">
      <c r="A933" s="24" t="s">
        <v>339</v>
      </c>
      <c r="B933" s="24" t="s">
        <v>28</v>
      </c>
      <c r="C933" s="24" t="s">
        <v>340</v>
      </c>
      <c r="D933" s="24">
        <v>57</v>
      </c>
      <c r="E933" s="24">
        <v>934</v>
      </c>
      <c r="F933" s="24">
        <v>52</v>
      </c>
      <c r="G933" s="24">
        <v>807</v>
      </c>
      <c r="H933" s="24">
        <v>73.5</v>
      </c>
      <c r="I933" s="24">
        <v>798</v>
      </c>
      <c r="J933" s="24">
        <v>30</v>
      </c>
      <c r="K933" s="24">
        <v>924</v>
      </c>
      <c r="L933" s="24">
        <v>30</v>
      </c>
      <c r="M933" s="24">
        <v>902</v>
      </c>
      <c r="N933" s="24">
        <v>42</v>
      </c>
      <c r="O933" s="24">
        <v>921</v>
      </c>
      <c r="P933" s="24">
        <v>49</v>
      </c>
      <c r="Q933" s="24">
        <v>919</v>
      </c>
      <c r="R933" s="24">
        <v>55</v>
      </c>
      <c r="S933" s="24">
        <v>835</v>
      </c>
      <c r="T933" s="24">
        <v>48</v>
      </c>
      <c r="U933" s="24">
        <v>671</v>
      </c>
      <c r="V933" s="24">
        <v>284.5</v>
      </c>
      <c r="W933" s="24">
        <v>55</v>
      </c>
      <c r="X933" s="24">
        <v>932</v>
      </c>
      <c r="Y933" s="24">
        <v>230</v>
      </c>
      <c r="Z933" s="24">
        <v>933</v>
      </c>
      <c r="AA933" s="24">
        <v>1</v>
      </c>
    </row>
    <row r="934" spans="1:27">
      <c r="A934" s="24" t="s">
        <v>2468</v>
      </c>
      <c r="B934" s="24" t="s">
        <v>131</v>
      </c>
      <c r="C934" s="24" t="s">
        <v>2469</v>
      </c>
      <c r="D934" s="24">
        <v>80</v>
      </c>
      <c r="E934" s="24">
        <v>909</v>
      </c>
      <c r="F934" s="24">
        <v>12</v>
      </c>
      <c r="G934" s="24">
        <v>934</v>
      </c>
      <c r="H934" s="24">
        <v>85</v>
      </c>
      <c r="I934" s="24">
        <v>593</v>
      </c>
      <c r="J934" s="24">
        <v>25</v>
      </c>
      <c r="K934" s="24">
        <v>931</v>
      </c>
      <c r="L934" s="24">
        <v>24</v>
      </c>
      <c r="M934" s="24">
        <v>923</v>
      </c>
      <c r="N934" s="24">
        <v>36</v>
      </c>
      <c r="O934" s="24">
        <v>930</v>
      </c>
      <c r="P934" s="24">
        <v>60</v>
      </c>
      <c r="Q934" s="24">
        <v>777</v>
      </c>
      <c r="R934" s="24">
        <v>70</v>
      </c>
      <c r="S934" s="24">
        <v>327</v>
      </c>
      <c r="T934" s="24">
        <v>43</v>
      </c>
      <c r="U934" s="24">
        <v>824</v>
      </c>
      <c r="V934" s="24">
        <v>262</v>
      </c>
      <c r="W934" s="24">
        <v>55</v>
      </c>
      <c r="X934" s="24">
        <v>933</v>
      </c>
      <c r="Y934" s="24">
        <v>256.5</v>
      </c>
      <c r="Z934" s="24">
        <v>932</v>
      </c>
      <c r="AA934" s="24">
        <v>-1</v>
      </c>
    </row>
    <row r="935" spans="1:27">
      <c r="A935" s="24" t="s">
        <v>1092</v>
      </c>
      <c r="B935" s="24">
        <v>1806</v>
      </c>
      <c r="C935" s="24" t="s">
        <v>1093</v>
      </c>
      <c r="D935" s="24"/>
      <c r="E935" s="24"/>
      <c r="F935" s="24"/>
      <c r="G935" s="24"/>
      <c r="H935" s="24">
        <v>85</v>
      </c>
      <c r="I935" s="24">
        <v>593</v>
      </c>
      <c r="J935" s="24">
        <v>34</v>
      </c>
      <c r="K935" s="24">
        <v>916</v>
      </c>
      <c r="L935" s="24">
        <v>24</v>
      </c>
      <c r="M935" s="24">
        <v>923</v>
      </c>
      <c r="N935" s="24">
        <v>47</v>
      </c>
      <c r="O935" s="24">
        <v>895</v>
      </c>
      <c r="P935" s="24">
        <v>52</v>
      </c>
      <c r="Q935" s="24">
        <v>897</v>
      </c>
      <c r="R935" s="24">
        <v>61</v>
      </c>
      <c r="S935" s="24">
        <v>703</v>
      </c>
      <c r="T935" s="24">
        <v>38</v>
      </c>
      <c r="U935" s="24">
        <v>905</v>
      </c>
      <c r="V935" s="24">
        <v>190</v>
      </c>
    </row>
    <row r="936" spans="1:27">
      <c r="A936" s="24" t="s">
        <v>2909</v>
      </c>
      <c r="B936" s="24" t="s">
        <v>38</v>
      </c>
      <c r="C936" s="24" t="s">
        <v>2910</v>
      </c>
      <c r="D936" s="24">
        <v>89</v>
      </c>
      <c r="E936" s="24">
        <v>835</v>
      </c>
      <c r="F936" s="24">
        <v>25</v>
      </c>
      <c r="G936" s="24">
        <v>928</v>
      </c>
      <c r="H936" s="24">
        <v>28</v>
      </c>
      <c r="I936" s="24">
        <v>935</v>
      </c>
      <c r="J936" s="24">
        <v>18</v>
      </c>
      <c r="K936" s="24">
        <v>934</v>
      </c>
      <c r="L936" s="24">
        <v>13</v>
      </c>
      <c r="M936" s="24">
        <v>935</v>
      </c>
      <c r="N936" s="24">
        <v>14</v>
      </c>
      <c r="O936" s="24">
        <v>935</v>
      </c>
      <c r="P936" s="24">
        <v>48</v>
      </c>
      <c r="Q936" s="24">
        <v>923</v>
      </c>
      <c r="R936" s="24">
        <v>57</v>
      </c>
      <c r="S936" s="24">
        <v>798</v>
      </c>
      <c r="T936" s="24">
        <v>24</v>
      </c>
      <c r="U936" s="24">
        <v>935</v>
      </c>
      <c r="V936" s="24">
        <v>187</v>
      </c>
      <c r="W936" s="24">
        <v>56</v>
      </c>
      <c r="X936" s="24">
        <v>934</v>
      </c>
      <c r="Y936" s="24">
        <v>151.5</v>
      </c>
      <c r="Z936" s="24">
        <v>935</v>
      </c>
      <c r="AA936" s="24">
        <v>1</v>
      </c>
    </row>
  </sheetData>
  <sortState ref="A2:AA936">
    <sortCondition descending="1" ref="V1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S15" sqref="S15"/>
    </sheetView>
  </sheetViews>
  <sheetFormatPr defaultRowHeight="14.25"/>
  <cols>
    <col min="1" max="1" width="8.75" style="24" customWidth="1"/>
    <col min="2" max="2" width="5.5" style="98" bestFit="1" customWidth="1"/>
    <col min="3" max="3" width="9" style="24"/>
    <col min="4" max="15" width="5.875" style="98" customWidth="1"/>
    <col min="16" max="27" width="5.875" style="24" customWidth="1"/>
    <col min="28" max="16384" width="9" style="24"/>
  </cols>
  <sheetData>
    <row r="1" spans="1:27" s="90" customFormat="1" ht="28.5">
      <c r="A1" s="90" t="s">
        <v>3448</v>
      </c>
      <c r="B1" s="90" t="s">
        <v>3449</v>
      </c>
      <c r="C1" s="90" t="s">
        <v>1</v>
      </c>
      <c r="D1" s="90" t="s">
        <v>3</v>
      </c>
      <c r="E1" s="90" t="s">
        <v>3480</v>
      </c>
      <c r="F1" s="90" t="s">
        <v>3212</v>
      </c>
      <c r="G1" s="90" t="s">
        <v>3481</v>
      </c>
      <c r="H1" s="90" t="s">
        <v>104</v>
      </c>
      <c r="I1" s="90" t="s">
        <v>3482</v>
      </c>
      <c r="J1" s="90" t="s">
        <v>3477</v>
      </c>
      <c r="K1" s="90" t="s">
        <v>3486</v>
      </c>
      <c r="L1" s="90" t="s">
        <v>3478</v>
      </c>
      <c r="M1" s="90" t="s">
        <v>3487</v>
      </c>
      <c r="N1" s="90" t="s">
        <v>3479</v>
      </c>
      <c r="O1" s="90" t="s">
        <v>3488</v>
      </c>
      <c r="P1" s="90" t="s">
        <v>3474</v>
      </c>
      <c r="Q1" s="90" t="s">
        <v>3483</v>
      </c>
      <c r="R1" s="90" t="s">
        <v>3475</v>
      </c>
      <c r="S1" s="90" t="s">
        <v>3484</v>
      </c>
      <c r="T1" s="90" t="s">
        <v>3476</v>
      </c>
      <c r="U1" s="90" t="s">
        <v>3485</v>
      </c>
      <c r="V1" s="90" t="s">
        <v>3473</v>
      </c>
      <c r="W1" s="90" t="s">
        <v>3447</v>
      </c>
      <c r="X1" s="90" t="s">
        <v>3228</v>
      </c>
      <c r="Y1" s="90" t="s">
        <v>3446</v>
      </c>
      <c r="Z1" s="90" t="s">
        <v>3228</v>
      </c>
      <c r="AA1" s="90" t="s">
        <v>3236</v>
      </c>
    </row>
    <row r="2" spans="1:27">
      <c r="A2" s="24" t="s">
        <v>2996</v>
      </c>
      <c r="B2" s="98" t="s">
        <v>12</v>
      </c>
      <c r="C2" s="24" t="s">
        <v>13</v>
      </c>
      <c r="D2" s="98">
        <v>123</v>
      </c>
      <c r="E2" s="98">
        <v>1</v>
      </c>
      <c r="F2" s="98">
        <v>134</v>
      </c>
      <c r="G2" s="98">
        <v>1</v>
      </c>
      <c r="H2" s="98">
        <v>122</v>
      </c>
      <c r="I2" s="98">
        <v>6</v>
      </c>
      <c r="J2" s="98">
        <v>82</v>
      </c>
      <c r="K2" s="98">
        <v>2</v>
      </c>
      <c r="L2" s="98">
        <v>87</v>
      </c>
      <c r="M2" s="98">
        <v>2</v>
      </c>
      <c r="N2" s="98">
        <v>89</v>
      </c>
      <c r="O2" s="98">
        <v>2</v>
      </c>
      <c r="P2" s="24">
        <v>48</v>
      </c>
      <c r="Q2" s="98">
        <v>26</v>
      </c>
      <c r="R2" s="24">
        <v>77</v>
      </c>
      <c r="S2" s="98">
        <v>7</v>
      </c>
      <c r="T2" s="24">
        <v>60</v>
      </c>
      <c r="U2" s="98">
        <v>7</v>
      </c>
      <c r="V2" s="24">
        <v>637</v>
      </c>
      <c r="W2" s="24">
        <v>1</v>
      </c>
      <c r="X2" s="24">
        <v>1</v>
      </c>
      <c r="Y2" s="24">
        <v>608.5</v>
      </c>
      <c r="Z2" s="24">
        <v>3</v>
      </c>
      <c r="AA2" s="24">
        <v>2</v>
      </c>
    </row>
    <row r="3" spans="1:27">
      <c r="A3" s="24" t="s">
        <v>2969</v>
      </c>
      <c r="B3" s="98" t="s">
        <v>12</v>
      </c>
      <c r="C3" s="24" t="s">
        <v>15</v>
      </c>
      <c r="D3" s="98">
        <v>111</v>
      </c>
      <c r="E3" s="98">
        <v>35</v>
      </c>
      <c r="F3" s="98">
        <v>118</v>
      </c>
      <c r="G3" s="98">
        <v>13</v>
      </c>
      <c r="H3" s="98">
        <v>140.5</v>
      </c>
      <c r="I3" s="98">
        <v>1</v>
      </c>
      <c r="J3" s="98">
        <v>80</v>
      </c>
      <c r="K3" s="98">
        <v>7</v>
      </c>
      <c r="L3" s="98">
        <v>81</v>
      </c>
      <c r="M3" s="98">
        <v>7</v>
      </c>
      <c r="N3" s="98">
        <v>92</v>
      </c>
      <c r="O3" s="98">
        <v>1</v>
      </c>
      <c r="P3" s="24">
        <v>47</v>
      </c>
      <c r="Q3" s="98">
        <v>33</v>
      </c>
      <c r="R3" s="24">
        <v>63</v>
      </c>
      <c r="S3" s="98">
        <v>63</v>
      </c>
      <c r="T3" s="24">
        <v>53</v>
      </c>
      <c r="U3" s="98">
        <v>35</v>
      </c>
      <c r="V3" s="24">
        <v>622.5</v>
      </c>
      <c r="W3" s="24">
        <v>2</v>
      </c>
      <c r="X3" s="24">
        <v>2</v>
      </c>
      <c r="Y3" s="24">
        <v>570</v>
      </c>
      <c r="Z3" s="24">
        <v>15</v>
      </c>
      <c r="AA3" s="24">
        <v>13</v>
      </c>
    </row>
    <row r="4" spans="1:27">
      <c r="A4" s="24" t="s">
        <v>3296</v>
      </c>
      <c r="B4" s="98" t="s">
        <v>12</v>
      </c>
      <c r="C4" s="24" t="s">
        <v>94</v>
      </c>
      <c r="D4" s="98">
        <v>122</v>
      </c>
      <c r="E4" s="98">
        <v>3</v>
      </c>
      <c r="F4" s="98">
        <v>115</v>
      </c>
      <c r="G4" s="98">
        <v>17</v>
      </c>
      <c r="H4" s="98">
        <v>121</v>
      </c>
      <c r="I4" s="98">
        <v>7</v>
      </c>
      <c r="J4" s="98">
        <v>77</v>
      </c>
      <c r="K4" s="98">
        <v>19</v>
      </c>
      <c r="L4" s="98">
        <v>89</v>
      </c>
      <c r="M4" s="98">
        <v>1</v>
      </c>
      <c r="N4" s="98">
        <v>77</v>
      </c>
      <c r="O4" s="98">
        <v>13</v>
      </c>
      <c r="P4" s="24">
        <v>69</v>
      </c>
      <c r="Q4" s="98">
        <v>2</v>
      </c>
      <c r="R4" s="24">
        <v>83</v>
      </c>
      <c r="S4" s="98">
        <v>3</v>
      </c>
      <c r="T4" s="24">
        <v>63</v>
      </c>
      <c r="U4" s="98">
        <v>2</v>
      </c>
      <c r="V4" s="24">
        <v>601</v>
      </c>
      <c r="W4" s="24">
        <v>3</v>
      </c>
      <c r="X4" s="24">
        <v>3</v>
      </c>
      <c r="Y4" s="24">
        <v>588.5</v>
      </c>
      <c r="Z4" s="24">
        <v>8</v>
      </c>
      <c r="AA4" s="24">
        <v>5</v>
      </c>
    </row>
    <row r="5" spans="1:27">
      <c r="A5" s="24" t="s">
        <v>2975</v>
      </c>
      <c r="B5" s="98" t="s">
        <v>12</v>
      </c>
      <c r="C5" s="24" t="s">
        <v>24</v>
      </c>
      <c r="D5" s="98">
        <v>121</v>
      </c>
      <c r="E5" s="98">
        <v>4</v>
      </c>
      <c r="F5" s="98">
        <v>132</v>
      </c>
      <c r="G5" s="98">
        <v>3</v>
      </c>
      <c r="H5" s="98">
        <v>104.5</v>
      </c>
      <c r="I5" s="98">
        <v>42</v>
      </c>
      <c r="J5" s="98">
        <v>79</v>
      </c>
      <c r="K5" s="98">
        <v>9</v>
      </c>
      <c r="L5" s="98">
        <v>84</v>
      </c>
      <c r="M5" s="98">
        <v>5</v>
      </c>
      <c r="N5" s="98">
        <v>74</v>
      </c>
      <c r="O5" s="98">
        <v>32</v>
      </c>
      <c r="P5" s="24">
        <v>35</v>
      </c>
      <c r="Q5" s="98">
        <v>109</v>
      </c>
      <c r="R5" s="24">
        <v>69</v>
      </c>
      <c r="S5" s="98">
        <v>26</v>
      </c>
      <c r="T5" s="24">
        <v>55</v>
      </c>
      <c r="U5" s="98">
        <v>22</v>
      </c>
      <c r="V5" s="24">
        <v>594.5</v>
      </c>
      <c r="W5" s="24">
        <v>4</v>
      </c>
      <c r="X5" s="24">
        <v>4</v>
      </c>
      <c r="Y5" s="24">
        <v>619.5</v>
      </c>
      <c r="Z5" s="24">
        <v>2</v>
      </c>
      <c r="AA5" s="24">
        <v>-2</v>
      </c>
    </row>
    <row r="6" spans="1:27">
      <c r="A6" s="24" t="s">
        <v>2912</v>
      </c>
      <c r="B6" s="98" t="s">
        <v>12</v>
      </c>
      <c r="C6" s="24" t="s">
        <v>51</v>
      </c>
      <c r="D6" s="98">
        <v>119</v>
      </c>
      <c r="E6" s="98">
        <v>8</v>
      </c>
      <c r="F6" s="98">
        <v>122</v>
      </c>
      <c r="G6" s="98">
        <v>11</v>
      </c>
      <c r="H6" s="98">
        <v>120.5</v>
      </c>
      <c r="I6" s="98">
        <v>8</v>
      </c>
      <c r="J6" s="98">
        <v>81</v>
      </c>
      <c r="K6" s="98">
        <v>4</v>
      </c>
      <c r="L6" s="98">
        <v>77</v>
      </c>
      <c r="M6" s="98">
        <v>21</v>
      </c>
      <c r="N6" s="98">
        <v>74</v>
      </c>
      <c r="O6" s="98">
        <v>32</v>
      </c>
      <c r="P6" s="24">
        <v>45</v>
      </c>
      <c r="Q6" s="98">
        <v>52</v>
      </c>
      <c r="R6" s="24">
        <v>68</v>
      </c>
      <c r="S6" s="98">
        <v>31</v>
      </c>
      <c r="T6" s="24">
        <v>57</v>
      </c>
      <c r="U6" s="98">
        <v>16</v>
      </c>
      <c r="V6" s="24">
        <v>593.5</v>
      </c>
      <c r="W6" s="24">
        <v>5</v>
      </c>
      <c r="X6" s="24">
        <v>5</v>
      </c>
      <c r="Y6" s="24">
        <v>589</v>
      </c>
      <c r="Z6" s="24">
        <v>7</v>
      </c>
      <c r="AA6" s="24">
        <v>2</v>
      </c>
    </row>
    <row r="7" spans="1:27">
      <c r="A7" s="24" t="s">
        <v>3063</v>
      </c>
      <c r="B7" s="98" t="s">
        <v>52</v>
      </c>
      <c r="C7" s="24" t="s">
        <v>3437</v>
      </c>
      <c r="D7" s="98">
        <v>108</v>
      </c>
      <c r="E7" s="98">
        <v>54</v>
      </c>
      <c r="F7" s="98">
        <v>129</v>
      </c>
      <c r="G7" s="98">
        <v>4</v>
      </c>
      <c r="H7" s="98">
        <v>115.5</v>
      </c>
      <c r="I7" s="98">
        <v>12</v>
      </c>
      <c r="J7" s="98">
        <v>77</v>
      </c>
      <c r="K7" s="98">
        <v>19</v>
      </c>
      <c r="L7" s="98">
        <v>72</v>
      </c>
      <c r="M7" s="98">
        <v>33</v>
      </c>
      <c r="N7" s="98">
        <v>85</v>
      </c>
      <c r="O7" s="98">
        <v>3</v>
      </c>
      <c r="P7" s="24">
        <v>68</v>
      </c>
      <c r="Q7" s="98">
        <v>3</v>
      </c>
      <c r="R7" s="24">
        <v>86</v>
      </c>
      <c r="S7" s="98">
        <v>2</v>
      </c>
      <c r="T7" s="24">
        <v>54</v>
      </c>
      <c r="U7" s="98">
        <v>27</v>
      </c>
      <c r="V7" s="24">
        <v>586.5</v>
      </c>
      <c r="W7" s="24">
        <v>1</v>
      </c>
      <c r="X7" s="24">
        <v>6</v>
      </c>
      <c r="Y7" s="24">
        <v>560.5</v>
      </c>
      <c r="Z7" s="24">
        <v>20</v>
      </c>
      <c r="AA7" s="24">
        <v>14</v>
      </c>
    </row>
    <row r="8" spans="1:27">
      <c r="A8" s="24" t="s">
        <v>3436</v>
      </c>
      <c r="B8" s="98" t="s">
        <v>12</v>
      </c>
      <c r="C8" s="24" t="s">
        <v>130</v>
      </c>
      <c r="D8" s="98">
        <v>118</v>
      </c>
      <c r="E8" s="98">
        <v>10</v>
      </c>
      <c r="F8" s="98">
        <v>123</v>
      </c>
      <c r="G8" s="98">
        <v>9</v>
      </c>
      <c r="H8" s="98">
        <v>120.5</v>
      </c>
      <c r="I8" s="98">
        <v>8</v>
      </c>
      <c r="J8" s="98">
        <v>79</v>
      </c>
      <c r="K8" s="98">
        <v>9</v>
      </c>
      <c r="L8" s="98">
        <v>69</v>
      </c>
      <c r="M8" s="98">
        <v>47</v>
      </c>
      <c r="N8" s="98">
        <v>73</v>
      </c>
      <c r="O8" s="98">
        <v>39</v>
      </c>
      <c r="P8" s="24">
        <v>60</v>
      </c>
      <c r="Q8" s="98">
        <v>6</v>
      </c>
      <c r="R8" s="24">
        <v>83</v>
      </c>
      <c r="S8" s="98">
        <v>3</v>
      </c>
      <c r="T8" s="24">
        <v>55</v>
      </c>
      <c r="U8" s="98">
        <v>22</v>
      </c>
      <c r="V8" s="24">
        <v>582.5</v>
      </c>
      <c r="W8" s="24">
        <v>6</v>
      </c>
      <c r="X8" s="24">
        <v>7</v>
      </c>
      <c r="Y8" s="24">
        <v>572</v>
      </c>
      <c r="Z8" s="24">
        <v>12</v>
      </c>
      <c r="AA8" s="24">
        <v>5</v>
      </c>
    </row>
    <row r="9" spans="1:27">
      <c r="A9" s="24" t="s">
        <v>2942</v>
      </c>
      <c r="B9" s="98" t="s">
        <v>12</v>
      </c>
      <c r="C9" s="24" t="s">
        <v>79</v>
      </c>
      <c r="D9" s="98">
        <v>108</v>
      </c>
      <c r="E9" s="98">
        <v>54</v>
      </c>
      <c r="F9" s="98">
        <v>114</v>
      </c>
      <c r="G9" s="98">
        <v>18</v>
      </c>
      <c r="H9" s="98">
        <v>124.5</v>
      </c>
      <c r="I9" s="98">
        <v>4</v>
      </c>
      <c r="J9" s="98">
        <v>75</v>
      </c>
      <c r="K9" s="98">
        <v>29</v>
      </c>
      <c r="L9" s="98">
        <v>87</v>
      </c>
      <c r="M9" s="98">
        <v>2</v>
      </c>
      <c r="N9" s="98">
        <v>73</v>
      </c>
      <c r="O9" s="98">
        <v>39</v>
      </c>
      <c r="P9" s="24">
        <v>59</v>
      </c>
      <c r="Q9" s="98">
        <v>7</v>
      </c>
      <c r="R9" s="24">
        <v>76</v>
      </c>
      <c r="S9" s="98">
        <v>9</v>
      </c>
      <c r="T9" s="24">
        <v>53</v>
      </c>
      <c r="U9" s="98">
        <v>35</v>
      </c>
      <c r="V9" s="24">
        <v>581.5</v>
      </c>
      <c r="W9" s="24">
        <v>7</v>
      </c>
      <c r="X9" s="24">
        <v>8</v>
      </c>
      <c r="Y9" s="24">
        <v>565.5</v>
      </c>
      <c r="Z9" s="24">
        <v>18</v>
      </c>
      <c r="AA9" s="24">
        <v>10</v>
      </c>
    </row>
    <row r="10" spans="1:27">
      <c r="A10" s="24" t="s">
        <v>2944</v>
      </c>
      <c r="B10" s="98" t="s">
        <v>12</v>
      </c>
      <c r="C10" s="24" t="s">
        <v>36</v>
      </c>
      <c r="D10" s="98">
        <v>116</v>
      </c>
      <c r="E10" s="98">
        <v>17</v>
      </c>
      <c r="F10" s="98">
        <v>116</v>
      </c>
      <c r="G10" s="98">
        <v>15</v>
      </c>
      <c r="H10" s="98">
        <v>116</v>
      </c>
      <c r="I10" s="98">
        <v>11</v>
      </c>
      <c r="J10" s="98">
        <v>76</v>
      </c>
      <c r="K10" s="98">
        <v>23</v>
      </c>
      <c r="L10" s="98">
        <v>80</v>
      </c>
      <c r="M10" s="98">
        <v>11</v>
      </c>
      <c r="N10" s="98">
        <v>76</v>
      </c>
      <c r="O10" s="98">
        <v>20</v>
      </c>
      <c r="P10" s="24">
        <v>46</v>
      </c>
      <c r="Q10" s="98">
        <v>40</v>
      </c>
      <c r="R10" s="24">
        <v>60</v>
      </c>
      <c r="S10" s="98">
        <v>76</v>
      </c>
      <c r="T10" s="24">
        <v>51</v>
      </c>
      <c r="U10" s="98">
        <v>52</v>
      </c>
      <c r="V10" s="24">
        <v>580</v>
      </c>
      <c r="W10" s="24">
        <v>8</v>
      </c>
      <c r="X10" s="24">
        <v>9</v>
      </c>
      <c r="Y10" s="24">
        <v>562.5</v>
      </c>
      <c r="Z10" s="24">
        <v>19</v>
      </c>
      <c r="AA10" s="24">
        <v>10</v>
      </c>
    </row>
    <row r="11" spans="1:27">
      <c r="A11" s="24" t="s">
        <v>2982</v>
      </c>
      <c r="B11" s="98" t="s">
        <v>12</v>
      </c>
      <c r="C11" s="24" t="s">
        <v>58</v>
      </c>
      <c r="D11" s="98">
        <v>116</v>
      </c>
      <c r="E11" s="98">
        <v>17</v>
      </c>
      <c r="F11" s="98">
        <v>124</v>
      </c>
      <c r="G11" s="98">
        <v>7</v>
      </c>
      <c r="H11" s="98">
        <v>113.5</v>
      </c>
      <c r="I11" s="98">
        <v>19</v>
      </c>
      <c r="J11" s="98">
        <v>78</v>
      </c>
      <c r="K11" s="98">
        <v>16</v>
      </c>
      <c r="L11" s="98">
        <v>71</v>
      </c>
      <c r="M11" s="98">
        <v>41</v>
      </c>
      <c r="N11" s="98">
        <v>77</v>
      </c>
      <c r="O11" s="98">
        <v>13</v>
      </c>
      <c r="P11" s="24">
        <v>75</v>
      </c>
      <c r="Q11" s="98">
        <v>1</v>
      </c>
      <c r="R11" s="24">
        <v>90</v>
      </c>
      <c r="S11" s="98">
        <v>1</v>
      </c>
      <c r="T11" s="24">
        <v>69</v>
      </c>
      <c r="U11" s="98">
        <v>1</v>
      </c>
      <c r="V11" s="24">
        <v>579.5</v>
      </c>
      <c r="W11" s="24">
        <v>9</v>
      </c>
      <c r="X11" s="24">
        <v>10</v>
      </c>
      <c r="Y11" s="24">
        <v>620.5</v>
      </c>
      <c r="Z11" s="24">
        <v>1</v>
      </c>
      <c r="AA11" s="24">
        <v>-9</v>
      </c>
    </row>
    <row r="12" spans="1:27">
      <c r="A12" s="24" t="s">
        <v>2936</v>
      </c>
      <c r="B12" s="98" t="s">
        <v>12</v>
      </c>
      <c r="C12" s="24" t="s">
        <v>14</v>
      </c>
      <c r="D12" s="98">
        <v>118</v>
      </c>
      <c r="E12" s="98">
        <v>10</v>
      </c>
      <c r="F12" s="98">
        <v>112</v>
      </c>
      <c r="G12" s="98">
        <v>21</v>
      </c>
      <c r="H12" s="98">
        <v>110.5</v>
      </c>
      <c r="I12" s="98">
        <v>25</v>
      </c>
      <c r="J12" s="98">
        <v>89</v>
      </c>
      <c r="K12" s="98">
        <v>1</v>
      </c>
      <c r="L12" s="98">
        <v>79</v>
      </c>
      <c r="M12" s="98">
        <v>15</v>
      </c>
      <c r="N12" s="98">
        <v>65</v>
      </c>
      <c r="O12" s="98">
        <v>77</v>
      </c>
      <c r="P12" s="24">
        <v>44</v>
      </c>
      <c r="Q12" s="98">
        <v>55</v>
      </c>
      <c r="R12" s="24">
        <v>72</v>
      </c>
      <c r="S12" s="98">
        <v>16</v>
      </c>
      <c r="T12" s="24">
        <v>54</v>
      </c>
      <c r="U12" s="98">
        <v>27</v>
      </c>
      <c r="V12" s="24">
        <v>573.5</v>
      </c>
      <c r="W12" s="24">
        <v>10</v>
      </c>
      <c r="X12" s="24">
        <v>11</v>
      </c>
      <c r="Y12" s="24">
        <v>598.5</v>
      </c>
      <c r="Z12" s="24">
        <v>5</v>
      </c>
      <c r="AA12" s="24">
        <v>-6</v>
      </c>
    </row>
    <row r="13" spans="1:27">
      <c r="A13" s="24" t="s">
        <v>2973</v>
      </c>
      <c r="B13" s="98" t="s">
        <v>12</v>
      </c>
      <c r="C13" s="24" t="s">
        <v>66</v>
      </c>
      <c r="D13" s="98">
        <v>108</v>
      </c>
      <c r="E13" s="98">
        <v>54</v>
      </c>
      <c r="F13" s="98">
        <v>124</v>
      </c>
      <c r="G13" s="98">
        <v>7</v>
      </c>
      <c r="H13" s="98">
        <v>109.5</v>
      </c>
      <c r="I13" s="98">
        <v>29</v>
      </c>
      <c r="J13" s="98">
        <v>79</v>
      </c>
      <c r="K13" s="98">
        <v>9</v>
      </c>
      <c r="L13" s="98">
        <v>77</v>
      </c>
      <c r="M13" s="98">
        <v>21</v>
      </c>
      <c r="N13" s="98">
        <v>74</v>
      </c>
      <c r="O13" s="98">
        <v>32</v>
      </c>
      <c r="P13" s="24">
        <v>44</v>
      </c>
      <c r="Q13" s="98">
        <v>55</v>
      </c>
      <c r="R13" s="24">
        <v>52</v>
      </c>
      <c r="S13" s="98">
        <v>119</v>
      </c>
      <c r="T13" s="24">
        <v>30</v>
      </c>
      <c r="U13" s="98">
        <v>131</v>
      </c>
      <c r="V13" s="24">
        <v>571.5</v>
      </c>
      <c r="W13" s="24">
        <v>11</v>
      </c>
      <c r="X13" s="24">
        <v>12</v>
      </c>
      <c r="Y13" s="24">
        <v>532</v>
      </c>
      <c r="Z13" s="24">
        <v>34</v>
      </c>
      <c r="AA13" s="24">
        <v>22</v>
      </c>
    </row>
    <row r="14" spans="1:27">
      <c r="A14" s="24" t="s">
        <v>3259</v>
      </c>
      <c r="B14" s="98" t="s">
        <v>12</v>
      </c>
      <c r="C14" s="24" t="s">
        <v>90</v>
      </c>
      <c r="D14" s="98">
        <v>109</v>
      </c>
      <c r="E14" s="98">
        <v>46</v>
      </c>
      <c r="F14" s="98">
        <v>116</v>
      </c>
      <c r="G14" s="98">
        <v>15</v>
      </c>
      <c r="H14" s="98">
        <v>115.5</v>
      </c>
      <c r="I14" s="98">
        <v>12</v>
      </c>
      <c r="J14" s="98">
        <v>71</v>
      </c>
      <c r="K14" s="98">
        <v>46</v>
      </c>
      <c r="L14" s="98">
        <v>80</v>
      </c>
      <c r="M14" s="98">
        <v>11</v>
      </c>
      <c r="N14" s="98">
        <v>77</v>
      </c>
      <c r="O14" s="98">
        <v>13</v>
      </c>
      <c r="P14" s="24">
        <v>47</v>
      </c>
      <c r="Q14" s="98">
        <v>33</v>
      </c>
      <c r="R14" s="24">
        <v>57</v>
      </c>
      <c r="S14" s="98">
        <v>97</v>
      </c>
      <c r="T14" s="24">
        <v>40</v>
      </c>
      <c r="U14" s="98">
        <v>119</v>
      </c>
      <c r="V14" s="24">
        <v>568.5</v>
      </c>
      <c r="W14" s="24">
        <v>12</v>
      </c>
      <c r="X14" s="24">
        <v>13</v>
      </c>
      <c r="Y14" s="24">
        <v>584</v>
      </c>
      <c r="Z14" s="24">
        <v>10</v>
      </c>
      <c r="AA14" s="24">
        <v>-3</v>
      </c>
    </row>
    <row r="15" spans="1:27">
      <c r="A15" s="24" t="s">
        <v>2927</v>
      </c>
      <c r="B15" s="98" t="s">
        <v>12</v>
      </c>
      <c r="C15" s="24" t="s">
        <v>64</v>
      </c>
      <c r="D15" s="98">
        <v>109</v>
      </c>
      <c r="E15" s="98">
        <v>46</v>
      </c>
      <c r="F15" s="98">
        <v>100</v>
      </c>
      <c r="G15" s="98">
        <v>42</v>
      </c>
      <c r="H15" s="98">
        <v>114</v>
      </c>
      <c r="I15" s="98">
        <v>17</v>
      </c>
      <c r="J15" s="98">
        <v>80</v>
      </c>
      <c r="K15" s="98">
        <v>7</v>
      </c>
      <c r="L15" s="98">
        <v>81</v>
      </c>
      <c r="M15" s="98">
        <v>7</v>
      </c>
      <c r="N15" s="98">
        <v>82</v>
      </c>
      <c r="O15" s="98">
        <v>7</v>
      </c>
      <c r="P15" s="24">
        <v>42</v>
      </c>
      <c r="Q15" s="98">
        <v>68</v>
      </c>
      <c r="R15" s="24">
        <v>66</v>
      </c>
      <c r="S15" s="98">
        <v>44</v>
      </c>
      <c r="T15" s="24">
        <v>45</v>
      </c>
      <c r="U15" s="98">
        <v>92</v>
      </c>
      <c r="V15" s="24">
        <v>566</v>
      </c>
      <c r="W15" s="24">
        <v>13</v>
      </c>
      <c r="X15" s="24">
        <v>14</v>
      </c>
      <c r="Y15" s="24">
        <v>570.5</v>
      </c>
      <c r="Z15" s="24">
        <v>14</v>
      </c>
      <c r="AA15" s="24">
        <v>0</v>
      </c>
    </row>
    <row r="16" spans="1:27">
      <c r="A16" s="24" t="s">
        <v>2950</v>
      </c>
      <c r="B16" s="98" t="s">
        <v>12</v>
      </c>
      <c r="C16" s="24" t="s">
        <v>92</v>
      </c>
      <c r="D16" s="98">
        <v>108</v>
      </c>
      <c r="E16" s="98">
        <v>54</v>
      </c>
      <c r="F16" s="98">
        <v>133</v>
      </c>
      <c r="G16" s="98">
        <v>2</v>
      </c>
      <c r="H16" s="98">
        <v>106</v>
      </c>
      <c r="I16" s="98">
        <v>38</v>
      </c>
      <c r="J16" s="98">
        <v>71</v>
      </c>
      <c r="K16" s="98">
        <v>46</v>
      </c>
      <c r="L16" s="98">
        <v>70</v>
      </c>
      <c r="M16" s="98">
        <v>44</v>
      </c>
      <c r="N16" s="98">
        <v>76</v>
      </c>
      <c r="O16" s="98">
        <v>20</v>
      </c>
      <c r="P16" s="24">
        <v>38</v>
      </c>
      <c r="Q16" s="98">
        <v>91</v>
      </c>
      <c r="R16" s="24">
        <v>48</v>
      </c>
      <c r="S16" s="98">
        <v>128</v>
      </c>
      <c r="T16" s="24">
        <v>49</v>
      </c>
      <c r="U16" s="98">
        <v>70</v>
      </c>
      <c r="V16" s="24">
        <v>564</v>
      </c>
      <c r="W16" s="24">
        <v>14</v>
      </c>
      <c r="X16" s="24">
        <v>15</v>
      </c>
      <c r="Y16" s="24">
        <v>535.5</v>
      </c>
      <c r="Z16" s="24">
        <v>32</v>
      </c>
      <c r="AA16" s="24">
        <v>17</v>
      </c>
    </row>
    <row r="17" spans="1:27">
      <c r="A17" s="24" t="s">
        <v>2989</v>
      </c>
      <c r="B17" s="98" t="s">
        <v>12</v>
      </c>
      <c r="C17" s="24" t="s">
        <v>100</v>
      </c>
      <c r="D17" s="98">
        <v>106</v>
      </c>
      <c r="E17" s="98">
        <v>71</v>
      </c>
      <c r="F17" s="98">
        <v>100</v>
      </c>
      <c r="G17" s="98">
        <v>42</v>
      </c>
      <c r="H17" s="98">
        <v>115</v>
      </c>
      <c r="I17" s="98">
        <v>15</v>
      </c>
      <c r="J17" s="98">
        <v>78</v>
      </c>
      <c r="K17" s="98">
        <v>16</v>
      </c>
      <c r="L17" s="98">
        <v>87</v>
      </c>
      <c r="M17" s="98">
        <v>2</v>
      </c>
      <c r="N17" s="98">
        <v>77</v>
      </c>
      <c r="O17" s="98">
        <v>13</v>
      </c>
      <c r="P17" s="24">
        <v>52</v>
      </c>
      <c r="Q17" s="98">
        <v>12</v>
      </c>
      <c r="R17" s="24">
        <v>79</v>
      </c>
      <c r="S17" s="98">
        <v>5</v>
      </c>
      <c r="T17" s="24">
        <v>54</v>
      </c>
      <c r="U17" s="98">
        <v>27</v>
      </c>
      <c r="V17" s="24">
        <v>563</v>
      </c>
      <c r="W17" s="24">
        <v>15</v>
      </c>
      <c r="X17" s="24">
        <v>16</v>
      </c>
      <c r="Y17" s="24">
        <v>585</v>
      </c>
      <c r="Z17" s="24">
        <v>9</v>
      </c>
      <c r="AA17" s="24">
        <v>-7</v>
      </c>
    </row>
    <row r="18" spans="1:27">
      <c r="A18" s="24" t="s">
        <v>3258</v>
      </c>
      <c r="B18" s="98" t="s">
        <v>12</v>
      </c>
      <c r="C18" s="24" t="s">
        <v>2925</v>
      </c>
      <c r="D18" s="98">
        <v>114</v>
      </c>
      <c r="E18" s="98">
        <v>23</v>
      </c>
      <c r="F18" s="98">
        <v>110</v>
      </c>
      <c r="G18" s="98">
        <v>22</v>
      </c>
      <c r="H18" s="98">
        <v>110</v>
      </c>
      <c r="I18" s="98">
        <v>27</v>
      </c>
      <c r="J18" s="98">
        <v>73</v>
      </c>
      <c r="K18" s="98">
        <v>37</v>
      </c>
      <c r="L18" s="98">
        <v>79</v>
      </c>
      <c r="M18" s="98">
        <v>15</v>
      </c>
      <c r="N18" s="98">
        <v>74</v>
      </c>
      <c r="O18" s="98">
        <v>32</v>
      </c>
      <c r="P18" s="24">
        <v>40</v>
      </c>
      <c r="Q18" s="98">
        <v>79</v>
      </c>
      <c r="R18" s="24">
        <v>49</v>
      </c>
      <c r="S18" s="98">
        <v>126</v>
      </c>
      <c r="T18" s="24">
        <v>41</v>
      </c>
      <c r="U18" s="98">
        <v>115</v>
      </c>
      <c r="V18" s="24">
        <v>560</v>
      </c>
      <c r="W18" s="24">
        <v>16</v>
      </c>
      <c r="X18" s="24">
        <v>17</v>
      </c>
      <c r="Y18" s="24">
        <v>557</v>
      </c>
      <c r="Z18" s="24">
        <v>21</v>
      </c>
      <c r="AA18" s="24">
        <v>4</v>
      </c>
    </row>
    <row r="19" spans="1:27">
      <c r="A19" s="24" t="s">
        <v>2971</v>
      </c>
      <c r="B19" s="98" t="s">
        <v>12</v>
      </c>
      <c r="C19" s="24" t="s">
        <v>102</v>
      </c>
      <c r="D19" s="98">
        <v>115</v>
      </c>
      <c r="E19" s="98">
        <v>20</v>
      </c>
      <c r="F19" s="98">
        <v>101</v>
      </c>
      <c r="G19" s="98">
        <v>38</v>
      </c>
      <c r="H19" s="98">
        <v>116.5</v>
      </c>
      <c r="I19" s="98">
        <v>10</v>
      </c>
      <c r="J19" s="98">
        <v>77</v>
      </c>
      <c r="K19" s="98">
        <v>19</v>
      </c>
      <c r="L19" s="98">
        <v>76</v>
      </c>
      <c r="M19" s="98">
        <v>25</v>
      </c>
      <c r="N19" s="98">
        <v>74</v>
      </c>
      <c r="O19" s="98">
        <v>32</v>
      </c>
      <c r="P19" s="24">
        <v>46</v>
      </c>
      <c r="Q19" s="98">
        <v>40</v>
      </c>
      <c r="R19" s="24">
        <v>77</v>
      </c>
      <c r="S19" s="98">
        <v>7</v>
      </c>
      <c r="T19" s="24">
        <v>55</v>
      </c>
      <c r="U19" s="98">
        <v>22</v>
      </c>
      <c r="V19" s="24">
        <v>559.5</v>
      </c>
      <c r="W19" s="24">
        <v>17</v>
      </c>
      <c r="X19" s="24">
        <v>18</v>
      </c>
      <c r="Y19" s="24">
        <v>556</v>
      </c>
      <c r="Z19" s="24">
        <v>22</v>
      </c>
      <c r="AA19" s="24">
        <v>4</v>
      </c>
    </row>
    <row r="20" spans="1:27">
      <c r="A20" s="24" t="s">
        <v>2963</v>
      </c>
      <c r="B20" s="98" t="s">
        <v>12</v>
      </c>
      <c r="C20" s="24" t="s">
        <v>21</v>
      </c>
      <c r="D20" s="98">
        <v>105</v>
      </c>
      <c r="E20" s="98">
        <v>75</v>
      </c>
      <c r="F20" s="98">
        <v>117</v>
      </c>
      <c r="G20" s="98">
        <v>14</v>
      </c>
      <c r="H20" s="98">
        <v>99</v>
      </c>
      <c r="I20" s="98">
        <v>56</v>
      </c>
      <c r="J20" s="98">
        <v>79</v>
      </c>
      <c r="K20" s="98">
        <v>9</v>
      </c>
      <c r="L20" s="98">
        <v>80</v>
      </c>
      <c r="M20" s="98">
        <v>11</v>
      </c>
      <c r="N20" s="98">
        <v>76</v>
      </c>
      <c r="O20" s="98">
        <v>20</v>
      </c>
      <c r="P20" s="24">
        <v>46</v>
      </c>
      <c r="Q20" s="98">
        <v>40</v>
      </c>
      <c r="R20" s="24">
        <v>70</v>
      </c>
      <c r="S20" s="98">
        <v>24</v>
      </c>
      <c r="T20" s="24">
        <v>52</v>
      </c>
      <c r="U20" s="98">
        <v>43</v>
      </c>
      <c r="V20" s="24">
        <v>556</v>
      </c>
      <c r="W20" s="24">
        <v>18</v>
      </c>
      <c r="X20" s="24">
        <v>19</v>
      </c>
      <c r="Y20" s="24">
        <v>603</v>
      </c>
      <c r="Z20" s="24">
        <v>4</v>
      </c>
      <c r="AA20" s="24">
        <v>-15</v>
      </c>
    </row>
    <row r="21" spans="1:27">
      <c r="A21" s="24" t="s">
        <v>2930</v>
      </c>
      <c r="B21" s="98" t="s">
        <v>12</v>
      </c>
      <c r="C21" s="24" t="s">
        <v>99</v>
      </c>
      <c r="D21" s="98">
        <v>120</v>
      </c>
      <c r="E21" s="98">
        <v>6</v>
      </c>
      <c r="F21" s="98">
        <v>108</v>
      </c>
      <c r="G21" s="98">
        <v>27</v>
      </c>
      <c r="H21" s="98">
        <v>95.5</v>
      </c>
      <c r="I21" s="98">
        <v>69</v>
      </c>
      <c r="J21" s="98">
        <v>77</v>
      </c>
      <c r="K21" s="98">
        <v>19</v>
      </c>
      <c r="L21" s="98">
        <v>78</v>
      </c>
      <c r="M21" s="98">
        <v>19</v>
      </c>
      <c r="N21" s="98">
        <v>77</v>
      </c>
      <c r="O21" s="98">
        <v>13</v>
      </c>
      <c r="P21" s="24">
        <v>42</v>
      </c>
      <c r="Q21" s="98">
        <v>68</v>
      </c>
      <c r="R21" s="24">
        <v>69</v>
      </c>
      <c r="S21" s="98">
        <v>26</v>
      </c>
      <c r="T21" s="24">
        <v>43</v>
      </c>
      <c r="U21" s="98">
        <v>102</v>
      </c>
      <c r="V21" s="24">
        <v>555.5</v>
      </c>
      <c r="W21" s="24">
        <v>19</v>
      </c>
      <c r="X21" s="24">
        <v>20</v>
      </c>
      <c r="Y21" s="24">
        <v>543.5</v>
      </c>
      <c r="Z21" s="24">
        <v>28</v>
      </c>
      <c r="AA21" s="24">
        <v>8</v>
      </c>
    </row>
    <row r="22" spans="1:27">
      <c r="A22" s="24" t="s">
        <v>2939</v>
      </c>
      <c r="B22" s="98" t="s">
        <v>12</v>
      </c>
      <c r="C22" s="24" t="s">
        <v>84</v>
      </c>
      <c r="D22" s="98">
        <v>107</v>
      </c>
      <c r="E22" s="98">
        <v>68</v>
      </c>
      <c r="F22" s="98">
        <v>108</v>
      </c>
      <c r="G22" s="98">
        <v>27</v>
      </c>
      <c r="H22" s="98">
        <v>109.5</v>
      </c>
      <c r="I22" s="98">
        <v>29</v>
      </c>
      <c r="J22" s="98">
        <v>70</v>
      </c>
      <c r="K22" s="98">
        <v>57</v>
      </c>
      <c r="L22" s="98">
        <v>76</v>
      </c>
      <c r="M22" s="98">
        <v>25</v>
      </c>
      <c r="N22" s="98">
        <v>82</v>
      </c>
      <c r="O22" s="98">
        <v>7</v>
      </c>
      <c r="P22" s="24">
        <v>47</v>
      </c>
      <c r="Q22" s="98">
        <v>33</v>
      </c>
      <c r="R22" s="24">
        <v>62</v>
      </c>
      <c r="S22" s="98">
        <v>69</v>
      </c>
      <c r="T22" s="24">
        <v>43</v>
      </c>
      <c r="U22" s="98">
        <v>102</v>
      </c>
      <c r="V22" s="24">
        <v>552.5</v>
      </c>
      <c r="W22" s="24">
        <v>20</v>
      </c>
      <c r="X22" s="24">
        <v>21</v>
      </c>
      <c r="Y22" s="24">
        <v>589.5</v>
      </c>
      <c r="Z22" s="24">
        <v>6</v>
      </c>
      <c r="AA22" s="24">
        <v>-15</v>
      </c>
    </row>
    <row r="23" spans="1:27">
      <c r="A23" s="24" t="s">
        <v>2991</v>
      </c>
      <c r="B23" s="98" t="s">
        <v>12</v>
      </c>
      <c r="C23" s="24" t="s">
        <v>164</v>
      </c>
      <c r="D23" s="98">
        <v>102</v>
      </c>
      <c r="E23" s="98">
        <v>86</v>
      </c>
      <c r="F23" s="98">
        <v>129</v>
      </c>
      <c r="G23" s="98">
        <v>4</v>
      </c>
      <c r="H23" s="98">
        <v>89.5</v>
      </c>
      <c r="I23" s="98">
        <v>86</v>
      </c>
      <c r="J23" s="98">
        <v>71</v>
      </c>
      <c r="K23" s="98">
        <v>46</v>
      </c>
      <c r="L23" s="98">
        <v>77</v>
      </c>
      <c r="M23" s="98">
        <v>21</v>
      </c>
      <c r="N23" s="98">
        <v>83</v>
      </c>
      <c r="O23" s="98">
        <v>6</v>
      </c>
      <c r="P23" s="24">
        <v>49</v>
      </c>
      <c r="Q23" s="98">
        <v>22</v>
      </c>
      <c r="R23" s="24">
        <v>67</v>
      </c>
      <c r="S23" s="98">
        <v>38</v>
      </c>
      <c r="T23" s="24">
        <v>47</v>
      </c>
      <c r="U23" s="98">
        <v>82</v>
      </c>
      <c r="V23" s="24">
        <v>551.5</v>
      </c>
      <c r="W23" s="24">
        <v>21</v>
      </c>
      <c r="X23" s="24">
        <v>22</v>
      </c>
      <c r="Y23" s="24">
        <v>539</v>
      </c>
      <c r="Z23" s="24">
        <v>31</v>
      </c>
      <c r="AA23" s="24">
        <v>9</v>
      </c>
    </row>
    <row r="24" spans="1:27">
      <c r="A24" s="24" t="s">
        <v>3438</v>
      </c>
      <c r="B24" s="98" t="s">
        <v>12</v>
      </c>
      <c r="C24" s="24" t="s">
        <v>95</v>
      </c>
      <c r="D24" s="98">
        <v>120</v>
      </c>
      <c r="E24" s="98">
        <v>6</v>
      </c>
      <c r="F24" s="98">
        <v>114</v>
      </c>
      <c r="G24" s="98">
        <v>18</v>
      </c>
      <c r="H24" s="98">
        <v>84.5</v>
      </c>
      <c r="I24" s="98">
        <v>102</v>
      </c>
      <c r="J24" s="98">
        <v>81</v>
      </c>
      <c r="K24" s="98">
        <v>4</v>
      </c>
      <c r="L24" s="98">
        <v>82</v>
      </c>
      <c r="M24" s="98">
        <v>6</v>
      </c>
      <c r="N24" s="98">
        <v>70</v>
      </c>
      <c r="O24" s="98">
        <v>50</v>
      </c>
      <c r="P24" s="24">
        <v>39</v>
      </c>
      <c r="Q24" s="98">
        <v>87</v>
      </c>
      <c r="R24" s="24">
        <v>63</v>
      </c>
      <c r="S24" s="98">
        <v>63</v>
      </c>
      <c r="T24" s="24">
        <v>50</v>
      </c>
      <c r="U24" s="98">
        <v>63</v>
      </c>
      <c r="V24" s="24">
        <v>551.5</v>
      </c>
      <c r="W24" s="24">
        <v>21</v>
      </c>
      <c r="X24" s="24">
        <v>22</v>
      </c>
      <c r="Y24" s="24">
        <v>550</v>
      </c>
      <c r="Z24" s="24">
        <v>25</v>
      </c>
      <c r="AA24" s="24">
        <v>3</v>
      </c>
    </row>
    <row r="25" spans="1:27">
      <c r="A25" s="24" t="s">
        <v>2914</v>
      </c>
      <c r="B25" s="98" t="s">
        <v>12</v>
      </c>
      <c r="C25" s="24" t="s">
        <v>37</v>
      </c>
      <c r="D25" s="98">
        <v>121</v>
      </c>
      <c r="E25" s="98">
        <v>4</v>
      </c>
      <c r="F25" s="98">
        <v>104</v>
      </c>
      <c r="G25" s="98">
        <v>32</v>
      </c>
      <c r="H25" s="98">
        <v>100.5</v>
      </c>
      <c r="I25" s="98">
        <v>51</v>
      </c>
      <c r="J25" s="98">
        <v>75</v>
      </c>
      <c r="K25" s="98">
        <v>29</v>
      </c>
      <c r="L25" s="98">
        <v>81</v>
      </c>
      <c r="M25" s="98">
        <v>7</v>
      </c>
      <c r="N25" s="98">
        <v>67</v>
      </c>
      <c r="O25" s="98">
        <v>60</v>
      </c>
      <c r="P25" s="24">
        <v>52</v>
      </c>
      <c r="Q25" s="98">
        <v>12</v>
      </c>
      <c r="R25" s="24">
        <v>71</v>
      </c>
      <c r="S25" s="98">
        <v>19</v>
      </c>
      <c r="T25" s="24">
        <v>49</v>
      </c>
      <c r="U25" s="98">
        <v>70</v>
      </c>
      <c r="V25" s="24">
        <v>548.5</v>
      </c>
      <c r="W25" s="24">
        <v>23</v>
      </c>
      <c r="X25" s="24">
        <v>24</v>
      </c>
      <c r="Y25" s="24">
        <v>556</v>
      </c>
      <c r="Z25" s="24">
        <v>22</v>
      </c>
      <c r="AA25" s="24">
        <v>-2</v>
      </c>
    </row>
    <row r="26" spans="1:27">
      <c r="A26" s="24" t="s">
        <v>3278</v>
      </c>
      <c r="B26" s="98" t="s">
        <v>25</v>
      </c>
      <c r="C26" s="24" t="s">
        <v>408</v>
      </c>
      <c r="D26" s="98">
        <v>117</v>
      </c>
      <c r="E26" s="98">
        <v>13</v>
      </c>
      <c r="F26" s="98">
        <v>110</v>
      </c>
      <c r="G26" s="98">
        <v>22</v>
      </c>
      <c r="H26" s="98">
        <v>97.5</v>
      </c>
      <c r="I26" s="98">
        <v>62</v>
      </c>
      <c r="J26" s="98">
        <v>76</v>
      </c>
      <c r="K26" s="98">
        <v>23</v>
      </c>
      <c r="L26" s="98">
        <v>71</v>
      </c>
      <c r="M26" s="98">
        <v>41</v>
      </c>
      <c r="N26" s="98">
        <v>76</v>
      </c>
      <c r="O26" s="98">
        <v>20</v>
      </c>
      <c r="P26" s="24">
        <v>63</v>
      </c>
      <c r="Q26" s="98">
        <v>5</v>
      </c>
      <c r="R26" s="24">
        <v>74</v>
      </c>
      <c r="S26" s="98">
        <v>13</v>
      </c>
      <c r="T26" s="24">
        <v>58</v>
      </c>
      <c r="U26" s="98">
        <v>11</v>
      </c>
      <c r="V26" s="24">
        <v>547.5</v>
      </c>
      <c r="W26" s="24">
        <v>1</v>
      </c>
      <c r="X26" s="24">
        <v>25</v>
      </c>
      <c r="Y26" s="24">
        <v>532.5</v>
      </c>
      <c r="Z26" s="24">
        <v>33</v>
      </c>
      <c r="AA26" s="24">
        <v>8</v>
      </c>
    </row>
    <row r="27" spans="1:27">
      <c r="A27" s="24" t="s">
        <v>2955</v>
      </c>
      <c r="B27" s="98" t="s">
        <v>12</v>
      </c>
      <c r="C27" s="24" t="s">
        <v>127</v>
      </c>
      <c r="D27" s="98">
        <v>117</v>
      </c>
      <c r="E27" s="98">
        <v>13</v>
      </c>
      <c r="F27" s="98">
        <v>93</v>
      </c>
      <c r="G27" s="98">
        <v>58</v>
      </c>
      <c r="H27" s="98">
        <v>108.5</v>
      </c>
      <c r="I27" s="98">
        <v>33</v>
      </c>
      <c r="J27" s="98">
        <v>79</v>
      </c>
      <c r="K27" s="98">
        <v>9</v>
      </c>
      <c r="L27" s="98">
        <v>77</v>
      </c>
      <c r="M27" s="98">
        <v>21</v>
      </c>
      <c r="N27" s="98">
        <v>71</v>
      </c>
      <c r="O27" s="98">
        <v>43</v>
      </c>
      <c r="P27" s="24">
        <v>37</v>
      </c>
      <c r="Q27" s="98">
        <v>102</v>
      </c>
      <c r="R27" s="24">
        <v>60</v>
      </c>
      <c r="S27" s="98">
        <v>76</v>
      </c>
      <c r="T27" s="24">
        <v>53</v>
      </c>
      <c r="U27" s="98">
        <v>35</v>
      </c>
      <c r="V27" s="24">
        <v>545.5</v>
      </c>
      <c r="W27" s="24">
        <v>24</v>
      </c>
      <c r="X27" s="24">
        <v>26</v>
      </c>
      <c r="Y27" s="24">
        <v>570</v>
      </c>
      <c r="Z27" s="24">
        <v>15</v>
      </c>
      <c r="AA27" s="24">
        <v>-11</v>
      </c>
    </row>
    <row r="28" spans="1:27">
      <c r="A28" s="24" t="s">
        <v>2934</v>
      </c>
      <c r="B28" s="98" t="s">
        <v>12</v>
      </c>
      <c r="C28" s="24" t="s">
        <v>2946</v>
      </c>
      <c r="D28" s="98">
        <v>102</v>
      </c>
      <c r="E28" s="98">
        <v>86</v>
      </c>
      <c r="F28" s="98">
        <v>109</v>
      </c>
      <c r="G28" s="98">
        <v>26</v>
      </c>
      <c r="H28" s="98">
        <v>114</v>
      </c>
      <c r="I28" s="98">
        <v>17</v>
      </c>
      <c r="J28" s="98">
        <v>74</v>
      </c>
      <c r="K28" s="98">
        <v>32</v>
      </c>
      <c r="L28" s="98">
        <v>81</v>
      </c>
      <c r="M28" s="98">
        <v>7</v>
      </c>
      <c r="N28" s="98">
        <v>65</v>
      </c>
      <c r="O28" s="98">
        <v>77</v>
      </c>
      <c r="P28" s="24">
        <v>32</v>
      </c>
      <c r="Q28" s="98">
        <v>118</v>
      </c>
      <c r="R28" s="24">
        <v>65</v>
      </c>
      <c r="S28" s="98">
        <v>53</v>
      </c>
      <c r="T28" s="24">
        <v>37</v>
      </c>
      <c r="U28" s="98">
        <v>124</v>
      </c>
      <c r="V28" s="24">
        <v>545</v>
      </c>
      <c r="W28" s="24">
        <v>25</v>
      </c>
      <c r="X28" s="24">
        <v>27</v>
      </c>
      <c r="Y28" s="24">
        <v>530.5</v>
      </c>
      <c r="Z28" s="24">
        <v>36</v>
      </c>
      <c r="AA28" s="24">
        <v>9</v>
      </c>
    </row>
    <row r="29" spans="1:27">
      <c r="A29" s="24" t="s">
        <v>2932</v>
      </c>
      <c r="B29" s="98" t="s">
        <v>12</v>
      </c>
      <c r="C29" s="24" t="s">
        <v>70</v>
      </c>
      <c r="D29" s="98">
        <v>108</v>
      </c>
      <c r="E29" s="98">
        <v>54</v>
      </c>
      <c r="F29" s="98">
        <v>105</v>
      </c>
      <c r="G29" s="98">
        <v>30</v>
      </c>
      <c r="H29" s="98">
        <v>128</v>
      </c>
      <c r="I29" s="98">
        <v>2</v>
      </c>
      <c r="J29" s="98">
        <v>71</v>
      </c>
      <c r="K29" s="98">
        <v>46</v>
      </c>
      <c r="L29" s="98">
        <v>66</v>
      </c>
      <c r="M29" s="98">
        <v>60</v>
      </c>
      <c r="N29" s="98">
        <v>67</v>
      </c>
      <c r="O29" s="98">
        <v>60</v>
      </c>
      <c r="P29" s="24">
        <v>32</v>
      </c>
      <c r="Q29" s="98">
        <v>118</v>
      </c>
      <c r="R29" s="24">
        <v>42</v>
      </c>
      <c r="S29" s="98">
        <v>133</v>
      </c>
      <c r="T29" s="24">
        <v>32</v>
      </c>
      <c r="U29" s="98">
        <v>130</v>
      </c>
      <c r="V29" s="24">
        <v>545</v>
      </c>
      <c r="W29" s="24">
        <v>25</v>
      </c>
      <c r="X29" s="24">
        <v>27</v>
      </c>
      <c r="Y29" s="24">
        <v>567.5</v>
      </c>
      <c r="Z29" s="24">
        <v>17</v>
      </c>
      <c r="AA29" s="24">
        <v>-10</v>
      </c>
    </row>
    <row r="30" spans="1:27">
      <c r="A30" s="24" t="s">
        <v>2979</v>
      </c>
      <c r="B30" s="98" t="s">
        <v>12</v>
      </c>
      <c r="C30" s="24" t="s">
        <v>41</v>
      </c>
      <c r="D30" s="98">
        <v>119</v>
      </c>
      <c r="E30" s="98">
        <v>8</v>
      </c>
      <c r="F30" s="98">
        <v>129</v>
      </c>
      <c r="G30" s="98">
        <v>4</v>
      </c>
      <c r="H30" s="98">
        <v>110.5</v>
      </c>
      <c r="I30" s="98">
        <v>25</v>
      </c>
      <c r="J30" s="98">
        <v>62</v>
      </c>
      <c r="K30" s="98">
        <v>98</v>
      </c>
      <c r="L30" s="98">
        <v>55</v>
      </c>
      <c r="M30" s="98">
        <v>117</v>
      </c>
      <c r="N30" s="98">
        <v>69</v>
      </c>
      <c r="O30" s="98">
        <v>54</v>
      </c>
      <c r="P30" s="24">
        <v>45</v>
      </c>
      <c r="Q30" s="98">
        <v>52</v>
      </c>
      <c r="R30" s="24">
        <v>67</v>
      </c>
      <c r="S30" s="98">
        <v>38</v>
      </c>
      <c r="T30" s="24">
        <v>50</v>
      </c>
      <c r="U30" s="98">
        <v>63</v>
      </c>
      <c r="V30" s="24">
        <v>544.5</v>
      </c>
      <c r="W30" s="24">
        <v>27</v>
      </c>
      <c r="X30" s="24">
        <v>29</v>
      </c>
      <c r="Y30" s="24">
        <v>543.5</v>
      </c>
      <c r="Z30" s="24">
        <v>28</v>
      </c>
      <c r="AA30" s="24">
        <v>-1</v>
      </c>
    </row>
    <row r="31" spans="1:27">
      <c r="A31" s="24" t="s">
        <v>2952</v>
      </c>
      <c r="B31" s="98" t="s">
        <v>12</v>
      </c>
      <c r="C31" s="24" t="s">
        <v>59</v>
      </c>
      <c r="D31" s="98">
        <v>110</v>
      </c>
      <c r="E31" s="98">
        <v>39</v>
      </c>
      <c r="F31" s="98">
        <v>100</v>
      </c>
      <c r="G31" s="98">
        <v>42</v>
      </c>
      <c r="H31" s="98">
        <v>111</v>
      </c>
      <c r="I31" s="98">
        <v>22</v>
      </c>
      <c r="J31" s="98">
        <v>67</v>
      </c>
      <c r="K31" s="98">
        <v>74</v>
      </c>
      <c r="L31" s="98">
        <v>72</v>
      </c>
      <c r="M31" s="98">
        <v>33</v>
      </c>
      <c r="N31" s="98">
        <v>77</v>
      </c>
      <c r="O31" s="98">
        <v>13</v>
      </c>
      <c r="P31" s="24">
        <v>42</v>
      </c>
      <c r="Q31" s="98">
        <v>68</v>
      </c>
      <c r="R31" s="24">
        <v>50</v>
      </c>
      <c r="S31" s="98">
        <v>121</v>
      </c>
      <c r="T31" s="24">
        <v>39</v>
      </c>
      <c r="U31" s="98">
        <v>121</v>
      </c>
      <c r="V31" s="24">
        <v>537</v>
      </c>
      <c r="W31" s="24">
        <v>28</v>
      </c>
      <c r="X31" s="24">
        <v>30</v>
      </c>
      <c r="Y31" s="24">
        <v>575.5</v>
      </c>
      <c r="Z31" s="24">
        <v>11</v>
      </c>
      <c r="AA31" s="24">
        <v>-19</v>
      </c>
    </row>
    <row r="32" spans="1:27">
      <c r="A32" s="24" t="s">
        <v>3002</v>
      </c>
      <c r="B32" s="98" t="s">
        <v>12</v>
      </c>
      <c r="C32" s="24" t="s">
        <v>46</v>
      </c>
      <c r="D32" s="98">
        <v>113</v>
      </c>
      <c r="E32" s="98">
        <v>27</v>
      </c>
      <c r="F32" s="98">
        <v>99</v>
      </c>
      <c r="G32" s="98">
        <v>46</v>
      </c>
      <c r="H32" s="98">
        <v>107.5</v>
      </c>
      <c r="I32" s="98">
        <v>34</v>
      </c>
      <c r="J32" s="98">
        <v>67</v>
      </c>
      <c r="K32" s="98">
        <v>74</v>
      </c>
      <c r="L32" s="98">
        <v>66</v>
      </c>
      <c r="M32" s="98">
        <v>60</v>
      </c>
      <c r="N32" s="98">
        <v>84</v>
      </c>
      <c r="O32" s="98">
        <v>5</v>
      </c>
      <c r="P32" s="24">
        <v>46</v>
      </c>
      <c r="Q32" s="98">
        <v>40</v>
      </c>
      <c r="R32" s="24">
        <v>58</v>
      </c>
      <c r="S32" s="98">
        <v>90</v>
      </c>
      <c r="T32" s="24">
        <v>48</v>
      </c>
      <c r="U32" s="98">
        <v>77</v>
      </c>
      <c r="V32" s="24">
        <v>536.5</v>
      </c>
      <c r="W32" s="24">
        <v>29</v>
      </c>
      <c r="X32" s="24">
        <v>31</v>
      </c>
      <c r="Y32" s="24">
        <v>540</v>
      </c>
      <c r="Z32" s="24">
        <v>30</v>
      </c>
      <c r="AA32" s="24">
        <v>-1</v>
      </c>
    </row>
    <row r="33" spans="1:27">
      <c r="A33" s="24" t="s">
        <v>2987</v>
      </c>
      <c r="B33" s="98" t="s">
        <v>12</v>
      </c>
      <c r="C33" s="24" t="s">
        <v>125</v>
      </c>
      <c r="D33" s="98">
        <v>112</v>
      </c>
      <c r="E33" s="98">
        <v>31</v>
      </c>
      <c r="F33" s="98">
        <v>93</v>
      </c>
      <c r="G33" s="98">
        <v>58</v>
      </c>
      <c r="H33" s="98">
        <v>110</v>
      </c>
      <c r="I33" s="98">
        <v>27</v>
      </c>
      <c r="J33" s="98">
        <v>58</v>
      </c>
      <c r="K33" s="98">
        <v>112</v>
      </c>
      <c r="L33" s="98">
        <v>78</v>
      </c>
      <c r="M33" s="98">
        <v>19</v>
      </c>
      <c r="N33" s="98">
        <v>85</v>
      </c>
      <c r="O33" s="98">
        <v>3</v>
      </c>
      <c r="P33" s="24">
        <v>52</v>
      </c>
      <c r="Q33" s="98">
        <v>12</v>
      </c>
      <c r="R33" s="24">
        <v>49</v>
      </c>
      <c r="S33" s="98">
        <v>126</v>
      </c>
      <c r="T33" s="24">
        <v>40</v>
      </c>
      <c r="U33" s="98">
        <v>119</v>
      </c>
      <c r="V33" s="24">
        <v>536</v>
      </c>
      <c r="W33" s="24">
        <v>30</v>
      </c>
      <c r="X33" s="24">
        <v>32</v>
      </c>
      <c r="Y33" s="24">
        <v>498</v>
      </c>
      <c r="Z33" s="24">
        <v>59</v>
      </c>
      <c r="AA33" s="24">
        <v>27</v>
      </c>
    </row>
    <row r="34" spans="1:27">
      <c r="A34" s="24" t="s">
        <v>2977</v>
      </c>
      <c r="B34" s="98" t="s">
        <v>12</v>
      </c>
      <c r="C34" s="24" t="s">
        <v>116</v>
      </c>
      <c r="D34" s="98">
        <v>109</v>
      </c>
      <c r="E34" s="98">
        <v>46</v>
      </c>
      <c r="F34" s="98">
        <v>123</v>
      </c>
      <c r="G34" s="98">
        <v>9</v>
      </c>
      <c r="H34" s="98">
        <v>87.5</v>
      </c>
      <c r="I34" s="98">
        <v>93</v>
      </c>
      <c r="J34" s="98">
        <v>81</v>
      </c>
      <c r="K34" s="98">
        <v>4</v>
      </c>
      <c r="L34" s="98">
        <v>65</v>
      </c>
      <c r="M34" s="98">
        <v>69</v>
      </c>
      <c r="N34" s="98">
        <v>66</v>
      </c>
      <c r="O34" s="98">
        <v>67</v>
      </c>
      <c r="P34" s="24">
        <v>46</v>
      </c>
      <c r="Q34" s="98">
        <v>40</v>
      </c>
      <c r="R34" s="24">
        <v>60</v>
      </c>
      <c r="S34" s="98">
        <v>76</v>
      </c>
      <c r="T34" s="24">
        <v>52</v>
      </c>
      <c r="U34" s="98">
        <v>43</v>
      </c>
      <c r="V34" s="24">
        <v>531.5</v>
      </c>
      <c r="W34" s="24">
        <v>31</v>
      </c>
      <c r="X34" s="24">
        <v>33</v>
      </c>
      <c r="Y34" s="24">
        <v>525</v>
      </c>
      <c r="Z34" s="24">
        <v>39</v>
      </c>
      <c r="AA34" s="24">
        <v>6</v>
      </c>
    </row>
    <row r="35" spans="1:27">
      <c r="A35" s="24" t="s">
        <v>2957</v>
      </c>
      <c r="B35" s="98" t="s">
        <v>12</v>
      </c>
      <c r="C35" s="24" t="s">
        <v>124</v>
      </c>
      <c r="D35" s="98">
        <v>100</v>
      </c>
      <c r="E35" s="98">
        <v>97</v>
      </c>
      <c r="F35" s="98">
        <v>121</v>
      </c>
      <c r="G35" s="98">
        <v>12</v>
      </c>
      <c r="H35" s="98">
        <v>88</v>
      </c>
      <c r="I35" s="98">
        <v>92</v>
      </c>
      <c r="J35" s="98">
        <v>62</v>
      </c>
      <c r="K35" s="98">
        <v>98</v>
      </c>
      <c r="L35" s="98">
        <v>79</v>
      </c>
      <c r="M35" s="98">
        <v>15</v>
      </c>
      <c r="N35" s="98">
        <v>80</v>
      </c>
      <c r="O35" s="98">
        <v>9</v>
      </c>
      <c r="P35" s="24">
        <v>51</v>
      </c>
      <c r="Q35" s="98">
        <v>18</v>
      </c>
      <c r="R35" s="24">
        <v>64</v>
      </c>
      <c r="S35" s="98">
        <v>58</v>
      </c>
      <c r="T35" s="24">
        <v>61</v>
      </c>
      <c r="U35" s="98">
        <v>6</v>
      </c>
      <c r="V35" s="24">
        <v>530</v>
      </c>
      <c r="W35" s="24">
        <v>32</v>
      </c>
      <c r="X35" s="24">
        <v>34</v>
      </c>
      <c r="Y35" s="24">
        <v>513</v>
      </c>
      <c r="Z35" s="24">
        <v>48</v>
      </c>
      <c r="AA35" s="24">
        <v>14</v>
      </c>
    </row>
    <row r="36" spans="1:27">
      <c r="A36" s="24" t="s">
        <v>2948</v>
      </c>
      <c r="B36" s="98" t="s">
        <v>12</v>
      </c>
      <c r="C36" s="24" t="s">
        <v>32</v>
      </c>
      <c r="D36" s="98">
        <v>102</v>
      </c>
      <c r="E36" s="98">
        <v>86</v>
      </c>
      <c r="F36" s="98">
        <v>110</v>
      </c>
      <c r="G36" s="98">
        <v>22</v>
      </c>
      <c r="H36" s="98">
        <v>114.5</v>
      </c>
      <c r="I36" s="98">
        <v>16</v>
      </c>
      <c r="J36" s="98">
        <v>67</v>
      </c>
      <c r="K36" s="98">
        <v>74</v>
      </c>
      <c r="L36" s="98">
        <v>68</v>
      </c>
      <c r="M36" s="98">
        <v>52</v>
      </c>
      <c r="N36" s="98">
        <v>67</v>
      </c>
      <c r="O36" s="98">
        <v>60</v>
      </c>
      <c r="P36" s="24">
        <v>40</v>
      </c>
      <c r="Q36" s="98">
        <v>79</v>
      </c>
      <c r="R36" s="24">
        <v>63</v>
      </c>
      <c r="S36" s="98">
        <v>63</v>
      </c>
      <c r="T36" s="24">
        <v>43</v>
      </c>
      <c r="U36" s="98">
        <v>102</v>
      </c>
      <c r="V36" s="24">
        <v>528.5</v>
      </c>
      <c r="W36" s="24">
        <v>33</v>
      </c>
      <c r="X36" s="24">
        <v>35</v>
      </c>
      <c r="Y36" s="24">
        <v>571</v>
      </c>
      <c r="Z36" s="24">
        <v>13</v>
      </c>
      <c r="AA36" s="24">
        <v>-22</v>
      </c>
    </row>
    <row r="37" spans="1:27">
      <c r="A37" s="24" t="s">
        <v>2998</v>
      </c>
      <c r="B37" s="98" t="s">
        <v>12</v>
      </c>
      <c r="C37" s="24" t="s">
        <v>120</v>
      </c>
      <c r="D37" s="98">
        <v>99</v>
      </c>
      <c r="E37" s="98">
        <v>102</v>
      </c>
      <c r="F37" s="98">
        <v>100</v>
      </c>
      <c r="G37" s="98">
        <v>42</v>
      </c>
      <c r="H37" s="98">
        <v>100.5</v>
      </c>
      <c r="I37" s="98">
        <v>51</v>
      </c>
      <c r="J37" s="98">
        <v>79</v>
      </c>
      <c r="K37" s="98">
        <v>9</v>
      </c>
      <c r="L37" s="98">
        <v>73</v>
      </c>
      <c r="M37" s="98">
        <v>30</v>
      </c>
      <c r="N37" s="98">
        <v>76</v>
      </c>
      <c r="O37" s="98">
        <v>20</v>
      </c>
      <c r="P37" s="24">
        <v>47</v>
      </c>
      <c r="Q37" s="98">
        <v>33</v>
      </c>
      <c r="R37" s="24">
        <v>69</v>
      </c>
      <c r="S37" s="98">
        <v>26</v>
      </c>
      <c r="T37" s="24">
        <v>59</v>
      </c>
      <c r="U37" s="98">
        <v>9</v>
      </c>
      <c r="V37" s="24">
        <v>527.5</v>
      </c>
      <c r="W37" s="24">
        <v>34</v>
      </c>
      <c r="X37" s="24">
        <v>36</v>
      </c>
      <c r="Y37" s="24">
        <v>550.5</v>
      </c>
      <c r="Z37" s="24">
        <v>24</v>
      </c>
      <c r="AA37" s="24">
        <v>-12</v>
      </c>
    </row>
    <row r="38" spans="1:27">
      <c r="A38" s="24" t="s">
        <v>2984</v>
      </c>
      <c r="B38" s="98" t="s">
        <v>12</v>
      </c>
      <c r="C38" s="24" t="s">
        <v>112</v>
      </c>
      <c r="D38" s="98">
        <v>110</v>
      </c>
      <c r="E38" s="98">
        <v>39</v>
      </c>
      <c r="F38" s="98">
        <v>93</v>
      </c>
      <c r="G38" s="98">
        <v>58</v>
      </c>
      <c r="H38" s="98">
        <v>111.5</v>
      </c>
      <c r="I38" s="98">
        <v>21</v>
      </c>
      <c r="J38" s="98">
        <v>70</v>
      </c>
      <c r="K38" s="98">
        <v>57</v>
      </c>
      <c r="L38" s="98">
        <v>79</v>
      </c>
      <c r="M38" s="98">
        <v>15</v>
      </c>
      <c r="N38" s="98">
        <v>63</v>
      </c>
      <c r="O38" s="98">
        <v>86</v>
      </c>
      <c r="P38" s="24">
        <v>52</v>
      </c>
      <c r="Q38" s="98">
        <v>12</v>
      </c>
      <c r="R38" s="24">
        <v>65</v>
      </c>
      <c r="S38" s="98">
        <v>53</v>
      </c>
      <c r="T38" s="24">
        <v>50</v>
      </c>
      <c r="U38" s="98">
        <v>63</v>
      </c>
      <c r="V38" s="24">
        <v>526.5</v>
      </c>
      <c r="W38" s="24">
        <v>35</v>
      </c>
      <c r="X38" s="24">
        <v>37</v>
      </c>
      <c r="Y38" s="24">
        <v>531</v>
      </c>
      <c r="Z38" s="24">
        <v>35</v>
      </c>
      <c r="AA38" s="24">
        <v>-2</v>
      </c>
    </row>
    <row r="39" spans="1:27">
      <c r="A39" s="24" t="s">
        <v>3180</v>
      </c>
      <c r="B39" s="98" t="s">
        <v>25</v>
      </c>
      <c r="C39" s="24" t="s">
        <v>3181</v>
      </c>
      <c r="D39" s="98">
        <v>115</v>
      </c>
      <c r="E39" s="98">
        <v>20</v>
      </c>
      <c r="F39" s="98">
        <v>99</v>
      </c>
      <c r="G39" s="98">
        <v>46</v>
      </c>
      <c r="H39" s="98">
        <v>104</v>
      </c>
      <c r="I39" s="98">
        <v>43</v>
      </c>
      <c r="J39" s="98">
        <v>68</v>
      </c>
      <c r="K39" s="98">
        <v>70</v>
      </c>
      <c r="L39" s="98">
        <v>68</v>
      </c>
      <c r="M39" s="98">
        <v>52</v>
      </c>
      <c r="N39" s="98">
        <v>71</v>
      </c>
      <c r="O39" s="98">
        <v>43</v>
      </c>
      <c r="P39" s="24">
        <v>49</v>
      </c>
      <c r="Q39" s="98">
        <v>22</v>
      </c>
      <c r="R39" s="24">
        <v>56</v>
      </c>
      <c r="S39" s="98">
        <v>106</v>
      </c>
      <c r="T39" s="24">
        <v>51</v>
      </c>
      <c r="U39" s="98">
        <v>52</v>
      </c>
      <c r="V39" s="24">
        <v>525</v>
      </c>
      <c r="W39" s="24">
        <v>2</v>
      </c>
      <c r="X39" s="24">
        <v>38</v>
      </c>
      <c r="Y39" s="24">
        <v>514.5</v>
      </c>
      <c r="Z39" s="24">
        <v>45</v>
      </c>
      <c r="AA39" s="24">
        <v>7</v>
      </c>
    </row>
    <row r="40" spans="1:27">
      <c r="A40" s="24" t="s">
        <v>3183</v>
      </c>
      <c r="B40" s="98" t="s">
        <v>25</v>
      </c>
      <c r="C40" s="24" t="s">
        <v>2356</v>
      </c>
      <c r="D40" s="98">
        <v>115</v>
      </c>
      <c r="E40" s="98">
        <v>20</v>
      </c>
      <c r="F40" s="98">
        <v>103</v>
      </c>
      <c r="G40" s="98">
        <v>35</v>
      </c>
      <c r="H40" s="98">
        <v>111</v>
      </c>
      <c r="I40" s="98">
        <v>22</v>
      </c>
      <c r="J40" s="98">
        <v>76</v>
      </c>
      <c r="K40" s="98">
        <v>23</v>
      </c>
      <c r="L40" s="98">
        <v>52</v>
      </c>
      <c r="M40" s="98">
        <v>121</v>
      </c>
      <c r="N40" s="98">
        <v>67</v>
      </c>
      <c r="O40" s="98">
        <v>60</v>
      </c>
      <c r="P40" s="24">
        <v>37</v>
      </c>
      <c r="Q40" s="98">
        <v>102</v>
      </c>
      <c r="R40" s="24">
        <v>68</v>
      </c>
      <c r="S40" s="98">
        <v>31</v>
      </c>
      <c r="T40" s="24">
        <v>49</v>
      </c>
      <c r="U40" s="98">
        <v>70</v>
      </c>
      <c r="V40" s="24">
        <v>524</v>
      </c>
      <c r="W40" s="24">
        <v>3</v>
      </c>
      <c r="X40" s="24">
        <v>39</v>
      </c>
      <c r="Y40" s="24">
        <v>490.5</v>
      </c>
      <c r="Z40" s="24">
        <v>69</v>
      </c>
      <c r="AA40" s="24">
        <v>30</v>
      </c>
    </row>
    <row r="41" spans="1:27">
      <c r="A41" s="24" t="s">
        <v>3277</v>
      </c>
      <c r="B41" s="98" t="s">
        <v>52</v>
      </c>
      <c r="C41" s="24" t="s">
        <v>65</v>
      </c>
      <c r="D41" s="98">
        <v>117</v>
      </c>
      <c r="E41" s="98">
        <v>13</v>
      </c>
      <c r="F41" s="98">
        <v>95</v>
      </c>
      <c r="G41" s="98">
        <v>56</v>
      </c>
      <c r="H41" s="98">
        <v>97</v>
      </c>
      <c r="I41" s="98">
        <v>64</v>
      </c>
      <c r="J41" s="98">
        <v>73</v>
      </c>
      <c r="K41" s="98">
        <v>37</v>
      </c>
      <c r="L41" s="98">
        <v>65</v>
      </c>
      <c r="M41" s="98">
        <v>69</v>
      </c>
      <c r="N41" s="98">
        <v>77</v>
      </c>
      <c r="O41" s="98">
        <v>13</v>
      </c>
      <c r="P41" s="24">
        <v>47</v>
      </c>
      <c r="Q41" s="98">
        <v>33</v>
      </c>
      <c r="R41" s="24">
        <v>43</v>
      </c>
      <c r="S41" s="98">
        <v>132</v>
      </c>
      <c r="T41" s="24">
        <v>48</v>
      </c>
      <c r="U41" s="98">
        <v>77</v>
      </c>
      <c r="V41" s="24">
        <v>524</v>
      </c>
      <c r="W41" s="24">
        <v>2</v>
      </c>
      <c r="X41" s="24">
        <v>39</v>
      </c>
      <c r="Y41" s="24">
        <v>493.5</v>
      </c>
      <c r="Z41" s="24">
        <v>64</v>
      </c>
      <c r="AA41" s="24">
        <v>25</v>
      </c>
    </row>
    <row r="42" spans="1:27">
      <c r="A42" s="24" t="s">
        <v>3439</v>
      </c>
      <c r="B42" s="98" t="s">
        <v>12</v>
      </c>
      <c r="C42" s="24" t="s">
        <v>411</v>
      </c>
      <c r="D42" s="98">
        <v>113</v>
      </c>
      <c r="E42" s="98">
        <v>27</v>
      </c>
      <c r="F42" s="98">
        <v>110</v>
      </c>
      <c r="G42" s="98">
        <v>22</v>
      </c>
      <c r="H42" s="98">
        <v>97</v>
      </c>
      <c r="I42" s="98">
        <v>64</v>
      </c>
      <c r="J42" s="98">
        <v>72</v>
      </c>
      <c r="K42" s="98">
        <v>41</v>
      </c>
      <c r="L42" s="98">
        <v>64</v>
      </c>
      <c r="M42" s="98">
        <v>77</v>
      </c>
      <c r="N42" s="98">
        <v>66</v>
      </c>
      <c r="O42" s="98">
        <v>67</v>
      </c>
      <c r="P42" s="24">
        <v>42</v>
      </c>
      <c r="Q42" s="98">
        <v>68</v>
      </c>
      <c r="R42" s="24">
        <v>58</v>
      </c>
      <c r="S42" s="98">
        <v>90</v>
      </c>
      <c r="T42" s="24">
        <v>51</v>
      </c>
      <c r="U42" s="98">
        <v>52</v>
      </c>
      <c r="V42" s="24">
        <v>522</v>
      </c>
      <c r="W42" s="24">
        <v>36</v>
      </c>
      <c r="X42" s="24">
        <v>41</v>
      </c>
      <c r="Y42" s="24">
        <v>519</v>
      </c>
      <c r="Z42" s="24">
        <v>41</v>
      </c>
      <c r="AA42" s="24">
        <v>0</v>
      </c>
    </row>
    <row r="43" spans="1:27">
      <c r="A43" s="24" t="s">
        <v>3037</v>
      </c>
      <c r="B43" s="98" t="s">
        <v>52</v>
      </c>
      <c r="C43" s="24" t="s">
        <v>2928</v>
      </c>
      <c r="D43" s="98">
        <v>108</v>
      </c>
      <c r="E43" s="98">
        <v>54</v>
      </c>
      <c r="F43" s="98">
        <v>97</v>
      </c>
      <c r="G43" s="98">
        <v>50</v>
      </c>
      <c r="H43" s="98">
        <v>105</v>
      </c>
      <c r="I43" s="98">
        <v>41</v>
      </c>
      <c r="J43" s="98">
        <v>71</v>
      </c>
      <c r="K43" s="98">
        <v>46</v>
      </c>
      <c r="L43" s="98">
        <v>62</v>
      </c>
      <c r="M43" s="98">
        <v>85</v>
      </c>
      <c r="N43" s="98">
        <v>78</v>
      </c>
      <c r="O43" s="98">
        <v>11</v>
      </c>
      <c r="P43" s="24">
        <v>51</v>
      </c>
      <c r="Q43" s="98">
        <v>18</v>
      </c>
      <c r="R43" s="24">
        <v>57</v>
      </c>
      <c r="S43" s="98">
        <v>97</v>
      </c>
      <c r="T43" s="24">
        <v>53</v>
      </c>
      <c r="U43" s="98">
        <v>35</v>
      </c>
      <c r="V43" s="24">
        <v>521</v>
      </c>
      <c r="W43" s="24">
        <v>3</v>
      </c>
      <c r="X43" s="24">
        <v>42</v>
      </c>
      <c r="Y43" s="24">
        <v>522.5</v>
      </c>
      <c r="Z43" s="24">
        <v>40</v>
      </c>
      <c r="AA43" s="24">
        <v>-2</v>
      </c>
    </row>
    <row r="44" spans="1:27">
      <c r="A44" s="24" t="s">
        <v>2916</v>
      </c>
      <c r="B44" s="98" t="s">
        <v>12</v>
      </c>
      <c r="C44" s="24" t="s">
        <v>44</v>
      </c>
      <c r="D44" s="98">
        <v>109</v>
      </c>
      <c r="E44" s="98">
        <v>46</v>
      </c>
      <c r="F44" s="98">
        <v>102</v>
      </c>
      <c r="G44" s="98">
        <v>37</v>
      </c>
      <c r="H44" s="98">
        <v>98.5</v>
      </c>
      <c r="I44" s="98">
        <v>60</v>
      </c>
      <c r="J44" s="98">
        <v>63</v>
      </c>
      <c r="K44" s="98">
        <v>93</v>
      </c>
      <c r="L44" s="98">
        <v>72</v>
      </c>
      <c r="M44" s="98">
        <v>33</v>
      </c>
      <c r="N44" s="98">
        <v>75</v>
      </c>
      <c r="O44" s="98">
        <v>29</v>
      </c>
      <c r="P44" s="24">
        <v>68</v>
      </c>
      <c r="Q44" s="98">
        <v>3</v>
      </c>
      <c r="R44" s="24">
        <v>75</v>
      </c>
      <c r="S44" s="98">
        <v>12</v>
      </c>
      <c r="T44" s="24">
        <v>62</v>
      </c>
      <c r="U44" s="98">
        <v>5</v>
      </c>
      <c r="V44" s="24">
        <v>519.5</v>
      </c>
      <c r="W44" s="24">
        <v>37</v>
      </c>
      <c r="X44" s="24">
        <v>43</v>
      </c>
      <c r="Y44" s="24">
        <v>527</v>
      </c>
      <c r="Z44" s="24">
        <v>37</v>
      </c>
      <c r="AA44" s="24">
        <v>-6</v>
      </c>
    </row>
    <row r="45" spans="1:27">
      <c r="A45" s="24" t="s">
        <v>2993</v>
      </c>
      <c r="B45" s="98" t="s">
        <v>12</v>
      </c>
      <c r="C45" s="24" t="s">
        <v>149</v>
      </c>
      <c r="D45" s="98">
        <v>110</v>
      </c>
      <c r="E45" s="98">
        <v>39</v>
      </c>
      <c r="F45" s="98">
        <v>104</v>
      </c>
      <c r="G45" s="98">
        <v>32</v>
      </c>
      <c r="H45" s="98">
        <v>91.5</v>
      </c>
      <c r="I45" s="98">
        <v>79</v>
      </c>
      <c r="J45" s="98">
        <v>74</v>
      </c>
      <c r="K45" s="98">
        <v>32</v>
      </c>
      <c r="L45" s="98">
        <v>67</v>
      </c>
      <c r="M45" s="98">
        <v>58</v>
      </c>
      <c r="N45" s="98">
        <v>71</v>
      </c>
      <c r="O45" s="98">
        <v>43</v>
      </c>
      <c r="P45" s="24">
        <v>43</v>
      </c>
      <c r="Q45" s="98">
        <v>60</v>
      </c>
      <c r="R45" s="24">
        <v>64</v>
      </c>
      <c r="S45" s="98">
        <v>58</v>
      </c>
      <c r="T45" s="24">
        <v>54</v>
      </c>
      <c r="U45" s="98">
        <v>27</v>
      </c>
      <c r="V45" s="24">
        <v>517.5</v>
      </c>
      <c r="W45" s="24">
        <v>38</v>
      </c>
      <c r="X45" s="24">
        <v>44</v>
      </c>
      <c r="Y45" s="24">
        <v>546</v>
      </c>
      <c r="Z45" s="24">
        <v>27</v>
      </c>
      <c r="AA45" s="24">
        <v>-17</v>
      </c>
    </row>
    <row r="46" spans="1:27">
      <c r="A46" s="24" t="s">
        <v>2921</v>
      </c>
      <c r="B46" s="98" t="s">
        <v>12</v>
      </c>
      <c r="C46" s="24" t="s">
        <v>1653</v>
      </c>
      <c r="D46" s="98">
        <v>108</v>
      </c>
      <c r="E46" s="98">
        <v>54</v>
      </c>
      <c r="F46" s="98">
        <v>97</v>
      </c>
      <c r="G46" s="98">
        <v>50</v>
      </c>
      <c r="H46" s="98">
        <v>99</v>
      </c>
      <c r="I46" s="98">
        <v>56</v>
      </c>
      <c r="J46" s="98">
        <v>73</v>
      </c>
      <c r="K46" s="98">
        <v>37</v>
      </c>
      <c r="L46" s="98">
        <v>74</v>
      </c>
      <c r="M46" s="98">
        <v>27</v>
      </c>
      <c r="N46" s="98">
        <v>66</v>
      </c>
      <c r="O46" s="98">
        <v>67</v>
      </c>
      <c r="P46" s="24">
        <v>49</v>
      </c>
      <c r="Q46" s="98">
        <v>22</v>
      </c>
      <c r="R46" s="24">
        <v>71</v>
      </c>
      <c r="S46" s="98">
        <v>19</v>
      </c>
      <c r="T46" s="24">
        <v>52</v>
      </c>
      <c r="U46" s="98">
        <v>43</v>
      </c>
      <c r="V46" s="24">
        <v>517</v>
      </c>
      <c r="W46" s="24">
        <v>39</v>
      </c>
      <c r="X46" s="24">
        <v>45</v>
      </c>
      <c r="Y46" s="24">
        <v>518.5</v>
      </c>
      <c r="Z46" s="24">
        <v>42</v>
      </c>
      <c r="AA46" s="24">
        <v>-3</v>
      </c>
    </row>
    <row r="47" spans="1:27">
      <c r="A47" s="24" t="s">
        <v>3060</v>
      </c>
      <c r="B47" s="98" t="s">
        <v>52</v>
      </c>
      <c r="C47" s="24" t="s">
        <v>71</v>
      </c>
      <c r="D47" s="98">
        <v>111</v>
      </c>
      <c r="E47" s="98">
        <v>35</v>
      </c>
      <c r="F47" s="98">
        <v>88</v>
      </c>
      <c r="G47" s="98">
        <v>64</v>
      </c>
      <c r="H47" s="98">
        <v>89</v>
      </c>
      <c r="I47" s="98">
        <v>87</v>
      </c>
      <c r="J47" s="98">
        <v>82</v>
      </c>
      <c r="K47" s="98">
        <v>2</v>
      </c>
      <c r="L47" s="98">
        <v>73</v>
      </c>
      <c r="M47" s="98">
        <v>30</v>
      </c>
      <c r="N47" s="98">
        <v>73</v>
      </c>
      <c r="O47" s="98">
        <v>39</v>
      </c>
      <c r="P47" s="24">
        <v>34</v>
      </c>
      <c r="Q47" s="98">
        <v>112</v>
      </c>
      <c r="R47" s="24">
        <v>53</v>
      </c>
      <c r="S47" s="98">
        <v>117</v>
      </c>
      <c r="T47" s="24">
        <v>55</v>
      </c>
      <c r="U47" s="98">
        <v>22</v>
      </c>
      <c r="V47" s="24">
        <v>516</v>
      </c>
      <c r="W47" s="24">
        <v>4</v>
      </c>
      <c r="X47" s="24">
        <v>46</v>
      </c>
      <c r="Y47" s="24">
        <v>511.5</v>
      </c>
      <c r="Z47" s="24">
        <v>50</v>
      </c>
      <c r="AA47" s="24">
        <v>4</v>
      </c>
    </row>
    <row r="48" spans="1:27">
      <c r="A48" s="24" t="s">
        <v>3066</v>
      </c>
      <c r="B48" s="98" t="s">
        <v>52</v>
      </c>
      <c r="C48" s="24" t="s">
        <v>96</v>
      </c>
      <c r="D48" s="98">
        <v>109</v>
      </c>
      <c r="E48" s="98">
        <v>46</v>
      </c>
      <c r="F48" s="98">
        <v>83</v>
      </c>
      <c r="G48" s="98">
        <v>72</v>
      </c>
      <c r="H48" s="98">
        <v>109</v>
      </c>
      <c r="I48" s="98">
        <v>32</v>
      </c>
      <c r="J48" s="98">
        <v>71</v>
      </c>
      <c r="K48" s="98">
        <v>46</v>
      </c>
      <c r="L48" s="98">
        <v>68</v>
      </c>
      <c r="M48" s="98">
        <v>52</v>
      </c>
      <c r="N48" s="98">
        <v>76</v>
      </c>
      <c r="O48" s="98">
        <v>20</v>
      </c>
      <c r="P48" s="24">
        <v>36</v>
      </c>
      <c r="Q48" s="98">
        <v>105</v>
      </c>
      <c r="R48" s="24">
        <v>55</v>
      </c>
      <c r="S48" s="98">
        <v>110</v>
      </c>
      <c r="T48" s="24">
        <v>49</v>
      </c>
      <c r="U48" s="98">
        <v>70</v>
      </c>
      <c r="V48" s="24">
        <v>516</v>
      </c>
      <c r="W48" s="24">
        <v>4</v>
      </c>
      <c r="X48" s="24">
        <v>46</v>
      </c>
      <c r="Y48" s="24">
        <v>510.5</v>
      </c>
      <c r="Z48" s="24">
        <v>51</v>
      </c>
      <c r="AA48" s="24">
        <v>5</v>
      </c>
    </row>
    <row r="49" spans="1:27">
      <c r="A49" s="24" t="s">
        <v>3282</v>
      </c>
      <c r="B49" s="98" t="s">
        <v>52</v>
      </c>
      <c r="C49" s="24" t="s">
        <v>27</v>
      </c>
      <c r="D49" s="98">
        <v>113</v>
      </c>
      <c r="E49" s="98">
        <v>27</v>
      </c>
      <c r="F49" s="98">
        <v>95</v>
      </c>
      <c r="G49" s="98">
        <v>56</v>
      </c>
      <c r="H49" s="98">
        <v>106.5</v>
      </c>
      <c r="I49" s="98">
        <v>36</v>
      </c>
      <c r="J49" s="98">
        <v>68</v>
      </c>
      <c r="K49" s="98">
        <v>70</v>
      </c>
      <c r="L49" s="98">
        <v>61</v>
      </c>
      <c r="M49" s="98">
        <v>90</v>
      </c>
      <c r="N49" s="98">
        <v>71</v>
      </c>
      <c r="O49" s="98">
        <v>43</v>
      </c>
      <c r="P49" s="24">
        <v>43</v>
      </c>
      <c r="Q49" s="98">
        <v>60</v>
      </c>
      <c r="R49" s="24">
        <v>61</v>
      </c>
      <c r="S49" s="98">
        <v>73</v>
      </c>
      <c r="T49" s="24">
        <v>53</v>
      </c>
      <c r="U49" s="98">
        <v>35</v>
      </c>
      <c r="V49" s="24">
        <v>514.5</v>
      </c>
      <c r="W49" s="24">
        <v>6</v>
      </c>
      <c r="X49" s="24">
        <v>48</v>
      </c>
      <c r="Y49" s="24">
        <v>475.5</v>
      </c>
      <c r="Z49" s="24">
        <v>77</v>
      </c>
      <c r="AA49" s="24">
        <v>29</v>
      </c>
    </row>
    <row r="50" spans="1:27">
      <c r="A50" s="24" t="s">
        <v>2919</v>
      </c>
      <c r="B50" s="98" t="s">
        <v>12</v>
      </c>
      <c r="C50" s="24" t="s">
        <v>2922</v>
      </c>
      <c r="D50" s="98">
        <v>102</v>
      </c>
      <c r="E50" s="98">
        <v>86</v>
      </c>
      <c r="F50" s="98">
        <v>101</v>
      </c>
      <c r="G50" s="98">
        <v>38</v>
      </c>
      <c r="H50" s="98">
        <v>105.5</v>
      </c>
      <c r="I50" s="98">
        <v>39</v>
      </c>
      <c r="J50" s="98">
        <v>74</v>
      </c>
      <c r="K50" s="98">
        <v>32</v>
      </c>
      <c r="L50" s="98">
        <v>62</v>
      </c>
      <c r="M50" s="98">
        <v>85</v>
      </c>
      <c r="N50" s="98">
        <v>69</v>
      </c>
      <c r="O50" s="98">
        <v>54</v>
      </c>
      <c r="P50" s="24">
        <v>35</v>
      </c>
      <c r="Q50" s="98">
        <v>109</v>
      </c>
      <c r="R50" s="24">
        <v>68</v>
      </c>
      <c r="S50" s="98">
        <v>31</v>
      </c>
      <c r="T50" s="24">
        <v>43</v>
      </c>
      <c r="U50" s="98">
        <v>102</v>
      </c>
      <c r="V50" s="24">
        <v>513.5</v>
      </c>
      <c r="W50" s="24">
        <v>40</v>
      </c>
      <c r="X50" s="24">
        <v>49</v>
      </c>
      <c r="Y50" s="24">
        <v>512</v>
      </c>
      <c r="Z50" s="24">
        <v>49</v>
      </c>
      <c r="AA50" s="24">
        <v>0</v>
      </c>
    </row>
    <row r="51" spans="1:27">
      <c r="A51" s="24" t="s">
        <v>2924</v>
      </c>
      <c r="B51" s="98" t="s">
        <v>12</v>
      </c>
      <c r="C51" s="24" t="s">
        <v>81</v>
      </c>
      <c r="D51" s="98">
        <v>112</v>
      </c>
      <c r="E51" s="98">
        <v>31</v>
      </c>
      <c r="F51" s="98">
        <v>105</v>
      </c>
      <c r="G51" s="98">
        <v>30</v>
      </c>
      <c r="H51" s="98">
        <v>101</v>
      </c>
      <c r="I51" s="98">
        <v>49</v>
      </c>
      <c r="J51" s="98">
        <v>69</v>
      </c>
      <c r="K51" s="98">
        <v>64</v>
      </c>
      <c r="L51" s="98">
        <v>62</v>
      </c>
      <c r="M51" s="98">
        <v>85</v>
      </c>
      <c r="N51" s="98">
        <v>61</v>
      </c>
      <c r="O51" s="98">
        <v>94</v>
      </c>
      <c r="P51" s="24">
        <v>46</v>
      </c>
      <c r="Q51" s="98">
        <v>40</v>
      </c>
      <c r="R51" s="24">
        <v>60</v>
      </c>
      <c r="S51" s="98">
        <v>76</v>
      </c>
      <c r="T51" s="24">
        <v>51</v>
      </c>
      <c r="U51" s="98">
        <v>52</v>
      </c>
      <c r="V51" s="24">
        <v>510</v>
      </c>
      <c r="W51" s="24">
        <v>41</v>
      </c>
      <c r="X51" s="24">
        <v>50</v>
      </c>
      <c r="Y51" s="24">
        <v>547</v>
      </c>
      <c r="Z51" s="24">
        <v>26</v>
      </c>
      <c r="AA51" s="24">
        <v>-24</v>
      </c>
    </row>
    <row r="52" spans="1:27">
      <c r="A52" s="24" t="s">
        <v>2967</v>
      </c>
      <c r="B52" s="98" t="s">
        <v>12</v>
      </c>
      <c r="C52" s="24" t="s">
        <v>2985</v>
      </c>
      <c r="D52" s="98">
        <v>101</v>
      </c>
      <c r="E52" s="98">
        <v>93</v>
      </c>
      <c r="F52" s="98">
        <v>101</v>
      </c>
      <c r="G52" s="98">
        <v>38</v>
      </c>
      <c r="H52" s="98">
        <v>100.5</v>
      </c>
      <c r="I52" s="98">
        <v>51</v>
      </c>
      <c r="J52" s="98">
        <v>75</v>
      </c>
      <c r="K52" s="98">
        <v>29</v>
      </c>
      <c r="L52" s="98">
        <v>64</v>
      </c>
      <c r="M52" s="98">
        <v>77</v>
      </c>
      <c r="N52" s="98">
        <v>65</v>
      </c>
      <c r="O52" s="98">
        <v>77</v>
      </c>
      <c r="P52" s="24">
        <v>46</v>
      </c>
      <c r="Q52" s="98">
        <v>40</v>
      </c>
      <c r="R52" s="24">
        <v>57</v>
      </c>
      <c r="S52" s="98">
        <v>97</v>
      </c>
      <c r="T52" s="24">
        <v>54</v>
      </c>
      <c r="U52" s="98">
        <v>27</v>
      </c>
      <c r="V52" s="24">
        <v>506.5</v>
      </c>
      <c r="W52" s="24">
        <v>42</v>
      </c>
      <c r="X52" s="24">
        <v>51</v>
      </c>
      <c r="Y52" s="24">
        <v>517</v>
      </c>
      <c r="Z52" s="24">
        <v>43</v>
      </c>
      <c r="AA52" s="24">
        <v>-8</v>
      </c>
    </row>
    <row r="53" spans="1:27">
      <c r="A53" s="24" t="s">
        <v>2959</v>
      </c>
      <c r="B53" s="98" t="s">
        <v>12</v>
      </c>
      <c r="C53" s="24" t="s">
        <v>88</v>
      </c>
      <c r="D53" s="98">
        <v>101</v>
      </c>
      <c r="E53" s="98">
        <v>93</v>
      </c>
      <c r="F53" s="98">
        <v>113</v>
      </c>
      <c r="G53" s="98">
        <v>20</v>
      </c>
      <c r="H53" s="98">
        <v>81.5</v>
      </c>
      <c r="I53" s="98">
        <v>112</v>
      </c>
      <c r="J53" s="98">
        <v>69</v>
      </c>
      <c r="K53" s="98">
        <v>64</v>
      </c>
      <c r="L53" s="98">
        <v>66</v>
      </c>
      <c r="M53" s="98">
        <v>60</v>
      </c>
      <c r="N53" s="98">
        <v>68</v>
      </c>
      <c r="O53" s="98">
        <v>57</v>
      </c>
      <c r="P53" s="24">
        <v>48</v>
      </c>
      <c r="Q53" s="98">
        <v>26</v>
      </c>
      <c r="R53" s="24">
        <v>66</v>
      </c>
      <c r="S53" s="98">
        <v>44</v>
      </c>
      <c r="T53" s="24">
        <v>58</v>
      </c>
      <c r="U53" s="98">
        <v>11</v>
      </c>
      <c r="V53" s="24">
        <v>498.5</v>
      </c>
      <c r="W53" s="24">
        <v>43</v>
      </c>
      <c r="X53" s="24">
        <v>52</v>
      </c>
      <c r="Y53" s="24">
        <v>527</v>
      </c>
      <c r="Z53" s="24">
        <v>37</v>
      </c>
      <c r="AA53" s="24">
        <v>-15</v>
      </c>
    </row>
    <row r="54" spans="1:27">
      <c r="A54" s="24" t="s">
        <v>3234</v>
      </c>
      <c r="B54" s="98" t="s">
        <v>25</v>
      </c>
      <c r="C54" s="24" t="s">
        <v>3235</v>
      </c>
      <c r="D54" s="98">
        <v>105</v>
      </c>
      <c r="E54" s="98">
        <v>75</v>
      </c>
      <c r="F54" s="98">
        <v>103</v>
      </c>
      <c r="G54" s="98">
        <v>35</v>
      </c>
      <c r="H54" s="98">
        <v>92.5</v>
      </c>
      <c r="I54" s="98">
        <v>76</v>
      </c>
      <c r="J54" s="98">
        <v>69</v>
      </c>
      <c r="K54" s="98">
        <v>64</v>
      </c>
      <c r="L54" s="98">
        <v>63</v>
      </c>
      <c r="M54" s="98">
        <v>81</v>
      </c>
      <c r="N54" s="98">
        <v>64</v>
      </c>
      <c r="O54" s="98">
        <v>82</v>
      </c>
      <c r="P54" s="24">
        <v>44</v>
      </c>
      <c r="Q54" s="98">
        <v>55</v>
      </c>
      <c r="R54" s="24">
        <v>56</v>
      </c>
      <c r="S54" s="98">
        <v>106</v>
      </c>
      <c r="T54" s="24">
        <v>46</v>
      </c>
      <c r="U54" s="98">
        <v>89</v>
      </c>
      <c r="V54" s="24">
        <v>496.5</v>
      </c>
      <c r="W54" s="24">
        <v>4</v>
      </c>
      <c r="X54" s="24">
        <v>53</v>
      </c>
      <c r="Y54" s="24">
        <v>457</v>
      </c>
      <c r="Z54" s="24">
        <v>101</v>
      </c>
      <c r="AA54" s="24">
        <v>48</v>
      </c>
    </row>
    <row r="55" spans="1:27">
      <c r="A55" s="24" t="s">
        <v>3098</v>
      </c>
      <c r="B55" s="98" t="s">
        <v>52</v>
      </c>
      <c r="C55" s="24" t="s">
        <v>2994</v>
      </c>
      <c r="D55" s="98">
        <v>123</v>
      </c>
      <c r="E55" s="98">
        <v>1</v>
      </c>
      <c r="F55" s="98">
        <v>70</v>
      </c>
      <c r="G55" s="98">
        <v>98</v>
      </c>
      <c r="H55" s="98">
        <v>90.5</v>
      </c>
      <c r="I55" s="98">
        <v>81</v>
      </c>
      <c r="J55" s="98">
        <v>63</v>
      </c>
      <c r="K55" s="98">
        <v>93</v>
      </c>
      <c r="L55" s="98">
        <v>74</v>
      </c>
      <c r="M55" s="98">
        <v>27</v>
      </c>
      <c r="N55" s="98">
        <v>76</v>
      </c>
      <c r="O55" s="98">
        <v>20</v>
      </c>
      <c r="P55" s="24">
        <v>33</v>
      </c>
      <c r="Q55" s="98">
        <v>115</v>
      </c>
      <c r="R55" s="24">
        <v>60</v>
      </c>
      <c r="S55" s="98">
        <v>76</v>
      </c>
      <c r="T55" s="24">
        <v>44</v>
      </c>
      <c r="U55" s="98">
        <v>98</v>
      </c>
      <c r="V55" s="24">
        <v>496.5</v>
      </c>
      <c r="W55" s="24">
        <v>7</v>
      </c>
      <c r="X55" s="24">
        <v>53</v>
      </c>
      <c r="Y55" s="24">
        <v>499</v>
      </c>
      <c r="Z55" s="24">
        <v>57</v>
      </c>
      <c r="AA55" s="24">
        <v>4</v>
      </c>
    </row>
    <row r="56" spans="1:27">
      <c r="A56" s="24" t="s">
        <v>3168</v>
      </c>
      <c r="B56" s="98" t="s">
        <v>25</v>
      </c>
      <c r="C56" s="24" t="s">
        <v>163</v>
      </c>
      <c r="D56" s="98">
        <v>94</v>
      </c>
      <c r="E56" s="98">
        <v>123</v>
      </c>
      <c r="F56" s="98">
        <v>108</v>
      </c>
      <c r="G56" s="98">
        <v>27</v>
      </c>
      <c r="H56" s="98">
        <v>106.5</v>
      </c>
      <c r="I56" s="98">
        <v>36</v>
      </c>
      <c r="J56" s="98">
        <v>66</v>
      </c>
      <c r="K56" s="98">
        <v>79</v>
      </c>
      <c r="L56" s="98">
        <v>73</v>
      </c>
      <c r="M56" s="98">
        <v>30</v>
      </c>
      <c r="N56" s="98">
        <v>48</v>
      </c>
      <c r="O56" s="98">
        <v>127</v>
      </c>
      <c r="P56" s="24">
        <v>42</v>
      </c>
      <c r="Q56" s="98">
        <v>68</v>
      </c>
      <c r="R56" s="24">
        <v>58</v>
      </c>
      <c r="S56" s="98">
        <v>90</v>
      </c>
      <c r="T56" s="24">
        <v>44</v>
      </c>
      <c r="U56" s="98">
        <v>98</v>
      </c>
      <c r="V56" s="24">
        <v>495.5</v>
      </c>
      <c r="W56" s="24">
        <v>5</v>
      </c>
      <c r="X56" s="24">
        <v>55</v>
      </c>
      <c r="Y56" s="24">
        <v>478.5</v>
      </c>
      <c r="Z56" s="24">
        <v>76</v>
      </c>
      <c r="AA56" s="24">
        <v>21</v>
      </c>
    </row>
    <row r="57" spans="1:27">
      <c r="A57" s="24" t="s">
        <v>3152</v>
      </c>
      <c r="B57" s="98" t="s">
        <v>25</v>
      </c>
      <c r="C57" s="24" t="s">
        <v>26</v>
      </c>
      <c r="D57" s="98">
        <v>108</v>
      </c>
      <c r="E57" s="98">
        <v>54</v>
      </c>
      <c r="F57" s="98">
        <v>101</v>
      </c>
      <c r="G57" s="98">
        <v>38</v>
      </c>
      <c r="H57" s="98">
        <v>84.5</v>
      </c>
      <c r="I57" s="98">
        <v>102</v>
      </c>
      <c r="J57" s="98">
        <v>71</v>
      </c>
      <c r="K57" s="98">
        <v>46</v>
      </c>
      <c r="L57" s="98">
        <v>58</v>
      </c>
      <c r="M57" s="98">
        <v>107</v>
      </c>
      <c r="N57" s="98">
        <v>71</v>
      </c>
      <c r="O57" s="98">
        <v>43</v>
      </c>
      <c r="P57" s="24">
        <v>30</v>
      </c>
      <c r="Q57" s="98">
        <v>125</v>
      </c>
      <c r="R57" s="24">
        <v>50</v>
      </c>
      <c r="S57" s="98">
        <v>121</v>
      </c>
      <c r="T57" s="24">
        <v>43</v>
      </c>
      <c r="U57" s="98">
        <v>102</v>
      </c>
      <c r="V57" s="24">
        <v>493.5</v>
      </c>
      <c r="W57" s="24">
        <v>6</v>
      </c>
      <c r="X57" s="24">
        <v>56</v>
      </c>
      <c r="Y57" s="24">
        <v>500.5</v>
      </c>
      <c r="Z57" s="24">
        <v>56</v>
      </c>
      <c r="AA57" s="24">
        <v>0</v>
      </c>
    </row>
    <row r="58" spans="1:27">
      <c r="A58" s="24" t="s">
        <v>3140</v>
      </c>
      <c r="B58" s="98" t="s">
        <v>25</v>
      </c>
      <c r="C58" s="24" t="s">
        <v>3141</v>
      </c>
      <c r="D58" s="98">
        <v>111</v>
      </c>
      <c r="E58" s="98">
        <v>35</v>
      </c>
      <c r="F58" s="98">
        <v>83</v>
      </c>
      <c r="G58" s="98">
        <v>72</v>
      </c>
      <c r="H58" s="98">
        <v>96</v>
      </c>
      <c r="I58" s="98">
        <v>67</v>
      </c>
      <c r="J58" s="98">
        <v>69</v>
      </c>
      <c r="K58" s="98">
        <v>64</v>
      </c>
      <c r="L58" s="98">
        <v>72</v>
      </c>
      <c r="M58" s="98">
        <v>33</v>
      </c>
      <c r="N58" s="98">
        <v>62</v>
      </c>
      <c r="O58" s="98">
        <v>90</v>
      </c>
      <c r="P58" s="24">
        <v>43</v>
      </c>
      <c r="Q58" s="98">
        <v>60</v>
      </c>
      <c r="R58" s="24">
        <v>71</v>
      </c>
      <c r="S58" s="98">
        <v>19</v>
      </c>
      <c r="T58" s="24">
        <v>58</v>
      </c>
      <c r="U58" s="98">
        <v>11</v>
      </c>
      <c r="V58" s="24">
        <v>493</v>
      </c>
      <c r="W58" s="24">
        <v>7</v>
      </c>
      <c r="X58" s="24">
        <v>57</v>
      </c>
      <c r="Y58" s="24">
        <v>516.5</v>
      </c>
      <c r="Z58" s="24">
        <v>44</v>
      </c>
      <c r="AA58" s="24">
        <v>-13</v>
      </c>
    </row>
    <row r="59" spans="1:27">
      <c r="A59" s="24" t="s">
        <v>3175</v>
      </c>
      <c r="B59" s="98" t="s">
        <v>25</v>
      </c>
      <c r="C59" s="24" t="s">
        <v>140</v>
      </c>
      <c r="D59" s="98">
        <v>111</v>
      </c>
      <c r="E59" s="98">
        <v>35</v>
      </c>
      <c r="F59" s="98">
        <v>61</v>
      </c>
      <c r="G59" s="98">
        <v>115</v>
      </c>
      <c r="H59" s="98">
        <v>123</v>
      </c>
      <c r="I59" s="98">
        <v>5</v>
      </c>
      <c r="J59" s="98">
        <v>65</v>
      </c>
      <c r="K59" s="98">
        <v>81</v>
      </c>
      <c r="L59" s="98">
        <v>69</v>
      </c>
      <c r="M59" s="98">
        <v>47</v>
      </c>
      <c r="N59" s="98">
        <v>64</v>
      </c>
      <c r="O59" s="98">
        <v>82</v>
      </c>
      <c r="P59" s="24">
        <v>38</v>
      </c>
      <c r="Q59" s="98">
        <v>91</v>
      </c>
      <c r="R59" s="24">
        <v>64</v>
      </c>
      <c r="S59" s="98">
        <v>58</v>
      </c>
      <c r="T59" s="24">
        <v>57</v>
      </c>
      <c r="U59" s="98">
        <v>16</v>
      </c>
      <c r="V59" s="24">
        <v>493</v>
      </c>
      <c r="W59" s="24">
        <v>7</v>
      </c>
      <c r="X59" s="24">
        <v>57</v>
      </c>
      <c r="Y59" s="24">
        <v>493</v>
      </c>
      <c r="Z59" s="24">
        <v>65</v>
      </c>
      <c r="AA59" s="24">
        <v>8</v>
      </c>
    </row>
    <row r="60" spans="1:27">
      <c r="A60" s="24" t="s">
        <v>3049</v>
      </c>
      <c r="B60" s="98" t="s">
        <v>52</v>
      </c>
      <c r="C60" s="24" t="s">
        <v>136</v>
      </c>
      <c r="D60" s="98">
        <v>110</v>
      </c>
      <c r="E60" s="98">
        <v>39</v>
      </c>
      <c r="F60" s="98">
        <v>77</v>
      </c>
      <c r="G60" s="98">
        <v>90</v>
      </c>
      <c r="H60" s="98">
        <v>84.5</v>
      </c>
      <c r="I60" s="98">
        <v>102</v>
      </c>
      <c r="J60" s="98">
        <v>71</v>
      </c>
      <c r="K60" s="98">
        <v>46</v>
      </c>
      <c r="L60" s="98">
        <v>80</v>
      </c>
      <c r="M60" s="98">
        <v>11</v>
      </c>
      <c r="N60" s="98">
        <v>68</v>
      </c>
      <c r="O60" s="98">
        <v>57</v>
      </c>
      <c r="P60" s="24">
        <v>43</v>
      </c>
      <c r="Q60" s="98">
        <v>60</v>
      </c>
      <c r="R60" s="24">
        <v>55</v>
      </c>
      <c r="S60" s="98">
        <v>110</v>
      </c>
      <c r="T60" s="24">
        <v>23</v>
      </c>
      <c r="U60" s="98">
        <v>133</v>
      </c>
      <c r="V60" s="24">
        <v>490.5</v>
      </c>
      <c r="W60" s="24">
        <v>8</v>
      </c>
      <c r="X60" s="24">
        <v>59</v>
      </c>
      <c r="Y60" s="24">
        <v>470</v>
      </c>
      <c r="Z60" s="24">
        <v>84</v>
      </c>
      <c r="AA60" s="24">
        <v>25</v>
      </c>
    </row>
    <row r="61" spans="1:27">
      <c r="A61" s="24" t="s">
        <v>2965</v>
      </c>
      <c r="B61" s="98" t="s">
        <v>12</v>
      </c>
      <c r="C61" s="24" t="s">
        <v>3307</v>
      </c>
      <c r="D61" s="98">
        <v>97</v>
      </c>
      <c r="E61" s="98">
        <v>114</v>
      </c>
      <c r="F61" s="98">
        <v>96</v>
      </c>
      <c r="G61" s="98">
        <v>54</v>
      </c>
      <c r="H61" s="98">
        <v>100</v>
      </c>
      <c r="I61" s="98">
        <v>54</v>
      </c>
      <c r="J61" s="98">
        <v>69</v>
      </c>
      <c r="K61" s="98">
        <v>64</v>
      </c>
      <c r="L61" s="98">
        <v>58</v>
      </c>
      <c r="M61" s="98">
        <v>107</v>
      </c>
      <c r="N61" s="98">
        <v>69</v>
      </c>
      <c r="O61" s="98">
        <v>54</v>
      </c>
      <c r="P61" s="24">
        <v>40</v>
      </c>
      <c r="Q61" s="98">
        <v>79</v>
      </c>
      <c r="R61" s="24">
        <v>70</v>
      </c>
      <c r="S61" s="98">
        <v>24</v>
      </c>
      <c r="T61" s="24">
        <v>47</v>
      </c>
      <c r="U61" s="98">
        <v>82</v>
      </c>
      <c r="V61" s="24">
        <v>489</v>
      </c>
      <c r="W61" s="24">
        <v>44</v>
      </c>
      <c r="X61" s="24">
        <v>60</v>
      </c>
      <c r="Y61" s="24">
        <v>505</v>
      </c>
      <c r="Z61" s="24">
        <v>54</v>
      </c>
      <c r="AA61" s="24">
        <v>-6</v>
      </c>
    </row>
    <row r="62" spans="1:27">
      <c r="A62" s="24" t="s">
        <v>3267</v>
      </c>
      <c r="B62" s="98" t="s">
        <v>25</v>
      </c>
      <c r="C62" s="24" t="s">
        <v>2953</v>
      </c>
      <c r="D62" s="98">
        <v>108</v>
      </c>
      <c r="E62" s="98">
        <v>54</v>
      </c>
      <c r="F62" s="98">
        <v>104</v>
      </c>
      <c r="G62" s="98">
        <v>32</v>
      </c>
      <c r="H62" s="98">
        <v>88.5</v>
      </c>
      <c r="I62" s="98">
        <v>90</v>
      </c>
      <c r="J62" s="98">
        <v>68</v>
      </c>
      <c r="K62" s="98">
        <v>70</v>
      </c>
      <c r="L62" s="98">
        <v>45</v>
      </c>
      <c r="M62" s="98">
        <v>130</v>
      </c>
      <c r="N62" s="98">
        <v>74</v>
      </c>
      <c r="O62" s="98">
        <v>32</v>
      </c>
      <c r="P62" s="24">
        <v>41</v>
      </c>
      <c r="Q62" s="98">
        <v>77</v>
      </c>
      <c r="R62" s="24">
        <v>74</v>
      </c>
      <c r="S62" s="98">
        <v>13</v>
      </c>
      <c r="T62" s="24">
        <v>56</v>
      </c>
      <c r="U62" s="98">
        <v>19</v>
      </c>
      <c r="V62" s="24">
        <v>487.5</v>
      </c>
      <c r="W62" s="24">
        <v>9</v>
      </c>
      <c r="X62" s="24">
        <v>61</v>
      </c>
      <c r="Y62" s="24">
        <v>475</v>
      </c>
      <c r="Z62" s="24">
        <v>79</v>
      </c>
      <c r="AA62" s="24">
        <v>18</v>
      </c>
    </row>
    <row r="63" spans="1:27">
      <c r="A63" s="24" t="s">
        <v>3170</v>
      </c>
      <c r="B63" s="98" t="s">
        <v>25</v>
      </c>
      <c r="C63" s="24" t="s">
        <v>3171</v>
      </c>
      <c r="D63" s="98">
        <v>108</v>
      </c>
      <c r="E63" s="98">
        <v>54</v>
      </c>
      <c r="F63" s="98">
        <v>86</v>
      </c>
      <c r="G63" s="98">
        <v>68</v>
      </c>
      <c r="H63" s="98">
        <v>95.5</v>
      </c>
      <c r="I63" s="98">
        <v>69</v>
      </c>
      <c r="J63" s="98">
        <v>74</v>
      </c>
      <c r="K63" s="98">
        <v>32</v>
      </c>
      <c r="L63" s="98">
        <v>65</v>
      </c>
      <c r="M63" s="98">
        <v>69</v>
      </c>
      <c r="N63" s="98">
        <v>58</v>
      </c>
      <c r="O63" s="98">
        <v>107</v>
      </c>
      <c r="P63" s="24">
        <v>42</v>
      </c>
      <c r="Q63" s="98">
        <v>68</v>
      </c>
      <c r="R63" s="24">
        <v>66</v>
      </c>
      <c r="S63" s="98">
        <v>44</v>
      </c>
      <c r="T63" s="24">
        <v>52</v>
      </c>
      <c r="U63" s="98">
        <v>43</v>
      </c>
      <c r="V63" s="24">
        <v>486.5</v>
      </c>
      <c r="W63" s="24">
        <v>10</v>
      </c>
      <c r="X63" s="24">
        <v>62</v>
      </c>
      <c r="Y63" s="24">
        <v>510.5</v>
      </c>
      <c r="Z63" s="24">
        <v>51</v>
      </c>
      <c r="AA63" s="24">
        <v>-11</v>
      </c>
    </row>
    <row r="64" spans="1:27">
      <c r="A64" s="24" t="s">
        <v>3019</v>
      </c>
      <c r="B64" s="98" t="s">
        <v>52</v>
      </c>
      <c r="C64" s="24" t="s">
        <v>2917</v>
      </c>
      <c r="D64" s="98">
        <v>101</v>
      </c>
      <c r="E64" s="98">
        <v>93</v>
      </c>
      <c r="F64" s="98">
        <v>91</v>
      </c>
      <c r="G64" s="98">
        <v>62</v>
      </c>
      <c r="H64" s="98">
        <v>90.5</v>
      </c>
      <c r="I64" s="98">
        <v>81</v>
      </c>
      <c r="J64" s="98">
        <v>54</v>
      </c>
      <c r="K64" s="98">
        <v>124</v>
      </c>
      <c r="L64" s="98">
        <v>69</v>
      </c>
      <c r="M64" s="98">
        <v>47</v>
      </c>
      <c r="N64" s="98">
        <v>80</v>
      </c>
      <c r="O64" s="98">
        <v>9</v>
      </c>
      <c r="P64" s="24">
        <v>50</v>
      </c>
      <c r="Q64" s="98">
        <v>20</v>
      </c>
      <c r="R64" s="24">
        <v>66</v>
      </c>
      <c r="S64" s="98">
        <v>44</v>
      </c>
      <c r="T64" s="24">
        <v>44</v>
      </c>
      <c r="U64" s="98">
        <v>98</v>
      </c>
      <c r="V64" s="24">
        <v>485.5</v>
      </c>
      <c r="W64" s="24">
        <v>9</v>
      </c>
      <c r="X64" s="24">
        <v>63</v>
      </c>
      <c r="Y64" s="24">
        <v>464</v>
      </c>
      <c r="Z64" s="24">
        <v>91</v>
      </c>
      <c r="AA64" s="24">
        <v>28</v>
      </c>
    </row>
    <row r="65" spans="1:27">
      <c r="A65" s="24" t="s">
        <v>3054</v>
      </c>
      <c r="B65" s="98" t="s">
        <v>52</v>
      </c>
      <c r="C65" s="24" t="s">
        <v>129</v>
      </c>
      <c r="D65" s="98">
        <v>108</v>
      </c>
      <c r="E65" s="98">
        <v>54</v>
      </c>
      <c r="F65" s="98">
        <v>87</v>
      </c>
      <c r="G65" s="98">
        <v>66</v>
      </c>
      <c r="H65" s="98">
        <v>86.5</v>
      </c>
      <c r="I65" s="98">
        <v>97</v>
      </c>
      <c r="J65" s="98">
        <v>66</v>
      </c>
      <c r="K65" s="98">
        <v>79</v>
      </c>
      <c r="L65" s="98">
        <v>72</v>
      </c>
      <c r="M65" s="98">
        <v>33</v>
      </c>
      <c r="N65" s="98">
        <v>66</v>
      </c>
      <c r="O65" s="98">
        <v>67</v>
      </c>
      <c r="P65" s="24">
        <v>46</v>
      </c>
      <c r="Q65" s="98">
        <v>40</v>
      </c>
      <c r="R65" s="24">
        <v>66</v>
      </c>
      <c r="S65" s="98">
        <v>44</v>
      </c>
      <c r="T65" s="24">
        <v>50</v>
      </c>
      <c r="U65" s="98">
        <v>63</v>
      </c>
      <c r="V65" s="24">
        <v>485.5</v>
      </c>
      <c r="W65" s="24">
        <v>9</v>
      </c>
      <c r="X65" s="24">
        <v>63</v>
      </c>
      <c r="Y65" s="24">
        <v>488</v>
      </c>
      <c r="Z65" s="24">
        <v>71</v>
      </c>
      <c r="AA65" s="24">
        <v>8</v>
      </c>
    </row>
    <row r="66" spans="1:27">
      <c r="A66" s="24" t="s">
        <v>3270</v>
      </c>
      <c r="B66" s="98" t="s">
        <v>52</v>
      </c>
      <c r="C66" s="24" t="s">
        <v>53</v>
      </c>
      <c r="D66" s="98">
        <v>114</v>
      </c>
      <c r="E66" s="98">
        <v>23</v>
      </c>
      <c r="F66" s="98">
        <v>83</v>
      </c>
      <c r="G66" s="98">
        <v>72</v>
      </c>
      <c r="H66" s="98">
        <v>94</v>
      </c>
      <c r="I66" s="98">
        <v>73</v>
      </c>
      <c r="J66" s="98">
        <v>65</v>
      </c>
      <c r="K66" s="98">
        <v>81</v>
      </c>
      <c r="L66" s="98">
        <v>55</v>
      </c>
      <c r="M66" s="98">
        <v>117</v>
      </c>
      <c r="N66" s="98">
        <v>74</v>
      </c>
      <c r="O66" s="98">
        <v>32</v>
      </c>
      <c r="P66" s="24">
        <v>37</v>
      </c>
      <c r="Q66" s="98">
        <v>102</v>
      </c>
      <c r="R66" s="24">
        <v>66</v>
      </c>
      <c r="S66" s="98">
        <v>44</v>
      </c>
      <c r="T66" s="24">
        <v>53</v>
      </c>
      <c r="U66" s="98">
        <v>35</v>
      </c>
      <c r="V66" s="24">
        <v>485</v>
      </c>
      <c r="W66" s="24">
        <v>11</v>
      </c>
      <c r="X66" s="24">
        <v>65</v>
      </c>
      <c r="Y66" s="24">
        <v>460</v>
      </c>
      <c r="Z66" s="24">
        <v>98</v>
      </c>
      <c r="AA66" s="24">
        <v>33</v>
      </c>
    </row>
    <row r="67" spans="1:27">
      <c r="A67" s="24" t="s">
        <v>3103</v>
      </c>
      <c r="B67" s="98" t="s">
        <v>52</v>
      </c>
      <c r="C67" s="24" t="s">
        <v>3076</v>
      </c>
      <c r="D67" s="98">
        <v>105</v>
      </c>
      <c r="E67" s="98">
        <v>75</v>
      </c>
      <c r="F67" s="98">
        <v>98</v>
      </c>
      <c r="G67" s="98">
        <v>48</v>
      </c>
      <c r="H67" s="98">
        <v>75</v>
      </c>
      <c r="I67" s="98">
        <v>127</v>
      </c>
      <c r="J67" s="98">
        <v>63</v>
      </c>
      <c r="K67" s="98">
        <v>93</v>
      </c>
      <c r="L67" s="98">
        <v>72</v>
      </c>
      <c r="M67" s="98">
        <v>33</v>
      </c>
      <c r="N67" s="98">
        <v>71</v>
      </c>
      <c r="O67" s="98">
        <v>43</v>
      </c>
      <c r="P67" s="24">
        <v>26</v>
      </c>
      <c r="Q67" s="98">
        <v>133</v>
      </c>
      <c r="R67" s="24">
        <v>60</v>
      </c>
      <c r="S67" s="98">
        <v>76</v>
      </c>
      <c r="T67" s="24">
        <v>43</v>
      </c>
      <c r="U67" s="98">
        <v>102</v>
      </c>
      <c r="V67" s="24">
        <v>484</v>
      </c>
      <c r="W67" s="24">
        <v>12</v>
      </c>
      <c r="X67" s="24">
        <v>66</v>
      </c>
      <c r="Y67" s="24">
        <v>442.5</v>
      </c>
      <c r="Z67" s="24">
        <v>115</v>
      </c>
      <c r="AA67" s="24">
        <v>49</v>
      </c>
    </row>
    <row r="68" spans="1:27">
      <c r="A68" s="24" t="s">
        <v>3271</v>
      </c>
      <c r="B68" s="98" t="s">
        <v>25</v>
      </c>
      <c r="C68" s="24" t="s">
        <v>3272</v>
      </c>
      <c r="D68" s="98">
        <v>104</v>
      </c>
      <c r="E68" s="98">
        <v>80</v>
      </c>
      <c r="F68" s="98">
        <v>97</v>
      </c>
      <c r="G68" s="98">
        <v>50</v>
      </c>
      <c r="H68" s="98">
        <v>97.5</v>
      </c>
      <c r="I68" s="98">
        <v>62</v>
      </c>
      <c r="J68" s="98">
        <v>71</v>
      </c>
      <c r="K68" s="98">
        <v>46</v>
      </c>
      <c r="L68" s="98">
        <v>71</v>
      </c>
      <c r="M68" s="98">
        <v>41</v>
      </c>
      <c r="N68" s="98">
        <v>43</v>
      </c>
      <c r="O68" s="98">
        <v>131</v>
      </c>
      <c r="P68" s="24">
        <v>30</v>
      </c>
      <c r="Q68" s="98">
        <v>125</v>
      </c>
      <c r="R68" s="24">
        <v>37</v>
      </c>
      <c r="S68" s="98">
        <v>134</v>
      </c>
      <c r="T68" s="24">
        <v>48</v>
      </c>
      <c r="U68" s="98">
        <v>77</v>
      </c>
      <c r="V68" s="24">
        <v>483.5</v>
      </c>
      <c r="W68" s="24">
        <v>11</v>
      </c>
      <c r="X68" s="24">
        <v>67</v>
      </c>
      <c r="Y68" s="24">
        <v>502.5</v>
      </c>
      <c r="Z68" s="24">
        <v>55</v>
      </c>
      <c r="AA68" s="24">
        <v>-12</v>
      </c>
    </row>
    <row r="69" spans="1:27">
      <c r="A69" s="24" t="s">
        <v>2961</v>
      </c>
      <c r="B69" s="98" t="s">
        <v>12</v>
      </c>
      <c r="C69" s="24" t="s">
        <v>142</v>
      </c>
      <c r="D69" s="98">
        <v>104</v>
      </c>
      <c r="E69" s="98">
        <v>80</v>
      </c>
      <c r="F69" s="98">
        <v>83</v>
      </c>
      <c r="G69" s="98">
        <v>72</v>
      </c>
      <c r="H69" s="98">
        <v>103.5</v>
      </c>
      <c r="I69" s="98">
        <v>44</v>
      </c>
      <c r="J69" s="98">
        <v>68</v>
      </c>
      <c r="K69" s="98">
        <v>70</v>
      </c>
      <c r="L69" s="98">
        <v>64</v>
      </c>
      <c r="M69" s="98">
        <v>77</v>
      </c>
      <c r="N69" s="98">
        <v>61</v>
      </c>
      <c r="O69" s="98">
        <v>94</v>
      </c>
      <c r="P69" s="24">
        <v>50</v>
      </c>
      <c r="Q69" s="98">
        <v>20</v>
      </c>
      <c r="R69" s="24">
        <v>59</v>
      </c>
      <c r="S69" s="98">
        <v>84</v>
      </c>
      <c r="T69" s="24">
        <v>41</v>
      </c>
      <c r="U69" s="98">
        <v>115</v>
      </c>
      <c r="V69" s="24">
        <v>483.5</v>
      </c>
      <c r="W69" s="24">
        <v>45</v>
      </c>
      <c r="X69" s="24">
        <v>67</v>
      </c>
      <c r="Y69" s="24">
        <v>471</v>
      </c>
      <c r="Z69" s="24">
        <v>83</v>
      </c>
      <c r="AA69" s="24">
        <v>16</v>
      </c>
    </row>
    <row r="70" spans="1:27">
      <c r="A70" s="24" t="s">
        <v>3025</v>
      </c>
      <c r="B70" s="98" t="s">
        <v>52</v>
      </c>
      <c r="C70" s="24" t="s">
        <v>139</v>
      </c>
      <c r="D70" s="98">
        <v>103</v>
      </c>
      <c r="E70" s="98">
        <v>82</v>
      </c>
      <c r="F70" s="98">
        <v>88</v>
      </c>
      <c r="G70" s="98">
        <v>64</v>
      </c>
      <c r="H70" s="98">
        <v>99</v>
      </c>
      <c r="I70" s="98">
        <v>56</v>
      </c>
      <c r="J70" s="98">
        <v>70</v>
      </c>
      <c r="K70" s="98">
        <v>57</v>
      </c>
      <c r="L70" s="98">
        <v>55</v>
      </c>
      <c r="M70" s="98">
        <v>117</v>
      </c>
      <c r="N70" s="98">
        <v>68</v>
      </c>
      <c r="O70" s="98">
        <v>57</v>
      </c>
      <c r="P70" s="24">
        <v>40</v>
      </c>
      <c r="Q70" s="98">
        <v>79</v>
      </c>
      <c r="R70" s="24">
        <v>76</v>
      </c>
      <c r="S70" s="98">
        <v>9</v>
      </c>
      <c r="T70" s="24">
        <v>43</v>
      </c>
      <c r="U70" s="98">
        <v>102</v>
      </c>
      <c r="V70" s="24">
        <v>483</v>
      </c>
      <c r="W70" s="24">
        <v>13</v>
      </c>
      <c r="X70" s="24">
        <v>69</v>
      </c>
      <c r="Y70" s="24">
        <v>514.5</v>
      </c>
      <c r="Z70" s="24">
        <v>45</v>
      </c>
      <c r="AA70" s="24">
        <v>-24</v>
      </c>
    </row>
    <row r="71" spans="1:27">
      <c r="A71" s="24" t="s">
        <v>3090</v>
      </c>
      <c r="B71" s="98" t="s">
        <v>52</v>
      </c>
      <c r="C71" s="24" t="s">
        <v>817</v>
      </c>
      <c r="D71" s="98">
        <v>114</v>
      </c>
      <c r="E71" s="98">
        <v>23</v>
      </c>
      <c r="F71" s="98">
        <v>84</v>
      </c>
      <c r="G71" s="98">
        <v>70</v>
      </c>
      <c r="H71" s="98">
        <v>99.5</v>
      </c>
      <c r="I71" s="98">
        <v>55</v>
      </c>
      <c r="J71" s="98">
        <v>64</v>
      </c>
      <c r="K71" s="98">
        <v>87</v>
      </c>
      <c r="L71" s="98">
        <v>60</v>
      </c>
      <c r="M71" s="98">
        <v>97</v>
      </c>
      <c r="N71" s="98">
        <v>61</v>
      </c>
      <c r="O71" s="98">
        <v>94</v>
      </c>
      <c r="P71" s="24">
        <v>48</v>
      </c>
      <c r="Q71" s="98">
        <v>26</v>
      </c>
      <c r="R71" s="24">
        <v>74</v>
      </c>
      <c r="S71" s="98">
        <v>13</v>
      </c>
      <c r="T71" s="24">
        <v>46</v>
      </c>
      <c r="U71" s="98">
        <v>89</v>
      </c>
      <c r="V71" s="24">
        <v>482.5</v>
      </c>
      <c r="W71" s="24">
        <v>14</v>
      </c>
      <c r="X71" s="24">
        <v>70</v>
      </c>
      <c r="Y71" s="24">
        <v>466.5</v>
      </c>
      <c r="Z71" s="24">
        <v>87</v>
      </c>
      <c r="AA71" s="24">
        <v>17</v>
      </c>
    </row>
    <row r="72" spans="1:27">
      <c r="A72" s="24" t="s">
        <v>3166</v>
      </c>
      <c r="B72" s="98" t="s">
        <v>25</v>
      </c>
      <c r="C72" s="24" t="s">
        <v>151</v>
      </c>
      <c r="D72" s="98">
        <v>118</v>
      </c>
      <c r="E72" s="98">
        <v>10</v>
      </c>
      <c r="F72" s="98">
        <v>54</v>
      </c>
      <c r="G72" s="98">
        <v>123</v>
      </c>
      <c r="H72" s="98">
        <v>98</v>
      </c>
      <c r="I72" s="98">
        <v>61</v>
      </c>
      <c r="J72" s="98">
        <v>71</v>
      </c>
      <c r="K72" s="98">
        <v>46</v>
      </c>
      <c r="L72" s="98">
        <v>66</v>
      </c>
      <c r="M72" s="98">
        <v>60</v>
      </c>
      <c r="N72" s="98">
        <v>75</v>
      </c>
      <c r="O72" s="98">
        <v>29</v>
      </c>
      <c r="P72" s="24">
        <v>39</v>
      </c>
      <c r="Q72" s="98">
        <v>87</v>
      </c>
      <c r="R72" s="24">
        <v>71</v>
      </c>
      <c r="S72" s="98">
        <v>19</v>
      </c>
      <c r="T72" s="24">
        <v>58</v>
      </c>
      <c r="U72" s="98">
        <v>11</v>
      </c>
      <c r="V72" s="24">
        <v>482</v>
      </c>
      <c r="W72" s="24">
        <v>12</v>
      </c>
      <c r="X72" s="24">
        <v>71</v>
      </c>
      <c r="Y72" s="24">
        <v>514</v>
      </c>
      <c r="Z72" s="24">
        <v>47</v>
      </c>
      <c r="AA72" s="24">
        <v>-24</v>
      </c>
    </row>
    <row r="73" spans="1:27">
      <c r="A73" s="24" t="s">
        <v>3268</v>
      </c>
      <c r="B73" s="98" t="s">
        <v>25</v>
      </c>
      <c r="C73" s="24" t="s">
        <v>3005</v>
      </c>
      <c r="D73" s="98">
        <v>112</v>
      </c>
      <c r="E73" s="98">
        <v>31</v>
      </c>
      <c r="F73" s="98">
        <v>67</v>
      </c>
      <c r="G73" s="98">
        <v>105</v>
      </c>
      <c r="H73" s="98">
        <v>86.5</v>
      </c>
      <c r="I73" s="98">
        <v>97</v>
      </c>
      <c r="J73" s="98">
        <v>79</v>
      </c>
      <c r="K73" s="98">
        <v>9</v>
      </c>
      <c r="L73" s="98">
        <v>65</v>
      </c>
      <c r="M73" s="98">
        <v>69</v>
      </c>
      <c r="N73" s="98">
        <v>72</v>
      </c>
      <c r="O73" s="98">
        <v>42</v>
      </c>
      <c r="P73" s="24">
        <v>56</v>
      </c>
      <c r="Q73" s="98">
        <v>8</v>
      </c>
      <c r="R73" s="24">
        <v>72</v>
      </c>
      <c r="S73" s="98">
        <v>16</v>
      </c>
      <c r="T73" s="24">
        <v>55</v>
      </c>
      <c r="U73" s="98">
        <v>22</v>
      </c>
      <c r="V73" s="24">
        <v>481.5</v>
      </c>
      <c r="W73" s="24">
        <v>13</v>
      </c>
      <c r="X73" s="24">
        <v>72</v>
      </c>
      <c r="Y73" s="24">
        <v>491.5</v>
      </c>
      <c r="Z73" s="24">
        <v>68</v>
      </c>
      <c r="AA73" s="24">
        <v>-4</v>
      </c>
    </row>
    <row r="74" spans="1:27">
      <c r="A74" s="24" t="s">
        <v>3273</v>
      </c>
      <c r="B74" s="98" t="s">
        <v>25</v>
      </c>
      <c r="C74" s="24" t="s">
        <v>2937</v>
      </c>
      <c r="D74" s="98">
        <v>110</v>
      </c>
      <c r="E74" s="98">
        <v>39</v>
      </c>
      <c r="F74" s="98">
        <v>79</v>
      </c>
      <c r="G74" s="98">
        <v>84</v>
      </c>
      <c r="H74" s="98">
        <v>86.5</v>
      </c>
      <c r="I74" s="98">
        <v>97</v>
      </c>
      <c r="J74" s="98">
        <v>65</v>
      </c>
      <c r="K74" s="98">
        <v>81</v>
      </c>
      <c r="L74" s="98">
        <v>60</v>
      </c>
      <c r="M74" s="98">
        <v>97</v>
      </c>
      <c r="N74" s="98">
        <v>78</v>
      </c>
      <c r="O74" s="98">
        <v>11</v>
      </c>
      <c r="P74" s="24">
        <v>52</v>
      </c>
      <c r="Q74" s="98">
        <v>12</v>
      </c>
      <c r="R74" s="24">
        <v>66</v>
      </c>
      <c r="S74" s="98">
        <v>44</v>
      </c>
      <c r="T74" s="24">
        <v>47</v>
      </c>
      <c r="U74" s="98">
        <v>82</v>
      </c>
      <c r="V74" s="24">
        <v>478.5</v>
      </c>
      <c r="W74" s="24">
        <v>14</v>
      </c>
      <c r="X74" s="24">
        <v>73</v>
      </c>
      <c r="Y74" s="24">
        <v>446.5</v>
      </c>
      <c r="Z74" s="24">
        <v>111</v>
      </c>
      <c r="AA74" s="24">
        <v>38</v>
      </c>
    </row>
    <row r="75" spans="1:27">
      <c r="A75" s="24" t="s">
        <v>3069</v>
      </c>
      <c r="B75" s="98" t="s">
        <v>52</v>
      </c>
      <c r="C75" s="24" t="s">
        <v>3052</v>
      </c>
      <c r="D75" s="98">
        <v>103</v>
      </c>
      <c r="E75" s="98">
        <v>82</v>
      </c>
      <c r="F75" s="98">
        <v>81</v>
      </c>
      <c r="G75" s="98">
        <v>80</v>
      </c>
      <c r="H75" s="98">
        <v>86.5</v>
      </c>
      <c r="I75" s="98">
        <v>97</v>
      </c>
      <c r="J75" s="98">
        <v>76</v>
      </c>
      <c r="K75" s="98">
        <v>23</v>
      </c>
      <c r="L75" s="98">
        <v>63</v>
      </c>
      <c r="M75" s="98">
        <v>81</v>
      </c>
      <c r="N75" s="98">
        <v>67</v>
      </c>
      <c r="O75" s="98">
        <v>60</v>
      </c>
      <c r="P75" s="24">
        <v>46</v>
      </c>
      <c r="Q75" s="98">
        <v>40</v>
      </c>
      <c r="R75" s="24">
        <v>57</v>
      </c>
      <c r="S75" s="98">
        <v>97</v>
      </c>
      <c r="T75" s="24">
        <v>35</v>
      </c>
      <c r="U75" s="98">
        <v>126</v>
      </c>
      <c r="V75" s="24">
        <v>476.5</v>
      </c>
      <c r="W75" s="24">
        <v>15</v>
      </c>
      <c r="X75" s="24">
        <v>74</v>
      </c>
      <c r="Y75" s="24">
        <v>466</v>
      </c>
      <c r="Z75" s="24">
        <v>88</v>
      </c>
      <c r="AA75" s="24">
        <v>14</v>
      </c>
    </row>
    <row r="76" spans="1:27">
      <c r="A76" s="24" t="s">
        <v>3185</v>
      </c>
      <c r="B76" s="98" t="s">
        <v>25</v>
      </c>
      <c r="C76" s="24" t="s">
        <v>3186</v>
      </c>
      <c r="D76" s="98">
        <v>105</v>
      </c>
      <c r="E76" s="98">
        <v>75</v>
      </c>
      <c r="F76" s="98">
        <v>64</v>
      </c>
      <c r="G76" s="98">
        <v>109</v>
      </c>
      <c r="H76" s="98">
        <v>109.5</v>
      </c>
      <c r="I76" s="98">
        <v>29</v>
      </c>
      <c r="J76" s="98">
        <v>62</v>
      </c>
      <c r="K76" s="98">
        <v>98</v>
      </c>
      <c r="L76" s="98">
        <v>66</v>
      </c>
      <c r="M76" s="98">
        <v>60</v>
      </c>
      <c r="N76" s="98">
        <v>66</v>
      </c>
      <c r="O76" s="98">
        <v>67</v>
      </c>
      <c r="P76" s="24">
        <v>36</v>
      </c>
      <c r="Q76" s="98">
        <v>105</v>
      </c>
      <c r="R76" s="24">
        <v>64</v>
      </c>
      <c r="S76" s="98">
        <v>58</v>
      </c>
      <c r="T76" s="24">
        <v>54</v>
      </c>
      <c r="U76" s="98">
        <v>27</v>
      </c>
      <c r="V76" s="24">
        <v>472.5</v>
      </c>
      <c r="W76" s="24">
        <v>15</v>
      </c>
      <c r="X76" s="24">
        <v>75</v>
      </c>
      <c r="Y76" s="24">
        <v>463</v>
      </c>
      <c r="Z76" s="24">
        <v>93</v>
      </c>
      <c r="AA76" s="24">
        <v>18</v>
      </c>
    </row>
    <row r="77" spans="1:27">
      <c r="A77" s="24" t="s">
        <v>3100</v>
      </c>
      <c r="B77" s="98" t="s">
        <v>52</v>
      </c>
      <c r="C77" s="24" t="s">
        <v>161</v>
      </c>
      <c r="D77" s="98">
        <v>99</v>
      </c>
      <c r="E77" s="98">
        <v>102</v>
      </c>
      <c r="F77" s="98">
        <v>82</v>
      </c>
      <c r="G77" s="98">
        <v>79</v>
      </c>
      <c r="H77" s="98">
        <v>90.5</v>
      </c>
      <c r="I77" s="98">
        <v>81</v>
      </c>
      <c r="J77" s="98">
        <v>72</v>
      </c>
      <c r="K77" s="98">
        <v>41</v>
      </c>
      <c r="L77" s="98">
        <v>64</v>
      </c>
      <c r="M77" s="98">
        <v>77</v>
      </c>
      <c r="N77" s="98">
        <v>64</v>
      </c>
      <c r="O77" s="98">
        <v>82</v>
      </c>
      <c r="P77" s="24">
        <v>48</v>
      </c>
      <c r="Q77" s="98">
        <v>26</v>
      </c>
      <c r="R77" s="24">
        <v>63</v>
      </c>
      <c r="S77" s="98">
        <v>63</v>
      </c>
      <c r="T77" s="24">
        <v>58</v>
      </c>
      <c r="U77" s="98">
        <v>11</v>
      </c>
      <c r="V77" s="24">
        <v>471.5</v>
      </c>
      <c r="W77" s="24">
        <v>16</v>
      </c>
      <c r="X77" s="24">
        <v>76</v>
      </c>
      <c r="Y77" s="24">
        <v>475.5</v>
      </c>
      <c r="Z77" s="24">
        <v>77</v>
      </c>
      <c r="AA77" s="24">
        <v>1</v>
      </c>
    </row>
    <row r="78" spans="1:27">
      <c r="A78" s="24" t="s">
        <v>3093</v>
      </c>
      <c r="B78" s="98" t="s">
        <v>52</v>
      </c>
      <c r="C78" s="24" t="s">
        <v>166</v>
      </c>
      <c r="D78" s="98">
        <v>112</v>
      </c>
      <c r="E78" s="98">
        <v>31</v>
      </c>
      <c r="F78" s="98">
        <v>68</v>
      </c>
      <c r="G78" s="98">
        <v>102</v>
      </c>
      <c r="H78" s="98">
        <v>107</v>
      </c>
      <c r="I78" s="98">
        <v>35</v>
      </c>
      <c r="J78" s="98">
        <v>54</v>
      </c>
      <c r="K78" s="98">
        <v>124</v>
      </c>
      <c r="L78" s="98">
        <v>59</v>
      </c>
      <c r="M78" s="98">
        <v>105</v>
      </c>
      <c r="N78" s="98">
        <v>71</v>
      </c>
      <c r="O78" s="98">
        <v>43</v>
      </c>
      <c r="P78" s="24">
        <v>31</v>
      </c>
      <c r="Q78" s="98">
        <v>124</v>
      </c>
      <c r="R78" s="24">
        <v>45</v>
      </c>
      <c r="S78" s="98">
        <v>129</v>
      </c>
      <c r="T78" s="24">
        <v>42</v>
      </c>
      <c r="U78" s="98">
        <v>112</v>
      </c>
      <c r="V78" s="24">
        <v>471</v>
      </c>
      <c r="W78" s="24">
        <v>17</v>
      </c>
      <c r="X78" s="24">
        <v>77</v>
      </c>
      <c r="Y78" s="24">
        <v>492.5</v>
      </c>
      <c r="Z78" s="24">
        <v>66</v>
      </c>
      <c r="AA78" s="24">
        <v>-11</v>
      </c>
    </row>
    <row r="79" spans="1:27">
      <c r="A79" s="24" t="s">
        <v>3440</v>
      </c>
      <c r="B79" s="98" t="s">
        <v>12</v>
      </c>
      <c r="C79" s="24" t="s">
        <v>3178</v>
      </c>
      <c r="D79" s="98">
        <v>97</v>
      </c>
      <c r="E79" s="98">
        <v>114</v>
      </c>
      <c r="F79" s="98">
        <v>70</v>
      </c>
      <c r="G79" s="98">
        <v>98</v>
      </c>
      <c r="H79" s="98">
        <v>113.5</v>
      </c>
      <c r="I79" s="98">
        <v>19</v>
      </c>
      <c r="J79" s="98">
        <v>56</v>
      </c>
      <c r="K79" s="98">
        <v>117</v>
      </c>
      <c r="L79" s="98">
        <v>69</v>
      </c>
      <c r="M79" s="98">
        <v>47</v>
      </c>
      <c r="N79" s="98">
        <v>62</v>
      </c>
      <c r="O79" s="98">
        <v>90</v>
      </c>
      <c r="P79" s="24">
        <v>32</v>
      </c>
      <c r="Q79" s="98">
        <v>118</v>
      </c>
      <c r="R79" s="24">
        <v>63</v>
      </c>
      <c r="S79" s="98">
        <v>63</v>
      </c>
      <c r="T79" s="24">
        <v>38</v>
      </c>
      <c r="U79" s="98">
        <v>123</v>
      </c>
      <c r="V79" s="24">
        <v>467.5</v>
      </c>
      <c r="W79" s="24">
        <v>46</v>
      </c>
      <c r="X79" s="24">
        <v>78</v>
      </c>
      <c r="Y79" s="24">
        <v>468.5</v>
      </c>
      <c r="Z79" s="24">
        <v>86</v>
      </c>
      <c r="AA79" s="24">
        <v>8</v>
      </c>
    </row>
    <row r="80" spans="1:27">
      <c r="A80" s="24" t="s">
        <v>3280</v>
      </c>
      <c r="B80" s="98" t="s">
        <v>25</v>
      </c>
      <c r="C80" s="24" t="s">
        <v>2940</v>
      </c>
      <c r="D80" s="98">
        <v>109</v>
      </c>
      <c r="E80" s="98">
        <v>46</v>
      </c>
      <c r="F80" s="98">
        <v>93</v>
      </c>
      <c r="G80" s="98">
        <v>58</v>
      </c>
      <c r="H80" s="98">
        <v>75.5</v>
      </c>
      <c r="I80" s="98">
        <v>125</v>
      </c>
      <c r="J80" s="98">
        <v>63</v>
      </c>
      <c r="K80" s="98">
        <v>93</v>
      </c>
      <c r="L80" s="98">
        <v>70</v>
      </c>
      <c r="M80" s="98">
        <v>44</v>
      </c>
      <c r="N80" s="98">
        <v>55</v>
      </c>
      <c r="O80" s="98">
        <v>119</v>
      </c>
      <c r="P80" s="24">
        <v>38</v>
      </c>
      <c r="Q80" s="98">
        <v>91</v>
      </c>
      <c r="R80" s="24">
        <v>59</v>
      </c>
      <c r="S80" s="98">
        <v>84</v>
      </c>
      <c r="T80" s="24">
        <v>47</v>
      </c>
      <c r="U80" s="98">
        <v>82</v>
      </c>
      <c r="V80" s="24">
        <v>465.5</v>
      </c>
      <c r="W80" s="24">
        <v>16</v>
      </c>
      <c r="X80" s="24">
        <v>79</v>
      </c>
      <c r="Y80" s="24">
        <v>464.5</v>
      </c>
      <c r="Z80" s="24">
        <v>90</v>
      </c>
      <c r="AA80" s="24">
        <v>11</v>
      </c>
    </row>
    <row r="81" spans="1:27">
      <c r="A81" s="24" t="s">
        <v>3269</v>
      </c>
      <c r="B81" s="98" t="s">
        <v>25</v>
      </c>
      <c r="C81" s="24" t="s">
        <v>93</v>
      </c>
      <c r="D81" s="98">
        <v>106</v>
      </c>
      <c r="E81" s="98">
        <v>71</v>
      </c>
      <c r="F81" s="98">
        <v>78</v>
      </c>
      <c r="G81" s="98">
        <v>88</v>
      </c>
      <c r="H81" s="98">
        <v>81.5</v>
      </c>
      <c r="I81" s="98">
        <v>112</v>
      </c>
      <c r="J81" s="98">
        <v>78</v>
      </c>
      <c r="K81" s="98">
        <v>16</v>
      </c>
      <c r="L81" s="98">
        <v>60</v>
      </c>
      <c r="M81" s="98">
        <v>97</v>
      </c>
      <c r="N81" s="98">
        <v>59</v>
      </c>
      <c r="O81" s="98">
        <v>105</v>
      </c>
      <c r="P81" s="24">
        <v>36</v>
      </c>
      <c r="Q81" s="98">
        <v>105</v>
      </c>
      <c r="R81" s="24">
        <v>44</v>
      </c>
      <c r="S81" s="98">
        <v>130</v>
      </c>
      <c r="T81" s="24">
        <v>45</v>
      </c>
      <c r="U81" s="98">
        <v>92</v>
      </c>
      <c r="V81" s="24">
        <v>462.5</v>
      </c>
      <c r="W81" s="24">
        <v>17</v>
      </c>
      <c r="X81" s="24">
        <v>80</v>
      </c>
      <c r="Y81" s="24">
        <v>481</v>
      </c>
      <c r="Z81" s="24">
        <v>75</v>
      </c>
      <c r="AA81" s="24">
        <v>-5</v>
      </c>
    </row>
    <row r="82" spans="1:27">
      <c r="A82" s="24" t="s">
        <v>3297</v>
      </c>
      <c r="B82" s="98" t="s">
        <v>52</v>
      </c>
      <c r="C82" s="24" t="s">
        <v>3106</v>
      </c>
      <c r="D82" s="98">
        <v>106</v>
      </c>
      <c r="E82" s="98">
        <v>71</v>
      </c>
      <c r="F82" s="98">
        <v>69</v>
      </c>
      <c r="G82" s="98">
        <v>101</v>
      </c>
      <c r="H82" s="98">
        <v>93</v>
      </c>
      <c r="I82" s="98">
        <v>75</v>
      </c>
      <c r="J82" s="98">
        <v>63</v>
      </c>
      <c r="K82" s="98">
        <v>93</v>
      </c>
      <c r="L82" s="98">
        <v>65</v>
      </c>
      <c r="M82" s="98">
        <v>69</v>
      </c>
      <c r="N82" s="98">
        <v>66</v>
      </c>
      <c r="O82" s="98">
        <v>67</v>
      </c>
      <c r="P82" s="24">
        <v>38</v>
      </c>
      <c r="Q82" s="98">
        <v>91</v>
      </c>
      <c r="R82" s="24">
        <v>65</v>
      </c>
      <c r="S82" s="98">
        <v>53</v>
      </c>
      <c r="T82" s="24">
        <v>52</v>
      </c>
      <c r="U82" s="98">
        <v>43</v>
      </c>
      <c r="V82" s="24">
        <v>462</v>
      </c>
      <c r="W82" s="24">
        <v>18</v>
      </c>
      <c r="X82" s="24">
        <v>81</v>
      </c>
      <c r="Y82" s="24">
        <v>448</v>
      </c>
      <c r="Z82" s="24">
        <v>109</v>
      </c>
      <c r="AA82" s="24">
        <v>28</v>
      </c>
    </row>
    <row r="83" spans="1:27">
      <c r="A83" s="24" t="s">
        <v>3044</v>
      </c>
      <c r="B83" s="98" t="s">
        <v>52</v>
      </c>
      <c r="C83" s="24" t="s">
        <v>3032</v>
      </c>
      <c r="D83" s="98">
        <v>94</v>
      </c>
      <c r="E83" s="98">
        <v>123</v>
      </c>
      <c r="F83" s="98">
        <v>83</v>
      </c>
      <c r="G83" s="98">
        <v>72</v>
      </c>
      <c r="H83" s="98">
        <v>92</v>
      </c>
      <c r="I83" s="98">
        <v>77</v>
      </c>
      <c r="J83" s="98">
        <v>61</v>
      </c>
      <c r="K83" s="98">
        <v>106</v>
      </c>
      <c r="L83" s="98">
        <v>61</v>
      </c>
      <c r="M83" s="98">
        <v>90</v>
      </c>
      <c r="N83" s="98">
        <v>70</v>
      </c>
      <c r="O83" s="98">
        <v>50</v>
      </c>
      <c r="P83" s="24">
        <v>38</v>
      </c>
      <c r="Q83" s="98">
        <v>91</v>
      </c>
      <c r="R83" s="24">
        <v>65</v>
      </c>
      <c r="S83" s="98">
        <v>53</v>
      </c>
      <c r="T83" s="24">
        <v>51</v>
      </c>
      <c r="U83" s="98">
        <v>52</v>
      </c>
      <c r="V83" s="24">
        <v>461</v>
      </c>
      <c r="W83" s="24">
        <v>19</v>
      </c>
      <c r="X83" s="24">
        <v>82</v>
      </c>
      <c r="Y83" s="24">
        <v>495</v>
      </c>
      <c r="Z83" s="24">
        <v>62</v>
      </c>
      <c r="AA83" s="24">
        <v>-20</v>
      </c>
    </row>
    <row r="84" spans="1:27">
      <c r="A84" s="24" t="s">
        <v>3108</v>
      </c>
      <c r="B84" s="98" t="s">
        <v>25</v>
      </c>
      <c r="C84" s="24" t="s">
        <v>3109</v>
      </c>
      <c r="D84" s="98">
        <v>108</v>
      </c>
      <c r="E84" s="98">
        <v>54</v>
      </c>
      <c r="F84" s="98">
        <v>81</v>
      </c>
      <c r="G84" s="98">
        <v>80</v>
      </c>
      <c r="H84" s="98">
        <v>99</v>
      </c>
      <c r="I84" s="98">
        <v>56</v>
      </c>
      <c r="J84" s="98">
        <v>56</v>
      </c>
      <c r="K84" s="98">
        <v>117</v>
      </c>
      <c r="L84" s="98">
        <v>52</v>
      </c>
      <c r="M84" s="98">
        <v>121</v>
      </c>
      <c r="N84" s="98">
        <v>65</v>
      </c>
      <c r="O84" s="98">
        <v>77</v>
      </c>
      <c r="P84" s="24">
        <v>38</v>
      </c>
      <c r="Q84" s="98">
        <v>91</v>
      </c>
      <c r="R84" s="24">
        <v>62</v>
      </c>
      <c r="S84" s="98">
        <v>69</v>
      </c>
      <c r="T84" s="24">
        <v>48</v>
      </c>
      <c r="U84" s="98">
        <v>77</v>
      </c>
      <c r="V84" s="24">
        <v>461</v>
      </c>
      <c r="W84" s="24">
        <v>18</v>
      </c>
      <c r="X84" s="24">
        <v>82</v>
      </c>
      <c r="Y84" s="24">
        <v>507.5</v>
      </c>
      <c r="Z84" s="24">
        <v>53</v>
      </c>
      <c r="AA84" s="24">
        <v>-29</v>
      </c>
    </row>
    <row r="85" spans="1:27">
      <c r="A85" s="24" t="s">
        <v>3051</v>
      </c>
      <c r="B85" s="98" t="s">
        <v>52</v>
      </c>
      <c r="C85" s="24" t="s">
        <v>3040</v>
      </c>
      <c r="D85" s="98">
        <v>107</v>
      </c>
      <c r="E85" s="98">
        <v>68</v>
      </c>
      <c r="F85" s="98">
        <v>73</v>
      </c>
      <c r="G85" s="98">
        <v>94</v>
      </c>
      <c r="H85" s="98">
        <v>84</v>
      </c>
      <c r="I85" s="98">
        <v>106</v>
      </c>
      <c r="J85" s="98">
        <v>69</v>
      </c>
      <c r="K85" s="98">
        <v>64</v>
      </c>
      <c r="L85" s="98">
        <v>67</v>
      </c>
      <c r="M85" s="98">
        <v>58</v>
      </c>
      <c r="N85" s="98">
        <v>61</v>
      </c>
      <c r="O85" s="98">
        <v>94</v>
      </c>
      <c r="P85" s="24">
        <v>44</v>
      </c>
      <c r="Q85" s="98">
        <v>55</v>
      </c>
      <c r="R85" s="24">
        <v>65</v>
      </c>
      <c r="S85" s="98">
        <v>53</v>
      </c>
      <c r="T85" s="24">
        <v>47</v>
      </c>
      <c r="U85" s="98">
        <v>82</v>
      </c>
      <c r="V85" s="24">
        <v>461</v>
      </c>
      <c r="W85" s="24">
        <v>19</v>
      </c>
      <c r="X85" s="24">
        <v>82</v>
      </c>
      <c r="Y85" s="24">
        <v>454.5</v>
      </c>
      <c r="Z85" s="24">
        <v>104</v>
      </c>
      <c r="AA85" s="24">
        <v>22</v>
      </c>
    </row>
    <row r="86" spans="1:27">
      <c r="A86" s="24" t="s">
        <v>3298</v>
      </c>
      <c r="B86" s="98" t="s">
        <v>52</v>
      </c>
      <c r="C86" s="24" t="s">
        <v>132</v>
      </c>
      <c r="D86" s="98">
        <v>98</v>
      </c>
      <c r="E86" s="98">
        <v>109</v>
      </c>
      <c r="F86" s="98">
        <v>57</v>
      </c>
      <c r="G86" s="98">
        <v>121</v>
      </c>
      <c r="H86" s="98">
        <v>126</v>
      </c>
      <c r="I86" s="98">
        <v>3</v>
      </c>
      <c r="J86" s="98">
        <v>72</v>
      </c>
      <c r="K86" s="98">
        <v>41</v>
      </c>
      <c r="L86" s="98">
        <v>50</v>
      </c>
      <c r="M86" s="98">
        <v>126</v>
      </c>
      <c r="N86" s="98">
        <v>58</v>
      </c>
      <c r="O86" s="98">
        <v>107</v>
      </c>
      <c r="P86" s="24">
        <v>54</v>
      </c>
      <c r="Q86" s="98">
        <v>11</v>
      </c>
      <c r="R86" s="24">
        <v>69</v>
      </c>
      <c r="S86" s="98">
        <v>26</v>
      </c>
      <c r="T86" s="24">
        <v>63</v>
      </c>
      <c r="U86" s="98">
        <v>2</v>
      </c>
      <c r="V86" s="24">
        <v>461</v>
      </c>
      <c r="W86" s="24">
        <v>19</v>
      </c>
      <c r="X86" s="24">
        <v>82</v>
      </c>
      <c r="Y86" s="24">
        <v>494</v>
      </c>
      <c r="Z86" s="24">
        <v>63</v>
      </c>
      <c r="AA86" s="24">
        <v>-19</v>
      </c>
    </row>
    <row r="87" spans="1:27">
      <c r="A87" s="24" t="s">
        <v>3274</v>
      </c>
      <c r="B87" s="98" t="s">
        <v>25</v>
      </c>
      <c r="C87" s="24" t="s">
        <v>2980</v>
      </c>
      <c r="D87" s="98">
        <v>114</v>
      </c>
      <c r="E87" s="98">
        <v>23</v>
      </c>
      <c r="F87" s="98">
        <v>97</v>
      </c>
      <c r="G87" s="98">
        <v>50</v>
      </c>
      <c r="H87" s="98">
        <v>71.5</v>
      </c>
      <c r="I87" s="98">
        <v>130</v>
      </c>
      <c r="J87" s="98">
        <v>51</v>
      </c>
      <c r="K87" s="98">
        <v>131</v>
      </c>
      <c r="L87" s="98">
        <v>68</v>
      </c>
      <c r="M87" s="98">
        <v>52</v>
      </c>
      <c r="N87" s="98">
        <v>58</v>
      </c>
      <c r="O87" s="98">
        <v>107</v>
      </c>
      <c r="P87" s="24">
        <v>55</v>
      </c>
      <c r="Q87" s="98">
        <v>9</v>
      </c>
      <c r="R87" s="24">
        <v>67</v>
      </c>
      <c r="S87" s="98">
        <v>38</v>
      </c>
      <c r="T87" s="24">
        <v>42</v>
      </c>
      <c r="U87" s="98">
        <v>112</v>
      </c>
      <c r="V87" s="24">
        <v>459.5</v>
      </c>
      <c r="W87" s="24">
        <v>19</v>
      </c>
      <c r="X87" s="24">
        <v>86</v>
      </c>
      <c r="Y87" s="24">
        <v>460</v>
      </c>
      <c r="Z87" s="24">
        <v>98</v>
      </c>
      <c r="AA87" s="24">
        <v>12</v>
      </c>
    </row>
    <row r="88" spans="1:27">
      <c r="A88" s="24" t="s">
        <v>3158</v>
      </c>
      <c r="B88" s="98" t="s">
        <v>25</v>
      </c>
      <c r="C88" s="24" t="s">
        <v>3159</v>
      </c>
      <c r="D88" s="98">
        <v>105</v>
      </c>
      <c r="E88" s="98">
        <v>75</v>
      </c>
      <c r="F88" s="98">
        <v>63</v>
      </c>
      <c r="G88" s="98">
        <v>110</v>
      </c>
      <c r="H88" s="98">
        <v>86</v>
      </c>
      <c r="I88" s="98">
        <v>101</v>
      </c>
      <c r="J88" s="98">
        <v>70</v>
      </c>
      <c r="K88" s="98">
        <v>57</v>
      </c>
      <c r="L88" s="98">
        <v>69</v>
      </c>
      <c r="M88" s="98">
        <v>47</v>
      </c>
      <c r="N88" s="98">
        <v>66</v>
      </c>
      <c r="O88" s="98">
        <v>67</v>
      </c>
      <c r="P88" s="24">
        <v>48</v>
      </c>
      <c r="Q88" s="98">
        <v>26</v>
      </c>
      <c r="R88" s="24">
        <v>55</v>
      </c>
      <c r="S88" s="98">
        <v>110</v>
      </c>
      <c r="T88" s="24">
        <v>43</v>
      </c>
      <c r="U88" s="98">
        <v>102</v>
      </c>
      <c r="V88" s="24">
        <v>459</v>
      </c>
      <c r="W88" s="24">
        <v>20</v>
      </c>
      <c r="X88" s="24">
        <v>87</v>
      </c>
      <c r="Y88" s="24">
        <v>470</v>
      </c>
      <c r="Z88" s="24">
        <v>84</v>
      </c>
      <c r="AA88" s="24">
        <v>-3</v>
      </c>
    </row>
    <row r="89" spans="1:27">
      <c r="A89" s="24" t="s">
        <v>3039</v>
      </c>
      <c r="B89" s="98" t="s">
        <v>52</v>
      </c>
      <c r="C89" s="24" t="s">
        <v>3029</v>
      </c>
      <c r="D89" s="98">
        <v>109</v>
      </c>
      <c r="E89" s="98">
        <v>46</v>
      </c>
      <c r="F89" s="98">
        <v>65</v>
      </c>
      <c r="G89" s="98">
        <v>107</v>
      </c>
      <c r="H89" s="98">
        <v>105.5</v>
      </c>
      <c r="I89" s="98">
        <v>39</v>
      </c>
      <c r="J89" s="98">
        <v>52</v>
      </c>
      <c r="K89" s="98">
        <v>130</v>
      </c>
      <c r="L89" s="98">
        <v>68</v>
      </c>
      <c r="M89" s="98">
        <v>52</v>
      </c>
      <c r="N89" s="98">
        <v>59</v>
      </c>
      <c r="O89" s="98">
        <v>105</v>
      </c>
      <c r="P89" s="24">
        <v>38</v>
      </c>
      <c r="Q89" s="98">
        <v>91</v>
      </c>
      <c r="R89" s="24">
        <v>53</v>
      </c>
      <c r="S89" s="98">
        <v>117</v>
      </c>
      <c r="T89" s="24">
        <v>45</v>
      </c>
      <c r="U89" s="98">
        <v>92</v>
      </c>
      <c r="V89" s="24">
        <v>458.5</v>
      </c>
      <c r="W89" s="24">
        <v>22</v>
      </c>
      <c r="X89" s="24">
        <v>88</v>
      </c>
      <c r="Y89" s="24">
        <v>462.5</v>
      </c>
      <c r="Z89" s="24">
        <v>94</v>
      </c>
      <c r="AA89" s="24">
        <v>6</v>
      </c>
    </row>
    <row r="90" spans="1:27">
      <c r="A90" s="24" t="s">
        <v>3085</v>
      </c>
      <c r="B90" s="98" t="s">
        <v>52</v>
      </c>
      <c r="C90" s="24" t="s">
        <v>334</v>
      </c>
      <c r="D90" s="98">
        <v>102</v>
      </c>
      <c r="E90" s="98">
        <v>86</v>
      </c>
      <c r="F90" s="98">
        <v>81</v>
      </c>
      <c r="G90" s="98">
        <v>80</v>
      </c>
      <c r="H90" s="98">
        <v>82</v>
      </c>
      <c r="I90" s="98">
        <v>111</v>
      </c>
      <c r="J90" s="98">
        <v>76</v>
      </c>
      <c r="K90" s="98">
        <v>23</v>
      </c>
      <c r="L90" s="98">
        <v>57</v>
      </c>
      <c r="M90" s="98">
        <v>110</v>
      </c>
      <c r="N90" s="98">
        <v>58</v>
      </c>
      <c r="O90" s="98">
        <v>107</v>
      </c>
      <c r="P90" s="24">
        <v>49</v>
      </c>
      <c r="Q90" s="98">
        <v>22</v>
      </c>
      <c r="R90" s="24">
        <v>71</v>
      </c>
      <c r="S90" s="98">
        <v>19</v>
      </c>
      <c r="T90" s="24">
        <v>54</v>
      </c>
      <c r="U90" s="98">
        <v>27</v>
      </c>
      <c r="V90" s="24">
        <v>456</v>
      </c>
      <c r="W90" s="24">
        <v>23</v>
      </c>
      <c r="X90" s="24">
        <v>89</v>
      </c>
      <c r="Y90" s="24">
        <v>488</v>
      </c>
      <c r="Z90" s="24">
        <v>71</v>
      </c>
      <c r="AA90" s="24">
        <v>-18</v>
      </c>
    </row>
    <row r="91" spans="1:27">
      <c r="A91" s="24" t="s">
        <v>3143</v>
      </c>
      <c r="B91" s="98" t="s">
        <v>25</v>
      </c>
      <c r="C91" s="24" t="s">
        <v>3144</v>
      </c>
      <c r="D91" s="98">
        <v>109</v>
      </c>
      <c r="E91" s="98">
        <v>46</v>
      </c>
      <c r="F91" s="98">
        <v>72</v>
      </c>
      <c r="G91" s="98">
        <v>96</v>
      </c>
      <c r="H91" s="98">
        <v>81.5</v>
      </c>
      <c r="I91" s="98">
        <v>112</v>
      </c>
      <c r="J91" s="98">
        <v>72</v>
      </c>
      <c r="K91" s="98">
        <v>41</v>
      </c>
      <c r="L91" s="98">
        <v>60</v>
      </c>
      <c r="M91" s="98">
        <v>97</v>
      </c>
      <c r="N91" s="98">
        <v>60</v>
      </c>
      <c r="O91" s="98">
        <v>101</v>
      </c>
      <c r="P91" s="24">
        <v>38</v>
      </c>
      <c r="Q91" s="98">
        <v>91</v>
      </c>
      <c r="R91" s="24">
        <v>63</v>
      </c>
      <c r="S91" s="98">
        <v>63</v>
      </c>
      <c r="T91" s="24">
        <v>54</v>
      </c>
      <c r="U91" s="98">
        <v>27</v>
      </c>
      <c r="V91" s="24">
        <v>454.5</v>
      </c>
      <c r="W91" s="24">
        <v>21</v>
      </c>
      <c r="X91" s="24">
        <v>90</v>
      </c>
      <c r="Y91" s="24">
        <v>464</v>
      </c>
      <c r="Z91" s="24">
        <v>91</v>
      </c>
      <c r="AA91" s="24">
        <v>1</v>
      </c>
    </row>
    <row r="92" spans="1:27">
      <c r="A92" s="24" t="s">
        <v>3022</v>
      </c>
      <c r="B92" s="98" t="s">
        <v>52</v>
      </c>
      <c r="C92" s="24" t="s">
        <v>3020</v>
      </c>
      <c r="D92" s="98">
        <v>101</v>
      </c>
      <c r="E92" s="98">
        <v>93</v>
      </c>
      <c r="F92" s="98">
        <v>96</v>
      </c>
      <c r="G92" s="98">
        <v>54</v>
      </c>
      <c r="H92" s="98">
        <v>78</v>
      </c>
      <c r="I92" s="98">
        <v>122</v>
      </c>
      <c r="J92" s="98">
        <v>54</v>
      </c>
      <c r="K92" s="98">
        <v>124</v>
      </c>
      <c r="L92" s="98">
        <v>57</v>
      </c>
      <c r="M92" s="98">
        <v>110</v>
      </c>
      <c r="N92" s="98">
        <v>67</v>
      </c>
      <c r="O92" s="98">
        <v>60</v>
      </c>
      <c r="P92" s="24">
        <v>30</v>
      </c>
      <c r="Q92" s="98">
        <v>125</v>
      </c>
      <c r="R92" s="24">
        <v>57</v>
      </c>
      <c r="S92" s="98">
        <v>97</v>
      </c>
      <c r="T92" s="24">
        <v>45</v>
      </c>
      <c r="U92" s="98">
        <v>92</v>
      </c>
      <c r="V92" s="24">
        <v>453</v>
      </c>
      <c r="W92" s="24">
        <v>24</v>
      </c>
      <c r="X92" s="24">
        <v>91</v>
      </c>
      <c r="Y92" s="24">
        <v>443.5</v>
      </c>
      <c r="Z92" s="24">
        <v>114</v>
      </c>
      <c r="AA92" s="24">
        <v>23</v>
      </c>
    </row>
    <row r="93" spans="1:27">
      <c r="A93" s="24" t="s">
        <v>3233</v>
      </c>
      <c r="B93" s="98" t="s">
        <v>25</v>
      </c>
      <c r="C93" s="24" t="s">
        <v>1677</v>
      </c>
      <c r="D93" s="98">
        <v>98</v>
      </c>
      <c r="E93" s="98">
        <v>109</v>
      </c>
      <c r="F93" s="98">
        <v>87</v>
      </c>
      <c r="G93" s="98">
        <v>66</v>
      </c>
      <c r="H93" s="98">
        <v>81</v>
      </c>
      <c r="I93" s="98">
        <v>115</v>
      </c>
      <c r="J93" s="98">
        <v>67</v>
      </c>
      <c r="K93" s="98">
        <v>74</v>
      </c>
      <c r="L93" s="98">
        <v>60</v>
      </c>
      <c r="M93" s="98">
        <v>97</v>
      </c>
      <c r="N93" s="98">
        <v>60</v>
      </c>
      <c r="O93" s="98">
        <v>101</v>
      </c>
      <c r="P93" s="24">
        <v>45</v>
      </c>
      <c r="Q93" s="98">
        <v>52</v>
      </c>
      <c r="R93" s="24">
        <v>68</v>
      </c>
      <c r="S93" s="98">
        <v>31</v>
      </c>
      <c r="T93" s="24">
        <v>60</v>
      </c>
      <c r="U93" s="98">
        <v>7</v>
      </c>
      <c r="V93" s="24">
        <v>453</v>
      </c>
      <c r="W93" s="24">
        <v>22</v>
      </c>
      <c r="X93" s="24">
        <v>91</v>
      </c>
      <c r="Y93" s="24">
        <v>488</v>
      </c>
      <c r="Z93" s="24">
        <v>71</v>
      </c>
      <c r="AA93" s="24">
        <v>-20</v>
      </c>
    </row>
    <row r="94" spans="1:27">
      <c r="A94" s="24" t="s">
        <v>3116</v>
      </c>
      <c r="B94" s="98" t="s">
        <v>25</v>
      </c>
      <c r="C94" s="24" t="s">
        <v>3117</v>
      </c>
      <c r="D94" s="98">
        <v>95</v>
      </c>
      <c r="E94" s="98">
        <v>119</v>
      </c>
      <c r="F94" s="98">
        <v>85</v>
      </c>
      <c r="G94" s="98">
        <v>69</v>
      </c>
      <c r="H94" s="98">
        <v>83</v>
      </c>
      <c r="I94" s="98">
        <v>108</v>
      </c>
      <c r="J94" s="98">
        <v>76</v>
      </c>
      <c r="K94" s="98">
        <v>23</v>
      </c>
      <c r="L94" s="98">
        <v>54</v>
      </c>
      <c r="M94" s="98">
        <v>120</v>
      </c>
      <c r="N94" s="98">
        <v>60</v>
      </c>
      <c r="O94" s="98">
        <v>101</v>
      </c>
      <c r="P94" s="24">
        <v>47</v>
      </c>
      <c r="Q94" s="98">
        <v>33</v>
      </c>
      <c r="R94" s="24">
        <v>59</v>
      </c>
      <c r="S94" s="98">
        <v>84</v>
      </c>
      <c r="T94" s="24">
        <v>50</v>
      </c>
      <c r="U94" s="98">
        <v>63</v>
      </c>
      <c r="V94" s="24">
        <v>453</v>
      </c>
      <c r="W94" s="24">
        <v>22</v>
      </c>
      <c r="X94" s="24">
        <v>91</v>
      </c>
      <c r="Y94" s="24">
        <v>481.5</v>
      </c>
      <c r="Z94" s="24">
        <v>74</v>
      </c>
      <c r="AA94" s="24">
        <v>-17</v>
      </c>
    </row>
    <row r="95" spans="1:27">
      <c r="A95" s="24" t="s">
        <v>3161</v>
      </c>
      <c r="B95" s="98" t="s">
        <v>25</v>
      </c>
      <c r="C95" s="24" t="s">
        <v>134</v>
      </c>
      <c r="D95" s="98">
        <v>96</v>
      </c>
      <c r="E95" s="98">
        <v>116</v>
      </c>
      <c r="F95" s="98">
        <v>55</v>
      </c>
      <c r="G95" s="98">
        <v>122</v>
      </c>
      <c r="H95" s="98">
        <v>96.5</v>
      </c>
      <c r="I95" s="98">
        <v>66</v>
      </c>
      <c r="J95" s="98">
        <v>64</v>
      </c>
      <c r="K95" s="98">
        <v>87</v>
      </c>
      <c r="L95" s="98">
        <v>65</v>
      </c>
      <c r="M95" s="98">
        <v>69</v>
      </c>
      <c r="N95" s="98">
        <v>76</v>
      </c>
      <c r="O95" s="98">
        <v>20</v>
      </c>
      <c r="P95" s="24">
        <v>41</v>
      </c>
      <c r="Q95" s="98">
        <v>77</v>
      </c>
      <c r="R95" s="24">
        <v>54</v>
      </c>
      <c r="S95" s="98">
        <v>114</v>
      </c>
      <c r="T95" s="24">
        <v>51</v>
      </c>
      <c r="U95" s="98">
        <v>52</v>
      </c>
      <c r="V95" s="24">
        <v>452.5</v>
      </c>
      <c r="W95" s="24">
        <v>24</v>
      </c>
      <c r="X95" s="24">
        <v>94</v>
      </c>
      <c r="Y95" s="24">
        <v>496.5</v>
      </c>
      <c r="Z95" s="24">
        <v>61</v>
      </c>
      <c r="AA95" s="24">
        <v>-33</v>
      </c>
    </row>
    <row r="96" spans="1:27">
      <c r="A96" s="24" t="s">
        <v>3154</v>
      </c>
      <c r="B96" s="98" t="s">
        <v>25</v>
      </c>
      <c r="C96" s="24" t="s">
        <v>103</v>
      </c>
      <c r="D96" s="98">
        <v>94</v>
      </c>
      <c r="E96" s="98">
        <v>123</v>
      </c>
      <c r="F96" s="98">
        <v>79</v>
      </c>
      <c r="G96" s="98">
        <v>84</v>
      </c>
      <c r="H96" s="98">
        <v>101</v>
      </c>
      <c r="I96" s="98">
        <v>49</v>
      </c>
      <c r="J96" s="98">
        <v>70</v>
      </c>
      <c r="K96" s="98">
        <v>57</v>
      </c>
      <c r="L96" s="98">
        <v>47</v>
      </c>
      <c r="M96" s="98">
        <v>128</v>
      </c>
      <c r="N96" s="98">
        <v>60</v>
      </c>
      <c r="O96" s="98">
        <v>101</v>
      </c>
      <c r="P96" s="24">
        <v>38</v>
      </c>
      <c r="Q96" s="98">
        <v>91</v>
      </c>
      <c r="R96" s="24">
        <v>58</v>
      </c>
      <c r="S96" s="98">
        <v>90</v>
      </c>
      <c r="T96" s="24">
        <v>45</v>
      </c>
      <c r="U96" s="98">
        <v>92</v>
      </c>
      <c r="V96" s="24">
        <v>451</v>
      </c>
      <c r="W96" s="24">
        <v>25</v>
      </c>
      <c r="X96" s="24">
        <v>95</v>
      </c>
      <c r="Y96" s="24">
        <v>458</v>
      </c>
      <c r="Z96" s="24">
        <v>100</v>
      </c>
      <c r="AA96" s="24">
        <v>5</v>
      </c>
    </row>
    <row r="97" spans="1:27">
      <c r="A97" s="24" t="s">
        <v>3016</v>
      </c>
      <c r="B97" s="98" t="s">
        <v>52</v>
      </c>
      <c r="C97" s="24" t="s">
        <v>3017</v>
      </c>
      <c r="D97" s="98">
        <v>96</v>
      </c>
      <c r="E97" s="98">
        <v>116</v>
      </c>
      <c r="F97" s="98">
        <v>76</v>
      </c>
      <c r="G97" s="98">
        <v>92</v>
      </c>
      <c r="H97" s="98">
        <v>87</v>
      </c>
      <c r="I97" s="98">
        <v>95</v>
      </c>
      <c r="J97" s="98">
        <v>74</v>
      </c>
      <c r="K97" s="98">
        <v>32</v>
      </c>
      <c r="L97" s="98">
        <v>56</v>
      </c>
      <c r="M97" s="98">
        <v>116</v>
      </c>
      <c r="N97" s="98">
        <v>61</v>
      </c>
      <c r="O97" s="98">
        <v>94</v>
      </c>
      <c r="P97" s="24">
        <v>46</v>
      </c>
      <c r="Q97" s="98">
        <v>40</v>
      </c>
      <c r="R97" s="24">
        <v>57</v>
      </c>
      <c r="S97" s="98">
        <v>97</v>
      </c>
      <c r="T97" s="24">
        <v>52</v>
      </c>
      <c r="U97" s="98">
        <v>43</v>
      </c>
      <c r="V97" s="24">
        <v>450</v>
      </c>
      <c r="W97" s="24">
        <v>25</v>
      </c>
      <c r="X97" s="24">
        <v>96</v>
      </c>
      <c r="Y97" s="24">
        <v>448.5</v>
      </c>
      <c r="Z97" s="24">
        <v>108</v>
      </c>
      <c r="AA97" s="24">
        <v>12</v>
      </c>
    </row>
    <row r="98" spans="1:27">
      <c r="A98" s="24" t="s">
        <v>3276</v>
      </c>
      <c r="B98" s="98" t="s">
        <v>52</v>
      </c>
      <c r="C98" s="24" t="s">
        <v>3083</v>
      </c>
      <c r="D98" s="98">
        <v>98</v>
      </c>
      <c r="E98" s="98">
        <v>109</v>
      </c>
      <c r="F98" s="98">
        <v>78</v>
      </c>
      <c r="G98" s="98">
        <v>88</v>
      </c>
      <c r="H98" s="98">
        <v>89</v>
      </c>
      <c r="I98" s="98">
        <v>87</v>
      </c>
      <c r="J98" s="98">
        <v>61</v>
      </c>
      <c r="K98" s="98">
        <v>106</v>
      </c>
      <c r="L98" s="98">
        <v>61</v>
      </c>
      <c r="M98" s="98">
        <v>90</v>
      </c>
      <c r="N98" s="98">
        <v>62</v>
      </c>
      <c r="O98" s="98">
        <v>90</v>
      </c>
      <c r="P98" s="24">
        <v>27</v>
      </c>
      <c r="Q98" s="98">
        <v>132</v>
      </c>
      <c r="R98" s="24">
        <v>60</v>
      </c>
      <c r="S98" s="98">
        <v>76</v>
      </c>
      <c r="T98" s="24">
        <v>56</v>
      </c>
      <c r="U98" s="98">
        <v>19</v>
      </c>
      <c r="V98" s="24">
        <v>449</v>
      </c>
      <c r="W98" s="24">
        <v>26</v>
      </c>
      <c r="X98" s="24">
        <v>97</v>
      </c>
      <c r="Y98" s="24">
        <v>497.5</v>
      </c>
      <c r="Z98" s="24">
        <v>60</v>
      </c>
      <c r="AA98" s="24">
        <v>-37</v>
      </c>
    </row>
    <row r="99" spans="1:27">
      <c r="A99" s="24" t="s">
        <v>3163</v>
      </c>
      <c r="B99" s="98" t="s">
        <v>25</v>
      </c>
      <c r="C99" s="24" t="s">
        <v>3164</v>
      </c>
      <c r="D99" s="98">
        <v>90</v>
      </c>
      <c r="E99" s="98">
        <v>133</v>
      </c>
      <c r="F99" s="98">
        <v>98</v>
      </c>
      <c r="G99" s="98">
        <v>48</v>
      </c>
      <c r="H99" s="98">
        <v>78.5</v>
      </c>
      <c r="I99" s="98">
        <v>121</v>
      </c>
      <c r="J99" s="98">
        <v>65</v>
      </c>
      <c r="K99" s="98">
        <v>81</v>
      </c>
      <c r="L99" s="98">
        <v>57</v>
      </c>
      <c r="M99" s="98">
        <v>110</v>
      </c>
      <c r="N99" s="98">
        <v>57</v>
      </c>
      <c r="O99" s="98">
        <v>113</v>
      </c>
      <c r="P99" s="24">
        <v>43</v>
      </c>
      <c r="Q99" s="98">
        <v>60</v>
      </c>
      <c r="R99" s="24">
        <v>72</v>
      </c>
      <c r="S99" s="98">
        <v>16</v>
      </c>
      <c r="T99" s="24">
        <v>57</v>
      </c>
      <c r="U99" s="98">
        <v>16</v>
      </c>
      <c r="V99" s="24">
        <v>445.5</v>
      </c>
      <c r="W99" s="24">
        <v>26</v>
      </c>
      <c r="X99" s="24">
        <v>98</v>
      </c>
      <c r="Y99" s="24">
        <v>499</v>
      </c>
      <c r="Z99" s="24">
        <v>57</v>
      </c>
      <c r="AA99" s="24">
        <v>-41</v>
      </c>
    </row>
    <row r="100" spans="1:27">
      <c r="A100" s="24" t="s">
        <v>3105</v>
      </c>
      <c r="B100" s="98" t="s">
        <v>52</v>
      </c>
      <c r="C100" s="24" t="s">
        <v>3079</v>
      </c>
      <c r="D100" s="98">
        <v>102</v>
      </c>
      <c r="E100" s="98">
        <v>86</v>
      </c>
      <c r="F100" s="98">
        <v>83</v>
      </c>
      <c r="G100" s="98">
        <v>72</v>
      </c>
      <c r="H100" s="98">
        <v>75</v>
      </c>
      <c r="I100" s="98">
        <v>127</v>
      </c>
      <c r="J100" s="98">
        <v>61</v>
      </c>
      <c r="K100" s="98">
        <v>106</v>
      </c>
      <c r="L100" s="98">
        <v>58</v>
      </c>
      <c r="M100" s="98">
        <v>107</v>
      </c>
      <c r="N100" s="98">
        <v>66</v>
      </c>
      <c r="O100" s="98">
        <v>67</v>
      </c>
      <c r="P100" s="24">
        <v>39</v>
      </c>
      <c r="Q100" s="98">
        <v>87</v>
      </c>
      <c r="R100" s="24">
        <v>76</v>
      </c>
      <c r="S100" s="98">
        <v>9</v>
      </c>
      <c r="T100" s="24">
        <v>63</v>
      </c>
      <c r="U100" s="98">
        <v>2</v>
      </c>
      <c r="V100" s="24">
        <v>445</v>
      </c>
      <c r="W100" s="24">
        <v>27</v>
      </c>
      <c r="X100" s="24">
        <v>99</v>
      </c>
      <c r="Y100" s="24">
        <v>460.5</v>
      </c>
      <c r="Z100" s="24">
        <v>97</v>
      </c>
      <c r="AA100" s="24">
        <v>-2</v>
      </c>
    </row>
    <row r="101" spans="1:27">
      <c r="A101" s="24" t="s">
        <v>3284</v>
      </c>
      <c r="B101" s="98" t="s">
        <v>52</v>
      </c>
      <c r="C101" s="24" t="s">
        <v>158</v>
      </c>
      <c r="D101" s="98">
        <v>99</v>
      </c>
      <c r="E101" s="98">
        <v>102</v>
      </c>
      <c r="F101" s="98">
        <v>68</v>
      </c>
      <c r="G101" s="98">
        <v>102</v>
      </c>
      <c r="H101" s="98">
        <v>79.5</v>
      </c>
      <c r="I101" s="98">
        <v>119</v>
      </c>
      <c r="J101" s="98">
        <v>59</v>
      </c>
      <c r="K101" s="98">
        <v>109</v>
      </c>
      <c r="L101" s="98">
        <v>63</v>
      </c>
      <c r="M101" s="98">
        <v>81</v>
      </c>
      <c r="N101" s="98">
        <v>76</v>
      </c>
      <c r="O101" s="98">
        <v>20</v>
      </c>
      <c r="P101" s="24">
        <v>40</v>
      </c>
      <c r="Q101" s="98">
        <v>79</v>
      </c>
      <c r="R101" s="24">
        <v>67</v>
      </c>
      <c r="S101" s="98">
        <v>38</v>
      </c>
      <c r="T101" s="24">
        <v>53</v>
      </c>
      <c r="U101" s="98">
        <v>35</v>
      </c>
      <c r="V101" s="24">
        <v>444.5</v>
      </c>
      <c r="W101" s="24">
        <v>28</v>
      </c>
      <c r="X101" s="24">
        <v>100</v>
      </c>
      <c r="Y101" s="24">
        <v>452.5</v>
      </c>
      <c r="Z101" s="24">
        <v>105</v>
      </c>
      <c r="AA101" s="24">
        <v>5</v>
      </c>
    </row>
    <row r="102" spans="1:27">
      <c r="A102" s="24" t="s">
        <v>3042</v>
      </c>
      <c r="B102" s="98" t="s">
        <v>52</v>
      </c>
      <c r="C102" s="24" t="s">
        <v>1220</v>
      </c>
      <c r="D102" s="98">
        <v>100</v>
      </c>
      <c r="E102" s="98">
        <v>97</v>
      </c>
      <c r="F102" s="98">
        <v>76</v>
      </c>
      <c r="G102" s="98">
        <v>92</v>
      </c>
      <c r="H102" s="98">
        <v>88.5</v>
      </c>
      <c r="I102" s="98">
        <v>90</v>
      </c>
      <c r="J102" s="98">
        <v>62</v>
      </c>
      <c r="K102" s="98">
        <v>98</v>
      </c>
      <c r="L102" s="98">
        <v>51</v>
      </c>
      <c r="M102" s="98">
        <v>123</v>
      </c>
      <c r="N102" s="98">
        <v>66</v>
      </c>
      <c r="O102" s="98">
        <v>67</v>
      </c>
      <c r="P102" s="24">
        <v>43</v>
      </c>
      <c r="Q102" s="98">
        <v>60</v>
      </c>
      <c r="R102" s="24">
        <v>68</v>
      </c>
      <c r="S102" s="98">
        <v>31</v>
      </c>
      <c r="T102" s="24">
        <v>43</v>
      </c>
      <c r="U102" s="98">
        <v>102</v>
      </c>
      <c r="V102" s="24">
        <v>443.5</v>
      </c>
      <c r="W102" s="24">
        <v>29</v>
      </c>
      <c r="X102" s="24">
        <v>101</v>
      </c>
      <c r="Y102" s="24">
        <v>425</v>
      </c>
      <c r="Z102" s="24">
        <v>126</v>
      </c>
      <c r="AA102" s="24">
        <v>25</v>
      </c>
    </row>
    <row r="103" spans="1:27">
      <c r="A103" s="24" t="s">
        <v>3275</v>
      </c>
      <c r="B103" s="98" t="s">
        <v>52</v>
      </c>
      <c r="C103" s="24" t="s">
        <v>3101</v>
      </c>
      <c r="D103" s="98">
        <v>94</v>
      </c>
      <c r="E103" s="98">
        <v>123</v>
      </c>
      <c r="F103" s="98">
        <v>70</v>
      </c>
      <c r="G103" s="98">
        <v>98</v>
      </c>
      <c r="H103" s="98">
        <v>90.5</v>
      </c>
      <c r="I103" s="98">
        <v>81</v>
      </c>
      <c r="J103" s="98">
        <v>65</v>
      </c>
      <c r="K103" s="98">
        <v>81</v>
      </c>
      <c r="L103" s="98">
        <v>61</v>
      </c>
      <c r="M103" s="98">
        <v>90</v>
      </c>
      <c r="N103" s="98">
        <v>63</v>
      </c>
      <c r="O103" s="98">
        <v>86</v>
      </c>
      <c r="P103" s="24">
        <v>43</v>
      </c>
      <c r="Q103" s="98">
        <v>60</v>
      </c>
      <c r="R103" s="24">
        <v>68</v>
      </c>
      <c r="S103" s="98">
        <v>31</v>
      </c>
      <c r="T103" s="24">
        <v>44</v>
      </c>
      <c r="U103" s="98">
        <v>98</v>
      </c>
      <c r="V103" s="24">
        <v>443.5</v>
      </c>
      <c r="W103" s="24">
        <v>29</v>
      </c>
      <c r="X103" s="24">
        <v>101</v>
      </c>
      <c r="Y103" s="24">
        <v>472</v>
      </c>
      <c r="Z103" s="24">
        <v>82</v>
      </c>
      <c r="AA103" s="24">
        <v>-19</v>
      </c>
    </row>
    <row r="104" spans="1:27">
      <c r="A104" s="24" t="s">
        <v>3286</v>
      </c>
      <c r="B104" s="98" t="s">
        <v>52</v>
      </c>
      <c r="C104" s="24" t="s">
        <v>3287</v>
      </c>
      <c r="D104" s="98">
        <v>99</v>
      </c>
      <c r="E104" s="98">
        <v>102</v>
      </c>
      <c r="F104" s="98">
        <v>73</v>
      </c>
      <c r="G104" s="98">
        <v>94</v>
      </c>
      <c r="H104" s="98">
        <v>111</v>
      </c>
      <c r="I104" s="98">
        <v>22</v>
      </c>
      <c r="J104" s="98">
        <v>58</v>
      </c>
      <c r="K104" s="98">
        <v>112</v>
      </c>
      <c r="L104" s="98">
        <v>45</v>
      </c>
      <c r="M104" s="98">
        <v>130</v>
      </c>
      <c r="N104" s="98">
        <v>57</v>
      </c>
      <c r="O104" s="98">
        <v>113</v>
      </c>
      <c r="P104" s="24">
        <v>40</v>
      </c>
      <c r="Q104" s="98">
        <v>79</v>
      </c>
      <c r="R104" s="24">
        <v>50</v>
      </c>
      <c r="S104" s="98">
        <v>121</v>
      </c>
      <c r="T104" s="24">
        <v>23</v>
      </c>
      <c r="U104" s="98">
        <v>133</v>
      </c>
      <c r="V104" s="24">
        <v>443</v>
      </c>
      <c r="W104" s="24">
        <v>31</v>
      </c>
      <c r="X104" s="24">
        <v>103</v>
      </c>
      <c r="Y104" s="24">
        <v>455</v>
      </c>
      <c r="Z104" s="24">
        <v>103</v>
      </c>
      <c r="AA104" s="24">
        <v>0</v>
      </c>
    </row>
    <row r="105" spans="1:27">
      <c r="A105" s="24" t="s">
        <v>3131</v>
      </c>
      <c r="B105" s="98" t="s">
        <v>25</v>
      </c>
      <c r="C105" s="24" t="s">
        <v>3132</v>
      </c>
      <c r="D105" s="98">
        <v>100</v>
      </c>
      <c r="E105" s="98">
        <v>97</v>
      </c>
      <c r="F105" s="98">
        <v>61</v>
      </c>
      <c r="G105" s="98">
        <v>115</v>
      </c>
      <c r="H105" s="98">
        <v>79.5</v>
      </c>
      <c r="I105" s="98">
        <v>119</v>
      </c>
      <c r="J105" s="98">
        <v>71</v>
      </c>
      <c r="K105" s="98">
        <v>46</v>
      </c>
      <c r="L105" s="98">
        <v>66</v>
      </c>
      <c r="M105" s="98">
        <v>60</v>
      </c>
      <c r="N105" s="98">
        <v>63</v>
      </c>
      <c r="O105" s="98">
        <v>86</v>
      </c>
      <c r="P105" s="24">
        <v>39</v>
      </c>
      <c r="Q105" s="98">
        <v>87</v>
      </c>
      <c r="R105" s="24">
        <v>59</v>
      </c>
      <c r="S105" s="98">
        <v>84</v>
      </c>
      <c r="T105" s="24">
        <v>49</v>
      </c>
      <c r="U105" s="98">
        <v>70</v>
      </c>
      <c r="V105" s="24">
        <v>440.5</v>
      </c>
      <c r="W105" s="24">
        <v>27</v>
      </c>
      <c r="X105" s="24">
        <v>104</v>
      </c>
      <c r="Y105" s="24">
        <v>412.5</v>
      </c>
      <c r="Z105" s="24">
        <v>133</v>
      </c>
      <c r="AA105" s="24">
        <v>29</v>
      </c>
    </row>
    <row r="106" spans="1:27">
      <c r="A106" s="24" t="s">
        <v>3194</v>
      </c>
      <c r="B106" s="98" t="s">
        <v>25</v>
      </c>
      <c r="C106" s="24" t="s">
        <v>3195</v>
      </c>
      <c r="D106" s="98">
        <v>99</v>
      </c>
      <c r="E106" s="98">
        <v>102</v>
      </c>
      <c r="F106" s="98">
        <v>52</v>
      </c>
      <c r="G106" s="98">
        <v>125</v>
      </c>
      <c r="H106" s="98">
        <v>90.5</v>
      </c>
      <c r="I106" s="98">
        <v>81</v>
      </c>
      <c r="J106" s="98">
        <v>72</v>
      </c>
      <c r="K106" s="98">
        <v>41</v>
      </c>
      <c r="L106" s="98">
        <v>66</v>
      </c>
      <c r="M106" s="98">
        <v>60</v>
      </c>
      <c r="N106" s="98">
        <v>61</v>
      </c>
      <c r="O106" s="98">
        <v>94</v>
      </c>
      <c r="P106" s="24">
        <v>33</v>
      </c>
      <c r="Q106" s="98">
        <v>115</v>
      </c>
      <c r="R106" s="24">
        <v>51</v>
      </c>
      <c r="S106" s="98">
        <v>120</v>
      </c>
      <c r="T106" s="24">
        <v>59</v>
      </c>
      <c r="U106" s="98">
        <v>9</v>
      </c>
      <c r="V106" s="24">
        <v>440.5</v>
      </c>
      <c r="W106" s="24">
        <v>27</v>
      </c>
      <c r="X106" s="24">
        <v>104</v>
      </c>
      <c r="Y106" s="24">
        <v>446.5</v>
      </c>
      <c r="Z106" s="24">
        <v>111</v>
      </c>
      <c r="AA106" s="24">
        <v>7</v>
      </c>
    </row>
    <row r="107" spans="1:27">
      <c r="A107" s="24" t="s">
        <v>3188</v>
      </c>
      <c r="B107" s="98" t="s">
        <v>25</v>
      </c>
      <c r="C107" s="24" t="s">
        <v>3189</v>
      </c>
      <c r="D107" s="98">
        <v>108</v>
      </c>
      <c r="E107" s="98">
        <v>54</v>
      </c>
      <c r="F107" s="98">
        <v>59</v>
      </c>
      <c r="G107" s="98">
        <v>118</v>
      </c>
      <c r="H107" s="98">
        <v>92</v>
      </c>
      <c r="I107" s="98">
        <v>77</v>
      </c>
      <c r="J107" s="98">
        <v>59</v>
      </c>
      <c r="K107" s="98">
        <v>109</v>
      </c>
      <c r="L107" s="98">
        <v>65</v>
      </c>
      <c r="M107" s="98">
        <v>69</v>
      </c>
      <c r="N107" s="98">
        <v>57</v>
      </c>
      <c r="O107" s="98">
        <v>113</v>
      </c>
      <c r="P107" s="24">
        <v>34</v>
      </c>
      <c r="Q107" s="98">
        <v>112</v>
      </c>
      <c r="R107" s="24">
        <v>54</v>
      </c>
      <c r="S107" s="98">
        <v>114</v>
      </c>
      <c r="T107" s="24">
        <v>51</v>
      </c>
      <c r="U107" s="98">
        <v>52</v>
      </c>
      <c r="V107" s="24">
        <v>440</v>
      </c>
      <c r="W107" s="24">
        <v>29</v>
      </c>
      <c r="X107" s="24">
        <v>106</v>
      </c>
      <c r="Y107" s="24">
        <v>442</v>
      </c>
      <c r="Z107" s="24">
        <v>116</v>
      </c>
      <c r="AA107" s="24">
        <v>10</v>
      </c>
    </row>
    <row r="108" spans="1:27">
      <c r="A108" s="24" t="s">
        <v>3146</v>
      </c>
      <c r="B108" s="98" t="s">
        <v>25</v>
      </c>
      <c r="C108" s="24" t="s">
        <v>3147</v>
      </c>
      <c r="D108" s="98">
        <v>95</v>
      </c>
      <c r="E108" s="98">
        <v>119</v>
      </c>
      <c r="F108" s="98">
        <v>80</v>
      </c>
      <c r="G108" s="98">
        <v>83</v>
      </c>
      <c r="H108" s="98">
        <v>75.5</v>
      </c>
      <c r="I108" s="98">
        <v>125</v>
      </c>
      <c r="J108" s="98">
        <v>73</v>
      </c>
      <c r="K108" s="98">
        <v>37</v>
      </c>
      <c r="L108" s="98">
        <v>66</v>
      </c>
      <c r="M108" s="98">
        <v>60</v>
      </c>
      <c r="N108" s="98">
        <v>50</v>
      </c>
      <c r="O108" s="98">
        <v>125</v>
      </c>
      <c r="P108" s="24">
        <v>52</v>
      </c>
      <c r="Q108" s="98">
        <v>12</v>
      </c>
      <c r="R108" s="24">
        <v>66</v>
      </c>
      <c r="S108" s="98">
        <v>44</v>
      </c>
      <c r="T108" s="24">
        <v>51</v>
      </c>
      <c r="U108" s="98">
        <v>52</v>
      </c>
      <c r="V108" s="24">
        <v>439.5</v>
      </c>
      <c r="W108" s="24">
        <v>30</v>
      </c>
      <c r="X108" s="24">
        <v>107</v>
      </c>
      <c r="Y108" s="24">
        <v>452</v>
      </c>
      <c r="Z108" s="24">
        <v>106</v>
      </c>
      <c r="AA108" s="24">
        <v>-1</v>
      </c>
    </row>
    <row r="109" spans="1:27">
      <c r="A109" s="24" t="s">
        <v>3088</v>
      </c>
      <c r="B109" s="98" t="s">
        <v>52</v>
      </c>
      <c r="C109" s="24" t="s">
        <v>3070</v>
      </c>
      <c r="D109" s="98">
        <v>107</v>
      </c>
      <c r="E109" s="98">
        <v>68</v>
      </c>
      <c r="F109" s="98">
        <v>67</v>
      </c>
      <c r="G109" s="98">
        <v>105</v>
      </c>
      <c r="H109" s="98">
        <v>83.5</v>
      </c>
      <c r="I109" s="98">
        <v>107</v>
      </c>
      <c r="J109" s="98">
        <v>54</v>
      </c>
      <c r="K109" s="98">
        <v>124</v>
      </c>
      <c r="L109" s="98">
        <v>62</v>
      </c>
      <c r="M109" s="98">
        <v>85</v>
      </c>
      <c r="N109" s="98">
        <v>66</v>
      </c>
      <c r="O109" s="98">
        <v>67</v>
      </c>
      <c r="P109" s="24">
        <v>36</v>
      </c>
      <c r="Q109" s="98">
        <v>105</v>
      </c>
      <c r="R109" s="24">
        <v>50</v>
      </c>
      <c r="S109" s="98">
        <v>121</v>
      </c>
      <c r="T109" s="24">
        <v>39</v>
      </c>
      <c r="U109" s="98">
        <v>121</v>
      </c>
      <c r="V109" s="24">
        <v>439.5</v>
      </c>
      <c r="W109" s="24">
        <v>32</v>
      </c>
      <c r="X109" s="24">
        <v>107</v>
      </c>
      <c r="Y109" s="24">
        <v>461</v>
      </c>
      <c r="Z109" s="24">
        <v>96</v>
      </c>
      <c r="AA109" s="24">
        <v>-11</v>
      </c>
    </row>
    <row r="110" spans="1:27">
      <c r="A110" s="24" t="s">
        <v>3034</v>
      </c>
      <c r="B110" s="98" t="s">
        <v>52</v>
      </c>
      <c r="C110" s="24" t="s">
        <v>3026</v>
      </c>
      <c r="D110" s="98">
        <v>110</v>
      </c>
      <c r="E110" s="98">
        <v>39</v>
      </c>
      <c r="F110" s="98">
        <v>89</v>
      </c>
      <c r="G110" s="98">
        <v>63</v>
      </c>
      <c r="H110" s="98">
        <v>76.5</v>
      </c>
      <c r="I110" s="98">
        <v>124</v>
      </c>
      <c r="J110" s="98">
        <v>56</v>
      </c>
      <c r="K110" s="98">
        <v>117</v>
      </c>
      <c r="L110" s="98">
        <v>57</v>
      </c>
      <c r="M110" s="98">
        <v>110</v>
      </c>
      <c r="N110" s="98">
        <v>50</v>
      </c>
      <c r="O110" s="98">
        <v>125</v>
      </c>
      <c r="P110" s="24">
        <v>24</v>
      </c>
      <c r="Q110" s="98">
        <v>134</v>
      </c>
      <c r="R110" s="24">
        <v>55</v>
      </c>
      <c r="S110" s="98">
        <v>110</v>
      </c>
      <c r="T110" s="24">
        <v>42</v>
      </c>
      <c r="U110" s="98">
        <v>112</v>
      </c>
      <c r="V110" s="24">
        <v>438.5</v>
      </c>
      <c r="W110" s="24">
        <v>33</v>
      </c>
      <c r="X110" s="24">
        <v>109</v>
      </c>
      <c r="Y110" s="24">
        <v>439</v>
      </c>
      <c r="Z110" s="24">
        <v>117</v>
      </c>
      <c r="AA110" s="24">
        <v>8</v>
      </c>
    </row>
    <row r="111" spans="1:27">
      <c r="A111" s="24" t="s">
        <v>3028</v>
      </c>
      <c r="B111" s="98" t="s">
        <v>52</v>
      </c>
      <c r="C111" s="24" t="s">
        <v>2288</v>
      </c>
      <c r="D111" s="98">
        <v>113</v>
      </c>
      <c r="E111" s="98">
        <v>27</v>
      </c>
      <c r="F111" s="98">
        <v>79</v>
      </c>
      <c r="G111" s="98">
        <v>84</v>
      </c>
      <c r="H111" s="98">
        <v>102.5</v>
      </c>
      <c r="I111" s="98">
        <v>45</v>
      </c>
      <c r="J111" s="98">
        <v>57</v>
      </c>
      <c r="K111" s="98">
        <v>115</v>
      </c>
      <c r="L111" s="98">
        <v>48</v>
      </c>
      <c r="M111" s="98">
        <v>127</v>
      </c>
      <c r="N111" s="98">
        <v>39</v>
      </c>
      <c r="O111" s="98">
        <v>133</v>
      </c>
      <c r="P111" s="24">
        <v>35</v>
      </c>
      <c r="Q111" s="98">
        <v>109</v>
      </c>
      <c r="R111" s="24">
        <v>59</v>
      </c>
      <c r="S111" s="98">
        <v>84</v>
      </c>
      <c r="T111" s="24">
        <v>49</v>
      </c>
      <c r="U111" s="98">
        <v>70</v>
      </c>
      <c r="V111" s="24">
        <v>438.5</v>
      </c>
      <c r="W111" s="24">
        <v>33</v>
      </c>
      <c r="X111" s="24">
        <v>109</v>
      </c>
      <c r="Y111" s="24">
        <v>433.5</v>
      </c>
      <c r="Z111" s="24">
        <v>121</v>
      </c>
      <c r="AA111" s="24">
        <v>12</v>
      </c>
    </row>
    <row r="112" spans="1:27">
      <c r="A112" s="24" t="s">
        <v>3072</v>
      </c>
      <c r="B112" s="98" t="s">
        <v>52</v>
      </c>
      <c r="C112" s="24" t="s">
        <v>3055</v>
      </c>
      <c r="D112" s="98">
        <v>116</v>
      </c>
      <c r="E112" s="98">
        <v>17</v>
      </c>
      <c r="F112" s="98">
        <v>41</v>
      </c>
      <c r="G112" s="98">
        <v>132</v>
      </c>
      <c r="H112" s="98">
        <v>102.5</v>
      </c>
      <c r="I112" s="98">
        <v>45</v>
      </c>
      <c r="J112" s="98">
        <v>57</v>
      </c>
      <c r="K112" s="98">
        <v>115</v>
      </c>
      <c r="L112" s="98">
        <v>60</v>
      </c>
      <c r="M112" s="98">
        <v>97</v>
      </c>
      <c r="N112" s="98">
        <v>58</v>
      </c>
      <c r="O112" s="98">
        <v>107</v>
      </c>
      <c r="P112" s="24">
        <v>38</v>
      </c>
      <c r="Q112" s="98">
        <v>91</v>
      </c>
      <c r="R112" s="24">
        <v>56</v>
      </c>
      <c r="S112" s="98">
        <v>106</v>
      </c>
      <c r="T112" s="24">
        <v>50</v>
      </c>
      <c r="U112" s="98">
        <v>63</v>
      </c>
      <c r="V112" s="24">
        <v>434.5</v>
      </c>
      <c r="W112" s="24">
        <v>35</v>
      </c>
      <c r="X112" s="24">
        <v>111</v>
      </c>
      <c r="Y112" s="24">
        <v>474.5</v>
      </c>
      <c r="Z112" s="24">
        <v>80</v>
      </c>
      <c r="AA112" s="24">
        <v>-31</v>
      </c>
    </row>
    <row r="113" spans="1:27">
      <c r="A113" s="24" t="s">
        <v>3283</v>
      </c>
      <c r="B113" s="98" t="s">
        <v>52</v>
      </c>
      <c r="C113" s="24" t="s">
        <v>3094</v>
      </c>
      <c r="D113" s="98">
        <v>103</v>
      </c>
      <c r="E113" s="98">
        <v>82</v>
      </c>
      <c r="F113" s="98">
        <v>63</v>
      </c>
      <c r="G113" s="98">
        <v>110</v>
      </c>
      <c r="H113" s="98">
        <v>91</v>
      </c>
      <c r="I113" s="98">
        <v>80</v>
      </c>
      <c r="J113" s="98">
        <v>62</v>
      </c>
      <c r="K113" s="98">
        <v>98</v>
      </c>
      <c r="L113" s="98">
        <v>63</v>
      </c>
      <c r="M113" s="98">
        <v>81</v>
      </c>
      <c r="N113" s="98">
        <v>52</v>
      </c>
      <c r="O113" s="98">
        <v>124</v>
      </c>
      <c r="P113" s="24">
        <v>30</v>
      </c>
      <c r="Q113" s="98">
        <v>125</v>
      </c>
      <c r="R113" s="24">
        <v>60</v>
      </c>
      <c r="S113" s="98">
        <v>76</v>
      </c>
      <c r="T113" s="24">
        <v>53</v>
      </c>
      <c r="U113" s="98">
        <v>35</v>
      </c>
      <c r="V113" s="24">
        <v>434</v>
      </c>
      <c r="W113" s="24">
        <v>36</v>
      </c>
      <c r="X113" s="24">
        <v>112</v>
      </c>
      <c r="Y113" s="24">
        <v>435</v>
      </c>
      <c r="Z113" s="24">
        <v>119</v>
      </c>
      <c r="AA113" s="24">
        <v>7</v>
      </c>
    </row>
    <row r="114" spans="1:27">
      <c r="A114" s="24" t="s">
        <v>3046</v>
      </c>
      <c r="B114" s="98" t="s">
        <v>52</v>
      </c>
      <c r="C114" s="24" t="s">
        <v>3035</v>
      </c>
      <c r="D114" s="98">
        <v>95</v>
      </c>
      <c r="E114" s="98">
        <v>119</v>
      </c>
      <c r="F114" s="98">
        <v>77</v>
      </c>
      <c r="G114" s="98">
        <v>90</v>
      </c>
      <c r="H114" s="98">
        <v>80.5</v>
      </c>
      <c r="I114" s="98">
        <v>117</v>
      </c>
      <c r="J114" s="98">
        <v>62</v>
      </c>
      <c r="K114" s="98">
        <v>98</v>
      </c>
      <c r="L114" s="98">
        <v>44</v>
      </c>
      <c r="M114" s="98">
        <v>132</v>
      </c>
      <c r="N114" s="98">
        <v>75</v>
      </c>
      <c r="O114" s="98">
        <v>29</v>
      </c>
      <c r="P114" s="24">
        <v>42</v>
      </c>
      <c r="Q114" s="98">
        <v>68</v>
      </c>
      <c r="R114" s="24">
        <v>64</v>
      </c>
      <c r="S114" s="98">
        <v>58</v>
      </c>
      <c r="T114" s="24">
        <v>50</v>
      </c>
      <c r="U114" s="98">
        <v>63</v>
      </c>
      <c r="V114" s="24">
        <v>433.5</v>
      </c>
      <c r="W114" s="24">
        <v>37</v>
      </c>
      <c r="X114" s="24">
        <v>113</v>
      </c>
      <c r="Y114" s="24">
        <v>492.5</v>
      </c>
      <c r="Z114" s="24">
        <v>66</v>
      </c>
      <c r="AA114" s="24">
        <v>-47</v>
      </c>
    </row>
    <row r="115" spans="1:27">
      <c r="A115" s="24" t="s">
        <v>3243</v>
      </c>
      <c r="B115" s="98" t="s">
        <v>25</v>
      </c>
      <c r="C115" s="24" t="s">
        <v>490</v>
      </c>
      <c r="D115" s="98">
        <v>103</v>
      </c>
      <c r="E115" s="98">
        <v>82</v>
      </c>
      <c r="F115" s="98">
        <v>46</v>
      </c>
      <c r="G115" s="98">
        <v>128</v>
      </c>
      <c r="H115" s="98">
        <v>95.5</v>
      </c>
      <c r="I115" s="98">
        <v>69</v>
      </c>
      <c r="J115" s="98">
        <v>56</v>
      </c>
      <c r="K115" s="98">
        <v>117</v>
      </c>
      <c r="L115" s="98">
        <v>68</v>
      </c>
      <c r="M115" s="98">
        <v>52</v>
      </c>
      <c r="N115" s="98">
        <v>61</v>
      </c>
      <c r="O115" s="98">
        <v>94</v>
      </c>
      <c r="P115" s="24">
        <v>32</v>
      </c>
      <c r="Q115" s="98">
        <v>118</v>
      </c>
      <c r="R115" s="24">
        <v>54</v>
      </c>
      <c r="S115" s="98">
        <v>114</v>
      </c>
      <c r="T115" s="24">
        <v>34</v>
      </c>
      <c r="U115" s="98">
        <v>128</v>
      </c>
      <c r="V115" s="24">
        <v>429.5</v>
      </c>
      <c r="W115" s="24">
        <v>31</v>
      </c>
      <c r="X115" s="24">
        <v>114</v>
      </c>
      <c r="Y115" s="24">
        <v>432</v>
      </c>
      <c r="Z115" s="24">
        <v>122</v>
      </c>
      <c r="AA115" s="24">
        <v>8</v>
      </c>
    </row>
    <row r="116" spans="1:27">
      <c r="A116" s="24" t="s">
        <v>3149</v>
      </c>
      <c r="B116" s="98" t="s">
        <v>25</v>
      </c>
      <c r="C116" s="24" t="s">
        <v>3150</v>
      </c>
      <c r="D116" s="98">
        <v>108</v>
      </c>
      <c r="E116" s="98">
        <v>54</v>
      </c>
      <c r="F116" s="98">
        <v>65</v>
      </c>
      <c r="G116" s="98">
        <v>107</v>
      </c>
      <c r="H116" s="98">
        <v>81</v>
      </c>
      <c r="I116" s="98">
        <v>115</v>
      </c>
      <c r="J116" s="98">
        <v>56</v>
      </c>
      <c r="K116" s="98">
        <v>117</v>
      </c>
      <c r="L116" s="98">
        <v>70</v>
      </c>
      <c r="M116" s="98">
        <v>44</v>
      </c>
      <c r="N116" s="98">
        <v>48</v>
      </c>
      <c r="O116" s="98">
        <v>127</v>
      </c>
      <c r="P116" s="24">
        <v>47</v>
      </c>
      <c r="Q116" s="98">
        <v>33</v>
      </c>
      <c r="R116" s="24">
        <v>67</v>
      </c>
      <c r="S116" s="98">
        <v>38</v>
      </c>
      <c r="T116" s="24">
        <v>47</v>
      </c>
      <c r="U116" s="98">
        <v>82</v>
      </c>
      <c r="V116" s="24">
        <v>428</v>
      </c>
      <c r="W116" s="24">
        <v>32</v>
      </c>
      <c r="X116" s="24">
        <v>115</v>
      </c>
      <c r="Y116" s="24">
        <v>425.5</v>
      </c>
      <c r="Z116" s="24">
        <v>125</v>
      </c>
      <c r="AA116" s="24">
        <v>10</v>
      </c>
    </row>
    <row r="117" spans="1:27">
      <c r="A117" s="24" t="s">
        <v>3075</v>
      </c>
      <c r="B117" s="98" t="s">
        <v>52</v>
      </c>
      <c r="C117" s="24" t="s">
        <v>3061</v>
      </c>
      <c r="D117" s="98">
        <v>92</v>
      </c>
      <c r="E117" s="98">
        <v>130</v>
      </c>
      <c r="F117" s="98">
        <v>63</v>
      </c>
      <c r="G117" s="98">
        <v>110</v>
      </c>
      <c r="H117" s="98">
        <v>94</v>
      </c>
      <c r="I117" s="98">
        <v>73</v>
      </c>
      <c r="J117" s="98">
        <v>58</v>
      </c>
      <c r="K117" s="98">
        <v>112</v>
      </c>
      <c r="L117" s="98">
        <v>66</v>
      </c>
      <c r="M117" s="98">
        <v>60</v>
      </c>
      <c r="N117" s="98">
        <v>55</v>
      </c>
      <c r="O117" s="98">
        <v>119</v>
      </c>
      <c r="P117" s="24">
        <v>29</v>
      </c>
      <c r="Q117" s="98">
        <v>130</v>
      </c>
      <c r="R117" s="24">
        <v>57</v>
      </c>
      <c r="S117" s="98">
        <v>97</v>
      </c>
      <c r="T117" s="24">
        <v>41</v>
      </c>
      <c r="U117" s="98">
        <v>115</v>
      </c>
      <c r="V117" s="24">
        <v>428</v>
      </c>
      <c r="W117" s="24">
        <v>38</v>
      </c>
      <c r="X117" s="24">
        <v>115</v>
      </c>
      <c r="Y117" s="24">
        <v>418.5</v>
      </c>
      <c r="Z117" s="24">
        <v>131</v>
      </c>
      <c r="AA117" s="24">
        <v>16</v>
      </c>
    </row>
    <row r="118" spans="1:27">
      <c r="A118" s="24" t="s">
        <v>3031</v>
      </c>
      <c r="B118" s="98" t="s">
        <v>52</v>
      </c>
      <c r="C118" s="24" t="s">
        <v>3023</v>
      </c>
      <c r="D118" s="98">
        <v>92</v>
      </c>
      <c r="E118" s="98">
        <v>130</v>
      </c>
      <c r="F118" s="98">
        <v>50</v>
      </c>
      <c r="G118" s="98">
        <v>127</v>
      </c>
      <c r="H118" s="98">
        <v>102</v>
      </c>
      <c r="I118" s="98">
        <v>47</v>
      </c>
      <c r="J118" s="98">
        <v>62</v>
      </c>
      <c r="K118" s="98">
        <v>98</v>
      </c>
      <c r="L118" s="98">
        <v>51</v>
      </c>
      <c r="M118" s="98">
        <v>123</v>
      </c>
      <c r="N118" s="98">
        <v>70</v>
      </c>
      <c r="O118" s="98">
        <v>50</v>
      </c>
      <c r="P118" s="24">
        <v>48</v>
      </c>
      <c r="Q118" s="98">
        <v>26</v>
      </c>
      <c r="R118" s="24">
        <v>61</v>
      </c>
      <c r="S118" s="98">
        <v>73</v>
      </c>
      <c r="T118" s="24">
        <v>52</v>
      </c>
      <c r="U118" s="98">
        <v>43</v>
      </c>
      <c r="V118" s="24">
        <v>427</v>
      </c>
      <c r="W118" s="24">
        <v>39</v>
      </c>
      <c r="X118" s="24">
        <v>117</v>
      </c>
      <c r="Y118" s="24">
        <v>423.5</v>
      </c>
      <c r="Z118" s="24">
        <v>127</v>
      </c>
      <c r="AA118" s="24">
        <v>10</v>
      </c>
    </row>
    <row r="119" spans="1:27">
      <c r="A119" s="24" t="s">
        <v>3128</v>
      </c>
      <c r="B119" s="98" t="s">
        <v>25</v>
      </c>
      <c r="C119" s="24" t="s">
        <v>3129</v>
      </c>
      <c r="D119" s="98">
        <v>93</v>
      </c>
      <c r="E119" s="98">
        <v>129</v>
      </c>
      <c r="F119" s="98">
        <v>84</v>
      </c>
      <c r="G119" s="98">
        <v>70</v>
      </c>
      <c r="H119" s="98">
        <v>70.5</v>
      </c>
      <c r="I119" s="98">
        <v>131</v>
      </c>
      <c r="J119" s="98">
        <v>65</v>
      </c>
      <c r="K119" s="98">
        <v>81</v>
      </c>
      <c r="L119" s="98">
        <v>59</v>
      </c>
      <c r="M119" s="98">
        <v>105</v>
      </c>
      <c r="N119" s="98">
        <v>54</v>
      </c>
      <c r="O119" s="98">
        <v>122</v>
      </c>
      <c r="P119" s="24">
        <v>44</v>
      </c>
      <c r="Q119" s="98">
        <v>55</v>
      </c>
      <c r="R119" s="24">
        <v>58</v>
      </c>
      <c r="S119" s="98">
        <v>90</v>
      </c>
      <c r="T119" s="24">
        <v>49</v>
      </c>
      <c r="U119" s="98">
        <v>70</v>
      </c>
      <c r="V119" s="24">
        <v>425.5</v>
      </c>
      <c r="W119" s="24">
        <v>33</v>
      </c>
      <c r="X119" s="24">
        <v>118</v>
      </c>
      <c r="Y119" s="24">
        <v>456</v>
      </c>
      <c r="Z119" s="24">
        <v>102</v>
      </c>
      <c r="AA119" s="24">
        <v>-16</v>
      </c>
    </row>
    <row r="120" spans="1:27">
      <c r="A120" s="24" t="s">
        <v>3281</v>
      </c>
      <c r="B120" s="98" t="s">
        <v>25</v>
      </c>
      <c r="C120" s="24" t="s">
        <v>157</v>
      </c>
      <c r="D120" s="98">
        <v>99</v>
      </c>
      <c r="E120" s="98">
        <v>102</v>
      </c>
      <c r="F120" s="98">
        <v>51</v>
      </c>
      <c r="G120" s="98">
        <v>126</v>
      </c>
      <c r="H120" s="98">
        <v>77.5</v>
      </c>
      <c r="I120" s="98">
        <v>123</v>
      </c>
      <c r="J120" s="98">
        <v>70</v>
      </c>
      <c r="K120" s="98">
        <v>57</v>
      </c>
      <c r="L120" s="98">
        <v>72</v>
      </c>
      <c r="M120" s="98">
        <v>33</v>
      </c>
      <c r="N120" s="98">
        <v>56</v>
      </c>
      <c r="O120" s="98">
        <v>116</v>
      </c>
      <c r="P120" s="24">
        <v>43</v>
      </c>
      <c r="Q120" s="98">
        <v>60</v>
      </c>
      <c r="R120" s="24">
        <v>61</v>
      </c>
      <c r="S120" s="98">
        <v>73</v>
      </c>
      <c r="T120" s="24">
        <v>51</v>
      </c>
      <c r="U120" s="98">
        <v>52</v>
      </c>
      <c r="V120" s="24">
        <v>425.5</v>
      </c>
      <c r="W120" s="24">
        <v>33</v>
      </c>
      <c r="X120" s="24">
        <v>118</v>
      </c>
      <c r="Y120" s="24">
        <v>447.5</v>
      </c>
      <c r="Z120" s="24">
        <v>110</v>
      </c>
      <c r="AA120" s="24">
        <v>-8</v>
      </c>
    </row>
    <row r="121" spans="1:27">
      <c r="A121" s="24" t="s">
        <v>3096</v>
      </c>
      <c r="B121" s="98" t="s">
        <v>52</v>
      </c>
      <c r="C121" s="24" t="s">
        <v>3073</v>
      </c>
      <c r="D121" s="98">
        <v>91</v>
      </c>
      <c r="E121" s="98">
        <v>132</v>
      </c>
      <c r="F121" s="98">
        <v>54</v>
      </c>
      <c r="G121" s="98">
        <v>123</v>
      </c>
      <c r="H121" s="98">
        <v>115.5</v>
      </c>
      <c r="I121" s="98">
        <v>12</v>
      </c>
      <c r="J121" s="98">
        <v>55</v>
      </c>
      <c r="K121" s="98">
        <v>123</v>
      </c>
      <c r="L121" s="98">
        <v>51</v>
      </c>
      <c r="M121" s="98">
        <v>123</v>
      </c>
      <c r="N121" s="98">
        <v>58</v>
      </c>
      <c r="O121" s="98">
        <v>107</v>
      </c>
      <c r="P121" s="24">
        <v>34</v>
      </c>
      <c r="Q121" s="98">
        <v>112</v>
      </c>
      <c r="R121" s="24">
        <v>58</v>
      </c>
      <c r="S121" s="98">
        <v>90</v>
      </c>
      <c r="T121" s="24">
        <v>34</v>
      </c>
      <c r="U121" s="98">
        <v>128</v>
      </c>
      <c r="V121" s="24">
        <v>424.5</v>
      </c>
      <c r="W121" s="24">
        <v>40</v>
      </c>
      <c r="X121" s="24">
        <v>120</v>
      </c>
      <c r="Y121" s="24">
        <v>473</v>
      </c>
      <c r="Z121" s="24">
        <v>81</v>
      </c>
      <c r="AA121" s="24">
        <v>-39</v>
      </c>
    </row>
    <row r="122" spans="1:27">
      <c r="A122" s="24" t="s">
        <v>3125</v>
      </c>
      <c r="B122" s="98" t="s">
        <v>25</v>
      </c>
      <c r="C122" s="24" t="s">
        <v>3126</v>
      </c>
      <c r="D122" s="98">
        <v>94</v>
      </c>
      <c r="E122" s="98">
        <v>123</v>
      </c>
      <c r="F122" s="98">
        <v>71</v>
      </c>
      <c r="G122" s="98">
        <v>97</v>
      </c>
      <c r="H122" s="98">
        <v>83</v>
      </c>
      <c r="I122" s="98">
        <v>108</v>
      </c>
      <c r="J122" s="98">
        <v>70</v>
      </c>
      <c r="K122" s="98">
        <v>57</v>
      </c>
      <c r="L122" s="98">
        <v>46</v>
      </c>
      <c r="M122" s="98">
        <v>129</v>
      </c>
      <c r="N122" s="98">
        <v>56</v>
      </c>
      <c r="O122" s="98">
        <v>116</v>
      </c>
      <c r="P122" s="24">
        <v>42</v>
      </c>
      <c r="Q122" s="98">
        <v>68</v>
      </c>
      <c r="R122" s="24">
        <v>50</v>
      </c>
      <c r="S122" s="98">
        <v>121</v>
      </c>
      <c r="T122" s="24">
        <v>37</v>
      </c>
      <c r="U122" s="98">
        <v>124</v>
      </c>
      <c r="V122" s="24">
        <v>420</v>
      </c>
      <c r="W122" s="24">
        <v>35</v>
      </c>
      <c r="X122" s="24">
        <v>121</v>
      </c>
      <c r="Y122" s="24">
        <v>451.5</v>
      </c>
      <c r="Z122" s="24">
        <v>107</v>
      </c>
      <c r="AA122" s="24">
        <v>-14</v>
      </c>
    </row>
    <row r="123" spans="1:27">
      <c r="A123" s="24" t="s">
        <v>3299</v>
      </c>
      <c r="B123" s="98" t="s">
        <v>25</v>
      </c>
      <c r="C123" s="24" t="s">
        <v>2306</v>
      </c>
      <c r="D123" s="98">
        <v>99</v>
      </c>
      <c r="E123" s="98">
        <v>102</v>
      </c>
      <c r="F123" s="98">
        <v>63</v>
      </c>
      <c r="G123" s="98">
        <v>110</v>
      </c>
      <c r="H123" s="98">
        <v>82.5</v>
      </c>
      <c r="I123" s="98">
        <v>110</v>
      </c>
      <c r="J123" s="98">
        <v>67</v>
      </c>
      <c r="K123" s="98">
        <v>74</v>
      </c>
      <c r="L123" s="98">
        <v>61</v>
      </c>
      <c r="M123" s="98">
        <v>90</v>
      </c>
      <c r="N123" s="98">
        <v>47</v>
      </c>
      <c r="O123" s="98">
        <v>129</v>
      </c>
      <c r="P123" s="24">
        <v>55</v>
      </c>
      <c r="Q123" s="98">
        <v>9</v>
      </c>
      <c r="R123" s="24">
        <v>79</v>
      </c>
      <c r="S123" s="98">
        <v>5</v>
      </c>
      <c r="T123" s="24">
        <v>52</v>
      </c>
      <c r="U123" s="98">
        <v>43</v>
      </c>
      <c r="V123" s="24">
        <v>419.5</v>
      </c>
      <c r="W123" s="24">
        <v>36</v>
      </c>
      <c r="X123" s="24">
        <v>122</v>
      </c>
      <c r="Y123" s="24">
        <v>421.5</v>
      </c>
      <c r="Z123" s="24">
        <v>129</v>
      </c>
      <c r="AA123" s="24">
        <v>7</v>
      </c>
    </row>
    <row r="124" spans="1:27">
      <c r="A124" s="24" t="s">
        <v>3078</v>
      </c>
      <c r="B124" s="98" t="s">
        <v>52</v>
      </c>
      <c r="C124" s="24" t="s">
        <v>3064</v>
      </c>
      <c r="D124" s="98">
        <v>94</v>
      </c>
      <c r="E124" s="98">
        <v>123</v>
      </c>
      <c r="F124" s="98">
        <v>46</v>
      </c>
      <c r="G124" s="98">
        <v>128</v>
      </c>
      <c r="H124" s="98">
        <v>84.5</v>
      </c>
      <c r="I124" s="98">
        <v>102</v>
      </c>
      <c r="J124" s="98">
        <v>64</v>
      </c>
      <c r="K124" s="98">
        <v>87</v>
      </c>
      <c r="L124" s="98">
        <v>62</v>
      </c>
      <c r="M124" s="98">
        <v>85</v>
      </c>
      <c r="N124" s="98">
        <v>67</v>
      </c>
      <c r="O124" s="98">
        <v>60</v>
      </c>
      <c r="P124" s="24">
        <v>32</v>
      </c>
      <c r="Q124" s="98">
        <v>118</v>
      </c>
      <c r="R124" s="24">
        <v>56</v>
      </c>
      <c r="S124" s="98">
        <v>106</v>
      </c>
      <c r="T124" s="24">
        <v>26</v>
      </c>
      <c r="U124" s="98">
        <v>132</v>
      </c>
      <c r="V124" s="24">
        <v>417.5</v>
      </c>
      <c r="W124" s="24">
        <v>41</v>
      </c>
      <c r="X124" s="24">
        <v>123</v>
      </c>
      <c r="Y124" s="24">
        <v>393</v>
      </c>
      <c r="Z124" s="24">
        <v>136</v>
      </c>
      <c r="AA124" s="24">
        <v>13</v>
      </c>
    </row>
    <row r="125" spans="1:27">
      <c r="A125" s="24" t="s">
        <v>3285</v>
      </c>
      <c r="B125" s="98" t="s">
        <v>52</v>
      </c>
      <c r="C125" s="24" t="s">
        <v>3086</v>
      </c>
      <c r="D125" s="98">
        <v>98</v>
      </c>
      <c r="E125" s="98">
        <v>109</v>
      </c>
      <c r="F125" s="98">
        <v>37</v>
      </c>
      <c r="G125" s="98">
        <v>133</v>
      </c>
      <c r="H125" s="98">
        <v>96</v>
      </c>
      <c r="I125" s="98">
        <v>67</v>
      </c>
      <c r="J125" s="98">
        <v>56</v>
      </c>
      <c r="K125" s="98">
        <v>117</v>
      </c>
      <c r="L125" s="98">
        <v>65</v>
      </c>
      <c r="M125" s="98">
        <v>69</v>
      </c>
      <c r="N125" s="98">
        <v>63</v>
      </c>
      <c r="O125" s="98">
        <v>86</v>
      </c>
      <c r="P125" s="24">
        <v>28</v>
      </c>
      <c r="Q125" s="98">
        <v>131</v>
      </c>
      <c r="R125" s="24">
        <v>58</v>
      </c>
      <c r="S125" s="98">
        <v>90</v>
      </c>
      <c r="T125" s="24">
        <v>35</v>
      </c>
      <c r="U125" s="98">
        <v>126</v>
      </c>
      <c r="V125" s="24">
        <v>415</v>
      </c>
      <c r="W125" s="24">
        <v>42</v>
      </c>
      <c r="X125" s="24">
        <v>124</v>
      </c>
      <c r="Y125" s="24">
        <v>430.5</v>
      </c>
      <c r="Z125" s="24">
        <v>123</v>
      </c>
      <c r="AA125" s="24">
        <v>-1</v>
      </c>
    </row>
    <row r="126" spans="1:27">
      <c r="A126" s="24" t="s">
        <v>3122</v>
      </c>
      <c r="B126" s="98" t="s">
        <v>25</v>
      </c>
      <c r="C126" s="24" t="s">
        <v>3123</v>
      </c>
      <c r="D126" s="98">
        <v>117</v>
      </c>
      <c r="E126" s="98">
        <v>13</v>
      </c>
      <c r="F126" s="98">
        <v>46</v>
      </c>
      <c r="G126" s="98">
        <v>128</v>
      </c>
      <c r="H126" s="98">
        <v>72.5</v>
      </c>
      <c r="I126" s="98">
        <v>129</v>
      </c>
      <c r="J126" s="98">
        <v>54</v>
      </c>
      <c r="K126" s="98">
        <v>124</v>
      </c>
      <c r="L126" s="98">
        <v>60</v>
      </c>
      <c r="M126" s="98">
        <v>97</v>
      </c>
      <c r="N126" s="98">
        <v>65</v>
      </c>
      <c r="O126" s="98">
        <v>77</v>
      </c>
      <c r="P126" s="24">
        <v>32</v>
      </c>
      <c r="Q126" s="98">
        <v>118</v>
      </c>
      <c r="R126" s="24">
        <v>57</v>
      </c>
      <c r="S126" s="98">
        <v>97</v>
      </c>
      <c r="T126" s="24">
        <v>45</v>
      </c>
      <c r="U126" s="98">
        <v>92</v>
      </c>
      <c r="V126" s="24">
        <v>414.5</v>
      </c>
      <c r="W126" s="24">
        <v>37</v>
      </c>
      <c r="X126" s="24">
        <v>125</v>
      </c>
      <c r="Y126" s="24">
        <v>421.5</v>
      </c>
      <c r="Z126" s="24">
        <v>129</v>
      </c>
      <c r="AA126" s="24">
        <v>4</v>
      </c>
    </row>
    <row r="127" spans="1:27">
      <c r="A127" s="24" t="s">
        <v>3191</v>
      </c>
      <c r="B127" s="98" t="s">
        <v>25</v>
      </c>
      <c r="C127" s="24" t="s">
        <v>3192</v>
      </c>
      <c r="D127" s="98">
        <v>100</v>
      </c>
      <c r="E127" s="98">
        <v>97</v>
      </c>
      <c r="F127" s="98">
        <v>59</v>
      </c>
      <c r="G127" s="98">
        <v>118</v>
      </c>
      <c r="H127" s="98">
        <v>66</v>
      </c>
      <c r="I127" s="98">
        <v>134</v>
      </c>
      <c r="J127" s="98">
        <v>59</v>
      </c>
      <c r="K127" s="98">
        <v>109</v>
      </c>
      <c r="L127" s="98">
        <v>60</v>
      </c>
      <c r="M127" s="98">
        <v>97</v>
      </c>
      <c r="N127" s="98">
        <v>70</v>
      </c>
      <c r="O127" s="98">
        <v>50</v>
      </c>
      <c r="P127" s="24">
        <v>33</v>
      </c>
      <c r="Q127" s="98">
        <v>115</v>
      </c>
      <c r="R127" s="24">
        <v>62</v>
      </c>
      <c r="S127" s="98">
        <v>69</v>
      </c>
      <c r="T127" s="24">
        <v>47</v>
      </c>
      <c r="U127" s="98">
        <v>82</v>
      </c>
      <c r="V127" s="24">
        <v>414</v>
      </c>
      <c r="W127" s="24">
        <v>38</v>
      </c>
      <c r="X127" s="24">
        <v>126</v>
      </c>
      <c r="Y127" s="24">
        <v>415</v>
      </c>
      <c r="Z127" s="24">
        <v>132</v>
      </c>
      <c r="AA127" s="24">
        <v>6</v>
      </c>
    </row>
    <row r="128" spans="1:27">
      <c r="A128" s="24" t="s">
        <v>3134</v>
      </c>
      <c r="B128" s="98" t="s">
        <v>25</v>
      </c>
      <c r="C128" s="24" t="s">
        <v>3135</v>
      </c>
      <c r="D128" s="98">
        <v>102</v>
      </c>
      <c r="E128" s="98">
        <v>86</v>
      </c>
      <c r="F128" s="98">
        <v>42</v>
      </c>
      <c r="G128" s="98">
        <v>131</v>
      </c>
      <c r="H128" s="98">
        <v>80</v>
      </c>
      <c r="I128" s="98">
        <v>118</v>
      </c>
      <c r="J128" s="98">
        <v>64</v>
      </c>
      <c r="K128" s="98">
        <v>87</v>
      </c>
      <c r="L128" s="98">
        <v>72</v>
      </c>
      <c r="M128" s="98">
        <v>33</v>
      </c>
      <c r="N128" s="98">
        <v>54</v>
      </c>
      <c r="O128" s="98">
        <v>122</v>
      </c>
      <c r="P128" s="24">
        <v>46</v>
      </c>
      <c r="Q128" s="98">
        <v>40</v>
      </c>
      <c r="R128" s="24">
        <v>69</v>
      </c>
      <c r="S128" s="98">
        <v>26</v>
      </c>
      <c r="T128" s="24">
        <v>48</v>
      </c>
      <c r="U128" s="98">
        <v>77</v>
      </c>
      <c r="V128" s="24">
        <v>414</v>
      </c>
      <c r="W128" s="24">
        <v>38</v>
      </c>
      <c r="X128" s="24">
        <v>126</v>
      </c>
      <c r="Y128" s="24">
        <v>446.5</v>
      </c>
      <c r="Z128" s="24">
        <v>111</v>
      </c>
      <c r="AA128" s="24">
        <v>-15</v>
      </c>
    </row>
    <row r="129" spans="1:27">
      <c r="A129" s="24" t="s">
        <v>3173</v>
      </c>
      <c r="B129" s="98" t="s">
        <v>25</v>
      </c>
      <c r="C129" s="24" t="s">
        <v>45</v>
      </c>
      <c r="D129" s="98">
        <v>90</v>
      </c>
      <c r="E129" s="98">
        <v>133</v>
      </c>
      <c r="F129" s="98">
        <v>79</v>
      </c>
      <c r="G129" s="98">
        <v>84</v>
      </c>
      <c r="H129" s="98">
        <v>101.5</v>
      </c>
      <c r="I129" s="98">
        <v>48</v>
      </c>
      <c r="J129" s="98">
        <v>64</v>
      </c>
      <c r="K129" s="98">
        <v>87</v>
      </c>
      <c r="L129" s="98">
        <v>39</v>
      </c>
      <c r="M129" s="98">
        <v>134</v>
      </c>
      <c r="N129" s="98">
        <v>40</v>
      </c>
      <c r="O129" s="98">
        <v>132</v>
      </c>
      <c r="P129" s="24">
        <v>42</v>
      </c>
      <c r="Q129" s="98">
        <v>68</v>
      </c>
      <c r="R129" s="24">
        <v>57</v>
      </c>
      <c r="S129" s="98">
        <v>97</v>
      </c>
      <c r="T129" s="24">
        <v>51</v>
      </c>
      <c r="U129" s="98">
        <v>52</v>
      </c>
      <c r="V129" s="24">
        <v>413.5</v>
      </c>
      <c r="W129" s="24">
        <v>40</v>
      </c>
      <c r="X129" s="24">
        <v>128</v>
      </c>
      <c r="Y129" s="24">
        <v>462</v>
      </c>
      <c r="Z129" s="24">
        <v>95</v>
      </c>
      <c r="AA129" s="24">
        <v>-33</v>
      </c>
    </row>
    <row r="130" spans="1:27">
      <c r="A130" s="24" t="s">
        <v>3057</v>
      </c>
      <c r="B130" s="98" t="s">
        <v>52</v>
      </c>
      <c r="C130" s="24" t="s">
        <v>3047</v>
      </c>
      <c r="D130" s="98">
        <v>100</v>
      </c>
      <c r="E130" s="98">
        <v>97</v>
      </c>
      <c r="F130" s="98">
        <v>27</v>
      </c>
      <c r="G130" s="98">
        <v>135</v>
      </c>
      <c r="H130" s="98">
        <v>95.5</v>
      </c>
      <c r="I130" s="98">
        <v>69</v>
      </c>
      <c r="J130" s="98">
        <v>64</v>
      </c>
      <c r="K130" s="98">
        <v>87</v>
      </c>
      <c r="L130" s="98">
        <v>57</v>
      </c>
      <c r="M130" s="98">
        <v>110</v>
      </c>
      <c r="N130" s="98">
        <v>64</v>
      </c>
      <c r="O130" s="98">
        <v>82</v>
      </c>
      <c r="P130" s="24">
        <v>40</v>
      </c>
      <c r="Q130" s="98">
        <v>79</v>
      </c>
      <c r="R130" s="24">
        <v>59</v>
      </c>
      <c r="S130" s="98">
        <v>84</v>
      </c>
      <c r="T130" s="24">
        <v>51</v>
      </c>
      <c r="U130" s="98">
        <v>52</v>
      </c>
      <c r="V130" s="24">
        <v>407.5</v>
      </c>
      <c r="W130" s="24">
        <v>43</v>
      </c>
      <c r="X130" s="24">
        <v>129</v>
      </c>
      <c r="Y130" s="24">
        <v>408.5</v>
      </c>
      <c r="Z130" s="24">
        <v>134</v>
      </c>
      <c r="AA130" s="24">
        <v>5</v>
      </c>
    </row>
    <row r="131" spans="1:27">
      <c r="A131" s="24" t="s">
        <v>3137</v>
      </c>
      <c r="B131" s="98" t="s">
        <v>25</v>
      </c>
      <c r="C131" s="24" t="s">
        <v>3138</v>
      </c>
      <c r="D131" s="98">
        <v>98</v>
      </c>
      <c r="E131" s="98">
        <v>109</v>
      </c>
      <c r="F131" s="98">
        <v>68</v>
      </c>
      <c r="G131" s="98">
        <v>102</v>
      </c>
      <c r="H131" s="98">
        <v>87</v>
      </c>
      <c r="I131" s="98">
        <v>95</v>
      </c>
      <c r="J131" s="98">
        <v>49</v>
      </c>
      <c r="K131" s="98">
        <v>134</v>
      </c>
      <c r="L131" s="98">
        <v>43</v>
      </c>
      <c r="M131" s="98">
        <v>133</v>
      </c>
      <c r="N131" s="98">
        <v>56</v>
      </c>
      <c r="O131" s="98">
        <v>116</v>
      </c>
      <c r="P131" s="24">
        <v>30</v>
      </c>
      <c r="Q131" s="98">
        <v>125</v>
      </c>
      <c r="R131" s="24">
        <v>62</v>
      </c>
      <c r="S131" s="98">
        <v>69</v>
      </c>
      <c r="T131" s="24">
        <v>41</v>
      </c>
      <c r="U131" s="98">
        <v>115</v>
      </c>
      <c r="V131" s="24">
        <v>401</v>
      </c>
      <c r="W131" s="24">
        <v>41</v>
      </c>
      <c r="X131" s="24">
        <v>130</v>
      </c>
      <c r="Y131" s="24">
        <v>437</v>
      </c>
      <c r="Z131" s="24">
        <v>118</v>
      </c>
      <c r="AA131" s="24">
        <v>-12</v>
      </c>
    </row>
    <row r="132" spans="1:27">
      <c r="A132" s="24" t="s">
        <v>3309</v>
      </c>
      <c r="B132" s="98" t="s">
        <v>25</v>
      </c>
      <c r="C132" s="24" t="s">
        <v>2603</v>
      </c>
      <c r="D132" s="98">
        <v>95</v>
      </c>
      <c r="E132" s="98">
        <v>119</v>
      </c>
      <c r="F132" s="98">
        <v>83</v>
      </c>
      <c r="G132" s="98">
        <v>72</v>
      </c>
      <c r="H132" s="98">
        <v>55</v>
      </c>
      <c r="I132" s="98">
        <v>135</v>
      </c>
      <c r="J132" s="98">
        <v>62</v>
      </c>
      <c r="K132" s="98">
        <v>98</v>
      </c>
      <c r="L132" s="98">
        <v>57</v>
      </c>
      <c r="M132" s="98">
        <v>110</v>
      </c>
      <c r="N132" s="98">
        <v>47</v>
      </c>
      <c r="O132" s="98">
        <v>129</v>
      </c>
      <c r="P132" s="24">
        <v>48</v>
      </c>
      <c r="Q132" s="98">
        <v>26</v>
      </c>
      <c r="R132" s="24">
        <v>67</v>
      </c>
      <c r="S132" s="98">
        <v>38</v>
      </c>
      <c r="T132" s="24">
        <v>43</v>
      </c>
      <c r="U132" s="98">
        <v>102</v>
      </c>
      <c r="V132" s="24">
        <v>399</v>
      </c>
      <c r="W132" s="24">
        <v>42</v>
      </c>
      <c r="X132" s="24">
        <v>131</v>
      </c>
      <c r="Y132" s="24">
        <v>429</v>
      </c>
      <c r="Z132" s="24">
        <v>124</v>
      </c>
      <c r="AA132" s="24">
        <v>-7</v>
      </c>
    </row>
    <row r="133" spans="1:27">
      <c r="A133" s="24" t="s">
        <v>3080</v>
      </c>
      <c r="B133" s="98" t="s">
        <v>52</v>
      </c>
      <c r="C133" s="24" t="s">
        <v>1871</v>
      </c>
      <c r="D133" s="98">
        <v>96</v>
      </c>
      <c r="E133" s="98">
        <v>116</v>
      </c>
      <c r="F133" s="98">
        <v>61</v>
      </c>
      <c r="G133" s="98">
        <v>115</v>
      </c>
      <c r="H133" s="98">
        <v>70</v>
      </c>
      <c r="I133" s="98">
        <v>132</v>
      </c>
      <c r="J133" s="98">
        <v>51</v>
      </c>
      <c r="K133" s="98">
        <v>131</v>
      </c>
      <c r="L133" s="98">
        <v>61</v>
      </c>
      <c r="M133" s="98">
        <v>90</v>
      </c>
      <c r="N133" s="98">
        <v>55</v>
      </c>
      <c r="O133" s="98">
        <v>119</v>
      </c>
      <c r="P133" s="24">
        <v>38</v>
      </c>
      <c r="Q133" s="98">
        <v>91</v>
      </c>
      <c r="R133" s="24">
        <v>66</v>
      </c>
      <c r="S133" s="98">
        <v>44</v>
      </c>
      <c r="T133" s="24">
        <v>46</v>
      </c>
      <c r="U133" s="98">
        <v>89</v>
      </c>
      <c r="V133" s="24">
        <v>394</v>
      </c>
      <c r="W133" s="24">
        <v>44</v>
      </c>
      <c r="X133" s="24">
        <v>132</v>
      </c>
      <c r="Y133" s="24">
        <v>395.5</v>
      </c>
      <c r="Z133" s="24">
        <v>135</v>
      </c>
      <c r="AA133" s="24">
        <v>3</v>
      </c>
    </row>
    <row r="134" spans="1:27">
      <c r="A134" s="24" t="s">
        <v>3119</v>
      </c>
      <c r="B134" s="98" t="s">
        <v>25</v>
      </c>
      <c r="C134" s="24" t="s">
        <v>3120</v>
      </c>
      <c r="D134" s="98">
        <v>106</v>
      </c>
      <c r="E134" s="98">
        <v>71</v>
      </c>
      <c r="F134" s="98">
        <v>31</v>
      </c>
      <c r="G134" s="98">
        <v>134</v>
      </c>
      <c r="H134" s="98">
        <v>89</v>
      </c>
      <c r="I134" s="98">
        <v>87</v>
      </c>
      <c r="J134" s="98">
        <v>50</v>
      </c>
      <c r="K134" s="98">
        <v>133</v>
      </c>
      <c r="L134" s="98">
        <v>74</v>
      </c>
      <c r="M134" s="98">
        <v>27</v>
      </c>
      <c r="N134" s="98">
        <v>38</v>
      </c>
      <c r="O134" s="98">
        <v>134</v>
      </c>
      <c r="P134" s="24">
        <v>46</v>
      </c>
      <c r="Q134" s="98">
        <v>40</v>
      </c>
      <c r="R134" s="24">
        <v>44</v>
      </c>
      <c r="S134" s="98">
        <v>130</v>
      </c>
      <c r="T134" s="24">
        <v>56</v>
      </c>
      <c r="U134" s="98">
        <v>19</v>
      </c>
      <c r="V134" s="24">
        <v>388</v>
      </c>
      <c r="W134" s="24">
        <v>43</v>
      </c>
      <c r="X134" s="24">
        <v>133</v>
      </c>
      <c r="Y134" s="24">
        <v>465.5</v>
      </c>
      <c r="Z134" s="24">
        <v>89</v>
      </c>
      <c r="AA134" s="24">
        <v>-44</v>
      </c>
    </row>
    <row r="135" spans="1:27">
      <c r="A135" s="24" t="s">
        <v>3279</v>
      </c>
      <c r="B135" s="98" t="s">
        <v>52</v>
      </c>
      <c r="C135" s="24" t="s">
        <v>3091</v>
      </c>
      <c r="D135" s="98">
        <v>84</v>
      </c>
      <c r="E135" s="98">
        <v>135</v>
      </c>
      <c r="F135" s="98">
        <v>58</v>
      </c>
      <c r="G135" s="98">
        <v>120</v>
      </c>
      <c r="H135" s="98">
        <v>66.5</v>
      </c>
      <c r="I135" s="98">
        <v>133</v>
      </c>
      <c r="J135" s="98">
        <v>54</v>
      </c>
      <c r="K135" s="98">
        <v>124</v>
      </c>
      <c r="L135" s="98">
        <v>61</v>
      </c>
      <c r="M135" s="98">
        <v>90</v>
      </c>
      <c r="N135" s="98">
        <v>62</v>
      </c>
      <c r="O135" s="98">
        <v>90</v>
      </c>
      <c r="P135" s="24">
        <v>40</v>
      </c>
      <c r="Q135" s="98">
        <v>79</v>
      </c>
      <c r="R135" s="24">
        <v>68</v>
      </c>
      <c r="S135" s="98">
        <v>31</v>
      </c>
      <c r="T135" s="24">
        <v>52</v>
      </c>
      <c r="U135" s="98">
        <v>43</v>
      </c>
      <c r="V135" s="24">
        <v>385.5</v>
      </c>
      <c r="W135" s="24">
        <v>45</v>
      </c>
      <c r="X135" s="24">
        <v>134</v>
      </c>
      <c r="Y135" s="24">
        <v>423.5</v>
      </c>
      <c r="Z135" s="24">
        <v>127</v>
      </c>
      <c r="AA135" s="24">
        <v>-7</v>
      </c>
    </row>
    <row r="136" spans="1:27">
      <c r="A136" s="24" t="s">
        <v>3082</v>
      </c>
      <c r="B136" s="98">
        <v>1819</v>
      </c>
      <c r="C136" s="24" t="s">
        <v>3067</v>
      </c>
      <c r="D136" s="98">
        <v>110</v>
      </c>
      <c r="E136" s="98">
        <v>39</v>
      </c>
      <c r="F136" s="98">
        <v>62</v>
      </c>
      <c r="G136" s="98">
        <v>114</v>
      </c>
      <c r="H136" s="98">
        <v>87.5</v>
      </c>
      <c r="I136" s="98">
        <v>93</v>
      </c>
      <c r="Q136" s="98"/>
      <c r="S136" s="98"/>
      <c r="U136" s="98"/>
      <c r="V136" s="24">
        <v>259.5</v>
      </c>
    </row>
  </sheetData>
  <sortState ref="A2:AA136">
    <sortCondition descending="1" ref="V1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81"/>
  <sheetViews>
    <sheetView zoomScaleNormal="100" workbookViewId="0">
      <pane xSplit="5" ySplit="2" topLeftCell="F1051" activePane="bottomRight" state="frozen"/>
      <selection pane="topRight" activeCell="F1" sqref="F1"/>
      <selection pane="bottomLeft" activeCell="A3" sqref="A3"/>
      <selection pane="bottomRight" activeCell="N1061" sqref="N1061"/>
    </sheetView>
  </sheetViews>
  <sheetFormatPr defaultRowHeight="15"/>
  <cols>
    <col min="1" max="1" width="10.125" style="3" customWidth="1"/>
    <col min="2" max="2" width="6.625" style="3" customWidth="1"/>
    <col min="3" max="3" width="7.25" style="3" customWidth="1"/>
    <col min="4" max="4" width="8.875" style="3" customWidth="1"/>
    <col min="5" max="5" width="10.125" style="7" customWidth="1"/>
    <col min="6" max="11" width="7.25" style="87" customWidth="1"/>
    <col min="12" max="14" width="10.875" style="87" customWidth="1"/>
    <col min="15" max="15" width="5.625" style="3" customWidth="1"/>
    <col min="16" max="16" width="5.5" style="8" customWidth="1"/>
    <col min="17" max="19" width="5.5" style="3" customWidth="1"/>
    <col min="20" max="20" width="6" style="3" customWidth="1"/>
  </cols>
  <sheetData>
    <row r="1" spans="1:20" ht="19.5" customHeight="1">
      <c r="A1" s="175" t="s">
        <v>3456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</row>
    <row r="2" spans="1:20" ht="28.5">
      <c r="A2" s="1" t="s">
        <v>3315</v>
      </c>
      <c r="B2" s="1" t="s">
        <v>3442</v>
      </c>
      <c r="C2" s="1" t="s">
        <v>3449</v>
      </c>
      <c r="D2" s="1" t="s">
        <v>3448</v>
      </c>
      <c r="E2" s="1" t="s">
        <v>1</v>
      </c>
      <c r="F2" s="83" t="s">
        <v>3</v>
      </c>
      <c r="G2" s="83" t="s">
        <v>3212</v>
      </c>
      <c r="H2" s="83" t="s">
        <v>104</v>
      </c>
      <c r="I2" s="83" t="s">
        <v>3443</v>
      </c>
      <c r="J2" s="83" t="s">
        <v>3444</v>
      </c>
      <c r="K2" s="83" t="s">
        <v>3445</v>
      </c>
      <c r="L2" s="139" t="s">
        <v>3464</v>
      </c>
      <c r="M2" s="139" t="s">
        <v>3465</v>
      </c>
      <c r="N2" s="139" t="s">
        <v>3466</v>
      </c>
      <c r="O2" s="2" t="s">
        <v>3455</v>
      </c>
      <c r="P2" s="25" t="s">
        <v>3447</v>
      </c>
      <c r="Q2" s="25" t="s">
        <v>3228</v>
      </c>
      <c r="R2" s="25" t="s">
        <v>3446</v>
      </c>
      <c r="S2" s="25" t="s">
        <v>3228</v>
      </c>
      <c r="T2" s="25" t="s">
        <v>3236</v>
      </c>
    </row>
    <row r="3" spans="1:20">
      <c r="A3" s="1" t="s">
        <v>211</v>
      </c>
      <c r="B3" s="1" t="s">
        <v>3198</v>
      </c>
      <c r="C3" s="4" t="s">
        <v>28</v>
      </c>
      <c r="D3" s="1" t="s">
        <v>212</v>
      </c>
      <c r="E3" s="4" t="s">
        <v>213</v>
      </c>
      <c r="F3" s="84">
        <v>101</v>
      </c>
      <c r="G3" s="84">
        <v>63</v>
      </c>
      <c r="H3" s="84">
        <v>91</v>
      </c>
      <c r="I3" s="84">
        <v>51</v>
      </c>
      <c r="J3" s="84">
        <v>39</v>
      </c>
      <c r="K3" s="84">
        <v>49</v>
      </c>
      <c r="L3" s="84">
        <v>78</v>
      </c>
      <c r="M3" s="84">
        <v>68</v>
      </c>
      <c r="N3" s="84">
        <v>40</v>
      </c>
      <c r="O3" s="5">
        <f>SUM(F3:K3)</f>
        <v>394</v>
      </c>
      <c r="P3" s="6">
        <f>RANK(O3,$O$3:$O$57)</f>
        <v>45</v>
      </c>
      <c r="Q3" s="5">
        <f>RANK(O3,$O$3:$O$936)</f>
        <v>791</v>
      </c>
      <c r="R3" s="5">
        <v>367.5</v>
      </c>
      <c r="S3" s="5">
        <v>845</v>
      </c>
      <c r="T3" s="5">
        <f>S3-Q3</f>
        <v>54</v>
      </c>
    </row>
    <row r="4" spans="1:20">
      <c r="A4" s="1" t="s">
        <v>214</v>
      </c>
      <c r="B4" s="1" t="s">
        <v>3198</v>
      </c>
      <c r="C4" s="4" t="s">
        <v>28</v>
      </c>
      <c r="D4" s="1" t="s">
        <v>215</v>
      </c>
      <c r="E4" s="4" t="s">
        <v>176</v>
      </c>
      <c r="F4" s="84">
        <v>101</v>
      </c>
      <c r="G4" s="84">
        <v>96</v>
      </c>
      <c r="H4" s="84">
        <v>85</v>
      </c>
      <c r="I4" s="84">
        <v>84</v>
      </c>
      <c r="J4" s="84">
        <v>70</v>
      </c>
      <c r="K4" s="84">
        <v>80</v>
      </c>
      <c r="L4" s="84">
        <v>70</v>
      </c>
      <c r="M4" s="84">
        <v>69</v>
      </c>
      <c r="N4" s="84">
        <v>55</v>
      </c>
      <c r="O4" s="5">
        <f t="shared" ref="O4:O67" si="0">SUM(F4:K4)</f>
        <v>516</v>
      </c>
      <c r="P4" s="6">
        <f t="shared" ref="P4:P57" si="1">RANK(O4,$O$3:$O$57)</f>
        <v>7</v>
      </c>
      <c r="Q4" s="5">
        <f t="shared" ref="Q4:Q67" si="2">RANK(O4,$O$3:$O$936)</f>
        <v>180</v>
      </c>
      <c r="R4" s="5">
        <v>471.5</v>
      </c>
      <c r="S4" s="5">
        <v>355</v>
      </c>
      <c r="T4" s="5">
        <f t="shared" ref="T4:T67" si="3">S4-Q4</f>
        <v>175</v>
      </c>
    </row>
    <row r="5" spans="1:20">
      <c r="A5" s="1" t="s">
        <v>216</v>
      </c>
      <c r="B5" s="1" t="s">
        <v>3198</v>
      </c>
      <c r="C5" s="4" t="s">
        <v>28</v>
      </c>
      <c r="D5" s="1" t="s">
        <v>217</v>
      </c>
      <c r="E5" s="4" t="s">
        <v>218</v>
      </c>
      <c r="F5" s="84">
        <v>90</v>
      </c>
      <c r="G5" s="84">
        <v>76</v>
      </c>
      <c r="H5" s="84">
        <v>102.5</v>
      </c>
      <c r="I5" s="84">
        <v>78</v>
      </c>
      <c r="J5" s="84">
        <v>53</v>
      </c>
      <c r="K5" s="84">
        <v>72</v>
      </c>
      <c r="L5" s="84">
        <v>76</v>
      </c>
      <c r="M5" s="84">
        <v>69</v>
      </c>
      <c r="N5" s="84">
        <v>61</v>
      </c>
      <c r="O5" s="5">
        <f t="shared" si="0"/>
        <v>471.5</v>
      </c>
      <c r="P5" s="6">
        <f t="shared" si="1"/>
        <v>20</v>
      </c>
      <c r="Q5" s="5">
        <f t="shared" si="2"/>
        <v>384</v>
      </c>
      <c r="R5" s="5">
        <v>488.5</v>
      </c>
      <c r="S5" s="5">
        <v>267</v>
      </c>
      <c r="T5" s="5">
        <f t="shared" si="3"/>
        <v>-117</v>
      </c>
    </row>
    <row r="6" spans="1:20">
      <c r="A6" s="1" t="s">
        <v>219</v>
      </c>
      <c r="B6" s="1" t="s">
        <v>3198</v>
      </c>
      <c r="C6" s="4" t="s">
        <v>28</v>
      </c>
      <c r="D6" s="1" t="s">
        <v>220</v>
      </c>
      <c r="E6" s="4" t="s">
        <v>221</v>
      </c>
      <c r="F6" s="84">
        <v>86</v>
      </c>
      <c r="G6" s="84">
        <v>54</v>
      </c>
      <c r="H6" s="84">
        <v>99</v>
      </c>
      <c r="I6" s="84">
        <v>57</v>
      </c>
      <c r="J6" s="84">
        <v>62</v>
      </c>
      <c r="K6" s="84">
        <v>55</v>
      </c>
      <c r="L6" s="84">
        <v>66</v>
      </c>
      <c r="M6" s="84">
        <v>65</v>
      </c>
      <c r="N6" s="84">
        <v>57</v>
      </c>
      <c r="O6" s="5">
        <f t="shared" si="0"/>
        <v>413</v>
      </c>
      <c r="P6" s="6">
        <f t="shared" si="1"/>
        <v>40</v>
      </c>
      <c r="Q6" s="5">
        <f t="shared" si="2"/>
        <v>704</v>
      </c>
      <c r="R6" s="5">
        <v>356.5</v>
      </c>
      <c r="S6" s="5">
        <v>864</v>
      </c>
      <c r="T6" s="5">
        <f t="shared" si="3"/>
        <v>160</v>
      </c>
    </row>
    <row r="7" spans="1:20">
      <c r="A7" s="1" t="s">
        <v>222</v>
      </c>
      <c r="B7" s="1" t="s">
        <v>3198</v>
      </c>
      <c r="C7" s="4" t="s">
        <v>28</v>
      </c>
      <c r="D7" s="1" t="s">
        <v>223</v>
      </c>
      <c r="E7" s="4" t="s">
        <v>224</v>
      </c>
      <c r="F7" s="84">
        <v>100</v>
      </c>
      <c r="G7" s="84">
        <v>73</v>
      </c>
      <c r="H7" s="84">
        <v>97.5</v>
      </c>
      <c r="I7" s="84">
        <v>56</v>
      </c>
      <c r="J7" s="84">
        <v>48</v>
      </c>
      <c r="K7" s="84">
        <v>58</v>
      </c>
      <c r="L7" s="84">
        <v>75</v>
      </c>
      <c r="M7" s="84">
        <v>72</v>
      </c>
      <c r="N7" s="84">
        <v>63</v>
      </c>
      <c r="O7" s="5">
        <f t="shared" si="0"/>
        <v>432.5</v>
      </c>
      <c r="P7" s="6">
        <f t="shared" si="1"/>
        <v>33</v>
      </c>
      <c r="Q7" s="5">
        <f t="shared" si="2"/>
        <v>613</v>
      </c>
      <c r="R7" s="5">
        <v>447</v>
      </c>
      <c r="S7" s="5">
        <v>483</v>
      </c>
      <c r="T7" s="5">
        <f t="shared" si="3"/>
        <v>-130</v>
      </c>
    </row>
    <row r="8" spans="1:20">
      <c r="A8" s="1" t="s">
        <v>225</v>
      </c>
      <c r="B8" s="1" t="s">
        <v>3198</v>
      </c>
      <c r="C8" s="4" t="s">
        <v>28</v>
      </c>
      <c r="D8" s="1" t="s">
        <v>226</v>
      </c>
      <c r="E8" s="4" t="s">
        <v>227</v>
      </c>
      <c r="F8" s="84">
        <v>114</v>
      </c>
      <c r="G8" s="84">
        <v>54</v>
      </c>
      <c r="H8" s="84">
        <v>98</v>
      </c>
      <c r="I8" s="84">
        <v>71</v>
      </c>
      <c r="J8" s="84">
        <v>61</v>
      </c>
      <c r="K8" s="84">
        <v>85</v>
      </c>
      <c r="L8" s="84">
        <v>67</v>
      </c>
      <c r="M8" s="84">
        <v>90</v>
      </c>
      <c r="N8" s="84">
        <v>53</v>
      </c>
      <c r="O8" s="5">
        <f t="shared" si="0"/>
        <v>483</v>
      </c>
      <c r="P8" s="6">
        <f t="shared" si="1"/>
        <v>14</v>
      </c>
      <c r="Q8" s="5">
        <f t="shared" si="2"/>
        <v>321</v>
      </c>
      <c r="R8" s="5">
        <v>500.5</v>
      </c>
      <c r="S8" s="5">
        <v>207</v>
      </c>
      <c r="T8" s="5">
        <f t="shared" si="3"/>
        <v>-114</v>
      </c>
    </row>
    <row r="9" spans="1:20">
      <c r="A9" s="1" t="s">
        <v>228</v>
      </c>
      <c r="B9" s="1" t="s">
        <v>3198</v>
      </c>
      <c r="C9" s="4" t="s">
        <v>28</v>
      </c>
      <c r="D9" s="1" t="s">
        <v>229</v>
      </c>
      <c r="E9" s="4" t="s">
        <v>230</v>
      </c>
      <c r="F9" s="84">
        <v>100</v>
      </c>
      <c r="G9" s="84">
        <v>50</v>
      </c>
      <c r="H9" s="84">
        <v>51.5</v>
      </c>
      <c r="I9" s="84">
        <v>58</v>
      </c>
      <c r="J9" s="84">
        <v>30</v>
      </c>
      <c r="K9" s="84">
        <v>57</v>
      </c>
      <c r="L9" s="84">
        <v>73</v>
      </c>
      <c r="M9" s="84">
        <v>73</v>
      </c>
      <c r="N9" s="84">
        <v>54</v>
      </c>
      <c r="O9" s="5">
        <f t="shared" si="0"/>
        <v>346.5</v>
      </c>
      <c r="P9" s="6">
        <f t="shared" si="1"/>
        <v>52</v>
      </c>
      <c r="Q9" s="5">
        <f t="shared" si="2"/>
        <v>897</v>
      </c>
      <c r="R9" s="5">
        <v>371</v>
      </c>
      <c r="S9" s="5">
        <v>838</v>
      </c>
      <c r="T9" s="5">
        <f t="shared" si="3"/>
        <v>-59</v>
      </c>
    </row>
    <row r="10" spans="1:20">
      <c r="A10" s="1" t="s">
        <v>231</v>
      </c>
      <c r="B10" s="1" t="s">
        <v>3198</v>
      </c>
      <c r="C10" s="4" t="s">
        <v>28</v>
      </c>
      <c r="D10" s="1" t="s">
        <v>232</v>
      </c>
      <c r="E10" s="4" t="s">
        <v>233</v>
      </c>
      <c r="F10" s="84">
        <v>107</v>
      </c>
      <c r="G10" s="84">
        <v>84</v>
      </c>
      <c r="H10" s="84">
        <v>94</v>
      </c>
      <c r="I10" s="84">
        <v>92</v>
      </c>
      <c r="J10" s="84">
        <v>56</v>
      </c>
      <c r="K10" s="84">
        <v>68</v>
      </c>
      <c r="L10" s="84">
        <v>58</v>
      </c>
      <c r="M10" s="84">
        <v>62</v>
      </c>
      <c r="N10" s="84">
        <v>48</v>
      </c>
      <c r="O10" s="5">
        <f t="shared" si="0"/>
        <v>501</v>
      </c>
      <c r="P10" s="6">
        <f t="shared" si="1"/>
        <v>10</v>
      </c>
      <c r="Q10" s="5">
        <f t="shared" si="2"/>
        <v>241</v>
      </c>
      <c r="R10" s="5">
        <v>434.5</v>
      </c>
      <c r="S10" s="5">
        <v>547</v>
      </c>
      <c r="T10" s="5">
        <f t="shared" si="3"/>
        <v>306</v>
      </c>
    </row>
    <row r="11" spans="1:20">
      <c r="A11" s="1" t="s">
        <v>234</v>
      </c>
      <c r="B11" s="1" t="s">
        <v>3198</v>
      </c>
      <c r="C11" s="4" t="s">
        <v>28</v>
      </c>
      <c r="D11" s="1" t="s">
        <v>235</v>
      </c>
      <c r="E11" s="4" t="s">
        <v>236</v>
      </c>
      <c r="F11" s="84">
        <v>97</v>
      </c>
      <c r="G11" s="84">
        <v>57</v>
      </c>
      <c r="H11" s="84">
        <v>78</v>
      </c>
      <c r="I11" s="84">
        <v>77</v>
      </c>
      <c r="J11" s="84">
        <v>49</v>
      </c>
      <c r="K11" s="84">
        <v>60</v>
      </c>
      <c r="L11" s="84">
        <v>65</v>
      </c>
      <c r="M11" s="84">
        <v>66</v>
      </c>
      <c r="N11" s="84">
        <v>61</v>
      </c>
      <c r="O11" s="5">
        <f t="shared" si="0"/>
        <v>418</v>
      </c>
      <c r="P11" s="6">
        <f t="shared" si="1"/>
        <v>35</v>
      </c>
      <c r="Q11" s="5">
        <f t="shared" si="2"/>
        <v>679</v>
      </c>
      <c r="R11" s="5">
        <v>399.5</v>
      </c>
      <c r="S11" s="5">
        <v>732</v>
      </c>
      <c r="T11" s="5">
        <f t="shared" si="3"/>
        <v>53</v>
      </c>
    </row>
    <row r="12" spans="1:20">
      <c r="A12" s="1" t="s">
        <v>237</v>
      </c>
      <c r="B12" s="1" t="s">
        <v>3198</v>
      </c>
      <c r="C12" s="4" t="s">
        <v>28</v>
      </c>
      <c r="D12" s="1" t="s">
        <v>238</v>
      </c>
      <c r="E12" s="4" t="s">
        <v>239</v>
      </c>
      <c r="F12" s="84">
        <v>102</v>
      </c>
      <c r="G12" s="84">
        <v>84</v>
      </c>
      <c r="H12" s="84">
        <v>80.5</v>
      </c>
      <c r="I12" s="84">
        <v>73</v>
      </c>
      <c r="J12" s="84">
        <v>62</v>
      </c>
      <c r="K12" s="84">
        <v>73</v>
      </c>
      <c r="L12" s="84">
        <v>75</v>
      </c>
      <c r="M12" s="84">
        <v>75</v>
      </c>
      <c r="N12" s="84">
        <v>67</v>
      </c>
      <c r="O12" s="5">
        <f t="shared" si="0"/>
        <v>474.5</v>
      </c>
      <c r="P12" s="6">
        <f t="shared" si="1"/>
        <v>17</v>
      </c>
      <c r="Q12" s="5">
        <f t="shared" si="2"/>
        <v>370</v>
      </c>
      <c r="R12" s="5">
        <v>460</v>
      </c>
      <c r="S12" s="5">
        <v>414</v>
      </c>
      <c r="T12" s="5">
        <f t="shared" si="3"/>
        <v>44</v>
      </c>
    </row>
    <row r="13" spans="1:20">
      <c r="A13" s="1" t="s">
        <v>240</v>
      </c>
      <c r="B13" s="1" t="s">
        <v>3198</v>
      </c>
      <c r="C13" s="4" t="s">
        <v>28</v>
      </c>
      <c r="D13" s="1" t="s">
        <v>241</v>
      </c>
      <c r="E13" s="4" t="s">
        <v>242</v>
      </c>
      <c r="F13" s="84">
        <v>97</v>
      </c>
      <c r="G13" s="84">
        <v>100</v>
      </c>
      <c r="H13" s="84">
        <v>78</v>
      </c>
      <c r="I13" s="84">
        <v>83</v>
      </c>
      <c r="J13" s="84">
        <v>45</v>
      </c>
      <c r="K13" s="84">
        <v>78</v>
      </c>
      <c r="L13" s="84">
        <v>77</v>
      </c>
      <c r="M13" s="84">
        <v>69</v>
      </c>
      <c r="N13" s="84">
        <v>71</v>
      </c>
      <c r="O13" s="5">
        <f t="shared" si="0"/>
        <v>481</v>
      </c>
      <c r="P13" s="6">
        <f t="shared" si="1"/>
        <v>15</v>
      </c>
      <c r="Q13" s="5">
        <f t="shared" si="2"/>
        <v>332</v>
      </c>
      <c r="R13" s="5">
        <v>430</v>
      </c>
      <c r="S13" s="5">
        <v>573</v>
      </c>
      <c r="T13" s="5">
        <f t="shared" si="3"/>
        <v>241</v>
      </c>
    </row>
    <row r="14" spans="1:20">
      <c r="A14" s="1" t="s">
        <v>243</v>
      </c>
      <c r="B14" s="1" t="s">
        <v>3198</v>
      </c>
      <c r="C14" s="4" t="s">
        <v>28</v>
      </c>
      <c r="D14" s="1" t="s">
        <v>244</v>
      </c>
      <c r="E14" s="4" t="s">
        <v>245</v>
      </c>
      <c r="F14" s="84">
        <v>98</v>
      </c>
      <c r="G14" s="84">
        <v>77</v>
      </c>
      <c r="H14" s="84">
        <v>75</v>
      </c>
      <c r="I14" s="84">
        <v>79</v>
      </c>
      <c r="J14" s="84">
        <v>52</v>
      </c>
      <c r="K14" s="84">
        <v>81</v>
      </c>
      <c r="L14" s="84">
        <v>65</v>
      </c>
      <c r="M14" s="84">
        <v>51</v>
      </c>
      <c r="N14" s="84">
        <v>59</v>
      </c>
      <c r="O14" s="5">
        <f t="shared" si="0"/>
        <v>462</v>
      </c>
      <c r="P14" s="6">
        <f t="shared" si="1"/>
        <v>25</v>
      </c>
      <c r="Q14" s="5">
        <f t="shared" si="2"/>
        <v>444</v>
      </c>
      <c r="R14" s="5">
        <v>443.5</v>
      </c>
      <c r="S14" s="5">
        <v>508</v>
      </c>
      <c r="T14" s="5">
        <f t="shared" si="3"/>
        <v>64</v>
      </c>
    </row>
    <row r="15" spans="1:20">
      <c r="A15" s="1" t="s">
        <v>246</v>
      </c>
      <c r="B15" s="1" t="s">
        <v>3198</v>
      </c>
      <c r="C15" s="4" t="s">
        <v>28</v>
      </c>
      <c r="D15" s="1" t="s">
        <v>247</v>
      </c>
      <c r="E15" s="4" t="s">
        <v>248</v>
      </c>
      <c r="F15" s="84">
        <v>103</v>
      </c>
      <c r="G15" s="84">
        <v>89</v>
      </c>
      <c r="H15" s="84">
        <v>93.5</v>
      </c>
      <c r="I15" s="84">
        <v>63</v>
      </c>
      <c r="J15" s="84">
        <v>58</v>
      </c>
      <c r="K15" s="84">
        <v>84</v>
      </c>
      <c r="L15" s="84">
        <v>64</v>
      </c>
      <c r="M15" s="84">
        <v>63</v>
      </c>
      <c r="N15" s="84">
        <v>68</v>
      </c>
      <c r="O15" s="5">
        <f t="shared" si="0"/>
        <v>490.5</v>
      </c>
      <c r="P15" s="6">
        <f t="shared" si="1"/>
        <v>13</v>
      </c>
      <c r="Q15" s="5">
        <f t="shared" si="2"/>
        <v>290</v>
      </c>
      <c r="R15" s="5">
        <v>469</v>
      </c>
      <c r="S15" s="5">
        <v>372</v>
      </c>
      <c r="T15" s="5">
        <f t="shared" si="3"/>
        <v>82</v>
      </c>
    </row>
    <row r="16" spans="1:20">
      <c r="A16" s="1" t="s">
        <v>249</v>
      </c>
      <c r="B16" s="1" t="s">
        <v>3198</v>
      </c>
      <c r="C16" s="4" t="s">
        <v>28</v>
      </c>
      <c r="D16" s="1" t="s">
        <v>250</v>
      </c>
      <c r="E16" s="4" t="s">
        <v>251</v>
      </c>
      <c r="F16" s="84">
        <v>77</v>
      </c>
      <c r="G16" s="84">
        <v>24</v>
      </c>
      <c r="H16" s="84">
        <v>90.5</v>
      </c>
      <c r="I16" s="84">
        <v>68</v>
      </c>
      <c r="J16" s="84">
        <v>42</v>
      </c>
      <c r="K16" s="84">
        <v>46</v>
      </c>
      <c r="L16" s="84">
        <v>54</v>
      </c>
      <c r="M16" s="84">
        <v>68</v>
      </c>
      <c r="N16" s="84">
        <v>51</v>
      </c>
      <c r="O16" s="5">
        <f t="shared" si="0"/>
        <v>347.5</v>
      </c>
      <c r="P16" s="6">
        <f t="shared" si="1"/>
        <v>51</v>
      </c>
      <c r="Q16" s="5">
        <f t="shared" si="2"/>
        <v>896</v>
      </c>
      <c r="R16" s="5">
        <v>302.5</v>
      </c>
      <c r="S16" s="5">
        <v>925</v>
      </c>
      <c r="T16" s="5">
        <f t="shared" si="3"/>
        <v>29</v>
      </c>
    </row>
    <row r="17" spans="1:20">
      <c r="A17" s="1" t="s">
        <v>252</v>
      </c>
      <c r="B17" s="1" t="s">
        <v>3198</v>
      </c>
      <c r="C17" s="4" t="s">
        <v>28</v>
      </c>
      <c r="D17" s="1" t="s">
        <v>253</v>
      </c>
      <c r="E17" s="4" t="s">
        <v>254</v>
      </c>
      <c r="F17" s="84">
        <v>97</v>
      </c>
      <c r="G17" s="84">
        <v>78</v>
      </c>
      <c r="H17" s="84">
        <v>97</v>
      </c>
      <c r="I17" s="84">
        <v>72</v>
      </c>
      <c r="J17" s="84">
        <v>56</v>
      </c>
      <c r="K17" s="84">
        <v>63</v>
      </c>
      <c r="L17" s="84">
        <v>68</v>
      </c>
      <c r="M17" s="84">
        <v>69</v>
      </c>
      <c r="N17" s="84">
        <v>62</v>
      </c>
      <c r="O17" s="5">
        <f t="shared" si="0"/>
        <v>463</v>
      </c>
      <c r="P17" s="6">
        <f t="shared" si="1"/>
        <v>23</v>
      </c>
      <c r="Q17" s="5">
        <f t="shared" si="2"/>
        <v>439</v>
      </c>
      <c r="R17" s="5">
        <v>443</v>
      </c>
      <c r="S17" s="5">
        <v>513</v>
      </c>
      <c r="T17" s="5">
        <f t="shared" si="3"/>
        <v>74</v>
      </c>
    </row>
    <row r="18" spans="1:20">
      <c r="A18" s="1" t="s">
        <v>255</v>
      </c>
      <c r="B18" s="1" t="s">
        <v>3198</v>
      </c>
      <c r="C18" s="4" t="s">
        <v>28</v>
      </c>
      <c r="D18" s="1" t="s">
        <v>256</v>
      </c>
      <c r="E18" s="4" t="s">
        <v>257</v>
      </c>
      <c r="F18" s="84">
        <v>80</v>
      </c>
      <c r="G18" s="84">
        <v>45</v>
      </c>
      <c r="H18" s="84">
        <v>83.5</v>
      </c>
      <c r="I18" s="84">
        <v>64</v>
      </c>
      <c r="J18" s="84">
        <v>46</v>
      </c>
      <c r="K18" s="84">
        <v>59</v>
      </c>
      <c r="L18" s="84">
        <v>63</v>
      </c>
      <c r="M18" s="84">
        <v>59</v>
      </c>
      <c r="N18" s="84">
        <v>52</v>
      </c>
      <c r="O18" s="5">
        <f t="shared" si="0"/>
        <v>377.5</v>
      </c>
      <c r="P18" s="6">
        <f t="shared" si="1"/>
        <v>46</v>
      </c>
      <c r="Q18" s="5">
        <f t="shared" si="2"/>
        <v>834</v>
      </c>
      <c r="R18" s="5">
        <v>374</v>
      </c>
      <c r="S18" s="5">
        <v>826</v>
      </c>
      <c r="T18" s="5">
        <f t="shared" si="3"/>
        <v>-8</v>
      </c>
    </row>
    <row r="19" spans="1:20">
      <c r="A19" s="1" t="s">
        <v>258</v>
      </c>
      <c r="B19" s="1" t="s">
        <v>3198</v>
      </c>
      <c r="C19" s="4" t="s">
        <v>28</v>
      </c>
      <c r="D19" s="1" t="s">
        <v>259</v>
      </c>
      <c r="E19" s="4" t="s">
        <v>260</v>
      </c>
      <c r="F19" s="84">
        <v>115</v>
      </c>
      <c r="G19" s="84">
        <v>77</v>
      </c>
      <c r="H19" s="84">
        <v>88</v>
      </c>
      <c r="I19" s="84">
        <v>69</v>
      </c>
      <c r="J19" s="84">
        <v>48</v>
      </c>
      <c r="K19" s="84">
        <v>76</v>
      </c>
      <c r="L19" s="84">
        <v>81</v>
      </c>
      <c r="M19" s="84">
        <v>68</v>
      </c>
      <c r="N19" s="84">
        <v>55</v>
      </c>
      <c r="O19" s="5">
        <f t="shared" si="0"/>
        <v>473</v>
      </c>
      <c r="P19" s="6">
        <f t="shared" si="1"/>
        <v>18</v>
      </c>
      <c r="Q19" s="5">
        <f t="shared" si="2"/>
        <v>377</v>
      </c>
      <c r="R19" s="5">
        <v>421.5</v>
      </c>
      <c r="S19" s="5">
        <v>627</v>
      </c>
      <c r="T19" s="5">
        <f t="shared" si="3"/>
        <v>250</v>
      </c>
    </row>
    <row r="20" spans="1:20">
      <c r="A20" s="1" t="s">
        <v>261</v>
      </c>
      <c r="B20" s="1" t="s">
        <v>3198</v>
      </c>
      <c r="C20" s="4" t="s">
        <v>28</v>
      </c>
      <c r="D20" s="1" t="s">
        <v>262</v>
      </c>
      <c r="E20" s="4" t="s">
        <v>263</v>
      </c>
      <c r="F20" s="84">
        <v>100</v>
      </c>
      <c r="G20" s="84">
        <v>58</v>
      </c>
      <c r="H20" s="84">
        <v>96.5</v>
      </c>
      <c r="I20" s="84">
        <v>49</v>
      </c>
      <c r="J20" s="84">
        <v>46</v>
      </c>
      <c r="K20" s="84">
        <v>68</v>
      </c>
      <c r="L20" s="84">
        <v>73</v>
      </c>
      <c r="M20" s="84">
        <v>73</v>
      </c>
      <c r="N20" s="84">
        <v>59</v>
      </c>
      <c r="O20" s="5">
        <f t="shared" si="0"/>
        <v>417.5</v>
      </c>
      <c r="P20" s="6">
        <f t="shared" si="1"/>
        <v>36</v>
      </c>
      <c r="Q20" s="5">
        <f t="shared" si="2"/>
        <v>680</v>
      </c>
      <c r="R20" s="5">
        <v>403</v>
      </c>
      <c r="S20" s="5">
        <v>717</v>
      </c>
      <c r="T20" s="5">
        <f t="shared" si="3"/>
        <v>37</v>
      </c>
    </row>
    <row r="21" spans="1:20">
      <c r="A21" s="1" t="s">
        <v>264</v>
      </c>
      <c r="B21" s="1" t="s">
        <v>3198</v>
      </c>
      <c r="C21" s="4" t="s">
        <v>28</v>
      </c>
      <c r="D21" s="1" t="s">
        <v>265</v>
      </c>
      <c r="E21" s="4" t="s">
        <v>266</v>
      </c>
      <c r="F21" s="84">
        <v>102</v>
      </c>
      <c r="G21" s="84">
        <v>71</v>
      </c>
      <c r="H21" s="84">
        <v>86.5</v>
      </c>
      <c r="I21" s="84">
        <v>69</v>
      </c>
      <c r="J21" s="84">
        <v>58</v>
      </c>
      <c r="K21" s="84">
        <v>64</v>
      </c>
      <c r="L21" s="84">
        <v>65</v>
      </c>
      <c r="M21" s="84">
        <v>56</v>
      </c>
      <c r="N21" s="84">
        <v>47</v>
      </c>
      <c r="O21" s="5">
        <f t="shared" si="0"/>
        <v>450.5</v>
      </c>
      <c r="P21" s="6">
        <f t="shared" si="1"/>
        <v>30</v>
      </c>
      <c r="Q21" s="5">
        <f t="shared" si="2"/>
        <v>511</v>
      </c>
      <c r="R21" s="5">
        <v>412.5</v>
      </c>
      <c r="S21" s="5">
        <v>669</v>
      </c>
      <c r="T21" s="5">
        <f t="shared" si="3"/>
        <v>158</v>
      </c>
    </row>
    <row r="22" spans="1:20">
      <c r="A22" s="1" t="s">
        <v>267</v>
      </c>
      <c r="B22" s="1" t="s">
        <v>3198</v>
      </c>
      <c r="C22" s="4" t="s">
        <v>28</v>
      </c>
      <c r="D22" s="1" t="s">
        <v>268</v>
      </c>
      <c r="E22" s="4" t="s">
        <v>269</v>
      </c>
      <c r="F22" s="84">
        <v>86</v>
      </c>
      <c r="G22" s="84">
        <v>32</v>
      </c>
      <c r="H22" s="84">
        <v>111</v>
      </c>
      <c r="I22" s="84">
        <v>45</v>
      </c>
      <c r="J22" s="84">
        <v>28</v>
      </c>
      <c r="K22" s="84">
        <v>42</v>
      </c>
      <c r="L22" s="84">
        <v>59</v>
      </c>
      <c r="M22" s="84">
        <v>63</v>
      </c>
      <c r="N22" s="84">
        <v>62</v>
      </c>
      <c r="O22" s="5">
        <f t="shared" si="0"/>
        <v>344</v>
      </c>
      <c r="P22" s="6">
        <f t="shared" si="1"/>
        <v>53</v>
      </c>
      <c r="Q22" s="5">
        <f t="shared" si="2"/>
        <v>902</v>
      </c>
      <c r="R22" s="5">
        <v>331.5</v>
      </c>
      <c r="S22" s="5">
        <v>903</v>
      </c>
      <c r="T22" s="5">
        <f t="shared" si="3"/>
        <v>1</v>
      </c>
    </row>
    <row r="23" spans="1:20">
      <c r="A23" s="1" t="s">
        <v>270</v>
      </c>
      <c r="B23" s="1" t="s">
        <v>3198</v>
      </c>
      <c r="C23" s="4" t="s">
        <v>28</v>
      </c>
      <c r="D23" s="1" t="s">
        <v>271</v>
      </c>
      <c r="E23" s="4" t="s">
        <v>272</v>
      </c>
      <c r="F23" s="84">
        <v>90</v>
      </c>
      <c r="G23" s="84">
        <v>62</v>
      </c>
      <c r="H23" s="84">
        <v>98.5</v>
      </c>
      <c r="I23" s="84">
        <v>57</v>
      </c>
      <c r="J23" s="84">
        <v>38</v>
      </c>
      <c r="K23" s="84">
        <v>64</v>
      </c>
      <c r="L23" s="84">
        <v>79</v>
      </c>
      <c r="M23" s="84">
        <v>68</v>
      </c>
      <c r="N23" s="84">
        <v>49</v>
      </c>
      <c r="O23" s="5">
        <f t="shared" si="0"/>
        <v>409.5</v>
      </c>
      <c r="P23" s="6">
        <f t="shared" si="1"/>
        <v>41</v>
      </c>
      <c r="Q23" s="5">
        <f t="shared" si="2"/>
        <v>723</v>
      </c>
      <c r="R23" s="5">
        <v>372.5</v>
      </c>
      <c r="S23" s="5">
        <v>831</v>
      </c>
      <c r="T23" s="5">
        <f t="shared" si="3"/>
        <v>108</v>
      </c>
    </row>
    <row r="24" spans="1:20">
      <c r="A24" s="1" t="s">
        <v>273</v>
      </c>
      <c r="B24" s="1" t="s">
        <v>3198</v>
      </c>
      <c r="C24" s="4" t="s">
        <v>28</v>
      </c>
      <c r="D24" s="1" t="s">
        <v>274</v>
      </c>
      <c r="E24" s="4" t="s">
        <v>275</v>
      </c>
      <c r="F24" s="84">
        <v>105</v>
      </c>
      <c r="G24" s="84">
        <v>94</v>
      </c>
      <c r="H24" s="84">
        <v>94</v>
      </c>
      <c r="I24" s="84">
        <v>64</v>
      </c>
      <c r="J24" s="84">
        <v>42</v>
      </c>
      <c r="K24" s="84">
        <v>64</v>
      </c>
      <c r="L24" s="84">
        <v>61</v>
      </c>
      <c r="M24" s="84">
        <v>75</v>
      </c>
      <c r="N24" s="84">
        <v>57</v>
      </c>
      <c r="O24" s="5">
        <f t="shared" si="0"/>
        <v>463</v>
      </c>
      <c r="P24" s="6">
        <f t="shared" si="1"/>
        <v>23</v>
      </c>
      <c r="Q24" s="5">
        <f t="shared" si="2"/>
        <v>439</v>
      </c>
      <c r="R24" s="5">
        <v>404.5</v>
      </c>
      <c r="S24" s="5">
        <v>710</v>
      </c>
      <c r="T24" s="5">
        <f t="shared" si="3"/>
        <v>271</v>
      </c>
    </row>
    <row r="25" spans="1:20">
      <c r="A25" s="1" t="s">
        <v>276</v>
      </c>
      <c r="B25" s="1" t="s">
        <v>3198</v>
      </c>
      <c r="C25" s="4" t="s">
        <v>28</v>
      </c>
      <c r="D25" s="1" t="s">
        <v>277</v>
      </c>
      <c r="E25" s="4" t="s">
        <v>148</v>
      </c>
      <c r="F25" s="84">
        <v>111</v>
      </c>
      <c r="G25" s="84">
        <v>99</v>
      </c>
      <c r="H25" s="84">
        <v>98</v>
      </c>
      <c r="I25" s="84">
        <v>92</v>
      </c>
      <c r="J25" s="84">
        <v>68</v>
      </c>
      <c r="K25" s="84">
        <v>72</v>
      </c>
      <c r="L25" s="84">
        <v>82</v>
      </c>
      <c r="M25" s="84">
        <v>76</v>
      </c>
      <c r="N25" s="84">
        <v>59</v>
      </c>
      <c r="O25" s="5">
        <f t="shared" si="0"/>
        <v>540</v>
      </c>
      <c r="P25" s="6">
        <f t="shared" si="1"/>
        <v>2</v>
      </c>
      <c r="Q25" s="5">
        <f t="shared" si="2"/>
        <v>104</v>
      </c>
      <c r="R25" s="5">
        <v>494.5</v>
      </c>
      <c r="S25" s="5">
        <v>237</v>
      </c>
      <c r="T25" s="5">
        <f t="shared" si="3"/>
        <v>133</v>
      </c>
    </row>
    <row r="26" spans="1:20">
      <c r="A26" s="1" t="s">
        <v>278</v>
      </c>
      <c r="B26" s="1" t="s">
        <v>3198</v>
      </c>
      <c r="C26" s="4" t="s">
        <v>28</v>
      </c>
      <c r="D26" s="1" t="s">
        <v>279</v>
      </c>
      <c r="E26" s="4" t="s">
        <v>280</v>
      </c>
      <c r="F26" s="84">
        <v>103</v>
      </c>
      <c r="G26" s="84">
        <v>71</v>
      </c>
      <c r="H26" s="84">
        <v>70</v>
      </c>
      <c r="I26" s="84">
        <v>72</v>
      </c>
      <c r="J26" s="84">
        <v>55</v>
      </c>
      <c r="K26" s="84">
        <v>59</v>
      </c>
      <c r="L26" s="84">
        <v>60</v>
      </c>
      <c r="M26" s="84">
        <v>68</v>
      </c>
      <c r="N26" s="84">
        <v>52</v>
      </c>
      <c r="O26" s="5">
        <f t="shared" si="0"/>
        <v>430</v>
      </c>
      <c r="P26" s="6">
        <f t="shared" si="1"/>
        <v>34</v>
      </c>
      <c r="Q26" s="5">
        <f t="shared" si="2"/>
        <v>624</v>
      </c>
      <c r="R26" s="5">
        <v>335.5</v>
      </c>
      <c r="S26" s="5">
        <v>900</v>
      </c>
      <c r="T26" s="5">
        <f t="shared" si="3"/>
        <v>276</v>
      </c>
    </row>
    <row r="27" spans="1:20">
      <c r="A27" s="1" t="s">
        <v>281</v>
      </c>
      <c r="B27" s="1" t="s">
        <v>3198</v>
      </c>
      <c r="C27" s="4" t="s">
        <v>28</v>
      </c>
      <c r="D27" s="1" t="s">
        <v>282</v>
      </c>
      <c r="E27" s="4" t="s">
        <v>283</v>
      </c>
      <c r="F27" s="84">
        <v>101</v>
      </c>
      <c r="G27" s="84">
        <v>76</v>
      </c>
      <c r="H27" s="84">
        <v>95</v>
      </c>
      <c r="I27" s="84">
        <v>74</v>
      </c>
      <c r="J27" s="84">
        <v>50</v>
      </c>
      <c r="K27" s="84">
        <v>75</v>
      </c>
      <c r="L27" s="84">
        <v>79</v>
      </c>
      <c r="M27" s="84">
        <v>69</v>
      </c>
      <c r="N27" s="84">
        <v>63</v>
      </c>
      <c r="O27" s="5">
        <f t="shared" si="0"/>
        <v>471</v>
      </c>
      <c r="P27" s="6">
        <f t="shared" si="1"/>
        <v>21</v>
      </c>
      <c r="Q27" s="5">
        <f t="shared" si="2"/>
        <v>386</v>
      </c>
      <c r="R27" s="5">
        <v>481.5</v>
      </c>
      <c r="S27" s="5">
        <v>298</v>
      </c>
      <c r="T27" s="5">
        <f t="shared" si="3"/>
        <v>-88</v>
      </c>
    </row>
    <row r="28" spans="1:20">
      <c r="A28" s="1" t="s">
        <v>284</v>
      </c>
      <c r="B28" s="1" t="s">
        <v>3198</v>
      </c>
      <c r="C28" s="4" t="s">
        <v>28</v>
      </c>
      <c r="D28" s="1" t="s">
        <v>285</v>
      </c>
      <c r="E28" s="4" t="s">
        <v>286</v>
      </c>
      <c r="F28" s="84">
        <v>99</v>
      </c>
      <c r="G28" s="84">
        <v>68</v>
      </c>
      <c r="H28" s="84">
        <v>89.5</v>
      </c>
      <c r="I28" s="84">
        <v>74</v>
      </c>
      <c r="J28" s="84">
        <v>53</v>
      </c>
      <c r="K28" s="84">
        <v>68</v>
      </c>
      <c r="L28" s="84">
        <v>70</v>
      </c>
      <c r="M28" s="84">
        <v>62</v>
      </c>
      <c r="N28" s="84">
        <v>52</v>
      </c>
      <c r="O28" s="5">
        <f t="shared" si="0"/>
        <v>451.5</v>
      </c>
      <c r="P28" s="6">
        <f t="shared" si="1"/>
        <v>28</v>
      </c>
      <c r="Q28" s="5">
        <f t="shared" si="2"/>
        <v>506</v>
      </c>
      <c r="R28" s="5">
        <v>463.5</v>
      </c>
      <c r="S28" s="5">
        <v>395</v>
      </c>
      <c r="T28" s="5">
        <f t="shared" si="3"/>
        <v>-111</v>
      </c>
    </row>
    <row r="29" spans="1:20">
      <c r="A29" s="1" t="s">
        <v>287</v>
      </c>
      <c r="B29" s="1" t="s">
        <v>3198</v>
      </c>
      <c r="C29" s="4" t="s">
        <v>28</v>
      </c>
      <c r="D29" s="1" t="s">
        <v>288</v>
      </c>
      <c r="E29" s="4" t="s">
        <v>289</v>
      </c>
      <c r="F29" s="84">
        <v>124</v>
      </c>
      <c r="G29" s="84">
        <v>79</v>
      </c>
      <c r="H29" s="84">
        <v>64</v>
      </c>
      <c r="I29" s="84">
        <v>63</v>
      </c>
      <c r="J29" s="84">
        <v>59</v>
      </c>
      <c r="K29" s="84">
        <v>86</v>
      </c>
      <c r="L29" s="84">
        <v>87</v>
      </c>
      <c r="M29" s="84">
        <v>84</v>
      </c>
      <c r="N29" s="84">
        <v>64</v>
      </c>
      <c r="O29" s="5">
        <f t="shared" si="0"/>
        <v>475</v>
      </c>
      <c r="P29" s="6">
        <f t="shared" si="1"/>
        <v>16</v>
      </c>
      <c r="Q29" s="5">
        <f t="shared" si="2"/>
        <v>368</v>
      </c>
      <c r="R29" s="5">
        <v>423</v>
      </c>
      <c r="S29" s="5">
        <v>618</v>
      </c>
      <c r="T29" s="5">
        <f t="shared" si="3"/>
        <v>250</v>
      </c>
    </row>
    <row r="30" spans="1:20">
      <c r="A30" s="1" t="s">
        <v>290</v>
      </c>
      <c r="B30" s="1" t="s">
        <v>3198</v>
      </c>
      <c r="C30" s="4" t="s">
        <v>28</v>
      </c>
      <c r="D30" s="1" t="s">
        <v>291</v>
      </c>
      <c r="E30" s="4" t="s">
        <v>292</v>
      </c>
      <c r="F30" s="84">
        <v>109</v>
      </c>
      <c r="G30" s="84">
        <v>56</v>
      </c>
      <c r="H30" s="84">
        <v>99</v>
      </c>
      <c r="I30" s="84">
        <v>55</v>
      </c>
      <c r="J30" s="84">
        <v>56</v>
      </c>
      <c r="K30" s="84">
        <v>65</v>
      </c>
      <c r="L30" s="84">
        <v>79</v>
      </c>
      <c r="M30" s="84">
        <v>59</v>
      </c>
      <c r="N30" s="84">
        <v>57</v>
      </c>
      <c r="O30" s="5">
        <f t="shared" si="0"/>
        <v>440</v>
      </c>
      <c r="P30" s="6">
        <f t="shared" si="1"/>
        <v>32</v>
      </c>
      <c r="Q30" s="5">
        <f t="shared" si="2"/>
        <v>570</v>
      </c>
      <c r="R30" s="5">
        <v>450</v>
      </c>
      <c r="S30" s="5">
        <v>466</v>
      </c>
      <c r="T30" s="5">
        <f t="shared" si="3"/>
        <v>-104</v>
      </c>
    </row>
    <row r="31" spans="1:20">
      <c r="A31" s="1" t="s">
        <v>1603</v>
      </c>
      <c r="B31" s="1" t="s">
        <v>3198</v>
      </c>
      <c r="C31" s="4" t="s">
        <v>28</v>
      </c>
      <c r="D31" s="1" t="s">
        <v>294</v>
      </c>
      <c r="E31" s="4" t="s">
        <v>1605</v>
      </c>
      <c r="F31" s="84">
        <v>109</v>
      </c>
      <c r="G31" s="84">
        <v>95</v>
      </c>
      <c r="H31" s="84">
        <v>101</v>
      </c>
      <c r="I31" s="84">
        <v>74</v>
      </c>
      <c r="J31" s="84">
        <v>65</v>
      </c>
      <c r="K31" s="84">
        <v>90</v>
      </c>
      <c r="L31" s="84">
        <v>75</v>
      </c>
      <c r="M31" s="84">
        <v>69</v>
      </c>
      <c r="N31" s="84">
        <v>67</v>
      </c>
      <c r="O31" s="5">
        <f t="shared" si="0"/>
        <v>534</v>
      </c>
      <c r="P31" s="6">
        <f t="shared" si="1"/>
        <v>3</v>
      </c>
      <c r="Q31" s="5">
        <f t="shared" si="2"/>
        <v>124</v>
      </c>
      <c r="R31" s="5">
        <v>517.5</v>
      </c>
      <c r="S31" s="5">
        <v>145</v>
      </c>
      <c r="T31" s="5">
        <f t="shared" si="3"/>
        <v>21</v>
      </c>
    </row>
    <row r="32" spans="1:20">
      <c r="A32" s="1" t="s">
        <v>295</v>
      </c>
      <c r="B32" s="1" t="s">
        <v>3198</v>
      </c>
      <c r="C32" s="4" t="s">
        <v>28</v>
      </c>
      <c r="D32" s="1" t="s">
        <v>296</v>
      </c>
      <c r="E32" s="4" t="s">
        <v>297</v>
      </c>
      <c r="F32" s="84">
        <v>79</v>
      </c>
      <c r="G32" s="84">
        <v>67</v>
      </c>
      <c r="H32" s="84">
        <v>69.5</v>
      </c>
      <c r="I32" s="84">
        <v>70</v>
      </c>
      <c r="J32" s="84">
        <v>58</v>
      </c>
      <c r="K32" s="84">
        <v>71</v>
      </c>
      <c r="L32" s="84">
        <v>60</v>
      </c>
      <c r="M32" s="84">
        <v>75</v>
      </c>
      <c r="N32" s="84">
        <v>51</v>
      </c>
      <c r="O32" s="5">
        <f t="shared" si="0"/>
        <v>414.5</v>
      </c>
      <c r="P32" s="6">
        <f t="shared" si="1"/>
        <v>39</v>
      </c>
      <c r="Q32" s="5">
        <f t="shared" si="2"/>
        <v>694</v>
      </c>
      <c r="R32" s="5">
        <v>422.5</v>
      </c>
      <c r="S32" s="5">
        <v>624</v>
      </c>
      <c r="T32" s="5">
        <f t="shared" si="3"/>
        <v>-70</v>
      </c>
    </row>
    <row r="33" spans="1:20">
      <c r="A33" s="1" t="s">
        <v>298</v>
      </c>
      <c r="B33" s="1" t="s">
        <v>3198</v>
      </c>
      <c r="C33" s="4" t="s">
        <v>28</v>
      </c>
      <c r="D33" s="1" t="s">
        <v>299</v>
      </c>
      <c r="E33" s="4" t="s">
        <v>300</v>
      </c>
      <c r="F33" s="84">
        <v>95</v>
      </c>
      <c r="G33" s="84">
        <v>57</v>
      </c>
      <c r="H33" s="84">
        <v>77</v>
      </c>
      <c r="I33" s="84">
        <v>45</v>
      </c>
      <c r="J33" s="84">
        <v>42</v>
      </c>
      <c r="K33" s="84">
        <v>59</v>
      </c>
      <c r="L33" s="84">
        <v>56</v>
      </c>
      <c r="M33" s="84">
        <v>67</v>
      </c>
      <c r="N33" s="84">
        <v>42</v>
      </c>
      <c r="O33" s="5">
        <f t="shared" si="0"/>
        <v>375</v>
      </c>
      <c r="P33" s="6">
        <f t="shared" si="1"/>
        <v>48</v>
      </c>
      <c r="Q33" s="5">
        <f t="shared" si="2"/>
        <v>841</v>
      </c>
      <c r="R33" s="5">
        <v>388</v>
      </c>
      <c r="S33" s="5">
        <v>774</v>
      </c>
      <c r="T33" s="5">
        <f t="shared" si="3"/>
        <v>-67</v>
      </c>
    </row>
    <row r="34" spans="1:20">
      <c r="A34" s="1" t="s">
        <v>301</v>
      </c>
      <c r="B34" s="1" t="s">
        <v>3198</v>
      </c>
      <c r="C34" s="4" t="s">
        <v>28</v>
      </c>
      <c r="D34" s="1" t="s">
        <v>302</v>
      </c>
      <c r="E34" s="4" t="s">
        <v>303</v>
      </c>
      <c r="F34" s="84">
        <v>101</v>
      </c>
      <c r="G34" s="84">
        <v>86</v>
      </c>
      <c r="H34" s="84">
        <v>96</v>
      </c>
      <c r="I34" s="84">
        <v>64</v>
      </c>
      <c r="J34" s="84">
        <v>42</v>
      </c>
      <c r="K34" s="84">
        <v>62</v>
      </c>
      <c r="L34" s="84">
        <v>78</v>
      </c>
      <c r="M34" s="84">
        <v>72</v>
      </c>
      <c r="N34" s="84">
        <v>52</v>
      </c>
      <c r="O34" s="5">
        <f t="shared" si="0"/>
        <v>451</v>
      </c>
      <c r="P34" s="6">
        <f t="shared" si="1"/>
        <v>29</v>
      </c>
      <c r="Q34" s="5">
        <f t="shared" si="2"/>
        <v>509</v>
      </c>
      <c r="R34" s="5">
        <v>404.5</v>
      </c>
      <c r="S34" s="5">
        <v>710</v>
      </c>
      <c r="T34" s="5">
        <f t="shared" si="3"/>
        <v>201</v>
      </c>
    </row>
    <row r="35" spans="1:20">
      <c r="A35" s="1" t="s">
        <v>304</v>
      </c>
      <c r="B35" s="1" t="s">
        <v>3198</v>
      </c>
      <c r="C35" s="4" t="s">
        <v>28</v>
      </c>
      <c r="D35" s="1" t="s">
        <v>305</v>
      </c>
      <c r="E35" s="4" t="s">
        <v>306</v>
      </c>
      <c r="F35" s="84">
        <v>104</v>
      </c>
      <c r="G35" s="84">
        <v>82</v>
      </c>
      <c r="H35" s="84">
        <v>74</v>
      </c>
      <c r="I35" s="84">
        <v>67</v>
      </c>
      <c r="J35" s="84">
        <v>48</v>
      </c>
      <c r="K35" s="84">
        <v>68</v>
      </c>
      <c r="L35" s="84">
        <v>86</v>
      </c>
      <c r="M35" s="84">
        <v>73</v>
      </c>
      <c r="N35" s="84">
        <v>42</v>
      </c>
      <c r="O35" s="5">
        <f t="shared" si="0"/>
        <v>443</v>
      </c>
      <c r="P35" s="6">
        <f t="shared" si="1"/>
        <v>31</v>
      </c>
      <c r="Q35" s="5">
        <f t="shared" si="2"/>
        <v>557</v>
      </c>
      <c r="R35" s="5">
        <v>330</v>
      </c>
      <c r="S35" s="5"/>
      <c r="T35" s="5"/>
    </row>
    <row r="36" spans="1:20">
      <c r="A36" s="1" t="s">
        <v>307</v>
      </c>
      <c r="B36" s="1" t="s">
        <v>3198</v>
      </c>
      <c r="C36" s="4" t="s">
        <v>28</v>
      </c>
      <c r="D36" s="1" t="s">
        <v>308</v>
      </c>
      <c r="E36" s="4" t="s">
        <v>309</v>
      </c>
      <c r="F36" s="84">
        <v>122</v>
      </c>
      <c r="G36" s="84">
        <v>80</v>
      </c>
      <c r="H36" s="84">
        <v>110.5</v>
      </c>
      <c r="I36" s="84">
        <v>78</v>
      </c>
      <c r="J36" s="84">
        <v>53</v>
      </c>
      <c r="K36" s="84">
        <v>80</v>
      </c>
      <c r="L36" s="84">
        <v>70</v>
      </c>
      <c r="M36" s="84">
        <v>63</v>
      </c>
      <c r="N36" s="84">
        <v>50</v>
      </c>
      <c r="O36" s="5">
        <f t="shared" si="0"/>
        <v>523.5</v>
      </c>
      <c r="P36" s="6">
        <f t="shared" si="1"/>
        <v>4</v>
      </c>
      <c r="Q36" s="5">
        <f t="shared" si="2"/>
        <v>156</v>
      </c>
      <c r="R36" s="5">
        <v>521.5</v>
      </c>
      <c r="S36" s="5">
        <v>130</v>
      </c>
      <c r="T36" s="5">
        <f t="shared" si="3"/>
        <v>-26</v>
      </c>
    </row>
    <row r="37" spans="1:20">
      <c r="A37" s="1" t="s">
        <v>310</v>
      </c>
      <c r="B37" s="1" t="s">
        <v>3198</v>
      </c>
      <c r="C37" s="4" t="s">
        <v>28</v>
      </c>
      <c r="D37" s="1" t="s">
        <v>311</v>
      </c>
      <c r="E37" s="4" t="s">
        <v>312</v>
      </c>
      <c r="F37" s="84">
        <v>94</v>
      </c>
      <c r="G37" s="84">
        <v>57</v>
      </c>
      <c r="H37" s="84">
        <v>86.5</v>
      </c>
      <c r="I37" s="84">
        <v>40</v>
      </c>
      <c r="J37" s="84">
        <v>30</v>
      </c>
      <c r="K37" s="84">
        <v>69</v>
      </c>
      <c r="L37" s="84">
        <v>67</v>
      </c>
      <c r="M37" s="84">
        <v>59</v>
      </c>
      <c r="N37" s="84">
        <v>51</v>
      </c>
      <c r="O37" s="5">
        <f t="shared" si="0"/>
        <v>376.5</v>
      </c>
      <c r="P37" s="6">
        <f t="shared" si="1"/>
        <v>47</v>
      </c>
      <c r="Q37" s="5">
        <f t="shared" si="2"/>
        <v>837</v>
      </c>
      <c r="R37" s="5">
        <v>347.5</v>
      </c>
      <c r="S37" s="5">
        <v>886</v>
      </c>
      <c r="T37" s="5">
        <f t="shared" si="3"/>
        <v>49</v>
      </c>
    </row>
    <row r="38" spans="1:20">
      <c r="A38" s="1" t="s">
        <v>313</v>
      </c>
      <c r="B38" s="1" t="s">
        <v>3198</v>
      </c>
      <c r="C38" s="4" t="s">
        <v>28</v>
      </c>
      <c r="D38" s="1" t="s">
        <v>314</v>
      </c>
      <c r="E38" s="4" t="s">
        <v>315</v>
      </c>
      <c r="F38" s="84">
        <v>112</v>
      </c>
      <c r="G38" s="84">
        <v>60</v>
      </c>
      <c r="H38" s="84">
        <v>111</v>
      </c>
      <c r="I38" s="84">
        <v>50</v>
      </c>
      <c r="J38" s="84">
        <v>36</v>
      </c>
      <c r="K38" s="84">
        <v>34</v>
      </c>
      <c r="L38" s="84">
        <v>73</v>
      </c>
      <c r="M38" s="84">
        <v>62</v>
      </c>
      <c r="N38" s="84">
        <v>44</v>
      </c>
      <c r="O38" s="5">
        <f t="shared" si="0"/>
        <v>403</v>
      </c>
      <c r="P38" s="6">
        <f t="shared" si="1"/>
        <v>44</v>
      </c>
      <c r="Q38" s="5">
        <f t="shared" si="2"/>
        <v>751</v>
      </c>
      <c r="R38" s="5">
        <v>424.5</v>
      </c>
      <c r="S38" s="5">
        <v>609</v>
      </c>
      <c r="T38" s="5">
        <f t="shared" si="3"/>
        <v>-142</v>
      </c>
    </row>
    <row r="39" spans="1:20">
      <c r="A39" s="1" t="s">
        <v>316</v>
      </c>
      <c r="B39" s="1" t="s">
        <v>3198</v>
      </c>
      <c r="C39" s="4" t="s">
        <v>28</v>
      </c>
      <c r="D39" s="1" t="s">
        <v>317</v>
      </c>
      <c r="E39" s="4" t="s">
        <v>318</v>
      </c>
      <c r="F39" s="84">
        <v>106</v>
      </c>
      <c r="G39" s="84">
        <v>96</v>
      </c>
      <c r="H39" s="84">
        <v>102.5</v>
      </c>
      <c r="I39" s="84">
        <v>71</v>
      </c>
      <c r="J39" s="84">
        <v>66</v>
      </c>
      <c r="K39" s="84">
        <v>80</v>
      </c>
      <c r="L39" s="84">
        <v>67</v>
      </c>
      <c r="M39" s="84">
        <v>63</v>
      </c>
      <c r="N39" s="84">
        <v>47</v>
      </c>
      <c r="O39" s="5">
        <f t="shared" si="0"/>
        <v>521.5</v>
      </c>
      <c r="P39" s="6">
        <f t="shared" si="1"/>
        <v>5</v>
      </c>
      <c r="Q39" s="5">
        <f t="shared" si="2"/>
        <v>160</v>
      </c>
      <c r="R39" s="5">
        <v>521.5</v>
      </c>
      <c r="S39" s="5">
        <v>130</v>
      </c>
      <c r="T39" s="5">
        <f t="shared" si="3"/>
        <v>-30</v>
      </c>
    </row>
    <row r="40" spans="1:20">
      <c r="A40" s="1" t="s">
        <v>322</v>
      </c>
      <c r="B40" s="1" t="s">
        <v>3198</v>
      </c>
      <c r="C40" s="4" t="s">
        <v>28</v>
      </c>
      <c r="D40" s="1" t="s">
        <v>323</v>
      </c>
      <c r="E40" s="4" t="s">
        <v>324</v>
      </c>
      <c r="F40" s="84">
        <v>106</v>
      </c>
      <c r="G40" s="84">
        <v>77</v>
      </c>
      <c r="H40" s="84">
        <v>104.5</v>
      </c>
      <c r="I40" s="84">
        <v>78</v>
      </c>
      <c r="J40" s="84">
        <v>70</v>
      </c>
      <c r="K40" s="84">
        <v>75</v>
      </c>
      <c r="L40" s="84">
        <v>73</v>
      </c>
      <c r="M40" s="84">
        <v>66</v>
      </c>
      <c r="N40" s="84">
        <v>51</v>
      </c>
      <c r="O40" s="5">
        <f t="shared" si="0"/>
        <v>510.5</v>
      </c>
      <c r="P40" s="6">
        <f t="shared" si="1"/>
        <v>9</v>
      </c>
      <c r="Q40" s="5">
        <f t="shared" si="2"/>
        <v>203</v>
      </c>
      <c r="R40" s="5">
        <v>495.5</v>
      </c>
      <c r="S40" s="5">
        <v>231</v>
      </c>
      <c r="T40" s="5">
        <f t="shared" si="3"/>
        <v>28</v>
      </c>
    </row>
    <row r="41" spans="1:20">
      <c r="A41" s="1" t="s">
        <v>1671</v>
      </c>
      <c r="B41" s="1" t="s">
        <v>3198</v>
      </c>
      <c r="C41" s="4" t="s">
        <v>28</v>
      </c>
      <c r="D41" s="1" t="s">
        <v>326</v>
      </c>
      <c r="E41" s="4" t="s">
        <v>1673</v>
      </c>
      <c r="F41" s="84">
        <v>109</v>
      </c>
      <c r="G41" s="84">
        <v>74</v>
      </c>
      <c r="H41" s="84">
        <v>107</v>
      </c>
      <c r="I41" s="84">
        <v>95</v>
      </c>
      <c r="J41" s="84">
        <v>59</v>
      </c>
      <c r="K41" s="84">
        <v>76</v>
      </c>
      <c r="L41" s="84">
        <v>68</v>
      </c>
      <c r="M41" s="84">
        <v>70</v>
      </c>
      <c r="N41" s="84">
        <v>57</v>
      </c>
      <c r="O41" s="5">
        <f t="shared" si="0"/>
        <v>520</v>
      </c>
      <c r="P41" s="6">
        <f t="shared" si="1"/>
        <v>6</v>
      </c>
      <c r="Q41" s="5">
        <f t="shared" si="2"/>
        <v>165</v>
      </c>
      <c r="R41" s="5">
        <v>513.5</v>
      </c>
      <c r="S41" s="5">
        <v>158</v>
      </c>
      <c r="T41" s="5">
        <f t="shared" si="3"/>
        <v>-7</v>
      </c>
    </row>
    <row r="42" spans="1:20">
      <c r="A42" s="1" t="s">
        <v>327</v>
      </c>
      <c r="B42" s="1" t="s">
        <v>3198</v>
      </c>
      <c r="C42" s="4" t="s">
        <v>28</v>
      </c>
      <c r="D42" s="1" t="s">
        <v>328</v>
      </c>
      <c r="E42" s="4" t="s">
        <v>329</v>
      </c>
      <c r="F42" s="84">
        <v>79</v>
      </c>
      <c r="G42" s="84">
        <v>33</v>
      </c>
      <c r="H42" s="84">
        <v>77</v>
      </c>
      <c r="I42" s="84">
        <v>37</v>
      </c>
      <c r="J42" s="84">
        <v>47</v>
      </c>
      <c r="K42" s="84">
        <v>43</v>
      </c>
      <c r="L42" s="84">
        <v>66</v>
      </c>
      <c r="M42" s="84">
        <v>71</v>
      </c>
      <c r="N42" s="84">
        <v>59</v>
      </c>
      <c r="O42" s="5">
        <f t="shared" si="0"/>
        <v>316</v>
      </c>
      <c r="P42" s="6">
        <f t="shared" si="1"/>
        <v>54</v>
      </c>
      <c r="Q42" s="5">
        <f t="shared" si="2"/>
        <v>922</v>
      </c>
      <c r="R42" s="5">
        <v>221.5</v>
      </c>
      <c r="S42" s="5">
        <v>934</v>
      </c>
      <c r="T42" s="5">
        <f t="shared" si="3"/>
        <v>12</v>
      </c>
    </row>
    <row r="43" spans="1:20">
      <c r="A43" s="1" t="s">
        <v>330</v>
      </c>
      <c r="B43" s="1" t="s">
        <v>3198</v>
      </c>
      <c r="C43" s="4" t="s">
        <v>28</v>
      </c>
      <c r="D43" s="1" t="s">
        <v>331</v>
      </c>
      <c r="E43" s="4" t="s">
        <v>332</v>
      </c>
      <c r="F43" s="84">
        <v>100</v>
      </c>
      <c r="G43" s="84">
        <v>64</v>
      </c>
      <c r="H43" s="84">
        <v>62.5</v>
      </c>
      <c r="I43" s="84">
        <v>61</v>
      </c>
      <c r="J43" s="84">
        <v>54</v>
      </c>
      <c r="K43" s="84">
        <v>74</v>
      </c>
      <c r="L43" s="84">
        <v>70</v>
      </c>
      <c r="M43" s="84">
        <v>66</v>
      </c>
      <c r="N43" s="84">
        <v>50</v>
      </c>
      <c r="O43" s="5">
        <f t="shared" si="0"/>
        <v>415.5</v>
      </c>
      <c r="P43" s="6">
        <f t="shared" si="1"/>
        <v>38</v>
      </c>
      <c r="Q43" s="5">
        <f t="shared" si="2"/>
        <v>688</v>
      </c>
      <c r="R43" s="5">
        <v>370</v>
      </c>
      <c r="S43" s="5">
        <v>841</v>
      </c>
      <c r="T43" s="5">
        <f t="shared" si="3"/>
        <v>153</v>
      </c>
    </row>
    <row r="44" spans="1:20">
      <c r="A44" s="1" t="s">
        <v>902</v>
      </c>
      <c r="B44" s="1" t="s">
        <v>3198</v>
      </c>
      <c r="C44" s="4" t="s">
        <v>28</v>
      </c>
      <c r="D44" s="1" t="s">
        <v>3311</v>
      </c>
      <c r="E44" s="4" t="s">
        <v>128</v>
      </c>
      <c r="F44" s="84">
        <v>103</v>
      </c>
      <c r="G44" s="84">
        <v>88</v>
      </c>
      <c r="H44" s="84">
        <v>112</v>
      </c>
      <c r="I44" s="84">
        <v>64</v>
      </c>
      <c r="J44" s="84">
        <v>56</v>
      </c>
      <c r="K44" s="84">
        <v>78</v>
      </c>
      <c r="L44" s="84">
        <v>70</v>
      </c>
      <c r="M44" s="84">
        <v>64</v>
      </c>
      <c r="N44" s="84">
        <v>59</v>
      </c>
      <c r="O44" s="5">
        <f t="shared" si="0"/>
        <v>501</v>
      </c>
      <c r="P44" s="6">
        <f t="shared" si="1"/>
        <v>10</v>
      </c>
      <c r="Q44" s="5">
        <f t="shared" si="2"/>
        <v>241</v>
      </c>
      <c r="R44" s="5">
        <v>509.5</v>
      </c>
      <c r="S44" s="5">
        <v>170</v>
      </c>
      <c r="T44" s="5">
        <f t="shared" si="3"/>
        <v>-71</v>
      </c>
    </row>
    <row r="45" spans="1:20">
      <c r="A45" s="1" t="s">
        <v>335</v>
      </c>
      <c r="B45" s="1" t="s">
        <v>3198</v>
      </c>
      <c r="C45" s="4" t="s">
        <v>28</v>
      </c>
      <c r="D45" s="1" t="s">
        <v>336</v>
      </c>
      <c r="E45" s="4" t="s">
        <v>337</v>
      </c>
      <c r="F45" s="84">
        <v>111</v>
      </c>
      <c r="G45" s="84">
        <v>56</v>
      </c>
      <c r="H45" s="84">
        <v>89.5</v>
      </c>
      <c r="I45" s="84">
        <v>53</v>
      </c>
      <c r="J45" s="84">
        <v>41</v>
      </c>
      <c r="K45" s="84">
        <v>67</v>
      </c>
      <c r="L45" s="84">
        <v>64</v>
      </c>
      <c r="M45" s="84">
        <v>66</v>
      </c>
      <c r="N45" s="84">
        <v>54</v>
      </c>
      <c r="O45" s="5">
        <f t="shared" si="0"/>
        <v>417.5</v>
      </c>
      <c r="P45" s="6">
        <f t="shared" si="1"/>
        <v>36</v>
      </c>
      <c r="Q45" s="5">
        <f t="shared" si="2"/>
        <v>680</v>
      </c>
      <c r="R45" s="5">
        <v>408.5</v>
      </c>
      <c r="S45" s="5">
        <v>690</v>
      </c>
      <c r="T45" s="5">
        <f t="shared" si="3"/>
        <v>10</v>
      </c>
    </row>
    <row r="46" spans="1:20">
      <c r="A46" s="1" t="s">
        <v>338</v>
      </c>
      <c r="B46" s="1" t="s">
        <v>3198</v>
      </c>
      <c r="C46" s="4" t="s">
        <v>28</v>
      </c>
      <c r="D46" s="1" t="s">
        <v>339</v>
      </c>
      <c r="E46" s="4" t="s">
        <v>340</v>
      </c>
      <c r="F46" s="84">
        <v>57</v>
      </c>
      <c r="G46" s="84">
        <v>52</v>
      </c>
      <c r="H46" s="84">
        <v>73.5</v>
      </c>
      <c r="I46" s="84">
        <v>30</v>
      </c>
      <c r="J46" s="84">
        <v>30</v>
      </c>
      <c r="K46" s="84">
        <v>42</v>
      </c>
      <c r="L46" s="84">
        <v>49</v>
      </c>
      <c r="M46" s="84">
        <v>55</v>
      </c>
      <c r="N46" s="84">
        <v>48</v>
      </c>
      <c r="O46" s="5">
        <f t="shared" si="0"/>
        <v>284.5</v>
      </c>
      <c r="P46" s="6">
        <f t="shared" si="1"/>
        <v>55</v>
      </c>
      <c r="Q46" s="5">
        <f t="shared" si="2"/>
        <v>932</v>
      </c>
      <c r="R46" s="5">
        <v>230</v>
      </c>
      <c r="S46" s="5">
        <v>933</v>
      </c>
      <c r="T46" s="5">
        <f t="shared" si="3"/>
        <v>1</v>
      </c>
    </row>
    <row r="47" spans="1:20">
      <c r="A47" s="1" t="s">
        <v>341</v>
      </c>
      <c r="B47" s="1" t="s">
        <v>3198</v>
      </c>
      <c r="C47" s="4" t="s">
        <v>28</v>
      </c>
      <c r="D47" s="1" t="s">
        <v>342</v>
      </c>
      <c r="E47" s="4" t="s">
        <v>343</v>
      </c>
      <c r="F47" s="84">
        <v>90</v>
      </c>
      <c r="G47" s="84">
        <v>71</v>
      </c>
      <c r="H47" s="84">
        <v>58.5</v>
      </c>
      <c r="I47" s="84">
        <v>40</v>
      </c>
      <c r="J47" s="84">
        <v>38</v>
      </c>
      <c r="K47" s="84">
        <v>66</v>
      </c>
      <c r="L47" s="84">
        <v>63</v>
      </c>
      <c r="M47" s="84">
        <v>64</v>
      </c>
      <c r="N47" s="84">
        <v>56</v>
      </c>
      <c r="O47" s="5">
        <f t="shared" si="0"/>
        <v>363.5</v>
      </c>
      <c r="P47" s="6">
        <f t="shared" si="1"/>
        <v>50</v>
      </c>
      <c r="Q47" s="5">
        <f t="shared" si="2"/>
        <v>873</v>
      </c>
      <c r="R47" s="5">
        <v>342</v>
      </c>
      <c r="S47" s="5">
        <v>892</v>
      </c>
      <c r="T47" s="5">
        <f t="shared" si="3"/>
        <v>19</v>
      </c>
    </row>
    <row r="48" spans="1:20">
      <c r="A48" s="1" t="s">
        <v>344</v>
      </c>
      <c r="B48" s="1" t="s">
        <v>3198</v>
      </c>
      <c r="C48" s="4" t="s">
        <v>28</v>
      </c>
      <c r="D48" s="1" t="s">
        <v>345</v>
      </c>
      <c r="E48" s="4" t="s">
        <v>346</v>
      </c>
      <c r="F48" s="84">
        <v>104</v>
      </c>
      <c r="G48" s="84">
        <v>86</v>
      </c>
      <c r="H48" s="84">
        <v>56</v>
      </c>
      <c r="I48" s="84">
        <v>81</v>
      </c>
      <c r="J48" s="84">
        <v>67</v>
      </c>
      <c r="K48" s="84">
        <v>78</v>
      </c>
      <c r="L48" s="84">
        <v>76</v>
      </c>
      <c r="M48" s="84">
        <v>79</v>
      </c>
      <c r="N48" s="84">
        <v>66</v>
      </c>
      <c r="O48" s="5">
        <f t="shared" si="0"/>
        <v>472</v>
      </c>
      <c r="P48" s="6">
        <f t="shared" si="1"/>
        <v>19</v>
      </c>
      <c r="Q48" s="5">
        <f t="shared" si="2"/>
        <v>381</v>
      </c>
      <c r="R48" s="5">
        <v>431.5</v>
      </c>
      <c r="S48" s="5">
        <v>567</v>
      </c>
      <c r="T48" s="5">
        <f t="shared" si="3"/>
        <v>186</v>
      </c>
    </row>
    <row r="49" spans="1:20">
      <c r="A49" s="1" t="s">
        <v>347</v>
      </c>
      <c r="B49" s="1" t="s">
        <v>3198</v>
      </c>
      <c r="C49" s="4" t="s">
        <v>28</v>
      </c>
      <c r="D49" s="1" t="s">
        <v>348</v>
      </c>
      <c r="E49" s="4" t="s">
        <v>349</v>
      </c>
      <c r="F49" s="84">
        <v>114</v>
      </c>
      <c r="G49" s="84">
        <v>78</v>
      </c>
      <c r="H49" s="84">
        <v>68</v>
      </c>
      <c r="I49" s="84">
        <v>78</v>
      </c>
      <c r="J49" s="84">
        <v>48</v>
      </c>
      <c r="K49" s="84">
        <v>76</v>
      </c>
      <c r="L49" s="84">
        <v>73</v>
      </c>
      <c r="M49" s="84">
        <v>68</v>
      </c>
      <c r="N49" s="84">
        <v>63</v>
      </c>
      <c r="O49" s="5">
        <f t="shared" si="0"/>
        <v>462</v>
      </c>
      <c r="P49" s="6">
        <f t="shared" si="1"/>
        <v>25</v>
      </c>
      <c r="Q49" s="5">
        <f t="shared" si="2"/>
        <v>444</v>
      </c>
      <c r="R49" s="5">
        <v>475</v>
      </c>
      <c r="S49" s="5">
        <v>326</v>
      </c>
      <c r="T49" s="5">
        <f t="shared" si="3"/>
        <v>-118</v>
      </c>
    </row>
    <row r="50" spans="1:20">
      <c r="A50" s="1" t="s">
        <v>350</v>
      </c>
      <c r="B50" s="1" t="s">
        <v>3198</v>
      </c>
      <c r="C50" s="4" t="s">
        <v>28</v>
      </c>
      <c r="D50" s="1" t="s">
        <v>351</v>
      </c>
      <c r="E50" s="4" t="s">
        <v>352</v>
      </c>
      <c r="F50" s="84">
        <v>80</v>
      </c>
      <c r="G50" s="84">
        <v>51</v>
      </c>
      <c r="H50" s="84">
        <v>91.5</v>
      </c>
      <c r="I50" s="84">
        <v>45</v>
      </c>
      <c r="J50" s="84">
        <v>49</v>
      </c>
      <c r="K50" s="84">
        <v>55</v>
      </c>
      <c r="L50" s="84">
        <v>74</v>
      </c>
      <c r="M50" s="84">
        <v>59</v>
      </c>
      <c r="N50" s="84">
        <v>50</v>
      </c>
      <c r="O50" s="5">
        <f t="shared" si="0"/>
        <v>371.5</v>
      </c>
      <c r="P50" s="6">
        <f t="shared" si="1"/>
        <v>49</v>
      </c>
      <c r="Q50" s="5">
        <f t="shared" si="2"/>
        <v>856</v>
      </c>
      <c r="R50" s="5">
        <v>382</v>
      </c>
      <c r="S50" s="5">
        <v>798</v>
      </c>
      <c r="T50" s="5">
        <f t="shared" si="3"/>
        <v>-58</v>
      </c>
    </row>
    <row r="51" spans="1:20">
      <c r="A51" s="1" t="s">
        <v>353</v>
      </c>
      <c r="B51" s="1" t="s">
        <v>3198</v>
      </c>
      <c r="C51" s="4" t="s">
        <v>28</v>
      </c>
      <c r="D51" s="1" t="s">
        <v>354</v>
      </c>
      <c r="E51" s="4" t="s">
        <v>355</v>
      </c>
      <c r="F51" s="84">
        <v>104</v>
      </c>
      <c r="G51" s="84">
        <v>107</v>
      </c>
      <c r="H51" s="84">
        <v>105</v>
      </c>
      <c r="I51" s="84">
        <v>98</v>
      </c>
      <c r="J51" s="84">
        <v>63</v>
      </c>
      <c r="K51" s="84">
        <v>95</v>
      </c>
      <c r="L51" s="84">
        <v>73</v>
      </c>
      <c r="M51" s="84">
        <v>63</v>
      </c>
      <c r="N51" s="84">
        <v>59</v>
      </c>
      <c r="O51" s="5">
        <f t="shared" si="0"/>
        <v>572</v>
      </c>
      <c r="P51" s="6">
        <f t="shared" si="1"/>
        <v>1</v>
      </c>
      <c r="Q51" s="5">
        <f t="shared" si="2"/>
        <v>43</v>
      </c>
      <c r="R51" s="5">
        <v>546.5</v>
      </c>
      <c r="S51" s="5">
        <v>70</v>
      </c>
      <c r="T51" s="5">
        <f t="shared" si="3"/>
        <v>27</v>
      </c>
    </row>
    <row r="52" spans="1:20">
      <c r="A52" s="1" t="s">
        <v>356</v>
      </c>
      <c r="B52" s="1" t="s">
        <v>3198</v>
      </c>
      <c r="C52" s="4" t="s">
        <v>28</v>
      </c>
      <c r="D52" s="1" t="s">
        <v>357</v>
      </c>
      <c r="E52" s="4" t="s">
        <v>143</v>
      </c>
      <c r="F52" s="84">
        <v>100</v>
      </c>
      <c r="G52" s="84">
        <v>65</v>
      </c>
      <c r="H52" s="84">
        <v>82.5</v>
      </c>
      <c r="I52" s="84">
        <v>72</v>
      </c>
      <c r="J52" s="84">
        <v>64</v>
      </c>
      <c r="K52" s="84">
        <v>74</v>
      </c>
      <c r="L52" s="84">
        <v>62</v>
      </c>
      <c r="M52" s="84">
        <v>65</v>
      </c>
      <c r="N52" s="84">
        <v>56</v>
      </c>
      <c r="O52" s="5">
        <f t="shared" si="0"/>
        <v>457.5</v>
      </c>
      <c r="P52" s="6">
        <f t="shared" si="1"/>
        <v>27</v>
      </c>
      <c r="Q52" s="5">
        <f t="shared" si="2"/>
        <v>467</v>
      </c>
      <c r="R52" s="5">
        <v>428</v>
      </c>
      <c r="S52" s="5">
        <v>587</v>
      </c>
      <c r="T52" s="5">
        <f t="shared" si="3"/>
        <v>120</v>
      </c>
    </row>
    <row r="53" spans="1:20">
      <c r="A53" s="1" t="s">
        <v>358</v>
      </c>
      <c r="B53" s="1" t="s">
        <v>3198</v>
      </c>
      <c r="C53" s="4" t="s">
        <v>28</v>
      </c>
      <c r="D53" s="1" t="s">
        <v>359</v>
      </c>
      <c r="E53" s="4" t="s">
        <v>360</v>
      </c>
      <c r="F53" s="84">
        <v>109</v>
      </c>
      <c r="G53" s="84">
        <v>49</v>
      </c>
      <c r="H53" s="84">
        <v>113</v>
      </c>
      <c r="I53" s="84">
        <v>47</v>
      </c>
      <c r="J53" s="84">
        <v>36</v>
      </c>
      <c r="K53" s="84">
        <v>54</v>
      </c>
      <c r="L53" s="84">
        <v>66</v>
      </c>
      <c r="M53" s="84">
        <v>58</v>
      </c>
      <c r="N53" s="84">
        <v>40</v>
      </c>
      <c r="O53" s="5">
        <f t="shared" si="0"/>
        <v>408</v>
      </c>
      <c r="P53" s="6">
        <f t="shared" si="1"/>
        <v>43</v>
      </c>
      <c r="Q53" s="5">
        <f t="shared" si="2"/>
        <v>734</v>
      </c>
      <c r="R53" s="5">
        <v>375</v>
      </c>
      <c r="S53" s="5">
        <v>824</v>
      </c>
      <c r="T53" s="5">
        <f t="shared" si="3"/>
        <v>90</v>
      </c>
    </row>
    <row r="54" spans="1:20">
      <c r="A54" s="1" t="s">
        <v>361</v>
      </c>
      <c r="B54" s="1" t="s">
        <v>3198</v>
      </c>
      <c r="C54" s="4" t="s">
        <v>28</v>
      </c>
      <c r="D54" s="1" t="s">
        <v>362</v>
      </c>
      <c r="E54" s="4" t="s">
        <v>363</v>
      </c>
      <c r="F54" s="84">
        <v>99</v>
      </c>
      <c r="G54" s="84">
        <v>50</v>
      </c>
      <c r="H54" s="85">
        <v>76.5</v>
      </c>
      <c r="I54" s="84">
        <v>49</v>
      </c>
      <c r="J54" s="84">
        <v>60</v>
      </c>
      <c r="K54" s="84">
        <v>75</v>
      </c>
      <c r="L54" s="84">
        <v>53</v>
      </c>
      <c r="M54" s="84">
        <v>66</v>
      </c>
      <c r="N54" s="84">
        <v>60</v>
      </c>
      <c r="O54" s="5">
        <f t="shared" si="0"/>
        <v>409.5</v>
      </c>
      <c r="P54" s="6">
        <f t="shared" si="1"/>
        <v>41</v>
      </c>
      <c r="Q54" s="5">
        <f t="shared" si="2"/>
        <v>723</v>
      </c>
      <c r="R54" s="5">
        <v>408</v>
      </c>
      <c r="S54" s="5">
        <v>692</v>
      </c>
      <c r="T54" s="5">
        <f t="shared" si="3"/>
        <v>-31</v>
      </c>
    </row>
    <row r="55" spans="1:20">
      <c r="A55" s="1" t="s">
        <v>364</v>
      </c>
      <c r="B55" s="1" t="s">
        <v>3198</v>
      </c>
      <c r="C55" s="4" t="s">
        <v>28</v>
      </c>
      <c r="D55" s="1" t="s">
        <v>365</v>
      </c>
      <c r="E55" s="4" t="s">
        <v>366</v>
      </c>
      <c r="F55" s="84">
        <v>109</v>
      </c>
      <c r="G55" s="84">
        <v>77</v>
      </c>
      <c r="H55" s="85">
        <v>102</v>
      </c>
      <c r="I55" s="84">
        <v>70</v>
      </c>
      <c r="J55" s="84">
        <v>58</v>
      </c>
      <c r="K55" s="84">
        <v>77</v>
      </c>
      <c r="L55" s="84">
        <v>50</v>
      </c>
      <c r="M55" s="84">
        <v>72</v>
      </c>
      <c r="N55" s="84">
        <v>59</v>
      </c>
      <c r="O55" s="5">
        <f t="shared" si="0"/>
        <v>493</v>
      </c>
      <c r="P55" s="6">
        <f t="shared" si="1"/>
        <v>12</v>
      </c>
      <c r="Q55" s="5">
        <f t="shared" si="2"/>
        <v>274</v>
      </c>
      <c r="R55" s="5">
        <v>457</v>
      </c>
      <c r="S55" s="5">
        <v>428</v>
      </c>
      <c r="T55" s="5">
        <f t="shared" si="3"/>
        <v>154</v>
      </c>
    </row>
    <row r="56" spans="1:20">
      <c r="A56" s="1" t="s">
        <v>367</v>
      </c>
      <c r="B56" s="1" t="s">
        <v>3198</v>
      </c>
      <c r="C56" s="4" t="s">
        <v>28</v>
      </c>
      <c r="D56" s="1" t="s">
        <v>368</v>
      </c>
      <c r="E56" s="4" t="s">
        <v>369</v>
      </c>
      <c r="F56" s="84">
        <v>105</v>
      </c>
      <c r="G56" s="84">
        <v>68</v>
      </c>
      <c r="H56" s="85">
        <v>96</v>
      </c>
      <c r="I56" s="84">
        <v>85</v>
      </c>
      <c r="J56" s="84">
        <v>76</v>
      </c>
      <c r="K56" s="84">
        <v>84</v>
      </c>
      <c r="L56" s="84">
        <v>77</v>
      </c>
      <c r="M56" s="84">
        <v>77</v>
      </c>
      <c r="N56" s="84">
        <v>67</v>
      </c>
      <c r="O56" s="5">
        <f t="shared" si="0"/>
        <v>514</v>
      </c>
      <c r="P56" s="6">
        <f t="shared" si="1"/>
        <v>8</v>
      </c>
      <c r="Q56" s="5">
        <f t="shared" si="2"/>
        <v>190</v>
      </c>
      <c r="R56" s="5">
        <v>489</v>
      </c>
      <c r="S56" s="5">
        <v>265</v>
      </c>
      <c r="T56" s="5">
        <f t="shared" si="3"/>
        <v>75</v>
      </c>
    </row>
    <row r="57" spans="1:20">
      <c r="A57" s="1" t="s">
        <v>370</v>
      </c>
      <c r="B57" s="1" t="s">
        <v>3198</v>
      </c>
      <c r="C57" s="4" t="s">
        <v>28</v>
      </c>
      <c r="D57" s="1" t="s">
        <v>371</v>
      </c>
      <c r="E57" s="4" t="s">
        <v>372</v>
      </c>
      <c r="F57" s="84">
        <v>101</v>
      </c>
      <c r="G57" s="84">
        <v>70</v>
      </c>
      <c r="H57" s="85">
        <v>85.5</v>
      </c>
      <c r="I57" s="84">
        <v>75</v>
      </c>
      <c r="J57" s="84">
        <v>56</v>
      </c>
      <c r="K57" s="84">
        <v>81</v>
      </c>
      <c r="L57" s="84">
        <v>83</v>
      </c>
      <c r="M57" s="84">
        <v>74</v>
      </c>
      <c r="N57" s="84">
        <v>64</v>
      </c>
      <c r="O57" s="5">
        <f t="shared" si="0"/>
        <v>468.5</v>
      </c>
      <c r="P57" s="6">
        <f t="shared" si="1"/>
        <v>22</v>
      </c>
      <c r="Q57" s="5">
        <f t="shared" si="2"/>
        <v>401</v>
      </c>
      <c r="R57" s="5">
        <v>474</v>
      </c>
      <c r="S57" s="5">
        <v>335</v>
      </c>
      <c r="T57" s="5">
        <f t="shared" si="3"/>
        <v>-66</v>
      </c>
    </row>
    <row r="58" spans="1:20">
      <c r="A58" s="1" t="s">
        <v>373</v>
      </c>
      <c r="B58" s="1" t="s">
        <v>3198</v>
      </c>
      <c r="C58" s="4" t="s">
        <v>19</v>
      </c>
      <c r="D58" s="1" t="s">
        <v>374</v>
      </c>
      <c r="E58" s="4" t="s">
        <v>375</v>
      </c>
      <c r="F58" s="84">
        <v>107</v>
      </c>
      <c r="G58" s="84">
        <v>88</v>
      </c>
      <c r="H58" s="85">
        <v>100</v>
      </c>
      <c r="I58" s="84">
        <v>79</v>
      </c>
      <c r="J58" s="84">
        <v>56</v>
      </c>
      <c r="K58" s="84">
        <v>76</v>
      </c>
      <c r="L58" s="84">
        <v>70</v>
      </c>
      <c r="M58" s="84">
        <v>77</v>
      </c>
      <c r="N58" s="84">
        <v>48</v>
      </c>
      <c r="O58" s="5">
        <f t="shared" si="0"/>
        <v>506</v>
      </c>
      <c r="P58" s="6">
        <f>RANK(O58,$O$58:$O$112)</f>
        <v>6</v>
      </c>
      <c r="Q58" s="5">
        <f t="shared" si="2"/>
        <v>219</v>
      </c>
      <c r="R58" s="5">
        <v>502</v>
      </c>
      <c r="S58" s="5">
        <v>199</v>
      </c>
      <c r="T58" s="5">
        <f t="shared" si="3"/>
        <v>-20</v>
      </c>
    </row>
    <row r="59" spans="1:20">
      <c r="A59" s="1" t="s">
        <v>376</v>
      </c>
      <c r="B59" s="1" t="s">
        <v>3198</v>
      </c>
      <c r="C59" s="4" t="s">
        <v>19</v>
      </c>
      <c r="D59" s="1" t="s">
        <v>377</v>
      </c>
      <c r="E59" s="4" t="s">
        <v>378</v>
      </c>
      <c r="F59" s="84">
        <v>106</v>
      </c>
      <c r="G59" s="84">
        <v>68</v>
      </c>
      <c r="H59" s="85">
        <v>75</v>
      </c>
      <c r="I59" s="84">
        <v>45</v>
      </c>
      <c r="J59" s="84">
        <v>55</v>
      </c>
      <c r="K59" s="84">
        <v>74</v>
      </c>
      <c r="L59" s="84">
        <v>63</v>
      </c>
      <c r="M59" s="84">
        <v>61</v>
      </c>
      <c r="N59" s="84">
        <v>41</v>
      </c>
      <c r="O59" s="5">
        <f t="shared" si="0"/>
        <v>423</v>
      </c>
      <c r="P59" s="6">
        <f t="shared" ref="P59:P112" si="4">RANK(O59,$O$58:$O$112)</f>
        <v>36</v>
      </c>
      <c r="Q59" s="5">
        <f t="shared" si="2"/>
        <v>659</v>
      </c>
      <c r="R59" s="5">
        <v>417.5</v>
      </c>
      <c r="S59" s="5">
        <v>653</v>
      </c>
      <c r="T59" s="5">
        <f t="shared" si="3"/>
        <v>-6</v>
      </c>
    </row>
    <row r="60" spans="1:20">
      <c r="A60" s="1" t="s">
        <v>379</v>
      </c>
      <c r="B60" s="1" t="s">
        <v>3198</v>
      </c>
      <c r="C60" s="4" t="s">
        <v>19</v>
      </c>
      <c r="D60" s="1" t="s">
        <v>380</v>
      </c>
      <c r="E60" s="4" t="s">
        <v>381</v>
      </c>
      <c r="F60" s="84">
        <v>109</v>
      </c>
      <c r="G60" s="84">
        <v>73</v>
      </c>
      <c r="H60" s="85">
        <v>113</v>
      </c>
      <c r="I60" s="84">
        <v>85</v>
      </c>
      <c r="J60" s="84">
        <v>57</v>
      </c>
      <c r="K60" s="84">
        <v>69</v>
      </c>
      <c r="L60" s="84">
        <v>81</v>
      </c>
      <c r="M60" s="84">
        <v>65</v>
      </c>
      <c r="N60" s="84">
        <v>49</v>
      </c>
      <c r="O60" s="5">
        <f t="shared" si="0"/>
        <v>506</v>
      </c>
      <c r="P60" s="6">
        <f t="shared" si="4"/>
        <v>6</v>
      </c>
      <c r="Q60" s="5">
        <f t="shared" si="2"/>
        <v>219</v>
      </c>
      <c r="R60" s="5">
        <v>533.5</v>
      </c>
      <c r="S60" s="5">
        <v>99</v>
      </c>
      <c r="T60" s="5">
        <f t="shared" si="3"/>
        <v>-120</v>
      </c>
    </row>
    <row r="61" spans="1:20">
      <c r="A61" s="1" t="s">
        <v>382</v>
      </c>
      <c r="B61" s="1" t="s">
        <v>3198</v>
      </c>
      <c r="C61" s="4" t="s">
        <v>19</v>
      </c>
      <c r="D61" s="1" t="s">
        <v>383</v>
      </c>
      <c r="E61" s="4" t="s">
        <v>133</v>
      </c>
      <c r="F61" s="84">
        <v>101</v>
      </c>
      <c r="G61" s="84">
        <v>65</v>
      </c>
      <c r="H61" s="85">
        <v>78</v>
      </c>
      <c r="I61" s="84">
        <v>58</v>
      </c>
      <c r="J61" s="84">
        <v>60</v>
      </c>
      <c r="K61" s="84">
        <v>90</v>
      </c>
      <c r="L61" s="84">
        <v>52</v>
      </c>
      <c r="M61" s="84">
        <v>32</v>
      </c>
      <c r="N61" s="84">
        <v>54</v>
      </c>
      <c r="O61" s="5">
        <f t="shared" si="0"/>
        <v>452</v>
      </c>
      <c r="P61" s="6">
        <f t="shared" si="4"/>
        <v>24</v>
      </c>
      <c r="Q61" s="5">
        <f t="shared" si="2"/>
        <v>503</v>
      </c>
      <c r="R61" s="5">
        <v>444.5</v>
      </c>
      <c r="S61" s="5">
        <v>505</v>
      </c>
      <c r="T61" s="5">
        <f t="shared" si="3"/>
        <v>2</v>
      </c>
    </row>
    <row r="62" spans="1:20">
      <c r="A62" s="1" t="s">
        <v>384</v>
      </c>
      <c r="B62" s="1" t="s">
        <v>3198</v>
      </c>
      <c r="C62" s="4" t="s">
        <v>19</v>
      </c>
      <c r="D62" s="1" t="s">
        <v>385</v>
      </c>
      <c r="E62" s="4" t="s">
        <v>386</v>
      </c>
      <c r="F62" s="84">
        <v>103</v>
      </c>
      <c r="G62" s="84">
        <v>74</v>
      </c>
      <c r="H62" s="85">
        <v>86.5</v>
      </c>
      <c r="I62" s="84">
        <v>54</v>
      </c>
      <c r="J62" s="84">
        <v>51</v>
      </c>
      <c r="K62" s="84">
        <v>70</v>
      </c>
      <c r="L62" s="84">
        <v>56</v>
      </c>
      <c r="M62" s="84">
        <v>49</v>
      </c>
      <c r="N62" s="84">
        <v>42</v>
      </c>
      <c r="O62" s="5">
        <f t="shared" si="0"/>
        <v>438.5</v>
      </c>
      <c r="P62" s="6">
        <f t="shared" si="4"/>
        <v>32</v>
      </c>
      <c r="Q62" s="5">
        <f t="shared" si="2"/>
        <v>576</v>
      </c>
      <c r="R62" s="5">
        <v>382</v>
      </c>
      <c r="S62" s="5">
        <v>798</v>
      </c>
      <c r="T62" s="5">
        <f t="shared" si="3"/>
        <v>222</v>
      </c>
    </row>
    <row r="63" spans="1:20">
      <c r="A63" s="1" t="s">
        <v>2625</v>
      </c>
      <c r="B63" s="1" t="s">
        <v>3198</v>
      </c>
      <c r="C63" s="4" t="s">
        <v>19</v>
      </c>
      <c r="D63" s="1" t="s">
        <v>388</v>
      </c>
      <c r="E63" s="4" t="s">
        <v>126</v>
      </c>
      <c r="F63" s="84">
        <v>113</v>
      </c>
      <c r="G63" s="84">
        <v>77</v>
      </c>
      <c r="H63" s="85">
        <v>120.5</v>
      </c>
      <c r="I63" s="84">
        <v>68</v>
      </c>
      <c r="J63" s="84">
        <v>56</v>
      </c>
      <c r="K63" s="84">
        <v>70</v>
      </c>
      <c r="L63" s="84">
        <v>79</v>
      </c>
      <c r="M63" s="84">
        <v>71</v>
      </c>
      <c r="N63" s="84">
        <v>50</v>
      </c>
      <c r="O63" s="5">
        <f t="shared" si="0"/>
        <v>504.5</v>
      </c>
      <c r="P63" s="6">
        <f t="shared" si="4"/>
        <v>8</v>
      </c>
      <c r="Q63" s="5">
        <f t="shared" si="2"/>
        <v>226</v>
      </c>
      <c r="R63" s="5">
        <v>498</v>
      </c>
      <c r="S63" s="5">
        <v>221</v>
      </c>
      <c r="T63" s="5">
        <f t="shared" si="3"/>
        <v>-5</v>
      </c>
    </row>
    <row r="64" spans="1:20">
      <c r="A64" s="1" t="s">
        <v>389</v>
      </c>
      <c r="B64" s="1" t="s">
        <v>3198</v>
      </c>
      <c r="C64" s="4" t="s">
        <v>19</v>
      </c>
      <c r="D64" s="1" t="s">
        <v>390</v>
      </c>
      <c r="E64" s="4" t="s">
        <v>391</v>
      </c>
      <c r="F64" s="84">
        <v>104</v>
      </c>
      <c r="G64" s="84">
        <v>87</v>
      </c>
      <c r="H64" s="85">
        <v>81</v>
      </c>
      <c r="I64" s="84">
        <v>55</v>
      </c>
      <c r="J64" s="84">
        <v>47</v>
      </c>
      <c r="K64" s="84">
        <v>74</v>
      </c>
      <c r="L64" s="84">
        <v>78</v>
      </c>
      <c r="M64" s="84">
        <v>66</v>
      </c>
      <c r="N64" s="84">
        <v>51</v>
      </c>
      <c r="O64" s="5">
        <f t="shared" si="0"/>
        <v>448</v>
      </c>
      <c r="P64" s="6">
        <f t="shared" si="4"/>
        <v>28</v>
      </c>
      <c r="Q64" s="5">
        <f t="shared" si="2"/>
        <v>528</v>
      </c>
      <c r="R64" s="5">
        <v>419.5</v>
      </c>
      <c r="S64" s="5">
        <v>645</v>
      </c>
      <c r="T64" s="5">
        <f t="shared" si="3"/>
        <v>117</v>
      </c>
    </row>
    <row r="65" spans="1:20">
      <c r="A65" s="1" t="s">
        <v>392</v>
      </c>
      <c r="B65" s="1" t="s">
        <v>3198</v>
      </c>
      <c r="C65" s="4" t="s">
        <v>19</v>
      </c>
      <c r="D65" s="1" t="s">
        <v>393</v>
      </c>
      <c r="E65" s="4" t="s">
        <v>394</v>
      </c>
      <c r="F65" s="84">
        <v>92</v>
      </c>
      <c r="G65" s="84">
        <v>48</v>
      </c>
      <c r="H65" s="85">
        <v>68.5</v>
      </c>
      <c r="I65" s="84">
        <v>49</v>
      </c>
      <c r="J65" s="84">
        <v>39</v>
      </c>
      <c r="K65" s="84">
        <v>48</v>
      </c>
      <c r="L65" s="84">
        <v>61</v>
      </c>
      <c r="M65" s="84">
        <v>57</v>
      </c>
      <c r="N65" s="84">
        <v>51</v>
      </c>
      <c r="O65" s="5">
        <f t="shared" si="0"/>
        <v>344.5</v>
      </c>
      <c r="P65" s="6">
        <f t="shared" si="4"/>
        <v>55</v>
      </c>
      <c r="Q65" s="5">
        <f t="shared" si="2"/>
        <v>900</v>
      </c>
      <c r="R65" s="5">
        <v>400.5</v>
      </c>
      <c r="S65" s="5">
        <v>726</v>
      </c>
      <c r="T65" s="5">
        <f t="shared" si="3"/>
        <v>-174</v>
      </c>
    </row>
    <row r="66" spans="1:20">
      <c r="A66" s="1" t="s">
        <v>395</v>
      </c>
      <c r="B66" s="1" t="s">
        <v>3198</v>
      </c>
      <c r="C66" s="4" t="s">
        <v>19</v>
      </c>
      <c r="D66" s="1" t="s">
        <v>396</v>
      </c>
      <c r="E66" s="4" t="s">
        <v>397</v>
      </c>
      <c r="F66" s="84">
        <v>98</v>
      </c>
      <c r="G66" s="84">
        <v>82</v>
      </c>
      <c r="H66" s="85">
        <v>97</v>
      </c>
      <c r="I66" s="84">
        <v>84</v>
      </c>
      <c r="J66" s="84">
        <v>65</v>
      </c>
      <c r="K66" s="84">
        <v>77</v>
      </c>
      <c r="L66" s="84">
        <v>75</v>
      </c>
      <c r="M66" s="84">
        <v>73</v>
      </c>
      <c r="N66" s="84">
        <v>58</v>
      </c>
      <c r="O66" s="5">
        <f t="shared" si="0"/>
        <v>503</v>
      </c>
      <c r="P66" s="6">
        <f t="shared" si="4"/>
        <v>9</v>
      </c>
      <c r="Q66" s="5">
        <f t="shared" si="2"/>
        <v>233</v>
      </c>
      <c r="R66" s="5">
        <v>511.5</v>
      </c>
      <c r="S66" s="5">
        <v>165</v>
      </c>
      <c r="T66" s="5">
        <f t="shared" si="3"/>
        <v>-68</v>
      </c>
    </row>
    <row r="67" spans="1:20">
      <c r="A67" s="1" t="s">
        <v>398</v>
      </c>
      <c r="B67" s="1" t="s">
        <v>3198</v>
      </c>
      <c r="C67" s="4" t="s">
        <v>19</v>
      </c>
      <c r="D67" s="1" t="s">
        <v>399</v>
      </c>
      <c r="E67" s="4" t="s">
        <v>400</v>
      </c>
      <c r="F67" s="84">
        <v>94</v>
      </c>
      <c r="G67" s="84">
        <v>51</v>
      </c>
      <c r="H67" s="85">
        <v>97.5</v>
      </c>
      <c r="I67" s="84">
        <v>50</v>
      </c>
      <c r="J67" s="84">
        <v>41</v>
      </c>
      <c r="K67" s="84">
        <v>59</v>
      </c>
      <c r="L67" s="84">
        <v>57</v>
      </c>
      <c r="M67" s="84">
        <v>49</v>
      </c>
      <c r="N67" s="84">
        <v>50</v>
      </c>
      <c r="O67" s="5">
        <f t="shared" si="0"/>
        <v>392.5</v>
      </c>
      <c r="P67" s="6">
        <f t="shared" si="4"/>
        <v>48</v>
      </c>
      <c r="Q67" s="5">
        <f t="shared" si="2"/>
        <v>795</v>
      </c>
      <c r="R67" s="5">
        <v>393.5</v>
      </c>
      <c r="S67" s="5">
        <v>753</v>
      </c>
      <c r="T67" s="5">
        <f t="shared" si="3"/>
        <v>-42</v>
      </c>
    </row>
    <row r="68" spans="1:20">
      <c r="A68" s="1" t="s">
        <v>401</v>
      </c>
      <c r="B68" s="1" t="s">
        <v>3198</v>
      </c>
      <c r="C68" s="4" t="s">
        <v>19</v>
      </c>
      <c r="D68" s="1" t="s">
        <v>402</v>
      </c>
      <c r="E68" s="4" t="s">
        <v>403</v>
      </c>
      <c r="F68" s="84">
        <v>83</v>
      </c>
      <c r="G68" s="84">
        <v>102</v>
      </c>
      <c r="H68" s="85">
        <v>79.5</v>
      </c>
      <c r="I68" s="84">
        <v>91</v>
      </c>
      <c r="J68" s="84">
        <v>74</v>
      </c>
      <c r="K68" s="84">
        <v>77</v>
      </c>
      <c r="L68" s="84">
        <v>58</v>
      </c>
      <c r="M68" s="84">
        <v>72</v>
      </c>
      <c r="N68" s="84">
        <v>50</v>
      </c>
      <c r="O68" s="5">
        <f t="shared" ref="O68:O131" si="5">SUM(F68:K68)</f>
        <v>506.5</v>
      </c>
      <c r="P68" s="6">
        <f t="shared" si="4"/>
        <v>5</v>
      </c>
      <c r="Q68" s="5">
        <f t="shared" ref="Q68:Q131" si="6">RANK(O68,$O$3:$O$936)</f>
        <v>217</v>
      </c>
      <c r="R68" s="5">
        <v>463</v>
      </c>
      <c r="S68" s="5">
        <v>398</v>
      </c>
      <c r="T68" s="5">
        <f t="shared" ref="T68:T131" si="7">S68-Q68</f>
        <v>181</v>
      </c>
    </row>
    <row r="69" spans="1:20">
      <c r="A69" s="1" t="s">
        <v>404</v>
      </c>
      <c r="B69" s="1" t="s">
        <v>3198</v>
      </c>
      <c r="C69" s="4" t="s">
        <v>19</v>
      </c>
      <c r="D69" s="1" t="s">
        <v>405</v>
      </c>
      <c r="E69" s="4" t="s">
        <v>406</v>
      </c>
      <c r="F69" s="84">
        <v>91</v>
      </c>
      <c r="G69" s="84">
        <v>72</v>
      </c>
      <c r="H69" s="85">
        <v>83</v>
      </c>
      <c r="I69" s="84">
        <v>49</v>
      </c>
      <c r="J69" s="84">
        <v>48</v>
      </c>
      <c r="K69" s="84">
        <v>60</v>
      </c>
      <c r="L69" s="84">
        <v>72</v>
      </c>
      <c r="M69" s="84">
        <v>54</v>
      </c>
      <c r="N69" s="84">
        <v>46</v>
      </c>
      <c r="O69" s="5">
        <f t="shared" si="5"/>
        <v>403</v>
      </c>
      <c r="P69" s="6">
        <f t="shared" si="4"/>
        <v>44</v>
      </c>
      <c r="Q69" s="5">
        <f t="shared" si="6"/>
        <v>751</v>
      </c>
      <c r="R69" s="5">
        <v>352</v>
      </c>
      <c r="S69" s="5">
        <v>876</v>
      </c>
      <c r="T69" s="5">
        <f t="shared" si="7"/>
        <v>125</v>
      </c>
    </row>
    <row r="70" spans="1:20">
      <c r="A70" s="1" t="s">
        <v>426</v>
      </c>
      <c r="B70" s="1" t="s">
        <v>3198</v>
      </c>
      <c r="C70" s="4" t="s">
        <v>19</v>
      </c>
      <c r="D70" s="1" t="s">
        <v>3320</v>
      </c>
      <c r="E70" s="4" t="s">
        <v>180</v>
      </c>
      <c r="F70" s="84">
        <v>103</v>
      </c>
      <c r="G70" s="84">
        <v>100</v>
      </c>
      <c r="H70" s="85">
        <v>92.5</v>
      </c>
      <c r="I70" s="84">
        <v>83</v>
      </c>
      <c r="J70" s="84">
        <v>74</v>
      </c>
      <c r="K70" s="84">
        <v>71</v>
      </c>
      <c r="L70" s="84">
        <v>64</v>
      </c>
      <c r="M70" s="84">
        <v>59</v>
      </c>
      <c r="N70" s="84">
        <v>56</v>
      </c>
      <c r="O70" s="5">
        <f t="shared" si="5"/>
        <v>523.5</v>
      </c>
      <c r="P70" s="6">
        <f t="shared" si="4"/>
        <v>4</v>
      </c>
      <c r="Q70" s="5">
        <f t="shared" si="6"/>
        <v>156</v>
      </c>
      <c r="R70" s="5">
        <v>496</v>
      </c>
      <c r="S70" s="5">
        <v>229</v>
      </c>
      <c r="T70" s="5">
        <f t="shared" si="7"/>
        <v>73</v>
      </c>
    </row>
    <row r="71" spans="1:20">
      <c r="A71" s="1" t="s">
        <v>1709</v>
      </c>
      <c r="B71" s="1" t="s">
        <v>3198</v>
      </c>
      <c r="C71" s="4" t="s">
        <v>19</v>
      </c>
      <c r="D71" s="1" t="s">
        <v>410</v>
      </c>
      <c r="E71" s="4" t="s">
        <v>1711</v>
      </c>
      <c r="F71" s="84">
        <v>101</v>
      </c>
      <c r="G71" s="84">
        <v>55</v>
      </c>
      <c r="H71" s="85">
        <v>115</v>
      </c>
      <c r="I71" s="84">
        <v>69</v>
      </c>
      <c r="J71" s="84">
        <v>50</v>
      </c>
      <c r="K71" s="84">
        <v>64</v>
      </c>
      <c r="L71" s="84">
        <v>68</v>
      </c>
      <c r="M71" s="84">
        <v>75</v>
      </c>
      <c r="N71" s="84">
        <v>61</v>
      </c>
      <c r="O71" s="5">
        <f t="shared" si="5"/>
        <v>454</v>
      </c>
      <c r="P71" s="6">
        <f t="shared" si="4"/>
        <v>23</v>
      </c>
      <c r="Q71" s="5">
        <f t="shared" si="6"/>
        <v>488</v>
      </c>
      <c r="R71" s="5">
        <v>477.5</v>
      </c>
      <c r="S71" s="5">
        <v>317</v>
      </c>
      <c r="T71" s="5">
        <f t="shared" si="7"/>
        <v>-171</v>
      </c>
    </row>
    <row r="72" spans="1:20">
      <c r="A72" s="1" t="s">
        <v>1703</v>
      </c>
      <c r="B72" s="1" t="s">
        <v>3198</v>
      </c>
      <c r="C72" s="4" t="s">
        <v>19</v>
      </c>
      <c r="D72" s="1" t="s">
        <v>413</v>
      </c>
      <c r="E72" s="4" t="s">
        <v>1705</v>
      </c>
      <c r="F72" s="84">
        <v>111</v>
      </c>
      <c r="G72" s="84">
        <v>81</v>
      </c>
      <c r="H72" s="85">
        <v>90.5</v>
      </c>
      <c r="I72" s="84">
        <v>81</v>
      </c>
      <c r="J72" s="84">
        <v>71</v>
      </c>
      <c r="K72" s="84">
        <v>68</v>
      </c>
      <c r="L72" s="84">
        <v>61</v>
      </c>
      <c r="M72" s="84">
        <v>65</v>
      </c>
      <c r="N72" s="84">
        <v>52</v>
      </c>
      <c r="O72" s="5">
        <f t="shared" si="5"/>
        <v>502.5</v>
      </c>
      <c r="P72" s="6">
        <f t="shared" si="4"/>
        <v>10</v>
      </c>
      <c r="Q72" s="5">
        <f t="shared" si="6"/>
        <v>236</v>
      </c>
      <c r="R72" s="5">
        <v>509.5</v>
      </c>
      <c r="S72" s="5">
        <v>170</v>
      </c>
      <c r="T72" s="5">
        <f t="shared" si="7"/>
        <v>-66</v>
      </c>
    </row>
    <row r="73" spans="1:20">
      <c r="A73" s="1" t="s">
        <v>414</v>
      </c>
      <c r="B73" s="1" t="s">
        <v>3198</v>
      </c>
      <c r="C73" s="4" t="s">
        <v>19</v>
      </c>
      <c r="D73" s="1" t="s">
        <v>415</v>
      </c>
      <c r="E73" s="4" t="s">
        <v>416</v>
      </c>
      <c r="F73" s="84">
        <v>101</v>
      </c>
      <c r="G73" s="84">
        <v>56</v>
      </c>
      <c r="H73" s="85">
        <v>75.5</v>
      </c>
      <c r="I73" s="84">
        <v>54</v>
      </c>
      <c r="J73" s="84">
        <v>51</v>
      </c>
      <c r="K73" s="84">
        <v>63</v>
      </c>
      <c r="L73" s="84">
        <v>71</v>
      </c>
      <c r="M73" s="84">
        <v>73</v>
      </c>
      <c r="N73" s="84">
        <v>57</v>
      </c>
      <c r="O73" s="5">
        <f t="shared" si="5"/>
        <v>400.5</v>
      </c>
      <c r="P73" s="6">
        <f t="shared" si="4"/>
        <v>46</v>
      </c>
      <c r="Q73" s="5">
        <f t="shared" si="6"/>
        <v>770</v>
      </c>
      <c r="R73" s="5">
        <v>472.5</v>
      </c>
      <c r="S73" s="5">
        <v>350</v>
      </c>
      <c r="T73" s="5">
        <f t="shared" si="7"/>
        <v>-420</v>
      </c>
    </row>
    <row r="74" spans="1:20">
      <c r="A74" s="1" t="s">
        <v>417</v>
      </c>
      <c r="B74" s="1" t="s">
        <v>3198</v>
      </c>
      <c r="C74" s="4" t="s">
        <v>19</v>
      </c>
      <c r="D74" s="1" t="s">
        <v>418</v>
      </c>
      <c r="E74" s="4" t="s">
        <v>419</v>
      </c>
      <c r="F74" s="84">
        <v>89</v>
      </c>
      <c r="G74" s="84">
        <v>46</v>
      </c>
      <c r="H74" s="85">
        <v>79.5</v>
      </c>
      <c r="I74" s="84">
        <v>36</v>
      </c>
      <c r="J74" s="84">
        <v>47</v>
      </c>
      <c r="K74" s="84">
        <v>58</v>
      </c>
      <c r="L74" s="84">
        <v>79</v>
      </c>
      <c r="M74" s="84">
        <v>71</v>
      </c>
      <c r="N74" s="84">
        <v>66</v>
      </c>
      <c r="O74" s="5">
        <f t="shared" si="5"/>
        <v>355.5</v>
      </c>
      <c r="P74" s="6">
        <f t="shared" si="4"/>
        <v>53</v>
      </c>
      <c r="Q74" s="5">
        <f t="shared" si="6"/>
        <v>885</v>
      </c>
      <c r="R74" s="5">
        <v>392</v>
      </c>
      <c r="S74" s="5">
        <v>761</v>
      </c>
      <c r="T74" s="5">
        <f t="shared" si="7"/>
        <v>-124</v>
      </c>
    </row>
    <row r="75" spans="1:20">
      <c r="A75" s="1">
        <v>20181081</v>
      </c>
      <c r="B75" s="1" t="s">
        <v>3198</v>
      </c>
      <c r="C75" s="4" t="s">
        <v>19</v>
      </c>
      <c r="D75" s="1" t="s">
        <v>420</v>
      </c>
      <c r="E75" s="4" t="s">
        <v>3245</v>
      </c>
      <c r="F75" s="84">
        <v>89</v>
      </c>
      <c r="G75" s="84">
        <v>53</v>
      </c>
      <c r="H75" s="85">
        <v>70.5</v>
      </c>
      <c r="I75" s="84">
        <v>62</v>
      </c>
      <c r="J75" s="84">
        <v>42</v>
      </c>
      <c r="K75" s="84">
        <v>64</v>
      </c>
      <c r="L75" s="84">
        <v>65</v>
      </c>
      <c r="M75" s="84">
        <v>72</v>
      </c>
      <c r="N75" s="84">
        <v>50</v>
      </c>
      <c r="O75" s="5">
        <f t="shared" si="5"/>
        <v>380.5</v>
      </c>
      <c r="P75" s="6">
        <f t="shared" si="4"/>
        <v>51</v>
      </c>
      <c r="Q75" s="5">
        <f t="shared" si="6"/>
        <v>830</v>
      </c>
      <c r="R75" s="5">
        <v>387</v>
      </c>
      <c r="S75" s="5">
        <v>777</v>
      </c>
      <c r="T75" s="5">
        <f t="shared" si="7"/>
        <v>-53</v>
      </c>
    </row>
    <row r="76" spans="1:20">
      <c r="A76" s="1" t="s">
        <v>421</v>
      </c>
      <c r="B76" s="1" t="s">
        <v>3198</v>
      </c>
      <c r="C76" s="4" t="s">
        <v>19</v>
      </c>
      <c r="D76" s="1" t="s">
        <v>422</v>
      </c>
      <c r="E76" s="4" t="s">
        <v>423</v>
      </c>
      <c r="F76" s="84">
        <v>104</v>
      </c>
      <c r="G76" s="84">
        <v>71</v>
      </c>
      <c r="H76" s="85">
        <v>67.5</v>
      </c>
      <c r="I76" s="84">
        <v>79</v>
      </c>
      <c r="J76" s="84">
        <v>52</v>
      </c>
      <c r="K76" s="84">
        <v>73</v>
      </c>
      <c r="L76" s="84">
        <v>64</v>
      </c>
      <c r="M76" s="84">
        <v>65</v>
      </c>
      <c r="N76" s="84">
        <v>56</v>
      </c>
      <c r="O76" s="5">
        <f t="shared" si="5"/>
        <v>446.5</v>
      </c>
      <c r="P76" s="6">
        <f t="shared" si="4"/>
        <v>30</v>
      </c>
      <c r="Q76" s="5">
        <f t="shared" si="6"/>
        <v>534</v>
      </c>
      <c r="R76" s="5">
        <v>400</v>
      </c>
      <c r="S76" s="5">
        <v>730</v>
      </c>
      <c r="T76" s="5">
        <f t="shared" si="7"/>
        <v>196</v>
      </c>
    </row>
    <row r="77" spans="1:20">
      <c r="A77" s="1" t="s">
        <v>491</v>
      </c>
      <c r="B77" s="1" t="s">
        <v>3198</v>
      </c>
      <c r="C77" s="4" t="s">
        <v>19</v>
      </c>
      <c r="D77" s="1" t="s">
        <v>425</v>
      </c>
      <c r="E77" s="4" t="s">
        <v>189</v>
      </c>
      <c r="F77" s="84">
        <v>97</v>
      </c>
      <c r="G77" s="84">
        <v>94</v>
      </c>
      <c r="H77" s="85">
        <v>101</v>
      </c>
      <c r="I77" s="84">
        <v>99</v>
      </c>
      <c r="J77" s="84">
        <v>53</v>
      </c>
      <c r="K77" s="84">
        <v>87</v>
      </c>
      <c r="L77" s="84">
        <v>78</v>
      </c>
      <c r="M77" s="84">
        <v>68</v>
      </c>
      <c r="N77" s="84">
        <v>50</v>
      </c>
      <c r="O77" s="5">
        <f t="shared" si="5"/>
        <v>531</v>
      </c>
      <c r="P77" s="6">
        <f t="shared" si="4"/>
        <v>3</v>
      </c>
      <c r="Q77" s="5">
        <f t="shared" si="6"/>
        <v>132</v>
      </c>
      <c r="R77" s="5">
        <v>540.5</v>
      </c>
      <c r="S77" s="5">
        <v>85</v>
      </c>
      <c r="T77" s="5">
        <f t="shared" si="7"/>
        <v>-47</v>
      </c>
    </row>
    <row r="78" spans="1:20">
      <c r="A78" s="1" t="s">
        <v>428</v>
      </c>
      <c r="B78" s="1" t="s">
        <v>3198</v>
      </c>
      <c r="C78" s="4" t="s">
        <v>19</v>
      </c>
      <c r="D78" s="1" t="s">
        <v>429</v>
      </c>
      <c r="E78" s="4" t="s">
        <v>430</v>
      </c>
      <c r="F78" s="84">
        <v>102</v>
      </c>
      <c r="G78" s="84">
        <v>73</v>
      </c>
      <c r="H78" s="85">
        <v>89.5</v>
      </c>
      <c r="I78" s="84">
        <v>80</v>
      </c>
      <c r="J78" s="84">
        <v>65</v>
      </c>
      <c r="K78" s="84">
        <v>77</v>
      </c>
      <c r="L78" s="84">
        <v>66</v>
      </c>
      <c r="M78" s="84">
        <v>63</v>
      </c>
      <c r="N78" s="84">
        <v>53</v>
      </c>
      <c r="O78" s="5">
        <f t="shared" si="5"/>
        <v>486.5</v>
      </c>
      <c r="P78" s="6">
        <f t="shared" si="4"/>
        <v>14</v>
      </c>
      <c r="Q78" s="5">
        <f t="shared" si="6"/>
        <v>303</v>
      </c>
      <c r="R78" s="5">
        <v>473.5</v>
      </c>
      <c r="S78" s="5">
        <v>342</v>
      </c>
      <c r="T78" s="5">
        <f t="shared" si="7"/>
        <v>39</v>
      </c>
    </row>
    <row r="79" spans="1:20">
      <c r="A79" s="1" t="s">
        <v>431</v>
      </c>
      <c r="B79" s="1" t="s">
        <v>3198</v>
      </c>
      <c r="C79" s="4" t="s">
        <v>19</v>
      </c>
      <c r="D79" s="1" t="s">
        <v>432</v>
      </c>
      <c r="E79" s="4" t="s">
        <v>433</v>
      </c>
      <c r="F79" s="84">
        <v>95</v>
      </c>
      <c r="G79" s="84">
        <v>44</v>
      </c>
      <c r="H79" s="85">
        <v>92</v>
      </c>
      <c r="I79" s="84">
        <v>88</v>
      </c>
      <c r="J79" s="84">
        <v>67</v>
      </c>
      <c r="K79" s="84">
        <v>83</v>
      </c>
      <c r="L79" s="84">
        <v>54</v>
      </c>
      <c r="M79" s="84">
        <v>68</v>
      </c>
      <c r="N79" s="84">
        <v>55</v>
      </c>
      <c r="O79" s="5">
        <f t="shared" si="5"/>
        <v>469</v>
      </c>
      <c r="P79" s="6">
        <f t="shared" si="4"/>
        <v>19</v>
      </c>
      <c r="Q79" s="5">
        <f t="shared" si="6"/>
        <v>397</v>
      </c>
      <c r="R79" s="5">
        <v>493.5</v>
      </c>
      <c r="S79" s="5">
        <v>246</v>
      </c>
      <c r="T79" s="5">
        <f t="shared" si="7"/>
        <v>-151</v>
      </c>
    </row>
    <row r="80" spans="1:20">
      <c r="A80" s="1" t="s">
        <v>434</v>
      </c>
      <c r="B80" s="1" t="s">
        <v>3198</v>
      </c>
      <c r="C80" s="4" t="s">
        <v>19</v>
      </c>
      <c r="D80" s="1" t="s">
        <v>435</v>
      </c>
      <c r="E80" s="4" t="s">
        <v>436</v>
      </c>
      <c r="F80" s="84">
        <v>96</v>
      </c>
      <c r="G80" s="84">
        <v>71</v>
      </c>
      <c r="H80" s="85">
        <v>107.5</v>
      </c>
      <c r="I80" s="84">
        <v>78</v>
      </c>
      <c r="J80" s="84">
        <v>62</v>
      </c>
      <c r="K80" s="84">
        <v>74</v>
      </c>
      <c r="L80" s="84">
        <v>67</v>
      </c>
      <c r="M80" s="84">
        <v>64</v>
      </c>
      <c r="N80" s="84">
        <v>38</v>
      </c>
      <c r="O80" s="5">
        <f t="shared" si="5"/>
        <v>488.5</v>
      </c>
      <c r="P80" s="6">
        <f t="shared" si="4"/>
        <v>13</v>
      </c>
      <c r="Q80" s="5">
        <f t="shared" si="6"/>
        <v>297</v>
      </c>
      <c r="R80" s="5">
        <v>473</v>
      </c>
      <c r="S80" s="5">
        <v>346</v>
      </c>
      <c r="T80" s="5">
        <f t="shared" si="7"/>
        <v>49</v>
      </c>
    </row>
    <row r="81" spans="1:20">
      <c r="A81" s="1" t="s">
        <v>437</v>
      </c>
      <c r="B81" s="1" t="s">
        <v>3198</v>
      </c>
      <c r="C81" s="4" t="s">
        <v>19</v>
      </c>
      <c r="D81" s="1" t="s">
        <v>438</v>
      </c>
      <c r="E81" s="4" t="s">
        <v>439</v>
      </c>
      <c r="F81" s="84">
        <v>103</v>
      </c>
      <c r="G81" s="84">
        <v>67</v>
      </c>
      <c r="H81" s="85">
        <v>79</v>
      </c>
      <c r="I81" s="84">
        <v>65</v>
      </c>
      <c r="J81" s="84">
        <v>54</v>
      </c>
      <c r="K81" s="84">
        <v>70</v>
      </c>
      <c r="L81" s="84">
        <v>66</v>
      </c>
      <c r="M81" s="84">
        <v>72</v>
      </c>
      <c r="N81" s="84">
        <v>58</v>
      </c>
      <c r="O81" s="5">
        <f t="shared" si="5"/>
        <v>438</v>
      </c>
      <c r="P81" s="6">
        <f t="shared" si="4"/>
        <v>33</v>
      </c>
      <c r="Q81" s="5">
        <f t="shared" si="6"/>
        <v>579</v>
      </c>
      <c r="R81" s="5">
        <v>423</v>
      </c>
      <c r="S81" s="5">
        <v>618</v>
      </c>
      <c r="T81" s="5">
        <f t="shared" si="7"/>
        <v>39</v>
      </c>
    </row>
    <row r="82" spans="1:20">
      <c r="A82" s="1" t="s">
        <v>440</v>
      </c>
      <c r="B82" s="1" t="s">
        <v>3198</v>
      </c>
      <c r="C82" s="4" t="s">
        <v>19</v>
      </c>
      <c r="D82" s="1" t="s">
        <v>441</v>
      </c>
      <c r="E82" s="4" t="s">
        <v>442</v>
      </c>
      <c r="F82" s="84">
        <v>100</v>
      </c>
      <c r="G82" s="84">
        <v>38</v>
      </c>
      <c r="H82" s="85">
        <v>64</v>
      </c>
      <c r="I82" s="84">
        <v>46</v>
      </c>
      <c r="J82" s="84">
        <v>42</v>
      </c>
      <c r="K82" s="84">
        <v>58</v>
      </c>
      <c r="L82" s="84">
        <v>60</v>
      </c>
      <c r="M82" s="84">
        <v>68</v>
      </c>
      <c r="N82" s="84">
        <v>56</v>
      </c>
      <c r="O82" s="5">
        <f t="shared" si="5"/>
        <v>348</v>
      </c>
      <c r="P82" s="6">
        <f t="shared" si="4"/>
        <v>54</v>
      </c>
      <c r="Q82" s="5">
        <f t="shared" si="6"/>
        <v>895</v>
      </c>
      <c r="R82" s="5">
        <v>405</v>
      </c>
      <c r="S82" s="5">
        <v>705</v>
      </c>
      <c r="T82" s="5">
        <f t="shared" si="7"/>
        <v>-190</v>
      </c>
    </row>
    <row r="83" spans="1:20">
      <c r="A83" s="1" t="s">
        <v>443</v>
      </c>
      <c r="B83" s="1" t="s">
        <v>3198</v>
      </c>
      <c r="C83" s="4" t="s">
        <v>19</v>
      </c>
      <c r="D83" s="1" t="s">
        <v>444</v>
      </c>
      <c r="E83" s="4" t="s">
        <v>445</v>
      </c>
      <c r="F83" s="84">
        <v>108</v>
      </c>
      <c r="G83" s="84">
        <v>58</v>
      </c>
      <c r="H83" s="85">
        <v>98</v>
      </c>
      <c r="I83" s="84">
        <v>51</v>
      </c>
      <c r="J83" s="84">
        <v>38</v>
      </c>
      <c r="K83" s="84">
        <v>56</v>
      </c>
      <c r="L83" s="84">
        <v>69</v>
      </c>
      <c r="M83" s="84">
        <v>62</v>
      </c>
      <c r="N83" s="84">
        <v>48</v>
      </c>
      <c r="O83" s="5">
        <f t="shared" si="5"/>
        <v>409</v>
      </c>
      <c r="P83" s="6">
        <f t="shared" si="4"/>
        <v>42</v>
      </c>
      <c r="Q83" s="5">
        <f t="shared" si="6"/>
        <v>730</v>
      </c>
      <c r="R83" s="5">
        <v>412</v>
      </c>
      <c r="S83" s="5">
        <v>670</v>
      </c>
      <c r="T83" s="5">
        <f t="shared" si="7"/>
        <v>-60</v>
      </c>
    </row>
    <row r="84" spans="1:20">
      <c r="A84" s="1" t="s">
        <v>446</v>
      </c>
      <c r="B84" s="1" t="s">
        <v>3198</v>
      </c>
      <c r="C84" s="4" t="s">
        <v>19</v>
      </c>
      <c r="D84" s="1" t="s">
        <v>447</v>
      </c>
      <c r="E84" s="4" t="s">
        <v>448</v>
      </c>
      <c r="F84" s="84">
        <v>119</v>
      </c>
      <c r="G84" s="84">
        <v>74</v>
      </c>
      <c r="H84" s="85">
        <v>116.5</v>
      </c>
      <c r="I84" s="84">
        <v>61</v>
      </c>
      <c r="J84" s="84">
        <v>47</v>
      </c>
      <c r="K84" s="84">
        <v>67</v>
      </c>
      <c r="L84" s="84">
        <v>84</v>
      </c>
      <c r="M84" s="84">
        <v>73</v>
      </c>
      <c r="N84" s="84">
        <v>58</v>
      </c>
      <c r="O84" s="5">
        <f t="shared" si="5"/>
        <v>484.5</v>
      </c>
      <c r="P84" s="6">
        <f t="shared" si="4"/>
        <v>15</v>
      </c>
      <c r="Q84" s="5">
        <f t="shared" si="6"/>
        <v>312</v>
      </c>
      <c r="R84" s="5">
        <v>473</v>
      </c>
      <c r="S84" s="5">
        <v>346</v>
      </c>
      <c r="T84" s="5">
        <f t="shared" si="7"/>
        <v>34</v>
      </c>
    </row>
    <row r="85" spans="1:20">
      <c r="A85" s="1" t="s">
        <v>451</v>
      </c>
      <c r="B85" s="1" t="s">
        <v>3198</v>
      </c>
      <c r="C85" s="4" t="s">
        <v>19</v>
      </c>
      <c r="D85" s="1" t="s">
        <v>450</v>
      </c>
      <c r="E85" s="4" t="s">
        <v>453</v>
      </c>
      <c r="F85" s="84">
        <v>89</v>
      </c>
      <c r="G85" s="84">
        <v>65</v>
      </c>
      <c r="H85" s="85">
        <v>95.5</v>
      </c>
      <c r="I85" s="84">
        <v>62</v>
      </c>
      <c r="J85" s="84">
        <v>43</v>
      </c>
      <c r="K85" s="84">
        <v>58</v>
      </c>
      <c r="L85" s="84">
        <v>72</v>
      </c>
      <c r="M85" s="84">
        <v>61</v>
      </c>
      <c r="N85" s="84">
        <v>52</v>
      </c>
      <c r="O85" s="5">
        <f t="shared" si="5"/>
        <v>412.5</v>
      </c>
      <c r="P85" s="6">
        <f t="shared" si="4"/>
        <v>37</v>
      </c>
      <c r="Q85" s="5">
        <f t="shared" si="6"/>
        <v>708</v>
      </c>
      <c r="R85" s="5">
        <v>433</v>
      </c>
      <c r="S85" s="5">
        <v>562</v>
      </c>
      <c r="T85" s="5">
        <f t="shared" si="7"/>
        <v>-146</v>
      </c>
    </row>
    <row r="86" spans="1:20">
      <c r="A86" s="1" t="s">
        <v>454</v>
      </c>
      <c r="B86" s="1" t="s">
        <v>3198</v>
      </c>
      <c r="C86" s="4" t="s">
        <v>19</v>
      </c>
      <c r="D86" s="1" t="s">
        <v>452</v>
      </c>
      <c r="E86" s="4" t="s">
        <v>456</v>
      </c>
      <c r="F86" s="84">
        <v>112</v>
      </c>
      <c r="G86" s="84">
        <v>56</v>
      </c>
      <c r="H86" s="85">
        <v>84.5</v>
      </c>
      <c r="I86" s="84">
        <v>63</v>
      </c>
      <c r="J86" s="84">
        <v>58</v>
      </c>
      <c r="K86" s="84">
        <v>76</v>
      </c>
      <c r="L86" s="84">
        <v>88</v>
      </c>
      <c r="M86" s="84">
        <v>68</v>
      </c>
      <c r="N86" s="84">
        <v>56</v>
      </c>
      <c r="O86" s="5">
        <f t="shared" si="5"/>
        <v>449.5</v>
      </c>
      <c r="P86" s="6">
        <f t="shared" si="4"/>
        <v>26</v>
      </c>
      <c r="Q86" s="5">
        <f t="shared" si="6"/>
        <v>516</v>
      </c>
      <c r="R86" s="5">
        <v>480</v>
      </c>
      <c r="S86" s="5">
        <v>309</v>
      </c>
      <c r="T86" s="5">
        <f t="shared" si="7"/>
        <v>-207</v>
      </c>
    </row>
    <row r="87" spans="1:20">
      <c r="A87" s="1" t="s">
        <v>457</v>
      </c>
      <c r="B87" s="1" t="s">
        <v>3198</v>
      </c>
      <c r="C87" s="4" t="s">
        <v>19</v>
      </c>
      <c r="D87" s="1" t="s">
        <v>455</v>
      </c>
      <c r="E87" s="4" t="s">
        <v>459</v>
      </c>
      <c r="F87" s="84">
        <v>124</v>
      </c>
      <c r="G87" s="84">
        <v>79</v>
      </c>
      <c r="H87" s="85">
        <v>77.5</v>
      </c>
      <c r="I87" s="84">
        <v>59</v>
      </c>
      <c r="J87" s="84">
        <v>47</v>
      </c>
      <c r="K87" s="84">
        <v>74</v>
      </c>
      <c r="L87" s="84">
        <v>74</v>
      </c>
      <c r="M87" s="84">
        <v>53</v>
      </c>
      <c r="N87" s="84">
        <v>51</v>
      </c>
      <c r="O87" s="5">
        <f t="shared" si="5"/>
        <v>460.5</v>
      </c>
      <c r="P87" s="6">
        <f t="shared" si="4"/>
        <v>21</v>
      </c>
      <c r="Q87" s="5">
        <f t="shared" si="6"/>
        <v>453</v>
      </c>
      <c r="R87" s="5">
        <v>400</v>
      </c>
      <c r="S87" s="5">
        <v>730</v>
      </c>
      <c r="T87" s="5">
        <f t="shared" si="7"/>
        <v>277</v>
      </c>
    </row>
    <row r="88" spans="1:20">
      <c r="A88" s="1" t="s">
        <v>460</v>
      </c>
      <c r="B88" s="1" t="s">
        <v>3198</v>
      </c>
      <c r="C88" s="4" t="s">
        <v>19</v>
      </c>
      <c r="D88" s="1" t="s">
        <v>458</v>
      </c>
      <c r="E88" s="4" t="s">
        <v>462</v>
      </c>
      <c r="F88" s="84">
        <v>105</v>
      </c>
      <c r="G88" s="84">
        <v>60</v>
      </c>
      <c r="H88" s="85">
        <v>74.5</v>
      </c>
      <c r="I88" s="84">
        <v>59</v>
      </c>
      <c r="J88" s="84">
        <v>38</v>
      </c>
      <c r="K88" s="84">
        <v>72</v>
      </c>
      <c r="L88" s="84">
        <v>70</v>
      </c>
      <c r="M88" s="84">
        <v>52</v>
      </c>
      <c r="N88" s="84">
        <v>55</v>
      </c>
      <c r="O88" s="5">
        <f t="shared" si="5"/>
        <v>408.5</v>
      </c>
      <c r="P88" s="6">
        <f t="shared" si="4"/>
        <v>43</v>
      </c>
      <c r="Q88" s="5">
        <f t="shared" si="6"/>
        <v>732</v>
      </c>
      <c r="R88" s="5">
        <v>419.5</v>
      </c>
      <c r="S88" s="5">
        <v>645</v>
      </c>
      <c r="T88" s="5">
        <f t="shared" si="7"/>
        <v>-87</v>
      </c>
    </row>
    <row r="89" spans="1:20">
      <c r="A89" s="1" t="s">
        <v>463</v>
      </c>
      <c r="B89" s="1" t="s">
        <v>3198</v>
      </c>
      <c r="C89" s="4" t="s">
        <v>19</v>
      </c>
      <c r="D89" s="1" t="s">
        <v>461</v>
      </c>
      <c r="E89" s="4" t="s">
        <v>465</v>
      </c>
      <c r="F89" s="84">
        <v>102</v>
      </c>
      <c r="G89" s="84">
        <v>84</v>
      </c>
      <c r="H89" s="85">
        <v>95</v>
      </c>
      <c r="I89" s="84">
        <v>83</v>
      </c>
      <c r="J89" s="84">
        <v>60</v>
      </c>
      <c r="K89" s="84">
        <v>76</v>
      </c>
      <c r="L89" s="84">
        <v>61</v>
      </c>
      <c r="M89" s="84">
        <v>65</v>
      </c>
      <c r="N89" s="84">
        <v>63</v>
      </c>
      <c r="O89" s="5">
        <f t="shared" si="5"/>
        <v>500</v>
      </c>
      <c r="P89" s="6">
        <f t="shared" si="4"/>
        <v>11</v>
      </c>
      <c r="Q89" s="5">
        <f t="shared" si="6"/>
        <v>246</v>
      </c>
      <c r="R89" s="5">
        <v>475</v>
      </c>
      <c r="S89" s="5">
        <v>326</v>
      </c>
      <c r="T89" s="5">
        <f t="shared" si="7"/>
        <v>80</v>
      </c>
    </row>
    <row r="90" spans="1:20">
      <c r="A90" s="1" t="s">
        <v>466</v>
      </c>
      <c r="B90" s="1" t="s">
        <v>3198</v>
      </c>
      <c r="C90" s="4" t="s">
        <v>19</v>
      </c>
      <c r="D90" s="1" t="s">
        <v>464</v>
      </c>
      <c r="E90" s="4" t="s">
        <v>468</v>
      </c>
      <c r="F90" s="84">
        <v>109</v>
      </c>
      <c r="G90" s="84">
        <v>73</v>
      </c>
      <c r="H90" s="85">
        <v>83.5</v>
      </c>
      <c r="I90" s="84">
        <v>77</v>
      </c>
      <c r="J90" s="84">
        <v>57</v>
      </c>
      <c r="K90" s="84">
        <v>65</v>
      </c>
      <c r="L90" s="84">
        <v>54</v>
      </c>
      <c r="M90" s="84">
        <v>70</v>
      </c>
      <c r="N90" s="84">
        <v>44</v>
      </c>
      <c r="O90" s="5">
        <f t="shared" si="5"/>
        <v>464.5</v>
      </c>
      <c r="P90" s="6">
        <f t="shared" si="4"/>
        <v>20</v>
      </c>
      <c r="Q90" s="5">
        <f t="shared" si="6"/>
        <v>424</v>
      </c>
      <c r="R90" s="5">
        <v>460.5</v>
      </c>
      <c r="S90" s="5">
        <v>412</v>
      </c>
      <c r="T90" s="5">
        <f t="shared" si="7"/>
        <v>-12</v>
      </c>
    </row>
    <row r="91" spans="1:20">
      <c r="A91" s="1" t="s">
        <v>469</v>
      </c>
      <c r="B91" s="1" t="s">
        <v>3198</v>
      </c>
      <c r="C91" s="4" t="s">
        <v>19</v>
      </c>
      <c r="D91" s="1" t="s">
        <v>467</v>
      </c>
      <c r="E91" s="4" t="s">
        <v>471</v>
      </c>
      <c r="F91" s="84">
        <v>98</v>
      </c>
      <c r="G91" s="84">
        <v>55</v>
      </c>
      <c r="H91" s="85">
        <v>76.5</v>
      </c>
      <c r="I91" s="84">
        <v>59</v>
      </c>
      <c r="J91" s="84">
        <v>69</v>
      </c>
      <c r="K91" s="84">
        <v>82</v>
      </c>
      <c r="L91" s="84">
        <v>71</v>
      </c>
      <c r="M91" s="84">
        <v>55</v>
      </c>
      <c r="N91" s="84">
        <v>51</v>
      </c>
      <c r="O91" s="5">
        <f t="shared" si="5"/>
        <v>439.5</v>
      </c>
      <c r="P91" s="6">
        <f t="shared" si="4"/>
        <v>31</v>
      </c>
      <c r="Q91" s="5">
        <f t="shared" si="6"/>
        <v>572</v>
      </c>
      <c r="R91" s="5">
        <v>462</v>
      </c>
      <c r="S91" s="5">
        <v>404</v>
      </c>
      <c r="T91" s="5">
        <f t="shared" si="7"/>
        <v>-168</v>
      </c>
    </row>
    <row r="92" spans="1:20">
      <c r="A92" s="1" t="s">
        <v>472</v>
      </c>
      <c r="B92" s="1" t="s">
        <v>3198</v>
      </c>
      <c r="C92" s="4" t="s">
        <v>19</v>
      </c>
      <c r="D92" s="1" t="s">
        <v>470</v>
      </c>
      <c r="E92" s="4" t="s">
        <v>474</v>
      </c>
      <c r="F92" s="84">
        <v>98</v>
      </c>
      <c r="G92" s="84">
        <v>42</v>
      </c>
      <c r="H92" s="85">
        <v>78</v>
      </c>
      <c r="I92" s="84">
        <v>76</v>
      </c>
      <c r="J92" s="84">
        <v>46</v>
      </c>
      <c r="K92" s="84">
        <v>71</v>
      </c>
      <c r="L92" s="84">
        <v>71</v>
      </c>
      <c r="M92" s="84">
        <v>81</v>
      </c>
      <c r="N92" s="84">
        <v>57</v>
      </c>
      <c r="O92" s="5">
        <f t="shared" si="5"/>
        <v>411</v>
      </c>
      <c r="P92" s="6">
        <f t="shared" si="4"/>
        <v>38</v>
      </c>
      <c r="Q92" s="5">
        <f t="shared" si="6"/>
        <v>715</v>
      </c>
      <c r="R92" s="5">
        <v>421</v>
      </c>
      <c r="S92" s="5">
        <v>635</v>
      </c>
      <c r="T92" s="5">
        <f t="shared" si="7"/>
        <v>-80</v>
      </c>
    </row>
    <row r="93" spans="1:20">
      <c r="A93" s="1" t="s">
        <v>475</v>
      </c>
      <c r="B93" s="1" t="s">
        <v>3198</v>
      </c>
      <c r="C93" s="4" t="s">
        <v>19</v>
      </c>
      <c r="D93" s="1" t="s">
        <v>473</v>
      </c>
      <c r="E93" s="4" t="s">
        <v>477</v>
      </c>
      <c r="F93" s="84">
        <v>108</v>
      </c>
      <c r="G93" s="84">
        <v>83</v>
      </c>
      <c r="H93" s="85">
        <v>83.5</v>
      </c>
      <c r="I93" s="84">
        <v>69</v>
      </c>
      <c r="J93" s="84">
        <v>66</v>
      </c>
      <c r="K93" s="84">
        <v>83</v>
      </c>
      <c r="L93" s="84">
        <v>76</v>
      </c>
      <c r="M93" s="84">
        <v>82</v>
      </c>
      <c r="N93" s="84">
        <v>57</v>
      </c>
      <c r="O93" s="5">
        <f t="shared" si="5"/>
        <v>492.5</v>
      </c>
      <c r="P93" s="6">
        <f t="shared" si="4"/>
        <v>12</v>
      </c>
      <c r="Q93" s="5">
        <f t="shared" si="6"/>
        <v>277</v>
      </c>
      <c r="R93" s="5">
        <v>488</v>
      </c>
      <c r="S93" s="5">
        <v>269</v>
      </c>
      <c r="T93" s="5">
        <f t="shared" si="7"/>
        <v>-8</v>
      </c>
    </row>
    <row r="94" spans="1:20">
      <c r="A94" s="1" t="s">
        <v>478</v>
      </c>
      <c r="B94" s="1" t="s">
        <v>3198</v>
      </c>
      <c r="C94" s="4" t="s">
        <v>19</v>
      </c>
      <c r="D94" s="1" t="s">
        <v>476</v>
      </c>
      <c r="E94" s="4" t="s">
        <v>480</v>
      </c>
      <c r="F94" s="84">
        <v>94</v>
      </c>
      <c r="G94" s="84">
        <v>80</v>
      </c>
      <c r="H94" s="85">
        <v>70.5</v>
      </c>
      <c r="I94" s="84">
        <v>63</v>
      </c>
      <c r="J94" s="84">
        <v>57</v>
      </c>
      <c r="K94" s="84">
        <v>70</v>
      </c>
      <c r="L94" s="84">
        <v>53</v>
      </c>
      <c r="M94" s="84">
        <v>60</v>
      </c>
      <c r="N94" s="84">
        <v>40</v>
      </c>
      <c r="O94" s="5">
        <f t="shared" si="5"/>
        <v>434.5</v>
      </c>
      <c r="P94" s="6">
        <f t="shared" si="4"/>
        <v>35</v>
      </c>
      <c r="Q94" s="5">
        <f t="shared" si="6"/>
        <v>600</v>
      </c>
      <c r="R94" s="5">
        <v>401</v>
      </c>
      <c r="S94" s="5">
        <v>725</v>
      </c>
      <c r="T94" s="5">
        <f t="shared" si="7"/>
        <v>125</v>
      </c>
    </row>
    <row r="95" spans="1:20">
      <c r="A95" s="1" t="s">
        <v>481</v>
      </c>
      <c r="B95" s="1" t="s">
        <v>3198</v>
      </c>
      <c r="C95" s="4" t="s">
        <v>19</v>
      </c>
      <c r="D95" s="1" t="s">
        <v>479</v>
      </c>
      <c r="E95" s="4" t="s">
        <v>483</v>
      </c>
      <c r="F95" s="84">
        <v>112</v>
      </c>
      <c r="G95" s="84">
        <v>64</v>
      </c>
      <c r="H95" s="85">
        <v>113.5</v>
      </c>
      <c r="I95" s="84">
        <v>64</v>
      </c>
      <c r="J95" s="84">
        <v>52</v>
      </c>
      <c r="K95" s="84">
        <v>67</v>
      </c>
      <c r="L95" s="84">
        <v>75</v>
      </c>
      <c r="M95" s="84">
        <v>76</v>
      </c>
      <c r="N95" s="84">
        <v>60</v>
      </c>
      <c r="O95" s="5">
        <f t="shared" si="5"/>
        <v>472.5</v>
      </c>
      <c r="P95" s="6">
        <f t="shared" si="4"/>
        <v>17</v>
      </c>
      <c r="Q95" s="5">
        <f t="shared" si="6"/>
        <v>380</v>
      </c>
      <c r="R95" s="5">
        <v>433</v>
      </c>
      <c r="S95" s="5">
        <v>562</v>
      </c>
      <c r="T95" s="5">
        <f t="shared" si="7"/>
        <v>182</v>
      </c>
    </row>
    <row r="96" spans="1:20">
      <c r="A96" s="1" t="s">
        <v>1766</v>
      </c>
      <c r="B96" s="1" t="s">
        <v>3198</v>
      </c>
      <c r="C96" s="4" t="s">
        <v>19</v>
      </c>
      <c r="D96" s="1" t="s">
        <v>482</v>
      </c>
      <c r="E96" s="4" t="s">
        <v>1768</v>
      </c>
      <c r="F96" s="84">
        <v>113</v>
      </c>
      <c r="G96" s="84">
        <v>84</v>
      </c>
      <c r="H96" s="85">
        <v>82</v>
      </c>
      <c r="I96" s="84">
        <v>65</v>
      </c>
      <c r="J96" s="84">
        <v>40</v>
      </c>
      <c r="K96" s="84">
        <v>64</v>
      </c>
      <c r="L96" s="84">
        <v>57</v>
      </c>
      <c r="M96" s="84">
        <v>54</v>
      </c>
      <c r="N96" s="84">
        <v>46</v>
      </c>
      <c r="O96" s="5">
        <f t="shared" si="5"/>
        <v>448</v>
      </c>
      <c r="P96" s="6">
        <f t="shared" si="4"/>
        <v>28</v>
      </c>
      <c r="Q96" s="5">
        <f t="shared" si="6"/>
        <v>528</v>
      </c>
      <c r="R96" s="5">
        <v>423</v>
      </c>
      <c r="S96" s="5">
        <v>618</v>
      </c>
      <c r="T96" s="5">
        <f t="shared" si="7"/>
        <v>90</v>
      </c>
    </row>
    <row r="97" spans="1:20">
      <c r="A97" s="1" t="s">
        <v>486</v>
      </c>
      <c r="B97" s="1" t="s">
        <v>3198</v>
      </c>
      <c r="C97" s="4" t="s">
        <v>19</v>
      </c>
      <c r="D97" s="1" t="s">
        <v>485</v>
      </c>
      <c r="E97" s="4" t="s">
        <v>488</v>
      </c>
      <c r="F97" s="84">
        <v>112</v>
      </c>
      <c r="G97" s="84">
        <v>39</v>
      </c>
      <c r="H97" s="85">
        <v>87.5</v>
      </c>
      <c r="I97" s="84">
        <v>47</v>
      </c>
      <c r="J97" s="84">
        <v>49</v>
      </c>
      <c r="K97" s="84">
        <v>75</v>
      </c>
      <c r="L97" s="84">
        <v>81</v>
      </c>
      <c r="M97" s="84">
        <v>74</v>
      </c>
      <c r="N97" s="84">
        <v>65</v>
      </c>
      <c r="O97" s="5">
        <f t="shared" si="5"/>
        <v>409.5</v>
      </c>
      <c r="P97" s="6">
        <f t="shared" si="4"/>
        <v>40</v>
      </c>
      <c r="Q97" s="5">
        <f t="shared" si="6"/>
        <v>723</v>
      </c>
      <c r="R97" s="5">
        <v>398.5</v>
      </c>
      <c r="S97" s="5">
        <v>737</v>
      </c>
      <c r="T97" s="5">
        <f t="shared" si="7"/>
        <v>14</v>
      </c>
    </row>
    <row r="98" spans="1:20">
      <c r="A98" s="1" t="s">
        <v>493</v>
      </c>
      <c r="B98" s="1" t="s">
        <v>3198</v>
      </c>
      <c r="C98" s="4" t="s">
        <v>19</v>
      </c>
      <c r="D98" s="1" t="s">
        <v>487</v>
      </c>
      <c r="E98" s="4" t="s">
        <v>495</v>
      </c>
      <c r="F98" s="84">
        <v>102</v>
      </c>
      <c r="G98" s="84">
        <v>84</v>
      </c>
      <c r="H98" s="85">
        <v>90</v>
      </c>
      <c r="I98" s="84">
        <v>57</v>
      </c>
      <c r="J98" s="84">
        <v>56</v>
      </c>
      <c r="K98" s="84">
        <v>70</v>
      </c>
      <c r="L98" s="84">
        <v>83</v>
      </c>
      <c r="M98" s="84">
        <v>74</v>
      </c>
      <c r="N98" s="84">
        <v>46</v>
      </c>
      <c r="O98" s="5">
        <f t="shared" si="5"/>
        <v>459</v>
      </c>
      <c r="P98" s="6">
        <f t="shared" si="4"/>
        <v>22</v>
      </c>
      <c r="Q98" s="5">
        <f t="shared" si="6"/>
        <v>460</v>
      </c>
      <c r="R98" s="5">
        <v>436</v>
      </c>
      <c r="S98" s="5">
        <v>541</v>
      </c>
      <c r="T98" s="5">
        <f t="shared" si="7"/>
        <v>81</v>
      </c>
    </row>
    <row r="99" spans="1:20">
      <c r="A99" s="1" t="s">
        <v>496</v>
      </c>
      <c r="B99" s="1" t="s">
        <v>3198</v>
      </c>
      <c r="C99" s="4" t="s">
        <v>19</v>
      </c>
      <c r="D99" s="1" t="s">
        <v>3255</v>
      </c>
      <c r="E99" s="4" t="s">
        <v>498</v>
      </c>
      <c r="F99" s="84">
        <v>105</v>
      </c>
      <c r="G99" s="84">
        <v>72</v>
      </c>
      <c r="H99" s="85">
        <v>130.5</v>
      </c>
      <c r="I99" s="84">
        <v>96</v>
      </c>
      <c r="J99" s="84">
        <v>79</v>
      </c>
      <c r="K99" s="84">
        <v>80</v>
      </c>
      <c r="L99" s="84">
        <v>78</v>
      </c>
      <c r="M99" s="84">
        <v>81</v>
      </c>
      <c r="N99" s="84">
        <v>73</v>
      </c>
      <c r="O99" s="5">
        <f t="shared" si="5"/>
        <v>562.5</v>
      </c>
      <c r="P99" s="6">
        <f t="shared" si="4"/>
        <v>1</v>
      </c>
      <c r="Q99" s="5">
        <f t="shared" si="6"/>
        <v>60</v>
      </c>
      <c r="R99" s="5">
        <v>564</v>
      </c>
      <c r="S99" s="5">
        <v>35</v>
      </c>
      <c r="T99" s="5">
        <f t="shared" si="7"/>
        <v>-25</v>
      </c>
    </row>
    <row r="100" spans="1:20">
      <c r="A100" s="1" t="s">
        <v>499</v>
      </c>
      <c r="B100" s="1" t="s">
        <v>3198</v>
      </c>
      <c r="C100" s="4" t="s">
        <v>19</v>
      </c>
      <c r="D100" s="1" t="s">
        <v>492</v>
      </c>
      <c r="E100" s="4" t="s">
        <v>501</v>
      </c>
      <c r="F100" s="84">
        <v>101</v>
      </c>
      <c r="G100" s="84">
        <v>68</v>
      </c>
      <c r="H100" s="85">
        <v>76</v>
      </c>
      <c r="I100" s="84">
        <v>35</v>
      </c>
      <c r="J100" s="84">
        <v>36</v>
      </c>
      <c r="K100" s="84">
        <v>53</v>
      </c>
      <c r="L100" s="84">
        <v>56</v>
      </c>
      <c r="M100" s="84">
        <v>65</v>
      </c>
      <c r="N100" s="84">
        <v>65</v>
      </c>
      <c r="O100" s="5">
        <f t="shared" si="5"/>
        <v>369</v>
      </c>
      <c r="P100" s="6">
        <f t="shared" si="4"/>
        <v>52</v>
      </c>
      <c r="Q100" s="5">
        <f t="shared" si="6"/>
        <v>860</v>
      </c>
      <c r="R100" s="5">
        <v>364</v>
      </c>
      <c r="S100" s="5">
        <v>851</v>
      </c>
      <c r="T100" s="5">
        <f t="shared" si="7"/>
        <v>-9</v>
      </c>
    </row>
    <row r="101" spans="1:20">
      <c r="A101" s="1" t="s">
        <v>502</v>
      </c>
      <c r="B101" s="1" t="s">
        <v>3198</v>
      </c>
      <c r="C101" s="4" t="s">
        <v>19</v>
      </c>
      <c r="D101" s="1" t="s">
        <v>494</v>
      </c>
      <c r="E101" s="4" t="s">
        <v>504</v>
      </c>
      <c r="F101" s="84">
        <v>118</v>
      </c>
      <c r="G101" s="84">
        <v>59</v>
      </c>
      <c r="H101" s="85">
        <v>77</v>
      </c>
      <c r="I101" s="84">
        <v>62</v>
      </c>
      <c r="J101" s="84">
        <v>41</v>
      </c>
      <c r="K101" s="84">
        <v>54</v>
      </c>
      <c r="L101" s="84">
        <v>59</v>
      </c>
      <c r="M101" s="84">
        <v>58</v>
      </c>
      <c r="N101" s="84">
        <v>51</v>
      </c>
      <c r="O101" s="5">
        <f t="shared" si="5"/>
        <v>411</v>
      </c>
      <c r="P101" s="6">
        <f t="shared" si="4"/>
        <v>38</v>
      </c>
      <c r="Q101" s="5">
        <f t="shared" si="6"/>
        <v>715</v>
      </c>
      <c r="R101" s="5">
        <v>418</v>
      </c>
      <c r="S101" s="5">
        <v>652</v>
      </c>
      <c r="T101" s="5">
        <f t="shared" si="7"/>
        <v>-63</v>
      </c>
    </row>
    <row r="102" spans="1:20">
      <c r="A102" s="1" t="s">
        <v>505</v>
      </c>
      <c r="B102" s="1" t="s">
        <v>3198</v>
      </c>
      <c r="C102" s="4" t="s">
        <v>19</v>
      </c>
      <c r="D102" s="1" t="s">
        <v>497</v>
      </c>
      <c r="E102" s="4" t="s">
        <v>507</v>
      </c>
      <c r="F102" s="84">
        <v>121</v>
      </c>
      <c r="G102" s="84">
        <v>66</v>
      </c>
      <c r="H102" s="85">
        <v>106</v>
      </c>
      <c r="I102" s="84">
        <v>44</v>
      </c>
      <c r="J102" s="84">
        <v>35</v>
      </c>
      <c r="K102" s="84">
        <v>66</v>
      </c>
      <c r="L102" s="84">
        <v>84</v>
      </c>
      <c r="M102" s="84">
        <v>72</v>
      </c>
      <c r="N102" s="84">
        <v>46</v>
      </c>
      <c r="O102" s="5">
        <f t="shared" si="5"/>
        <v>438</v>
      </c>
      <c r="P102" s="6">
        <f t="shared" si="4"/>
        <v>33</v>
      </c>
      <c r="Q102" s="5">
        <f t="shared" si="6"/>
        <v>579</v>
      </c>
      <c r="R102" s="5">
        <v>461.5</v>
      </c>
      <c r="S102" s="5">
        <v>407</v>
      </c>
      <c r="T102" s="5">
        <f t="shared" si="7"/>
        <v>-172</v>
      </c>
    </row>
    <row r="103" spans="1:20">
      <c r="A103" s="1" t="s">
        <v>508</v>
      </c>
      <c r="B103" s="1" t="s">
        <v>3198</v>
      </c>
      <c r="C103" s="4" t="s">
        <v>19</v>
      </c>
      <c r="D103" s="1" t="s">
        <v>500</v>
      </c>
      <c r="E103" s="4" t="s">
        <v>510</v>
      </c>
      <c r="F103" s="84">
        <v>90</v>
      </c>
      <c r="G103" s="84">
        <v>60</v>
      </c>
      <c r="H103" s="85">
        <v>78.5</v>
      </c>
      <c r="I103" s="84">
        <v>64</v>
      </c>
      <c r="J103" s="84">
        <v>40</v>
      </c>
      <c r="K103" s="84">
        <v>55</v>
      </c>
      <c r="L103" s="84">
        <v>64</v>
      </c>
      <c r="M103" s="84">
        <v>61</v>
      </c>
      <c r="N103" s="84">
        <v>69</v>
      </c>
      <c r="O103" s="5">
        <f t="shared" si="5"/>
        <v>387.5</v>
      </c>
      <c r="P103" s="6">
        <f t="shared" si="4"/>
        <v>50</v>
      </c>
      <c r="Q103" s="5">
        <f t="shared" si="6"/>
        <v>811</v>
      </c>
      <c r="R103" s="5">
        <v>375.5</v>
      </c>
      <c r="S103" s="5">
        <v>820</v>
      </c>
      <c r="T103" s="5">
        <f t="shared" si="7"/>
        <v>9</v>
      </c>
    </row>
    <row r="104" spans="1:20">
      <c r="A104" s="1" t="s">
        <v>511</v>
      </c>
      <c r="B104" s="1" t="s">
        <v>3198</v>
      </c>
      <c r="C104" s="4" t="s">
        <v>19</v>
      </c>
      <c r="D104" s="1" t="s">
        <v>503</v>
      </c>
      <c r="E104" s="4" t="s">
        <v>513</v>
      </c>
      <c r="F104" s="84">
        <v>94</v>
      </c>
      <c r="G104" s="84">
        <v>82</v>
      </c>
      <c r="H104" s="84">
        <v>62.5</v>
      </c>
      <c r="I104" s="84">
        <v>57</v>
      </c>
      <c r="J104" s="84">
        <v>50</v>
      </c>
      <c r="K104" s="84">
        <v>52</v>
      </c>
      <c r="L104" s="84">
        <v>68</v>
      </c>
      <c r="M104" s="84">
        <v>66</v>
      </c>
      <c r="N104" s="84">
        <v>69</v>
      </c>
      <c r="O104" s="5">
        <f t="shared" si="5"/>
        <v>397.5</v>
      </c>
      <c r="P104" s="6">
        <f t="shared" si="4"/>
        <v>47</v>
      </c>
      <c r="Q104" s="5">
        <f t="shared" si="6"/>
        <v>780</v>
      </c>
      <c r="R104" s="5">
        <v>388.5</v>
      </c>
      <c r="S104" s="5">
        <v>770</v>
      </c>
      <c r="T104" s="5">
        <f t="shared" si="7"/>
        <v>-10</v>
      </c>
    </row>
    <row r="105" spans="1:20">
      <c r="A105" s="1" t="s">
        <v>514</v>
      </c>
      <c r="B105" s="1" t="s">
        <v>3198</v>
      </c>
      <c r="C105" s="4" t="s">
        <v>19</v>
      </c>
      <c r="D105" s="1" t="s">
        <v>506</v>
      </c>
      <c r="E105" s="4" t="s">
        <v>516</v>
      </c>
      <c r="F105" s="84">
        <v>103</v>
      </c>
      <c r="G105" s="84">
        <v>86</v>
      </c>
      <c r="H105" s="84">
        <v>82.5</v>
      </c>
      <c r="I105" s="84">
        <v>64</v>
      </c>
      <c r="J105" s="84">
        <v>63</v>
      </c>
      <c r="K105" s="84">
        <v>72</v>
      </c>
      <c r="L105" s="84">
        <v>69</v>
      </c>
      <c r="M105" s="84">
        <v>65</v>
      </c>
      <c r="N105" s="84">
        <v>61</v>
      </c>
      <c r="O105" s="5">
        <f t="shared" si="5"/>
        <v>470.5</v>
      </c>
      <c r="P105" s="6">
        <f t="shared" si="4"/>
        <v>18</v>
      </c>
      <c r="Q105" s="5">
        <f t="shared" si="6"/>
        <v>390</v>
      </c>
      <c r="R105" s="5">
        <v>467</v>
      </c>
      <c r="S105" s="5">
        <v>383</v>
      </c>
      <c r="T105" s="5">
        <f t="shared" si="7"/>
        <v>-7</v>
      </c>
    </row>
    <row r="106" spans="1:20">
      <c r="A106" s="1" t="s">
        <v>517</v>
      </c>
      <c r="B106" s="1" t="s">
        <v>3198</v>
      </c>
      <c r="C106" s="4" t="s">
        <v>19</v>
      </c>
      <c r="D106" s="1" t="s">
        <v>509</v>
      </c>
      <c r="E106" s="1" t="s">
        <v>519</v>
      </c>
      <c r="F106" s="84">
        <v>115</v>
      </c>
      <c r="G106" s="84">
        <v>67</v>
      </c>
      <c r="H106" s="84">
        <v>115</v>
      </c>
      <c r="I106" s="84">
        <v>93</v>
      </c>
      <c r="J106" s="84">
        <v>70</v>
      </c>
      <c r="K106" s="84">
        <v>81</v>
      </c>
      <c r="L106" s="84">
        <v>74</v>
      </c>
      <c r="M106" s="84">
        <v>86</v>
      </c>
      <c r="N106" s="84">
        <v>62</v>
      </c>
      <c r="O106" s="5">
        <f t="shared" si="5"/>
        <v>541</v>
      </c>
      <c r="P106" s="6">
        <f t="shared" si="4"/>
        <v>2</v>
      </c>
      <c r="Q106" s="5">
        <f t="shared" si="6"/>
        <v>100</v>
      </c>
      <c r="R106" s="5">
        <v>504.5</v>
      </c>
      <c r="S106" s="5">
        <v>189</v>
      </c>
      <c r="T106" s="5">
        <f t="shared" si="7"/>
        <v>89</v>
      </c>
    </row>
    <row r="107" spans="1:20">
      <c r="A107" s="1" t="s">
        <v>520</v>
      </c>
      <c r="B107" s="1" t="s">
        <v>3198</v>
      </c>
      <c r="C107" s="4" t="s">
        <v>19</v>
      </c>
      <c r="D107" s="1" t="s">
        <v>512</v>
      </c>
      <c r="E107" s="4" t="s">
        <v>522</v>
      </c>
      <c r="F107" s="84">
        <v>104</v>
      </c>
      <c r="G107" s="84">
        <v>39</v>
      </c>
      <c r="H107" s="84">
        <v>97</v>
      </c>
      <c r="I107" s="84">
        <v>49</v>
      </c>
      <c r="J107" s="84">
        <v>35</v>
      </c>
      <c r="K107" s="84">
        <v>67</v>
      </c>
      <c r="L107" s="84">
        <v>59</v>
      </c>
      <c r="M107" s="84">
        <v>59</v>
      </c>
      <c r="N107" s="84">
        <v>60</v>
      </c>
      <c r="O107" s="5">
        <f t="shared" si="5"/>
        <v>391</v>
      </c>
      <c r="P107" s="6">
        <f t="shared" si="4"/>
        <v>49</v>
      </c>
      <c r="Q107" s="5">
        <f t="shared" si="6"/>
        <v>797</v>
      </c>
      <c r="R107" s="5">
        <v>433</v>
      </c>
      <c r="S107" s="5">
        <v>562</v>
      </c>
      <c r="T107" s="5">
        <f t="shared" si="7"/>
        <v>-235</v>
      </c>
    </row>
    <row r="108" spans="1:20">
      <c r="A108" s="1" t="s">
        <v>523</v>
      </c>
      <c r="B108" s="1" t="s">
        <v>3198</v>
      </c>
      <c r="C108" s="4" t="s">
        <v>19</v>
      </c>
      <c r="D108" s="1" t="s">
        <v>515</v>
      </c>
      <c r="E108" s="4" t="s">
        <v>525</v>
      </c>
      <c r="F108" s="84">
        <v>99</v>
      </c>
      <c r="G108" s="84">
        <v>87</v>
      </c>
      <c r="H108" s="84">
        <v>72.5</v>
      </c>
      <c r="I108" s="84">
        <v>69</v>
      </c>
      <c r="J108" s="84">
        <v>62</v>
      </c>
      <c r="K108" s="84">
        <v>60</v>
      </c>
      <c r="L108" s="84">
        <v>75</v>
      </c>
      <c r="M108" s="84">
        <v>64</v>
      </c>
      <c r="N108" s="84">
        <v>51</v>
      </c>
      <c r="O108" s="5">
        <f t="shared" si="5"/>
        <v>449.5</v>
      </c>
      <c r="P108" s="6">
        <f t="shared" si="4"/>
        <v>26</v>
      </c>
      <c r="Q108" s="5">
        <f t="shared" si="6"/>
        <v>516</v>
      </c>
      <c r="R108" s="5">
        <v>465</v>
      </c>
      <c r="S108" s="5">
        <v>391</v>
      </c>
      <c r="T108" s="5">
        <f t="shared" si="7"/>
        <v>-125</v>
      </c>
    </row>
    <row r="109" spans="1:20">
      <c r="A109" s="1" t="s">
        <v>526</v>
      </c>
      <c r="B109" s="1" t="s">
        <v>3198</v>
      </c>
      <c r="C109" s="4" t="s">
        <v>19</v>
      </c>
      <c r="D109" s="1" t="s">
        <v>518</v>
      </c>
      <c r="E109" s="4" t="s">
        <v>528</v>
      </c>
      <c r="F109" s="84">
        <v>88</v>
      </c>
      <c r="G109" s="84">
        <v>75</v>
      </c>
      <c r="H109" s="84">
        <v>86.5</v>
      </c>
      <c r="I109" s="84">
        <v>97</v>
      </c>
      <c r="J109" s="84">
        <v>60</v>
      </c>
      <c r="K109" s="84">
        <v>76</v>
      </c>
      <c r="L109" s="84">
        <v>58</v>
      </c>
      <c r="M109" s="84">
        <v>64</v>
      </c>
      <c r="N109" s="84">
        <v>63</v>
      </c>
      <c r="O109" s="5">
        <f t="shared" si="5"/>
        <v>482.5</v>
      </c>
      <c r="P109" s="6">
        <f t="shared" si="4"/>
        <v>16</v>
      </c>
      <c r="Q109" s="5">
        <f t="shared" si="6"/>
        <v>323</v>
      </c>
      <c r="R109" s="5">
        <v>479</v>
      </c>
      <c r="S109" s="5">
        <v>313</v>
      </c>
      <c r="T109" s="5">
        <f t="shared" si="7"/>
        <v>-10</v>
      </c>
    </row>
    <row r="110" spans="1:20">
      <c r="A110" s="1" t="s">
        <v>529</v>
      </c>
      <c r="B110" s="1" t="s">
        <v>3198</v>
      </c>
      <c r="C110" s="4" t="s">
        <v>19</v>
      </c>
      <c r="D110" s="1" t="s">
        <v>521</v>
      </c>
      <c r="E110" s="4" t="s">
        <v>531</v>
      </c>
      <c r="F110" s="84">
        <v>97</v>
      </c>
      <c r="G110" s="84">
        <v>61</v>
      </c>
      <c r="H110" s="84">
        <v>100</v>
      </c>
      <c r="I110" s="84">
        <v>56</v>
      </c>
      <c r="J110" s="84">
        <v>42</v>
      </c>
      <c r="K110" s="84">
        <v>47</v>
      </c>
      <c r="L110" s="84">
        <v>67</v>
      </c>
      <c r="M110" s="84">
        <v>58</v>
      </c>
      <c r="N110" s="84">
        <v>43</v>
      </c>
      <c r="O110" s="5">
        <f t="shared" si="5"/>
        <v>403</v>
      </c>
      <c r="P110" s="6">
        <f t="shared" si="4"/>
        <v>44</v>
      </c>
      <c r="Q110" s="5">
        <f t="shared" si="6"/>
        <v>751</v>
      </c>
      <c r="R110" s="5">
        <v>395</v>
      </c>
      <c r="S110" s="5">
        <v>750</v>
      </c>
      <c r="T110" s="5">
        <f t="shared" si="7"/>
        <v>-1</v>
      </c>
    </row>
    <row r="111" spans="1:20">
      <c r="A111" s="1">
        <v>20181087</v>
      </c>
      <c r="B111" s="1" t="s">
        <v>3198</v>
      </c>
      <c r="C111" s="4" t="s">
        <v>19</v>
      </c>
      <c r="D111" s="1" t="s">
        <v>524</v>
      </c>
      <c r="E111" s="4" t="s">
        <v>3250</v>
      </c>
      <c r="F111" s="84">
        <v>94</v>
      </c>
      <c r="G111" s="84">
        <v>60</v>
      </c>
      <c r="H111" s="84">
        <v>81.5</v>
      </c>
      <c r="I111" s="84">
        <v>58</v>
      </c>
      <c r="J111" s="84">
        <v>41</v>
      </c>
      <c r="K111" s="84">
        <v>75</v>
      </c>
      <c r="L111" s="84">
        <v>66</v>
      </c>
      <c r="M111" s="84">
        <v>67</v>
      </c>
      <c r="N111" s="84">
        <v>65</v>
      </c>
      <c r="O111" s="5">
        <f t="shared" si="5"/>
        <v>409.5</v>
      </c>
      <c r="P111" s="6">
        <f t="shared" si="4"/>
        <v>40</v>
      </c>
      <c r="Q111" s="5">
        <f t="shared" si="6"/>
        <v>723</v>
      </c>
      <c r="R111" s="5">
        <v>359</v>
      </c>
      <c r="S111" s="5">
        <v>860</v>
      </c>
      <c r="T111" s="5">
        <f t="shared" si="7"/>
        <v>137</v>
      </c>
    </row>
    <row r="112" spans="1:20">
      <c r="A112" s="1">
        <v>20181090</v>
      </c>
      <c r="B112" s="1" t="s">
        <v>3198</v>
      </c>
      <c r="C112" s="4" t="s">
        <v>19</v>
      </c>
      <c r="D112" s="1" t="s">
        <v>527</v>
      </c>
      <c r="E112" s="4" t="s">
        <v>3252</v>
      </c>
      <c r="F112" s="84">
        <v>110</v>
      </c>
      <c r="G112" s="84">
        <v>65</v>
      </c>
      <c r="H112" s="84">
        <v>100</v>
      </c>
      <c r="I112" s="84">
        <v>53</v>
      </c>
      <c r="J112" s="84">
        <v>50</v>
      </c>
      <c r="K112" s="84">
        <v>72</v>
      </c>
      <c r="L112" s="84">
        <v>81</v>
      </c>
      <c r="M112" s="84">
        <v>75</v>
      </c>
      <c r="N112" s="84">
        <v>57</v>
      </c>
      <c r="O112" s="5">
        <f t="shared" si="5"/>
        <v>450</v>
      </c>
      <c r="P112" s="6">
        <f t="shared" si="4"/>
        <v>25</v>
      </c>
      <c r="Q112" s="5">
        <f t="shared" si="6"/>
        <v>514</v>
      </c>
      <c r="R112" s="5">
        <v>444</v>
      </c>
      <c r="S112" s="5">
        <v>506</v>
      </c>
      <c r="T112" s="5">
        <f t="shared" si="7"/>
        <v>-8</v>
      </c>
    </row>
    <row r="113" spans="1:20">
      <c r="A113" s="1" t="s">
        <v>532</v>
      </c>
      <c r="B113" s="1" t="s">
        <v>3198</v>
      </c>
      <c r="C113" s="4" t="s">
        <v>17</v>
      </c>
      <c r="D113" s="1" t="s">
        <v>533</v>
      </c>
      <c r="E113" s="4" t="s">
        <v>534</v>
      </c>
      <c r="F113" s="84">
        <v>105</v>
      </c>
      <c r="G113" s="84">
        <v>75</v>
      </c>
      <c r="H113" s="84">
        <v>82.5</v>
      </c>
      <c r="I113" s="84">
        <v>77</v>
      </c>
      <c r="J113" s="84">
        <v>51</v>
      </c>
      <c r="K113" s="84">
        <v>74</v>
      </c>
      <c r="L113" s="84">
        <v>85</v>
      </c>
      <c r="M113" s="84">
        <v>70</v>
      </c>
      <c r="N113" s="84">
        <v>60</v>
      </c>
      <c r="O113" s="5">
        <f t="shared" si="5"/>
        <v>464.5</v>
      </c>
      <c r="P113" s="6">
        <f>RANK(O113,$O$113:$O$169)</f>
        <v>23</v>
      </c>
      <c r="Q113" s="5">
        <f t="shared" si="6"/>
        <v>424</v>
      </c>
      <c r="R113" s="5">
        <v>472</v>
      </c>
      <c r="S113" s="5">
        <v>352</v>
      </c>
      <c r="T113" s="5">
        <f t="shared" si="7"/>
        <v>-72</v>
      </c>
    </row>
    <row r="114" spans="1:20">
      <c r="A114" s="1" t="s">
        <v>535</v>
      </c>
      <c r="B114" s="1" t="s">
        <v>3198</v>
      </c>
      <c r="C114" s="4" t="s">
        <v>17</v>
      </c>
      <c r="D114" s="1" t="s">
        <v>536</v>
      </c>
      <c r="E114" s="4" t="s">
        <v>537</v>
      </c>
      <c r="F114" s="84">
        <v>91</v>
      </c>
      <c r="G114" s="84">
        <v>87</v>
      </c>
      <c r="H114" s="84">
        <v>39</v>
      </c>
      <c r="I114" s="84">
        <v>66</v>
      </c>
      <c r="J114" s="84">
        <v>73</v>
      </c>
      <c r="K114" s="84">
        <v>78</v>
      </c>
      <c r="L114" s="84">
        <v>58</v>
      </c>
      <c r="M114" s="84">
        <v>71</v>
      </c>
      <c r="N114" s="84">
        <v>53</v>
      </c>
      <c r="O114" s="5">
        <f t="shared" si="5"/>
        <v>434</v>
      </c>
      <c r="P114" s="6">
        <f t="shared" ref="P114:P169" si="8">RANK(O114,$O$113:$O$169)</f>
        <v>38</v>
      </c>
      <c r="Q114" s="5">
        <f t="shared" si="6"/>
        <v>604</v>
      </c>
      <c r="R114" s="5">
        <v>453</v>
      </c>
      <c r="S114" s="5">
        <v>451</v>
      </c>
      <c r="T114" s="5">
        <f t="shared" si="7"/>
        <v>-153</v>
      </c>
    </row>
    <row r="115" spans="1:20">
      <c r="A115" s="1" t="s">
        <v>538</v>
      </c>
      <c r="B115" s="1" t="s">
        <v>3198</v>
      </c>
      <c r="C115" s="4" t="s">
        <v>17</v>
      </c>
      <c r="D115" s="1" t="s">
        <v>539</v>
      </c>
      <c r="E115" s="4" t="s">
        <v>540</v>
      </c>
      <c r="F115" s="84">
        <v>113</v>
      </c>
      <c r="G115" s="84">
        <v>83</v>
      </c>
      <c r="H115" s="84">
        <v>116</v>
      </c>
      <c r="I115" s="84">
        <v>70</v>
      </c>
      <c r="J115" s="84">
        <v>49</v>
      </c>
      <c r="K115" s="84">
        <v>78</v>
      </c>
      <c r="L115" s="84">
        <v>91</v>
      </c>
      <c r="M115" s="84">
        <v>73</v>
      </c>
      <c r="N115" s="84">
        <v>59</v>
      </c>
      <c r="O115" s="5">
        <f t="shared" si="5"/>
        <v>509</v>
      </c>
      <c r="P115" s="6">
        <f t="shared" si="8"/>
        <v>10</v>
      </c>
      <c r="Q115" s="5">
        <f t="shared" si="6"/>
        <v>209</v>
      </c>
      <c r="R115" s="5">
        <v>530</v>
      </c>
      <c r="S115" s="5">
        <v>103</v>
      </c>
      <c r="T115" s="5">
        <f t="shared" si="7"/>
        <v>-106</v>
      </c>
    </row>
    <row r="116" spans="1:20">
      <c r="A116" s="1" t="s">
        <v>1557</v>
      </c>
      <c r="B116" s="1" t="s">
        <v>3198</v>
      </c>
      <c r="C116" s="4" t="s">
        <v>17</v>
      </c>
      <c r="D116" s="1" t="s">
        <v>542</v>
      </c>
      <c r="E116" s="4" t="s">
        <v>1559</v>
      </c>
      <c r="F116" s="84">
        <v>102</v>
      </c>
      <c r="G116" s="84">
        <v>63</v>
      </c>
      <c r="H116" s="84">
        <v>112.5</v>
      </c>
      <c r="I116" s="84">
        <v>88</v>
      </c>
      <c r="J116" s="84">
        <v>81</v>
      </c>
      <c r="K116" s="84">
        <v>81</v>
      </c>
      <c r="L116" s="84">
        <v>76</v>
      </c>
      <c r="M116" s="84">
        <v>70</v>
      </c>
      <c r="N116" s="84">
        <v>62</v>
      </c>
      <c r="O116" s="5">
        <f t="shared" si="5"/>
        <v>527.5</v>
      </c>
      <c r="P116" s="6">
        <f t="shared" si="8"/>
        <v>5</v>
      </c>
      <c r="Q116" s="5">
        <f t="shared" si="6"/>
        <v>139</v>
      </c>
      <c r="R116" s="5">
        <v>549</v>
      </c>
      <c r="S116" s="5">
        <v>63</v>
      </c>
      <c r="T116" s="5">
        <f t="shared" si="7"/>
        <v>-76</v>
      </c>
    </row>
    <row r="117" spans="1:20">
      <c r="A117" s="1" t="s">
        <v>543</v>
      </c>
      <c r="B117" s="1" t="s">
        <v>3198</v>
      </c>
      <c r="C117" s="4" t="s">
        <v>17</v>
      </c>
      <c r="D117" s="1" t="s">
        <v>544</v>
      </c>
      <c r="E117" s="4" t="s">
        <v>168</v>
      </c>
      <c r="F117" s="84">
        <v>118</v>
      </c>
      <c r="G117" s="84">
        <v>65</v>
      </c>
      <c r="H117" s="84">
        <v>116.5</v>
      </c>
      <c r="I117" s="84">
        <v>62</v>
      </c>
      <c r="J117" s="84">
        <v>62</v>
      </c>
      <c r="K117" s="84">
        <v>76</v>
      </c>
      <c r="L117" s="84">
        <v>81</v>
      </c>
      <c r="M117" s="84">
        <v>76</v>
      </c>
      <c r="N117" s="84">
        <v>47</v>
      </c>
      <c r="O117" s="5">
        <f t="shared" si="5"/>
        <v>499.5</v>
      </c>
      <c r="P117" s="6">
        <f t="shared" si="8"/>
        <v>12</v>
      </c>
      <c r="Q117" s="5">
        <f t="shared" si="6"/>
        <v>250</v>
      </c>
      <c r="R117" s="5">
        <v>520</v>
      </c>
      <c r="S117" s="5">
        <v>136</v>
      </c>
      <c r="T117" s="5">
        <f t="shared" si="7"/>
        <v>-114</v>
      </c>
    </row>
    <row r="118" spans="1:20">
      <c r="A118" s="1" t="s">
        <v>1726</v>
      </c>
      <c r="B118" s="1" t="s">
        <v>3198</v>
      </c>
      <c r="C118" s="4" t="s">
        <v>17</v>
      </c>
      <c r="D118" s="1" t="s">
        <v>546</v>
      </c>
      <c r="E118" s="4" t="s">
        <v>1728</v>
      </c>
      <c r="F118" s="84">
        <v>121</v>
      </c>
      <c r="G118" s="84">
        <v>94</v>
      </c>
      <c r="H118" s="84">
        <v>95.5</v>
      </c>
      <c r="I118" s="84">
        <v>81</v>
      </c>
      <c r="J118" s="84">
        <v>54</v>
      </c>
      <c r="K118" s="84">
        <v>73</v>
      </c>
      <c r="L118" s="84">
        <v>76</v>
      </c>
      <c r="M118" s="84">
        <v>76</v>
      </c>
      <c r="N118" s="84">
        <v>54</v>
      </c>
      <c r="O118" s="5">
        <f t="shared" si="5"/>
        <v>518.5</v>
      </c>
      <c r="P118" s="6">
        <f t="shared" si="8"/>
        <v>6</v>
      </c>
      <c r="Q118" s="5">
        <f t="shared" si="6"/>
        <v>171</v>
      </c>
      <c r="R118" s="5">
        <v>489.5</v>
      </c>
      <c r="S118" s="5">
        <v>261</v>
      </c>
      <c r="T118" s="5">
        <f t="shared" si="7"/>
        <v>90</v>
      </c>
    </row>
    <row r="119" spans="1:20">
      <c r="A119" s="1" t="s">
        <v>547</v>
      </c>
      <c r="B119" s="1" t="s">
        <v>3198</v>
      </c>
      <c r="C119" s="4" t="s">
        <v>17</v>
      </c>
      <c r="D119" s="1" t="s">
        <v>548</v>
      </c>
      <c r="E119" s="4" t="s">
        <v>549</v>
      </c>
      <c r="F119" s="84">
        <v>105</v>
      </c>
      <c r="G119" s="84">
        <v>82</v>
      </c>
      <c r="H119" s="84">
        <v>93</v>
      </c>
      <c r="I119" s="84">
        <v>71</v>
      </c>
      <c r="J119" s="84">
        <v>56</v>
      </c>
      <c r="K119" s="84">
        <v>67</v>
      </c>
      <c r="L119" s="84">
        <v>75</v>
      </c>
      <c r="M119" s="84">
        <v>67</v>
      </c>
      <c r="N119" s="84">
        <v>55</v>
      </c>
      <c r="O119" s="5">
        <f t="shared" si="5"/>
        <v>474</v>
      </c>
      <c r="P119" s="6">
        <f t="shared" si="8"/>
        <v>21</v>
      </c>
      <c r="Q119" s="5">
        <f t="shared" si="6"/>
        <v>373</v>
      </c>
      <c r="R119" s="5">
        <v>431</v>
      </c>
      <c r="S119" s="5">
        <v>569</v>
      </c>
      <c r="T119" s="5">
        <f t="shared" si="7"/>
        <v>196</v>
      </c>
    </row>
    <row r="120" spans="1:20">
      <c r="A120" s="1" t="s">
        <v>550</v>
      </c>
      <c r="B120" s="1" t="s">
        <v>3198</v>
      </c>
      <c r="C120" s="4" t="s">
        <v>17</v>
      </c>
      <c r="D120" s="1" t="s">
        <v>551</v>
      </c>
      <c r="E120" s="4" t="s">
        <v>552</v>
      </c>
      <c r="F120" s="84">
        <v>101</v>
      </c>
      <c r="G120" s="84">
        <v>50</v>
      </c>
      <c r="H120" s="84">
        <v>77</v>
      </c>
      <c r="I120" s="84">
        <v>80</v>
      </c>
      <c r="J120" s="84">
        <v>46</v>
      </c>
      <c r="K120" s="84">
        <v>71</v>
      </c>
      <c r="L120" s="84">
        <v>65</v>
      </c>
      <c r="M120" s="84">
        <v>68</v>
      </c>
      <c r="N120" s="84">
        <v>57</v>
      </c>
      <c r="O120" s="5">
        <f t="shared" si="5"/>
        <v>425</v>
      </c>
      <c r="P120" s="6">
        <f t="shared" si="8"/>
        <v>43</v>
      </c>
      <c r="Q120" s="5">
        <f t="shared" si="6"/>
        <v>651</v>
      </c>
      <c r="R120" s="5">
        <v>362</v>
      </c>
      <c r="S120" s="5">
        <v>855</v>
      </c>
      <c r="T120" s="5">
        <f t="shared" si="7"/>
        <v>204</v>
      </c>
    </row>
    <row r="121" spans="1:20">
      <c r="A121" s="1" t="s">
        <v>553</v>
      </c>
      <c r="B121" s="1" t="s">
        <v>3198</v>
      </c>
      <c r="C121" s="4" t="s">
        <v>17</v>
      </c>
      <c r="D121" s="1" t="s">
        <v>554</v>
      </c>
      <c r="E121" s="4" t="s">
        <v>555</v>
      </c>
      <c r="F121" s="84">
        <v>97</v>
      </c>
      <c r="G121" s="84">
        <v>77</v>
      </c>
      <c r="H121" s="84">
        <v>85</v>
      </c>
      <c r="I121" s="84">
        <v>71</v>
      </c>
      <c r="J121" s="84">
        <v>51</v>
      </c>
      <c r="K121" s="84">
        <v>66</v>
      </c>
      <c r="L121" s="84">
        <v>60</v>
      </c>
      <c r="M121" s="84">
        <v>60</v>
      </c>
      <c r="N121" s="84">
        <v>46</v>
      </c>
      <c r="O121" s="5">
        <f t="shared" si="5"/>
        <v>447</v>
      </c>
      <c r="P121" s="6">
        <f t="shared" si="8"/>
        <v>31</v>
      </c>
      <c r="Q121" s="5">
        <f t="shared" si="6"/>
        <v>531</v>
      </c>
      <c r="R121" s="5">
        <v>449.5</v>
      </c>
      <c r="S121" s="5">
        <v>468</v>
      </c>
      <c r="T121" s="5">
        <f t="shared" si="7"/>
        <v>-63</v>
      </c>
    </row>
    <row r="122" spans="1:20">
      <c r="A122" s="1" t="s">
        <v>556</v>
      </c>
      <c r="B122" s="1" t="s">
        <v>3198</v>
      </c>
      <c r="C122" s="4" t="s">
        <v>17</v>
      </c>
      <c r="D122" s="1" t="s">
        <v>557</v>
      </c>
      <c r="E122" s="4" t="s">
        <v>558</v>
      </c>
      <c r="F122" s="84">
        <v>60</v>
      </c>
      <c r="G122" s="84">
        <v>44</v>
      </c>
      <c r="H122" s="84">
        <v>58</v>
      </c>
      <c r="I122" s="84">
        <v>42</v>
      </c>
      <c r="J122" s="84">
        <v>45</v>
      </c>
      <c r="K122" s="84">
        <v>40</v>
      </c>
      <c r="L122" s="84">
        <v>50</v>
      </c>
      <c r="M122" s="84">
        <v>69</v>
      </c>
      <c r="N122" s="84">
        <v>59</v>
      </c>
      <c r="O122" s="5">
        <f t="shared" si="5"/>
        <v>289</v>
      </c>
      <c r="P122" s="6">
        <f t="shared" si="8"/>
        <v>57</v>
      </c>
      <c r="Q122" s="5">
        <f t="shared" si="6"/>
        <v>930</v>
      </c>
      <c r="R122" s="5">
        <v>263.5</v>
      </c>
      <c r="S122" s="5">
        <v>931</v>
      </c>
      <c r="T122" s="5">
        <f t="shared" si="7"/>
        <v>1</v>
      </c>
    </row>
    <row r="123" spans="1:20">
      <c r="A123" s="1" t="s">
        <v>559</v>
      </c>
      <c r="B123" s="1" t="s">
        <v>3198</v>
      </c>
      <c r="C123" s="4" t="s">
        <v>17</v>
      </c>
      <c r="D123" s="1" t="s">
        <v>560</v>
      </c>
      <c r="E123" s="4" t="s">
        <v>561</v>
      </c>
      <c r="F123" s="84">
        <v>112</v>
      </c>
      <c r="G123" s="84">
        <v>63</v>
      </c>
      <c r="H123" s="84">
        <v>104.5</v>
      </c>
      <c r="I123" s="84">
        <v>40</v>
      </c>
      <c r="J123" s="84">
        <v>47</v>
      </c>
      <c r="K123" s="84">
        <v>61</v>
      </c>
      <c r="L123" s="84">
        <v>70</v>
      </c>
      <c r="M123" s="84">
        <v>62</v>
      </c>
      <c r="N123" s="84">
        <v>59</v>
      </c>
      <c r="O123" s="5">
        <f t="shared" si="5"/>
        <v>427.5</v>
      </c>
      <c r="P123" s="6">
        <f t="shared" si="8"/>
        <v>40</v>
      </c>
      <c r="Q123" s="5">
        <f t="shared" si="6"/>
        <v>639</v>
      </c>
      <c r="R123" s="5">
        <v>395.5</v>
      </c>
      <c r="S123" s="5">
        <v>748</v>
      </c>
      <c r="T123" s="5">
        <f t="shared" si="7"/>
        <v>109</v>
      </c>
    </row>
    <row r="124" spans="1:20">
      <c r="A124" s="1" t="s">
        <v>562</v>
      </c>
      <c r="B124" s="1" t="s">
        <v>3198</v>
      </c>
      <c r="C124" s="4" t="s">
        <v>17</v>
      </c>
      <c r="D124" s="1" t="s">
        <v>563</v>
      </c>
      <c r="E124" s="4" t="s">
        <v>564</v>
      </c>
      <c r="F124" s="84">
        <v>106</v>
      </c>
      <c r="G124" s="84">
        <v>71</v>
      </c>
      <c r="H124" s="84">
        <v>83.5</v>
      </c>
      <c r="I124" s="84">
        <v>41</v>
      </c>
      <c r="J124" s="84">
        <v>53</v>
      </c>
      <c r="K124" s="84">
        <v>76</v>
      </c>
      <c r="L124" s="84">
        <v>80</v>
      </c>
      <c r="M124" s="84">
        <v>71</v>
      </c>
      <c r="N124" s="84">
        <v>69</v>
      </c>
      <c r="O124" s="5">
        <f t="shared" si="5"/>
        <v>430.5</v>
      </c>
      <c r="P124" s="6">
        <f t="shared" si="8"/>
        <v>39</v>
      </c>
      <c r="Q124" s="5">
        <f t="shared" si="6"/>
        <v>620</v>
      </c>
      <c r="R124" s="5">
        <v>400.5</v>
      </c>
      <c r="S124" s="5">
        <v>726</v>
      </c>
      <c r="T124" s="5">
        <f t="shared" si="7"/>
        <v>106</v>
      </c>
    </row>
    <row r="125" spans="1:20">
      <c r="A125" s="1" t="s">
        <v>565</v>
      </c>
      <c r="B125" s="1" t="s">
        <v>3198</v>
      </c>
      <c r="C125" s="4" t="s">
        <v>17</v>
      </c>
      <c r="D125" s="1" t="s">
        <v>566</v>
      </c>
      <c r="E125" s="4" t="s">
        <v>567</v>
      </c>
      <c r="F125" s="84">
        <v>112</v>
      </c>
      <c r="G125" s="84">
        <v>90</v>
      </c>
      <c r="H125" s="84">
        <v>93.5</v>
      </c>
      <c r="I125" s="84">
        <v>69</v>
      </c>
      <c r="J125" s="84">
        <v>67</v>
      </c>
      <c r="K125" s="84">
        <v>79</v>
      </c>
      <c r="L125" s="84">
        <v>72</v>
      </c>
      <c r="M125" s="84">
        <v>71</v>
      </c>
      <c r="N125" s="84">
        <v>45</v>
      </c>
      <c r="O125" s="5">
        <f t="shared" si="5"/>
        <v>510.5</v>
      </c>
      <c r="P125" s="6">
        <f t="shared" si="8"/>
        <v>8</v>
      </c>
      <c r="Q125" s="5">
        <f t="shared" si="6"/>
        <v>203</v>
      </c>
      <c r="R125" s="5">
        <v>482.5</v>
      </c>
      <c r="S125" s="5">
        <v>294</v>
      </c>
      <c r="T125" s="5">
        <f t="shared" si="7"/>
        <v>91</v>
      </c>
    </row>
    <row r="126" spans="1:20">
      <c r="A126" s="1" t="s">
        <v>568</v>
      </c>
      <c r="B126" s="1" t="s">
        <v>3198</v>
      </c>
      <c r="C126" s="4" t="s">
        <v>17</v>
      </c>
      <c r="D126" s="1" t="s">
        <v>569</v>
      </c>
      <c r="E126" s="4" t="s">
        <v>570</v>
      </c>
      <c r="F126" s="84">
        <v>98</v>
      </c>
      <c r="G126" s="84">
        <v>104</v>
      </c>
      <c r="H126" s="84">
        <v>54</v>
      </c>
      <c r="I126" s="84">
        <v>80</v>
      </c>
      <c r="J126" s="84">
        <v>53</v>
      </c>
      <c r="K126" s="84">
        <v>52</v>
      </c>
      <c r="L126" s="84">
        <v>64</v>
      </c>
      <c r="M126" s="84">
        <v>42</v>
      </c>
      <c r="N126" s="84">
        <v>49</v>
      </c>
      <c r="O126" s="5">
        <f t="shared" si="5"/>
        <v>441</v>
      </c>
      <c r="P126" s="6">
        <f t="shared" si="8"/>
        <v>35</v>
      </c>
      <c r="Q126" s="5">
        <f t="shared" si="6"/>
        <v>565</v>
      </c>
      <c r="R126" s="5">
        <v>371.5</v>
      </c>
      <c r="S126" s="5">
        <v>834</v>
      </c>
      <c r="T126" s="5">
        <f t="shared" si="7"/>
        <v>269</v>
      </c>
    </row>
    <row r="127" spans="1:20">
      <c r="A127" s="1" t="s">
        <v>571</v>
      </c>
      <c r="B127" s="1" t="s">
        <v>3198</v>
      </c>
      <c r="C127" s="4" t="s">
        <v>17</v>
      </c>
      <c r="D127" s="1" t="s">
        <v>572</v>
      </c>
      <c r="E127" s="4" t="s">
        <v>573</v>
      </c>
      <c r="F127" s="84">
        <v>116</v>
      </c>
      <c r="G127" s="84">
        <v>60</v>
      </c>
      <c r="H127" s="84">
        <v>97.5</v>
      </c>
      <c r="I127" s="84">
        <v>52</v>
      </c>
      <c r="J127" s="84">
        <v>46</v>
      </c>
      <c r="K127" s="84">
        <v>63</v>
      </c>
      <c r="L127" s="84">
        <v>75</v>
      </c>
      <c r="M127" s="84">
        <v>66</v>
      </c>
      <c r="N127" s="84">
        <v>54</v>
      </c>
      <c r="O127" s="5">
        <f t="shared" si="5"/>
        <v>434.5</v>
      </c>
      <c r="P127" s="6">
        <f t="shared" si="8"/>
        <v>37</v>
      </c>
      <c r="Q127" s="5">
        <f t="shared" si="6"/>
        <v>600</v>
      </c>
      <c r="R127" s="5">
        <v>428.5</v>
      </c>
      <c r="S127" s="5">
        <v>582</v>
      </c>
      <c r="T127" s="5">
        <f t="shared" si="7"/>
        <v>-18</v>
      </c>
    </row>
    <row r="128" spans="1:20">
      <c r="A128" s="1" t="s">
        <v>574</v>
      </c>
      <c r="B128" s="1" t="s">
        <v>3198</v>
      </c>
      <c r="C128" s="4" t="s">
        <v>17</v>
      </c>
      <c r="D128" s="1" t="s">
        <v>575</v>
      </c>
      <c r="E128" s="4" t="s">
        <v>576</v>
      </c>
      <c r="F128" s="84">
        <v>97</v>
      </c>
      <c r="G128" s="84">
        <v>93</v>
      </c>
      <c r="H128" s="84">
        <v>108</v>
      </c>
      <c r="I128" s="84">
        <v>80</v>
      </c>
      <c r="J128" s="84">
        <v>49</v>
      </c>
      <c r="K128" s="84">
        <v>70</v>
      </c>
      <c r="L128" s="84">
        <v>77</v>
      </c>
      <c r="M128" s="84">
        <v>66</v>
      </c>
      <c r="N128" s="84">
        <v>54</v>
      </c>
      <c r="O128" s="5">
        <f t="shared" si="5"/>
        <v>497</v>
      </c>
      <c r="P128" s="6">
        <f t="shared" si="8"/>
        <v>14</v>
      </c>
      <c r="Q128" s="5">
        <f t="shared" si="6"/>
        <v>258</v>
      </c>
      <c r="R128" s="5">
        <v>500</v>
      </c>
      <c r="S128" s="5">
        <v>211</v>
      </c>
      <c r="T128" s="5">
        <f t="shared" si="7"/>
        <v>-47</v>
      </c>
    </row>
    <row r="129" spans="1:20">
      <c r="A129" s="1" t="s">
        <v>577</v>
      </c>
      <c r="B129" s="1" t="s">
        <v>3198</v>
      </c>
      <c r="C129" s="4" t="s">
        <v>17</v>
      </c>
      <c r="D129" s="1" t="s">
        <v>578</v>
      </c>
      <c r="E129" s="4" t="s">
        <v>579</v>
      </c>
      <c r="F129" s="84">
        <v>87</v>
      </c>
      <c r="G129" s="84">
        <v>63</v>
      </c>
      <c r="H129" s="84">
        <v>65</v>
      </c>
      <c r="I129" s="84">
        <v>59</v>
      </c>
      <c r="J129" s="84">
        <v>51</v>
      </c>
      <c r="K129" s="84">
        <v>65</v>
      </c>
      <c r="L129" s="84">
        <v>66</v>
      </c>
      <c r="M129" s="84">
        <v>67</v>
      </c>
      <c r="N129" s="84">
        <v>57</v>
      </c>
      <c r="O129" s="5">
        <f t="shared" si="5"/>
        <v>390</v>
      </c>
      <c r="P129" s="6">
        <f t="shared" si="8"/>
        <v>52</v>
      </c>
      <c r="Q129" s="5">
        <f t="shared" si="6"/>
        <v>802</v>
      </c>
      <c r="R129" s="5">
        <v>321.5</v>
      </c>
      <c r="S129" s="5">
        <v>915</v>
      </c>
      <c r="T129" s="5">
        <f t="shared" si="7"/>
        <v>113</v>
      </c>
    </row>
    <row r="130" spans="1:20">
      <c r="A130" s="1" t="s">
        <v>580</v>
      </c>
      <c r="B130" s="1" t="s">
        <v>3198</v>
      </c>
      <c r="C130" s="4" t="s">
        <v>17</v>
      </c>
      <c r="D130" s="1" t="s">
        <v>581</v>
      </c>
      <c r="E130" s="4" t="s">
        <v>582</v>
      </c>
      <c r="F130" s="84">
        <v>94</v>
      </c>
      <c r="G130" s="84">
        <v>84</v>
      </c>
      <c r="H130" s="84">
        <v>85.5</v>
      </c>
      <c r="I130" s="84">
        <v>73</v>
      </c>
      <c r="J130" s="84">
        <v>57</v>
      </c>
      <c r="K130" s="84">
        <v>71</v>
      </c>
      <c r="L130" s="84">
        <v>71</v>
      </c>
      <c r="M130" s="84">
        <v>51</v>
      </c>
      <c r="N130" s="84">
        <v>52</v>
      </c>
      <c r="O130" s="5">
        <f t="shared" si="5"/>
        <v>464.5</v>
      </c>
      <c r="P130" s="6">
        <f t="shared" si="8"/>
        <v>23</v>
      </c>
      <c r="Q130" s="5">
        <f t="shared" si="6"/>
        <v>424</v>
      </c>
      <c r="R130" s="5">
        <v>476</v>
      </c>
      <c r="S130" s="5">
        <v>320</v>
      </c>
      <c r="T130" s="5">
        <f t="shared" si="7"/>
        <v>-104</v>
      </c>
    </row>
    <row r="131" spans="1:20">
      <c r="A131" s="1" t="s">
        <v>583</v>
      </c>
      <c r="B131" s="1" t="s">
        <v>3198</v>
      </c>
      <c r="C131" s="4" t="s">
        <v>17</v>
      </c>
      <c r="D131" s="1" t="s">
        <v>584</v>
      </c>
      <c r="E131" s="4" t="s">
        <v>585</v>
      </c>
      <c r="F131" s="84">
        <v>101</v>
      </c>
      <c r="G131" s="84">
        <v>80</v>
      </c>
      <c r="H131" s="84">
        <v>82</v>
      </c>
      <c r="I131" s="84">
        <v>51</v>
      </c>
      <c r="J131" s="84">
        <v>54</v>
      </c>
      <c r="K131" s="84">
        <v>84</v>
      </c>
      <c r="L131" s="84">
        <v>67</v>
      </c>
      <c r="M131" s="84">
        <v>64</v>
      </c>
      <c r="N131" s="84">
        <v>52</v>
      </c>
      <c r="O131" s="5">
        <f t="shared" si="5"/>
        <v>452</v>
      </c>
      <c r="P131" s="6">
        <f t="shared" si="8"/>
        <v>30</v>
      </c>
      <c r="Q131" s="5">
        <f t="shared" si="6"/>
        <v>503</v>
      </c>
      <c r="R131" s="5">
        <v>454</v>
      </c>
      <c r="S131" s="5">
        <v>445</v>
      </c>
      <c r="T131" s="5">
        <f t="shared" si="7"/>
        <v>-58</v>
      </c>
    </row>
    <row r="132" spans="1:20">
      <c r="A132" s="1" t="s">
        <v>586</v>
      </c>
      <c r="B132" s="1" t="s">
        <v>3198</v>
      </c>
      <c r="C132" s="4" t="s">
        <v>17</v>
      </c>
      <c r="D132" s="1" t="s">
        <v>587</v>
      </c>
      <c r="E132" s="4" t="s">
        <v>588</v>
      </c>
      <c r="F132" s="84">
        <v>98</v>
      </c>
      <c r="G132" s="84">
        <v>83</v>
      </c>
      <c r="H132" s="84">
        <v>93.5</v>
      </c>
      <c r="I132" s="84">
        <v>69</v>
      </c>
      <c r="J132" s="84">
        <v>46</v>
      </c>
      <c r="K132" s="84">
        <v>57</v>
      </c>
      <c r="L132" s="84">
        <v>73</v>
      </c>
      <c r="M132" s="84">
        <v>70</v>
      </c>
      <c r="N132" s="84">
        <v>47</v>
      </c>
      <c r="O132" s="5">
        <f t="shared" ref="O132:O195" si="9">SUM(F132:K132)</f>
        <v>446.5</v>
      </c>
      <c r="P132" s="6">
        <f t="shared" si="8"/>
        <v>32</v>
      </c>
      <c r="Q132" s="5">
        <f t="shared" ref="Q132:Q195" si="10">RANK(O132,$O$3:$O$936)</f>
        <v>534</v>
      </c>
      <c r="R132" s="5">
        <v>421.5</v>
      </c>
      <c r="S132" s="5">
        <v>627</v>
      </c>
      <c r="T132" s="5">
        <f t="shared" ref="T132:T195" si="11">S132-Q132</f>
        <v>93</v>
      </c>
    </row>
    <row r="133" spans="1:20">
      <c r="A133" s="1" t="s">
        <v>589</v>
      </c>
      <c r="B133" s="1" t="s">
        <v>3198</v>
      </c>
      <c r="C133" s="4" t="s">
        <v>17</v>
      </c>
      <c r="D133" s="1" t="s">
        <v>590</v>
      </c>
      <c r="E133" s="4" t="s">
        <v>591</v>
      </c>
      <c r="F133" s="84">
        <v>90</v>
      </c>
      <c r="G133" s="84">
        <v>59</v>
      </c>
      <c r="H133" s="84">
        <v>85</v>
      </c>
      <c r="I133" s="84">
        <v>63</v>
      </c>
      <c r="J133" s="84">
        <v>50</v>
      </c>
      <c r="K133" s="84">
        <v>77</v>
      </c>
      <c r="L133" s="84">
        <v>70</v>
      </c>
      <c r="M133" s="84">
        <v>76</v>
      </c>
      <c r="N133" s="84">
        <v>62</v>
      </c>
      <c r="O133" s="5">
        <f t="shared" si="9"/>
        <v>424</v>
      </c>
      <c r="P133" s="6">
        <f t="shared" si="8"/>
        <v>44</v>
      </c>
      <c r="Q133" s="5">
        <f t="shared" si="10"/>
        <v>655</v>
      </c>
      <c r="R133" s="5">
        <v>463</v>
      </c>
      <c r="S133" s="5">
        <v>398</v>
      </c>
      <c r="T133" s="5">
        <f t="shared" si="11"/>
        <v>-257</v>
      </c>
    </row>
    <row r="134" spans="1:20">
      <c r="A134" s="1" t="s">
        <v>592</v>
      </c>
      <c r="B134" s="1" t="s">
        <v>3198</v>
      </c>
      <c r="C134" s="4" t="s">
        <v>17</v>
      </c>
      <c r="D134" s="1" t="s">
        <v>593</v>
      </c>
      <c r="E134" s="4" t="s">
        <v>594</v>
      </c>
      <c r="F134" s="84">
        <v>115</v>
      </c>
      <c r="G134" s="84">
        <v>99</v>
      </c>
      <c r="H134" s="84">
        <v>97.5</v>
      </c>
      <c r="I134" s="84">
        <v>69</v>
      </c>
      <c r="J134" s="84">
        <v>65</v>
      </c>
      <c r="K134" s="84">
        <v>65</v>
      </c>
      <c r="L134" s="84">
        <v>64</v>
      </c>
      <c r="M134" s="84">
        <v>53</v>
      </c>
      <c r="N134" s="84">
        <v>52</v>
      </c>
      <c r="O134" s="5">
        <f t="shared" si="9"/>
        <v>510.5</v>
      </c>
      <c r="P134" s="6">
        <f t="shared" si="8"/>
        <v>8</v>
      </c>
      <c r="Q134" s="5">
        <f t="shared" si="10"/>
        <v>203</v>
      </c>
      <c r="R134" s="5">
        <v>425.5</v>
      </c>
      <c r="S134" s="5">
        <v>602</v>
      </c>
      <c r="T134" s="5">
        <f t="shared" si="11"/>
        <v>399</v>
      </c>
    </row>
    <row r="135" spans="1:20">
      <c r="A135" s="1" t="s">
        <v>595</v>
      </c>
      <c r="B135" s="1" t="s">
        <v>3198</v>
      </c>
      <c r="C135" s="4" t="s">
        <v>17</v>
      </c>
      <c r="D135" s="1" t="s">
        <v>596</v>
      </c>
      <c r="E135" s="4" t="s">
        <v>597</v>
      </c>
      <c r="F135" s="84">
        <v>109</v>
      </c>
      <c r="G135" s="84">
        <v>86</v>
      </c>
      <c r="H135" s="84">
        <v>92</v>
      </c>
      <c r="I135" s="84">
        <v>77</v>
      </c>
      <c r="J135" s="84">
        <v>71</v>
      </c>
      <c r="K135" s="84">
        <v>78</v>
      </c>
      <c r="L135" s="84">
        <v>80</v>
      </c>
      <c r="M135" s="84">
        <v>72</v>
      </c>
      <c r="N135" s="84">
        <v>57</v>
      </c>
      <c r="O135" s="5">
        <f t="shared" si="9"/>
        <v>513</v>
      </c>
      <c r="P135" s="6">
        <f t="shared" si="8"/>
        <v>7</v>
      </c>
      <c r="Q135" s="5">
        <f t="shared" si="10"/>
        <v>195</v>
      </c>
      <c r="R135" s="5">
        <v>469.5</v>
      </c>
      <c r="S135" s="5">
        <v>368</v>
      </c>
      <c r="T135" s="5">
        <f t="shared" si="11"/>
        <v>173</v>
      </c>
    </row>
    <row r="136" spans="1:20">
      <c r="A136" s="1" t="s">
        <v>598</v>
      </c>
      <c r="B136" s="1" t="s">
        <v>3198</v>
      </c>
      <c r="C136" s="4" t="s">
        <v>17</v>
      </c>
      <c r="D136" s="1" t="s">
        <v>599</v>
      </c>
      <c r="E136" s="4" t="s">
        <v>600</v>
      </c>
      <c r="F136" s="84">
        <v>84</v>
      </c>
      <c r="G136" s="84">
        <v>71</v>
      </c>
      <c r="H136" s="84">
        <v>75</v>
      </c>
      <c r="I136" s="84">
        <v>60</v>
      </c>
      <c r="J136" s="84">
        <v>60</v>
      </c>
      <c r="K136" s="84">
        <v>65</v>
      </c>
      <c r="L136" s="84">
        <v>53</v>
      </c>
      <c r="M136" s="84">
        <v>55</v>
      </c>
      <c r="N136" s="84">
        <v>47</v>
      </c>
      <c r="O136" s="5">
        <f t="shared" si="9"/>
        <v>415</v>
      </c>
      <c r="P136" s="6">
        <f t="shared" si="8"/>
        <v>48</v>
      </c>
      <c r="Q136" s="5">
        <f t="shared" si="10"/>
        <v>691</v>
      </c>
      <c r="R136" s="5">
        <v>355</v>
      </c>
      <c r="S136" s="5">
        <v>869</v>
      </c>
      <c r="T136" s="5">
        <f t="shared" si="11"/>
        <v>178</v>
      </c>
    </row>
    <row r="137" spans="1:20">
      <c r="A137" s="1" t="s">
        <v>601</v>
      </c>
      <c r="B137" s="1" t="s">
        <v>3198</v>
      </c>
      <c r="C137" s="4" t="s">
        <v>17</v>
      </c>
      <c r="D137" s="1" t="s">
        <v>602</v>
      </c>
      <c r="E137" s="4" t="s">
        <v>603</v>
      </c>
      <c r="F137" s="84">
        <v>99</v>
      </c>
      <c r="G137" s="84">
        <v>37</v>
      </c>
      <c r="H137" s="84">
        <v>92.5</v>
      </c>
      <c r="I137" s="84">
        <v>55</v>
      </c>
      <c r="J137" s="84">
        <v>24</v>
      </c>
      <c r="K137" s="84">
        <v>55</v>
      </c>
      <c r="L137" s="84">
        <v>54</v>
      </c>
      <c r="M137" s="84">
        <v>50</v>
      </c>
      <c r="N137" s="84">
        <v>41</v>
      </c>
      <c r="O137" s="5">
        <f t="shared" si="9"/>
        <v>362.5</v>
      </c>
      <c r="P137" s="6">
        <f t="shared" si="8"/>
        <v>55</v>
      </c>
      <c r="Q137" s="5">
        <f t="shared" si="10"/>
        <v>876</v>
      </c>
      <c r="R137" s="5">
        <v>341.5</v>
      </c>
      <c r="S137" s="5">
        <v>893</v>
      </c>
      <c r="T137" s="5">
        <f t="shared" si="11"/>
        <v>17</v>
      </c>
    </row>
    <row r="138" spans="1:20">
      <c r="A138" s="1" t="s">
        <v>604</v>
      </c>
      <c r="B138" s="1" t="s">
        <v>3198</v>
      </c>
      <c r="C138" s="4" t="s">
        <v>17</v>
      </c>
      <c r="D138" s="1" t="s">
        <v>605</v>
      </c>
      <c r="E138" s="4" t="s">
        <v>606</v>
      </c>
      <c r="F138" s="84">
        <v>110</v>
      </c>
      <c r="G138" s="84">
        <v>87</v>
      </c>
      <c r="H138" s="84">
        <v>88.5</v>
      </c>
      <c r="I138" s="84">
        <v>59</v>
      </c>
      <c r="J138" s="84">
        <v>44</v>
      </c>
      <c r="K138" s="84">
        <v>76</v>
      </c>
      <c r="L138" s="84">
        <v>65</v>
      </c>
      <c r="M138" s="84">
        <v>66</v>
      </c>
      <c r="N138" s="84">
        <v>47</v>
      </c>
      <c r="O138" s="5">
        <f t="shared" si="9"/>
        <v>464.5</v>
      </c>
      <c r="P138" s="6">
        <f t="shared" si="8"/>
        <v>23</v>
      </c>
      <c r="Q138" s="5">
        <f t="shared" si="10"/>
        <v>424</v>
      </c>
      <c r="R138" s="5">
        <v>443.5</v>
      </c>
      <c r="S138" s="5">
        <v>508</v>
      </c>
      <c r="T138" s="5">
        <f t="shared" si="11"/>
        <v>84</v>
      </c>
    </row>
    <row r="139" spans="1:20">
      <c r="A139" s="1" t="s">
        <v>607</v>
      </c>
      <c r="B139" s="1" t="s">
        <v>3198</v>
      </c>
      <c r="C139" s="4" t="s">
        <v>17</v>
      </c>
      <c r="D139" s="1" t="s">
        <v>608</v>
      </c>
      <c r="E139" s="4" t="s">
        <v>40</v>
      </c>
      <c r="F139" s="84">
        <v>100</v>
      </c>
      <c r="G139" s="84">
        <v>129</v>
      </c>
      <c r="H139" s="84">
        <v>76.5</v>
      </c>
      <c r="I139" s="84">
        <v>97</v>
      </c>
      <c r="J139" s="84">
        <v>79</v>
      </c>
      <c r="K139" s="84">
        <v>72</v>
      </c>
      <c r="L139" s="84">
        <v>60</v>
      </c>
      <c r="M139" s="84">
        <v>63</v>
      </c>
      <c r="N139" s="84">
        <v>42</v>
      </c>
      <c r="O139" s="5">
        <f t="shared" si="9"/>
        <v>553.5</v>
      </c>
      <c r="P139" s="6">
        <f t="shared" si="8"/>
        <v>1</v>
      </c>
      <c r="Q139" s="5">
        <f t="shared" si="10"/>
        <v>78</v>
      </c>
      <c r="R139" s="5">
        <v>523</v>
      </c>
      <c r="S139" s="5">
        <v>129</v>
      </c>
      <c r="T139" s="5">
        <f t="shared" si="11"/>
        <v>51</v>
      </c>
    </row>
    <row r="140" spans="1:20">
      <c r="A140" s="1" t="s">
        <v>1695</v>
      </c>
      <c r="B140" s="1" t="s">
        <v>3198</v>
      </c>
      <c r="C140" s="4" t="s">
        <v>17</v>
      </c>
      <c r="D140" s="1" t="s">
        <v>610</v>
      </c>
      <c r="E140" s="4" t="s">
        <v>1697</v>
      </c>
      <c r="F140" s="84">
        <v>102</v>
      </c>
      <c r="G140" s="84">
        <v>54</v>
      </c>
      <c r="H140" s="84">
        <v>89.5</v>
      </c>
      <c r="I140" s="84">
        <v>61</v>
      </c>
      <c r="J140" s="84">
        <v>31</v>
      </c>
      <c r="K140" s="84">
        <v>72</v>
      </c>
      <c r="L140" s="84">
        <v>80</v>
      </c>
      <c r="M140" s="84">
        <v>67</v>
      </c>
      <c r="N140" s="84">
        <v>51</v>
      </c>
      <c r="O140" s="5">
        <f t="shared" si="9"/>
        <v>409.5</v>
      </c>
      <c r="P140" s="6">
        <f t="shared" si="8"/>
        <v>50</v>
      </c>
      <c r="Q140" s="5">
        <f t="shared" si="10"/>
        <v>723</v>
      </c>
      <c r="R140" s="5">
        <v>356</v>
      </c>
      <c r="S140" s="5">
        <v>866</v>
      </c>
      <c r="T140" s="5">
        <f t="shared" si="11"/>
        <v>143</v>
      </c>
    </row>
    <row r="141" spans="1:20">
      <c r="A141" s="1" t="s">
        <v>612</v>
      </c>
      <c r="B141" s="1" t="s">
        <v>3198</v>
      </c>
      <c r="C141" s="4" t="s">
        <v>17</v>
      </c>
      <c r="D141" s="1" t="s">
        <v>613</v>
      </c>
      <c r="E141" s="4" t="s">
        <v>614</v>
      </c>
      <c r="F141" s="84">
        <v>90</v>
      </c>
      <c r="G141" s="84">
        <v>72</v>
      </c>
      <c r="H141" s="84">
        <v>72.5</v>
      </c>
      <c r="I141" s="84">
        <v>52</v>
      </c>
      <c r="J141" s="84">
        <v>35</v>
      </c>
      <c r="K141" s="84">
        <v>52</v>
      </c>
      <c r="L141" s="84">
        <v>66</v>
      </c>
      <c r="M141" s="84">
        <v>74</v>
      </c>
      <c r="N141" s="84">
        <v>62</v>
      </c>
      <c r="O141" s="5">
        <f t="shared" si="9"/>
        <v>373.5</v>
      </c>
      <c r="P141" s="6">
        <f t="shared" si="8"/>
        <v>53</v>
      </c>
      <c r="Q141" s="5">
        <f t="shared" si="10"/>
        <v>851</v>
      </c>
      <c r="R141" s="5">
        <v>398</v>
      </c>
      <c r="S141" s="5">
        <v>740</v>
      </c>
      <c r="T141" s="5">
        <f t="shared" si="11"/>
        <v>-111</v>
      </c>
    </row>
    <row r="142" spans="1:20">
      <c r="A142" s="1" t="s">
        <v>1636</v>
      </c>
      <c r="B142" s="1" t="s">
        <v>3198</v>
      </c>
      <c r="C142" s="4" t="s">
        <v>17</v>
      </c>
      <c r="D142" s="1" t="s">
        <v>616</v>
      </c>
      <c r="E142" s="4" t="s">
        <v>1638</v>
      </c>
      <c r="F142" s="84">
        <v>102</v>
      </c>
      <c r="G142" s="84">
        <v>55</v>
      </c>
      <c r="H142" s="84">
        <v>102.5</v>
      </c>
      <c r="I142" s="84">
        <v>54</v>
      </c>
      <c r="J142" s="84">
        <v>72</v>
      </c>
      <c r="K142" s="84">
        <v>68</v>
      </c>
      <c r="L142" s="84">
        <v>72</v>
      </c>
      <c r="M142" s="84">
        <v>72</v>
      </c>
      <c r="N142" s="84">
        <v>60</v>
      </c>
      <c r="O142" s="5">
        <f t="shared" si="9"/>
        <v>453.5</v>
      </c>
      <c r="P142" s="6">
        <f t="shared" si="8"/>
        <v>29</v>
      </c>
      <c r="Q142" s="5">
        <f t="shared" si="10"/>
        <v>491</v>
      </c>
      <c r="R142" s="5">
        <v>424</v>
      </c>
      <c r="S142" s="5">
        <v>612</v>
      </c>
      <c r="T142" s="5">
        <f t="shared" si="11"/>
        <v>121</v>
      </c>
    </row>
    <row r="143" spans="1:20">
      <c r="A143" s="1" t="s">
        <v>618</v>
      </c>
      <c r="B143" s="1" t="s">
        <v>3198</v>
      </c>
      <c r="C143" s="4" t="s">
        <v>17</v>
      </c>
      <c r="D143" s="1" t="s">
        <v>619</v>
      </c>
      <c r="E143" s="4" t="s">
        <v>620</v>
      </c>
      <c r="F143" s="84">
        <v>94</v>
      </c>
      <c r="G143" s="84">
        <v>61</v>
      </c>
      <c r="H143" s="84">
        <v>78.5</v>
      </c>
      <c r="I143" s="84">
        <v>65</v>
      </c>
      <c r="J143" s="84">
        <v>50</v>
      </c>
      <c r="K143" s="84">
        <v>77</v>
      </c>
      <c r="L143" s="84">
        <v>83</v>
      </c>
      <c r="M143" s="84">
        <v>67</v>
      </c>
      <c r="N143" s="84">
        <v>57</v>
      </c>
      <c r="O143" s="5">
        <f t="shared" si="9"/>
        <v>425.5</v>
      </c>
      <c r="P143" s="6">
        <f t="shared" si="8"/>
        <v>41</v>
      </c>
      <c r="Q143" s="5">
        <f t="shared" si="10"/>
        <v>644</v>
      </c>
      <c r="R143" s="5">
        <v>445</v>
      </c>
      <c r="S143" s="5">
        <v>498</v>
      </c>
      <c r="T143" s="5">
        <f t="shared" si="11"/>
        <v>-146</v>
      </c>
    </row>
    <row r="144" spans="1:20">
      <c r="A144" s="1" t="s">
        <v>621</v>
      </c>
      <c r="B144" s="1" t="s">
        <v>3198</v>
      </c>
      <c r="C144" s="4" t="s">
        <v>17</v>
      </c>
      <c r="D144" s="1" t="s">
        <v>622</v>
      </c>
      <c r="E144" s="4" t="s">
        <v>623</v>
      </c>
      <c r="F144" s="84">
        <v>93</v>
      </c>
      <c r="G144" s="84">
        <v>70</v>
      </c>
      <c r="H144" s="84">
        <v>95.5</v>
      </c>
      <c r="I144" s="84">
        <v>77</v>
      </c>
      <c r="J144" s="84">
        <v>74</v>
      </c>
      <c r="K144" s="84">
        <v>73</v>
      </c>
      <c r="L144" s="84">
        <v>66</v>
      </c>
      <c r="M144" s="84">
        <v>72</v>
      </c>
      <c r="N144" s="84">
        <v>58</v>
      </c>
      <c r="O144" s="5">
        <f t="shared" si="9"/>
        <v>482.5</v>
      </c>
      <c r="P144" s="6">
        <f t="shared" si="8"/>
        <v>18</v>
      </c>
      <c r="Q144" s="5">
        <f t="shared" si="10"/>
        <v>323</v>
      </c>
      <c r="R144" s="5">
        <v>499.5</v>
      </c>
      <c r="S144" s="5">
        <v>215</v>
      </c>
      <c r="T144" s="5">
        <f t="shared" si="11"/>
        <v>-108</v>
      </c>
    </row>
    <row r="145" spans="1:20">
      <c r="A145" s="1" t="s">
        <v>624</v>
      </c>
      <c r="B145" s="1" t="s">
        <v>3198</v>
      </c>
      <c r="C145" s="4" t="s">
        <v>17</v>
      </c>
      <c r="D145" s="1" t="s">
        <v>625</v>
      </c>
      <c r="E145" s="4" t="s">
        <v>626</v>
      </c>
      <c r="F145" s="84">
        <v>104</v>
      </c>
      <c r="G145" s="84">
        <v>60</v>
      </c>
      <c r="H145" s="84">
        <v>101.5</v>
      </c>
      <c r="I145" s="84">
        <v>61</v>
      </c>
      <c r="J145" s="84">
        <v>56</v>
      </c>
      <c r="K145" s="84">
        <v>75</v>
      </c>
      <c r="L145" s="84">
        <v>75</v>
      </c>
      <c r="M145" s="84">
        <v>74</v>
      </c>
      <c r="N145" s="84">
        <v>66</v>
      </c>
      <c r="O145" s="5">
        <f t="shared" si="9"/>
        <v>457.5</v>
      </c>
      <c r="P145" s="6">
        <f t="shared" si="8"/>
        <v>28</v>
      </c>
      <c r="Q145" s="5">
        <f t="shared" si="10"/>
        <v>467</v>
      </c>
      <c r="R145" s="5">
        <v>445</v>
      </c>
      <c r="S145" s="5">
        <v>498</v>
      </c>
      <c r="T145" s="5">
        <f t="shared" si="11"/>
        <v>31</v>
      </c>
    </row>
    <row r="146" spans="1:20">
      <c r="A146" s="1" t="s">
        <v>627</v>
      </c>
      <c r="B146" s="1" t="s">
        <v>3198</v>
      </c>
      <c r="C146" s="4" t="s">
        <v>17</v>
      </c>
      <c r="D146" s="1" t="s">
        <v>628</v>
      </c>
      <c r="E146" s="4" t="s">
        <v>629</v>
      </c>
      <c r="F146" s="84">
        <v>112</v>
      </c>
      <c r="G146" s="84">
        <v>73</v>
      </c>
      <c r="H146" s="84">
        <v>101.5</v>
      </c>
      <c r="I146" s="84">
        <v>72</v>
      </c>
      <c r="J146" s="84">
        <v>57</v>
      </c>
      <c r="K146" s="84">
        <v>67</v>
      </c>
      <c r="L146" s="84">
        <v>82</v>
      </c>
      <c r="M146" s="84">
        <v>59</v>
      </c>
      <c r="N146" s="84">
        <v>53</v>
      </c>
      <c r="O146" s="5">
        <f t="shared" si="9"/>
        <v>482.5</v>
      </c>
      <c r="P146" s="6">
        <f t="shared" si="8"/>
        <v>18</v>
      </c>
      <c r="Q146" s="5">
        <f t="shared" si="10"/>
        <v>323</v>
      </c>
      <c r="R146" s="5">
        <v>476</v>
      </c>
      <c r="S146" s="5">
        <v>320</v>
      </c>
      <c r="T146" s="5">
        <f t="shared" si="11"/>
        <v>-3</v>
      </c>
    </row>
    <row r="147" spans="1:20">
      <c r="A147" s="1" t="s">
        <v>630</v>
      </c>
      <c r="B147" s="1" t="s">
        <v>3198</v>
      </c>
      <c r="C147" s="4" t="s">
        <v>17</v>
      </c>
      <c r="D147" s="1" t="s">
        <v>631</v>
      </c>
      <c r="E147" s="4" t="s">
        <v>632</v>
      </c>
      <c r="F147" s="84">
        <v>89</v>
      </c>
      <c r="G147" s="84">
        <v>89</v>
      </c>
      <c r="H147" s="84">
        <v>98</v>
      </c>
      <c r="I147" s="84">
        <v>69</v>
      </c>
      <c r="J147" s="84">
        <v>55</v>
      </c>
      <c r="K147" s="84">
        <v>85</v>
      </c>
      <c r="L147" s="84">
        <v>69</v>
      </c>
      <c r="M147" s="84">
        <v>68</v>
      </c>
      <c r="N147" s="84">
        <v>60</v>
      </c>
      <c r="O147" s="5">
        <f t="shared" si="9"/>
        <v>485</v>
      </c>
      <c r="P147" s="6">
        <f t="shared" si="8"/>
        <v>17</v>
      </c>
      <c r="Q147" s="5">
        <f t="shared" si="10"/>
        <v>310</v>
      </c>
      <c r="R147" s="5">
        <v>484</v>
      </c>
      <c r="S147" s="5">
        <v>289</v>
      </c>
      <c r="T147" s="5">
        <f t="shared" si="11"/>
        <v>-21</v>
      </c>
    </row>
    <row r="148" spans="1:20">
      <c r="A148" s="1" t="s">
        <v>633</v>
      </c>
      <c r="B148" s="1" t="s">
        <v>3198</v>
      </c>
      <c r="C148" s="4" t="s">
        <v>17</v>
      </c>
      <c r="D148" s="1" t="s">
        <v>634</v>
      </c>
      <c r="E148" s="4" t="s">
        <v>635</v>
      </c>
      <c r="F148" s="84">
        <v>111</v>
      </c>
      <c r="G148" s="84">
        <v>52</v>
      </c>
      <c r="H148" s="84">
        <v>100</v>
      </c>
      <c r="I148" s="84">
        <v>39</v>
      </c>
      <c r="J148" s="84">
        <v>32</v>
      </c>
      <c r="K148" s="84">
        <v>63</v>
      </c>
      <c r="L148" s="84">
        <v>85</v>
      </c>
      <c r="M148" s="84">
        <v>78</v>
      </c>
      <c r="N148" s="84">
        <v>64</v>
      </c>
      <c r="O148" s="5">
        <f t="shared" si="9"/>
        <v>397</v>
      </c>
      <c r="P148" s="6">
        <f t="shared" si="8"/>
        <v>51</v>
      </c>
      <c r="Q148" s="5">
        <f t="shared" si="10"/>
        <v>782</v>
      </c>
      <c r="R148" s="5">
        <v>428</v>
      </c>
      <c r="S148" s="5">
        <v>587</v>
      </c>
      <c r="T148" s="5">
        <f t="shared" si="11"/>
        <v>-195</v>
      </c>
    </row>
    <row r="149" spans="1:20">
      <c r="A149" s="1" t="s">
        <v>636</v>
      </c>
      <c r="B149" s="1" t="s">
        <v>3198</v>
      </c>
      <c r="C149" s="4" t="s">
        <v>17</v>
      </c>
      <c r="D149" s="1" t="s">
        <v>637</v>
      </c>
      <c r="E149" s="4" t="s">
        <v>638</v>
      </c>
      <c r="F149" s="84">
        <v>110</v>
      </c>
      <c r="G149" s="84">
        <v>55</v>
      </c>
      <c r="H149" s="84">
        <v>85.5</v>
      </c>
      <c r="I149" s="84">
        <v>55</v>
      </c>
      <c r="J149" s="84">
        <v>50</v>
      </c>
      <c r="K149" s="84">
        <v>63</v>
      </c>
      <c r="L149" s="84">
        <v>78</v>
      </c>
      <c r="M149" s="84">
        <v>65</v>
      </c>
      <c r="N149" s="84">
        <v>46</v>
      </c>
      <c r="O149" s="5">
        <f t="shared" si="9"/>
        <v>418.5</v>
      </c>
      <c r="P149" s="6">
        <f t="shared" si="8"/>
        <v>47</v>
      </c>
      <c r="Q149" s="5">
        <f t="shared" si="10"/>
        <v>677</v>
      </c>
      <c r="R149" s="5">
        <v>405.5</v>
      </c>
      <c r="S149" s="5">
        <v>701</v>
      </c>
      <c r="T149" s="5">
        <f t="shared" si="11"/>
        <v>24</v>
      </c>
    </row>
    <row r="150" spans="1:20">
      <c r="A150" s="1" t="s">
        <v>639</v>
      </c>
      <c r="B150" s="1" t="s">
        <v>3198</v>
      </c>
      <c r="C150" s="4" t="s">
        <v>17</v>
      </c>
      <c r="D150" s="1" t="s">
        <v>640</v>
      </c>
      <c r="E150" s="4" t="s">
        <v>641</v>
      </c>
      <c r="F150" s="84">
        <v>96</v>
      </c>
      <c r="G150" s="84">
        <v>69</v>
      </c>
      <c r="H150" s="84">
        <v>88.5</v>
      </c>
      <c r="I150" s="84">
        <v>82</v>
      </c>
      <c r="J150" s="84">
        <v>58</v>
      </c>
      <c r="K150" s="84">
        <v>70</v>
      </c>
      <c r="L150" s="84">
        <v>58</v>
      </c>
      <c r="M150" s="84">
        <v>52</v>
      </c>
      <c r="N150" s="84">
        <v>46</v>
      </c>
      <c r="O150" s="5">
        <f t="shared" si="9"/>
        <v>463.5</v>
      </c>
      <c r="P150" s="6">
        <f t="shared" si="8"/>
        <v>27</v>
      </c>
      <c r="Q150" s="5">
        <f t="shared" si="10"/>
        <v>434</v>
      </c>
      <c r="R150" s="5">
        <v>430</v>
      </c>
      <c r="S150" s="5">
        <v>573</v>
      </c>
      <c r="T150" s="5">
        <f t="shared" si="11"/>
        <v>139</v>
      </c>
    </row>
    <row r="151" spans="1:20">
      <c r="A151" s="1" t="s">
        <v>642</v>
      </c>
      <c r="B151" s="1" t="s">
        <v>3198</v>
      </c>
      <c r="C151" s="4" t="s">
        <v>17</v>
      </c>
      <c r="D151" s="1" t="s">
        <v>643</v>
      </c>
      <c r="E151" s="4" t="s">
        <v>644</v>
      </c>
      <c r="F151" s="84">
        <v>116</v>
      </c>
      <c r="G151" s="84">
        <v>107</v>
      </c>
      <c r="H151" s="84">
        <v>90</v>
      </c>
      <c r="I151" s="84">
        <v>74</v>
      </c>
      <c r="J151" s="84">
        <v>47</v>
      </c>
      <c r="K151" s="84">
        <v>69</v>
      </c>
      <c r="L151" s="84">
        <v>83</v>
      </c>
      <c r="M151" s="84">
        <v>58</v>
      </c>
      <c r="N151" s="84">
        <v>53</v>
      </c>
      <c r="O151" s="5">
        <f t="shared" si="9"/>
        <v>503</v>
      </c>
      <c r="P151" s="6">
        <f t="shared" si="8"/>
        <v>11</v>
      </c>
      <c r="Q151" s="5">
        <f t="shared" si="10"/>
        <v>233</v>
      </c>
      <c r="R151" s="5">
        <v>483</v>
      </c>
      <c r="S151" s="5">
        <v>293</v>
      </c>
      <c r="T151" s="5">
        <f t="shared" si="11"/>
        <v>60</v>
      </c>
    </row>
    <row r="152" spans="1:20">
      <c r="A152" s="1" t="s">
        <v>645</v>
      </c>
      <c r="B152" s="1" t="s">
        <v>3198</v>
      </c>
      <c r="C152" s="4" t="s">
        <v>17</v>
      </c>
      <c r="D152" s="1" t="s">
        <v>646</v>
      </c>
      <c r="E152" s="4" t="s">
        <v>647</v>
      </c>
      <c r="F152" s="84">
        <v>99</v>
      </c>
      <c r="G152" s="84">
        <v>48</v>
      </c>
      <c r="H152" s="84">
        <v>91</v>
      </c>
      <c r="I152" s="84">
        <v>49</v>
      </c>
      <c r="J152" s="84">
        <v>24</v>
      </c>
      <c r="K152" s="84">
        <v>39</v>
      </c>
      <c r="L152" s="84">
        <v>50</v>
      </c>
      <c r="M152" s="84">
        <v>73</v>
      </c>
      <c r="N152" s="84">
        <v>49</v>
      </c>
      <c r="O152" s="5">
        <f t="shared" si="9"/>
        <v>350</v>
      </c>
      <c r="P152" s="6">
        <f t="shared" si="8"/>
        <v>56</v>
      </c>
      <c r="Q152" s="5">
        <f t="shared" si="10"/>
        <v>894</v>
      </c>
      <c r="R152" s="5">
        <v>379</v>
      </c>
      <c r="S152" s="5">
        <v>809</v>
      </c>
      <c r="T152" s="5">
        <f t="shared" si="11"/>
        <v>-85</v>
      </c>
    </row>
    <row r="153" spans="1:20">
      <c r="A153" s="1" t="s">
        <v>648</v>
      </c>
      <c r="B153" s="1" t="s">
        <v>3198</v>
      </c>
      <c r="C153" s="4" t="s">
        <v>17</v>
      </c>
      <c r="D153" s="1" t="s">
        <v>649</v>
      </c>
      <c r="E153" s="4" t="s">
        <v>650</v>
      </c>
      <c r="F153" s="84">
        <v>105</v>
      </c>
      <c r="G153" s="84">
        <v>94</v>
      </c>
      <c r="H153" s="84">
        <v>110.5</v>
      </c>
      <c r="I153" s="84">
        <v>65</v>
      </c>
      <c r="J153" s="84">
        <v>78</v>
      </c>
      <c r="K153" s="84">
        <v>84</v>
      </c>
      <c r="L153" s="84">
        <v>67</v>
      </c>
      <c r="M153" s="84">
        <v>68</v>
      </c>
      <c r="N153" s="84">
        <v>57</v>
      </c>
      <c r="O153" s="5">
        <f t="shared" si="9"/>
        <v>536.5</v>
      </c>
      <c r="P153" s="6">
        <f t="shared" si="8"/>
        <v>4</v>
      </c>
      <c r="Q153" s="5">
        <f t="shared" si="10"/>
        <v>116</v>
      </c>
      <c r="R153" s="5">
        <v>508</v>
      </c>
      <c r="S153" s="5">
        <v>176</v>
      </c>
      <c r="T153" s="5">
        <f t="shared" si="11"/>
        <v>60</v>
      </c>
    </row>
    <row r="154" spans="1:20">
      <c r="A154" s="1" t="s">
        <v>651</v>
      </c>
      <c r="B154" s="1" t="s">
        <v>3198</v>
      </c>
      <c r="C154" s="4" t="s">
        <v>17</v>
      </c>
      <c r="D154" s="1" t="s">
        <v>652</v>
      </c>
      <c r="E154" s="4" t="s">
        <v>653</v>
      </c>
      <c r="F154" s="84">
        <v>107</v>
      </c>
      <c r="G154" s="84">
        <v>82</v>
      </c>
      <c r="H154" s="84">
        <v>84</v>
      </c>
      <c r="I154" s="84">
        <v>57</v>
      </c>
      <c r="J154" s="84">
        <v>63</v>
      </c>
      <c r="K154" s="84">
        <v>85</v>
      </c>
      <c r="L154" s="84">
        <v>73</v>
      </c>
      <c r="M154" s="84">
        <v>73</v>
      </c>
      <c r="N154" s="84">
        <v>59</v>
      </c>
      <c r="O154" s="5">
        <f t="shared" si="9"/>
        <v>478</v>
      </c>
      <c r="P154" s="6">
        <f t="shared" si="8"/>
        <v>20</v>
      </c>
      <c r="Q154" s="5">
        <f t="shared" si="10"/>
        <v>351</v>
      </c>
      <c r="R154" s="5">
        <v>458</v>
      </c>
      <c r="S154" s="5">
        <v>423</v>
      </c>
      <c r="T154" s="5">
        <f t="shared" si="11"/>
        <v>72</v>
      </c>
    </row>
    <row r="155" spans="1:20">
      <c r="A155" s="1" t="s">
        <v>654</v>
      </c>
      <c r="B155" s="1" t="s">
        <v>3198</v>
      </c>
      <c r="C155" s="4" t="s">
        <v>17</v>
      </c>
      <c r="D155" s="1" t="s">
        <v>655</v>
      </c>
      <c r="E155" s="4" t="s">
        <v>656</v>
      </c>
      <c r="F155" s="84">
        <v>98</v>
      </c>
      <c r="G155" s="84">
        <v>66</v>
      </c>
      <c r="H155" s="84">
        <v>89</v>
      </c>
      <c r="I155" s="84">
        <v>64</v>
      </c>
      <c r="J155" s="84">
        <v>36</v>
      </c>
      <c r="K155" s="84">
        <v>70</v>
      </c>
      <c r="L155" s="84">
        <v>65</v>
      </c>
      <c r="M155" s="84">
        <v>73</v>
      </c>
      <c r="N155" s="84">
        <v>50</v>
      </c>
      <c r="O155" s="5">
        <f t="shared" si="9"/>
        <v>423</v>
      </c>
      <c r="P155" s="6">
        <f t="shared" si="8"/>
        <v>45</v>
      </c>
      <c r="Q155" s="5">
        <f t="shared" si="10"/>
        <v>659</v>
      </c>
      <c r="R155" s="5">
        <v>452</v>
      </c>
      <c r="S155" s="5">
        <v>456</v>
      </c>
      <c r="T155" s="5">
        <f t="shared" si="11"/>
        <v>-203</v>
      </c>
    </row>
    <row r="156" spans="1:20">
      <c r="A156" s="1" t="s">
        <v>657</v>
      </c>
      <c r="B156" s="1" t="s">
        <v>3198</v>
      </c>
      <c r="C156" s="4" t="s">
        <v>17</v>
      </c>
      <c r="D156" s="1" t="s">
        <v>658</v>
      </c>
      <c r="E156" s="4" t="s">
        <v>659</v>
      </c>
      <c r="F156" s="84">
        <v>98</v>
      </c>
      <c r="G156" s="84">
        <v>86</v>
      </c>
      <c r="H156" s="84">
        <v>70.5</v>
      </c>
      <c r="I156" s="84">
        <v>76</v>
      </c>
      <c r="J156" s="84">
        <v>55</v>
      </c>
      <c r="K156" s="84">
        <v>60</v>
      </c>
      <c r="L156" s="84">
        <v>69</v>
      </c>
      <c r="M156" s="84">
        <v>67</v>
      </c>
      <c r="N156" s="84">
        <v>56</v>
      </c>
      <c r="O156" s="5">
        <f t="shared" si="9"/>
        <v>445.5</v>
      </c>
      <c r="P156" s="6">
        <f t="shared" si="8"/>
        <v>34</v>
      </c>
      <c r="Q156" s="5">
        <f t="shared" si="10"/>
        <v>541</v>
      </c>
      <c r="R156" s="5">
        <v>454.5</v>
      </c>
      <c r="S156" s="5">
        <v>442</v>
      </c>
      <c r="T156" s="5">
        <f t="shared" si="11"/>
        <v>-99</v>
      </c>
    </row>
    <row r="157" spans="1:20">
      <c r="A157" s="1" t="s">
        <v>660</v>
      </c>
      <c r="B157" s="1" t="s">
        <v>3198</v>
      </c>
      <c r="C157" s="4" t="s">
        <v>17</v>
      </c>
      <c r="D157" s="1" t="s">
        <v>661</v>
      </c>
      <c r="E157" s="4" t="s">
        <v>18</v>
      </c>
      <c r="F157" s="84">
        <v>99</v>
      </c>
      <c r="G157" s="84">
        <v>51</v>
      </c>
      <c r="H157" s="84">
        <v>87</v>
      </c>
      <c r="I157" s="84">
        <v>65</v>
      </c>
      <c r="J157" s="84">
        <v>59</v>
      </c>
      <c r="K157" s="84">
        <v>76</v>
      </c>
      <c r="L157" s="84">
        <v>84</v>
      </c>
      <c r="M157" s="84">
        <v>68</v>
      </c>
      <c r="N157" s="84">
        <v>53</v>
      </c>
      <c r="O157" s="5">
        <f t="shared" si="9"/>
        <v>437</v>
      </c>
      <c r="P157" s="6">
        <f t="shared" si="8"/>
        <v>36</v>
      </c>
      <c r="Q157" s="5">
        <f t="shared" si="10"/>
        <v>588</v>
      </c>
      <c r="R157" s="5">
        <v>471</v>
      </c>
      <c r="S157" s="5">
        <v>359</v>
      </c>
      <c r="T157" s="5">
        <f t="shared" si="11"/>
        <v>-229</v>
      </c>
    </row>
    <row r="158" spans="1:20">
      <c r="A158" s="1" t="s">
        <v>662</v>
      </c>
      <c r="B158" s="1" t="s">
        <v>3198</v>
      </c>
      <c r="C158" s="4" t="s">
        <v>17</v>
      </c>
      <c r="D158" s="1" t="s">
        <v>663</v>
      </c>
      <c r="E158" s="4" t="s">
        <v>664</v>
      </c>
      <c r="F158" s="84">
        <v>106</v>
      </c>
      <c r="G158" s="84">
        <v>77</v>
      </c>
      <c r="H158" s="84">
        <v>89</v>
      </c>
      <c r="I158" s="84">
        <v>71</v>
      </c>
      <c r="J158" s="84">
        <v>55</v>
      </c>
      <c r="K158" s="84">
        <v>76</v>
      </c>
      <c r="L158" s="84">
        <v>72</v>
      </c>
      <c r="M158" s="84">
        <v>68</v>
      </c>
      <c r="N158" s="84">
        <v>50</v>
      </c>
      <c r="O158" s="5">
        <f t="shared" si="9"/>
        <v>474</v>
      </c>
      <c r="P158" s="6">
        <f t="shared" si="8"/>
        <v>21</v>
      </c>
      <c r="Q158" s="5">
        <f t="shared" si="10"/>
        <v>373</v>
      </c>
      <c r="R158" s="5">
        <v>433.5</v>
      </c>
      <c r="S158" s="5">
        <v>554</v>
      </c>
      <c r="T158" s="5">
        <f t="shared" si="11"/>
        <v>181</v>
      </c>
    </row>
    <row r="159" spans="1:20">
      <c r="A159" s="1" t="s">
        <v>665</v>
      </c>
      <c r="B159" s="1" t="s">
        <v>3198</v>
      </c>
      <c r="C159" s="4" t="s">
        <v>17</v>
      </c>
      <c r="D159" s="1" t="s">
        <v>666</v>
      </c>
      <c r="E159" s="4" t="s">
        <v>667</v>
      </c>
      <c r="F159" s="84">
        <v>118</v>
      </c>
      <c r="G159" s="84">
        <v>116</v>
      </c>
      <c r="H159" s="84">
        <v>77.5</v>
      </c>
      <c r="I159" s="84">
        <v>79</v>
      </c>
      <c r="J159" s="84">
        <v>80</v>
      </c>
      <c r="K159" s="84">
        <v>79</v>
      </c>
      <c r="L159" s="84">
        <v>83</v>
      </c>
      <c r="M159" s="84">
        <v>82</v>
      </c>
      <c r="N159" s="84">
        <v>69</v>
      </c>
      <c r="O159" s="5">
        <f t="shared" si="9"/>
        <v>549.5</v>
      </c>
      <c r="P159" s="6">
        <f t="shared" si="8"/>
        <v>2</v>
      </c>
      <c r="Q159" s="5">
        <f t="shared" si="10"/>
        <v>85</v>
      </c>
      <c r="R159" s="5">
        <v>558.5</v>
      </c>
      <c r="S159" s="5">
        <v>46</v>
      </c>
      <c r="T159" s="5">
        <f t="shared" si="11"/>
        <v>-39</v>
      </c>
    </row>
    <row r="160" spans="1:20">
      <c r="A160" s="1" t="s">
        <v>668</v>
      </c>
      <c r="B160" s="1" t="s">
        <v>3198</v>
      </c>
      <c r="C160" s="4" t="s">
        <v>17</v>
      </c>
      <c r="D160" s="1" t="s">
        <v>669</v>
      </c>
      <c r="E160" s="4" t="s">
        <v>670</v>
      </c>
      <c r="F160" s="84">
        <v>111</v>
      </c>
      <c r="G160" s="84">
        <v>78</v>
      </c>
      <c r="H160" s="84">
        <v>93</v>
      </c>
      <c r="I160" s="84">
        <v>54</v>
      </c>
      <c r="J160" s="84">
        <v>66</v>
      </c>
      <c r="K160" s="84">
        <v>44</v>
      </c>
      <c r="L160" s="84">
        <v>81</v>
      </c>
      <c r="M160" s="84">
        <v>55</v>
      </c>
      <c r="N160" s="84">
        <v>43</v>
      </c>
      <c r="O160" s="5">
        <f t="shared" si="9"/>
        <v>446</v>
      </c>
      <c r="P160" s="6">
        <f t="shared" si="8"/>
        <v>33</v>
      </c>
      <c r="Q160" s="5">
        <f t="shared" si="10"/>
        <v>538</v>
      </c>
      <c r="R160" s="5">
        <v>446.5</v>
      </c>
      <c r="S160" s="5">
        <v>485</v>
      </c>
      <c r="T160" s="5">
        <f t="shared" si="11"/>
        <v>-53</v>
      </c>
    </row>
    <row r="161" spans="1:20">
      <c r="A161" s="1" t="s">
        <v>671</v>
      </c>
      <c r="B161" s="1" t="s">
        <v>3198</v>
      </c>
      <c r="C161" s="4" t="s">
        <v>17</v>
      </c>
      <c r="D161" s="1" t="s">
        <v>672</v>
      </c>
      <c r="E161" s="4" t="s">
        <v>673</v>
      </c>
      <c r="F161" s="84">
        <v>113</v>
      </c>
      <c r="G161" s="84">
        <v>107</v>
      </c>
      <c r="H161" s="84">
        <v>110</v>
      </c>
      <c r="I161" s="84">
        <v>78</v>
      </c>
      <c r="J161" s="84">
        <v>66</v>
      </c>
      <c r="K161" s="84">
        <v>75</v>
      </c>
      <c r="L161" s="84">
        <v>84</v>
      </c>
      <c r="M161" s="84">
        <v>88</v>
      </c>
      <c r="N161" s="84">
        <v>58</v>
      </c>
      <c r="O161" s="5">
        <f t="shared" si="9"/>
        <v>549</v>
      </c>
      <c r="P161" s="6">
        <f t="shared" si="8"/>
        <v>3</v>
      </c>
      <c r="Q161" s="5">
        <f t="shared" si="10"/>
        <v>86</v>
      </c>
      <c r="R161" s="5">
        <v>502</v>
      </c>
      <c r="S161" s="5">
        <v>199</v>
      </c>
      <c r="T161" s="5">
        <f t="shared" si="11"/>
        <v>113</v>
      </c>
    </row>
    <row r="162" spans="1:20">
      <c r="A162" s="1" t="s">
        <v>674</v>
      </c>
      <c r="B162" s="1" t="s">
        <v>3198</v>
      </c>
      <c r="C162" s="4" t="s">
        <v>17</v>
      </c>
      <c r="D162" s="1" t="s">
        <v>675</v>
      </c>
      <c r="E162" s="4" t="s">
        <v>676</v>
      </c>
      <c r="F162" s="84">
        <v>91</v>
      </c>
      <c r="G162" s="84">
        <v>77</v>
      </c>
      <c r="H162" s="84">
        <v>114.5</v>
      </c>
      <c r="I162" s="84">
        <v>76</v>
      </c>
      <c r="J162" s="84">
        <v>64</v>
      </c>
      <c r="K162" s="84">
        <v>76</v>
      </c>
      <c r="L162" s="84">
        <v>70</v>
      </c>
      <c r="M162" s="84">
        <v>68</v>
      </c>
      <c r="N162" s="84">
        <v>49</v>
      </c>
      <c r="O162" s="5">
        <f t="shared" si="9"/>
        <v>498.5</v>
      </c>
      <c r="P162" s="6">
        <f t="shared" si="8"/>
        <v>13</v>
      </c>
      <c r="Q162" s="5">
        <f t="shared" si="10"/>
        <v>253</v>
      </c>
      <c r="R162" s="5">
        <v>459.5</v>
      </c>
      <c r="S162" s="5">
        <v>418</v>
      </c>
      <c r="T162" s="5">
        <f t="shared" si="11"/>
        <v>165</v>
      </c>
    </row>
    <row r="163" spans="1:20">
      <c r="A163" s="1" t="s">
        <v>677</v>
      </c>
      <c r="B163" s="1" t="s">
        <v>3198</v>
      </c>
      <c r="C163" s="4" t="s">
        <v>17</v>
      </c>
      <c r="D163" s="1" t="s">
        <v>678</v>
      </c>
      <c r="E163" s="4" t="s">
        <v>679</v>
      </c>
      <c r="F163" s="84">
        <v>93</v>
      </c>
      <c r="G163" s="84">
        <v>97</v>
      </c>
      <c r="H163" s="84">
        <v>51</v>
      </c>
      <c r="I163" s="84">
        <v>72</v>
      </c>
      <c r="J163" s="84">
        <v>86</v>
      </c>
      <c r="K163" s="84">
        <v>87</v>
      </c>
      <c r="L163" s="84">
        <v>80</v>
      </c>
      <c r="M163" s="84">
        <v>77</v>
      </c>
      <c r="N163" s="84">
        <v>68</v>
      </c>
      <c r="O163" s="5">
        <f t="shared" si="9"/>
        <v>486</v>
      </c>
      <c r="P163" s="6">
        <f t="shared" si="8"/>
        <v>16</v>
      </c>
      <c r="Q163" s="5">
        <f t="shared" si="10"/>
        <v>305</v>
      </c>
      <c r="R163" s="5">
        <v>478.5</v>
      </c>
      <c r="S163" s="5">
        <v>314</v>
      </c>
      <c r="T163" s="5">
        <f t="shared" si="11"/>
        <v>9</v>
      </c>
    </row>
    <row r="164" spans="1:20">
      <c r="A164" s="1" t="s">
        <v>680</v>
      </c>
      <c r="B164" s="1" t="s">
        <v>3198</v>
      </c>
      <c r="C164" s="4" t="s">
        <v>17</v>
      </c>
      <c r="D164" s="1" t="s">
        <v>681</v>
      </c>
      <c r="E164" s="4" t="s">
        <v>682</v>
      </c>
      <c r="F164" s="84">
        <v>98</v>
      </c>
      <c r="G164" s="84">
        <v>67</v>
      </c>
      <c r="H164" s="84">
        <v>63.5</v>
      </c>
      <c r="I164" s="84">
        <v>67</v>
      </c>
      <c r="J164" s="84">
        <v>61</v>
      </c>
      <c r="K164" s="84">
        <v>54</v>
      </c>
      <c r="L164" s="84">
        <v>63</v>
      </c>
      <c r="M164" s="84">
        <v>78</v>
      </c>
      <c r="N164" s="84">
        <v>52</v>
      </c>
      <c r="O164" s="5">
        <f t="shared" si="9"/>
        <v>410.5</v>
      </c>
      <c r="P164" s="6">
        <f t="shared" si="8"/>
        <v>49</v>
      </c>
      <c r="Q164" s="5">
        <f t="shared" si="10"/>
        <v>718</v>
      </c>
      <c r="R164" s="5">
        <v>448</v>
      </c>
      <c r="S164" s="5">
        <v>479</v>
      </c>
      <c r="T164" s="5">
        <f t="shared" si="11"/>
        <v>-239</v>
      </c>
    </row>
    <row r="165" spans="1:20">
      <c r="A165" s="1" t="s">
        <v>683</v>
      </c>
      <c r="B165" s="1" t="s">
        <v>3198</v>
      </c>
      <c r="C165" s="4" t="s">
        <v>17</v>
      </c>
      <c r="D165" s="1" t="s">
        <v>684</v>
      </c>
      <c r="E165" s="4" t="s">
        <v>685</v>
      </c>
      <c r="F165" s="84">
        <v>95</v>
      </c>
      <c r="G165" s="84">
        <v>38</v>
      </c>
      <c r="H165" s="84">
        <v>91.5</v>
      </c>
      <c r="I165" s="84">
        <v>46</v>
      </c>
      <c r="J165" s="84">
        <v>42</v>
      </c>
      <c r="K165" s="84">
        <v>56</v>
      </c>
      <c r="L165" s="84">
        <v>74</v>
      </c>
      <c r="M165" s="84">
        <v>61</v>
      </c>
      <c r="N165" s="84">
        <v>47</v>
      </c>
      <c r="O165" s="5">
        <f t="shared" si="9"/>
        <v>368.5</v>
      </c>
      <c r="P165" s="6">
        <f t="shared" si="8"/>
        <v>54</v>
      </c>
      <c r="Q165" s="5">
        <f t="shared" si="10"/>
        <v>862</v>
      </c>
      <c r="R165" s="5">
        <v>427.5</v>
      </c>
      <c r="S165" s="5">
        <v>589</v>
      </c>
      <c r="T165" s="5">
        <f t="shared" si="11"/>
        <v>-273</v>
      </c>
    </row>
    <row r="166" spans="1:20">
      <c r="A166" s="1" t="s">
        <v>686</v>
      </c>
      <c r="B166" s="1" t="s">
        <v>3198</v>
      </c>
      <c r="C166" s="4" t="s">
        <v>17</v>
      </c>
      <c r="D166" s="1" t="s">
        <v>687</v>
      </c>
      <c r="E166" s="4" t="s">
        <v>209</v>
      </c>
      <c r="F166" s="84">
        <v>100</v>
      </c>
      <c r="G166" s="84">
        <v>58</v>
      </c>
      <c r="H166" s="84">
        <v>103</v>
      </c>
      <c r="I166" s="84">
        <v>63</v>
      </c>
      <c r="J166" s="84">
        <v>64</v>
      </c>
      <c r="K166" s="84">
        <v>76</v>
      </c>
      <c r="L166" s="84">
        <v>88</v>
      </c>
      <c r="M166" s="84">
        <v>76</v>
      </c>
      <c r="N166" s="84">
        <v>68</v>
      </c>
      <c r="O166" s="5">
        <f t="shared" si="9"/>
        <v>464</v>
      </c>
      <c r="P166" s="6">
        <f t="shared" si="8"/>
        <v>26</v>
      </c>
      <c r="Q166" s="5">
        <f t="shared" si="10"/>
        <v>432</v>
      </c>
      <c r="R166" s="5">
        <v>510</v>
      </c>
      <c r="S166" s="5">
        <v>167</v>
      </c>
      <c r="T166" s="5">
        <f t="shared" si="11"/>
        <v>-265</v>
      </c>
    </row>
    <row r="167" spans="1:20">
      <c r="A167" s="1" t="s">
        <v>688</v>
      </c>
      <c r="B167" s="1" t="s">
        <v>3198</v>
      </c>
      <c r="C167" s="4" t="s">
        <v>17</v>
      </c>
      <c r="D167" s="1" t="s">
        <v>689</v>
      </c>
      <c r="E167" s="4" t="s">
        <v>690</v>
      </c>
      <c r="F167" s="84">
        <v>91</v>
      </c>
      <c r="G167" s="84">
        <v>62</v>
      </c>
      <c r="H167" s="84">
        <v>96</v>
      </c>
      <c r="I167" s="84">
        <v>59</v>
      </c>
      <c r="J167" s="84">
        <v>47</v>
      </c>
      <c r="K167" s="84">
        <v>67</v>
      </c>
      <c r="L167" s="84">
        <v>53</v>
      </c>
      <c r="M167" s="84">
        <v>55</v>
      </c>
      <c r="N167" s="84">
        <v>41</v>
      </c>
      <c r="O167" s="5">
        <f t="shared" si="9"/>
        <v>422</v>
      </c>
      <c r="P167" s="6">
        <f t="shared" si="8"/>
        <v>46</v>
      </c>
      <c r="Q167" s="5">
        <f t="shared" si="10"/>
        <v>664</v>
      </c>
      <c r="R167" s="5">
        <v>420.5</v>
      </c>
      <c r="S167" s="5">
        <v>639</v>
      </c>
      <c r="T167" s="5">
        <f t="shared" si="11"/>
        <v>-25</v>
      </c>
    </row>
    <row r="168" spans="1:20">
      <c r="A168" s="1" t="s">
        <v>691</v>
      </c>
      <c r="B168" s="1" t="s">
        <v>3198</v>
      </c>
      <c r="C168" s="4" t="s">
        <v>17</v>
      </c>
      <c r="D168" s="1" t="s">
        <v>692</v>
      </c>
      <c r="E168" s="4" t="s">
        <v>145</v>
      </c>
      <c r="F168" s="84">
        <v>108</v>
      </c>
      <c r="G168" s="84">
        <v>83</v>
      </c>
      <c r="H168" s="84">
        <v>74.5</v>
      </c>
      <c r="I168" s="84">
        <v>82</v>
      </c>
      <c r="J168" s="84">
        <v>59</v>
      </c>
      <c r="K168" s="84">
        <v>84</v>
      </c>
      <c r="L168" s="84">
        <v>72</v>
      </c>
      <c r="M168" s="84">
        <v>68</v>
      </c>
      <c r="N168" s="84">
        <v>62</v>
      </c>
      <c r="O168" s="5">
        <f t="shared" si="9"/>
        <v>490.5</v>
      </c>
      <c r="P168" s="6">
        <f t="shared" si="8"/>
        <v>15</v>
      </c>
      <c r="Q168" s="5">
        <f t="shared" si="10"/>
        <v>290</v>
      </c>
      <c r="R168" s="5">
        <v>478.5</v>
      </c>
      <c r="S168" s="5">
        <v>314</v>
      </c>
      <c r="T168" s="5">
        <f t="shared" si="11"/>
        <v>24</v>
      </c>
    </row>
    <row r="169" spans="1:20">
      <c r="A169" s="1" t="s">
        <v>693</v>
      </c>
      <c r="B169" s="1" t="s">
        <v>3198</v>
      </c>
      <c r="C169" s="4" t="s">
        <v>17</v>
      </c>
      <c r="D169" s="1" t="s">
        <v>694</v>
      </c>
      <c r="E169" s="4" t="s">
        <v>695</v>
      </c>
      <c r="F169" s="84">
        <v>100</v>
      </c>
      <c r="G169" s="84">
        <v>55</v>
      </c>
      <c r="H169" s="84">
        <v>104.5</v>
      </c>
      <c r="I169" s="84">
        <v>51</v>
      </c>
      <c r="J169" s="84">
        <v>42</v>
      </c>
      <c r="K169" s="84">
        <v>73</v>
      </c>
      <c r="L169" s="84">
        <v>70</v>
      </c>
      <c r="M169" s="84">
        <v>70</v>
      </c>
      <c r="N169" s="84">
        <v>47</v>
      </c>
      <c r="O169" s="5">
        <f t="shared" si="9"/>
        <v>425.5</v>
      </c>
      <c r="P169" s="6">
        <f t="shared" si="8"/>
        <v>41</v>
      </c>
      <c r="Q169" s="5">
        <f t="shared" si="10"/>
        <v>644</v>
      </c>
      <c r="R169" s="5">
        <v>456</v>
      </c>
      <c r="S169" s="5">
        <v>433</v>
      </c>
      <c r="T169" s="5">
        <f t="shared" si="11"/>
        <v>-211</v>
      </c>
    </row>
    <row r="170" spans="1:20">
      <c r="A170" s="1" t="s">
        <v>696</v>
      </c>
      <c r="B170" s="1" t="s">
        <v>3198</v>
      </c>
      <c r="C170" s="4" t="s">
        <v>117</v>
      </c>
      <c r="D170" s="1" t="s">
        <v>697</v>
      </c>
      <c r="E170" s="4" t="s">
        <v>698</v>
      </c>
      <c r="F170" s="84">
        <v>87</v>
      </c>
      <c r="G170" s="84">
        <v>82</v>
      </c>
      <c r="H170" s="84">
        <v>109</v>
      </c>
      <c r="I170" s="84">
        <v>73</v>
      </c>
      <c r="J170" s="84">
        <v>65</v>
      </c>
      <c r="K170" s="84">
        <v>76</v>
      </c>
      <c r="L170" s="84">
        <v>76</v>
      </c>
      <c r="M170" s="84">
        <v>67</v>
      </c>
      <c r="N170" s="84">
        <v>53</v>
      </c>
      <c r="O170" s="5">
        <f t="shared" si="9"/>
        <v>492</v>
      </c>
      <c r="P170" s="6">
        <f>RANK(O170,$O$170:$O$223)</f>
        <v>12</v>
      </c>
      <c r="Q170" s="5">
        <f t="shared" si="10"/>
        <v>280</v>
      </c>
      <c r="R170" s="5">
        <v>495</v>
      </c>
      <c r="S170" s="5">
        <v>234</v>
      </c>
      <c r="T170" s="5">
        <f t="shared" si="11"/>
        <v>-46</v>
      </c>
    </row>
    <row r="171" spans="1:20">
      <c r="A171" s="1" t="s">
        <v>699</v>
      </c>
      <c r="B171" s="1" t="s">
        <v>3198</v>
      </c>
      <c r="C171" s="4" t="s">
        <v>117</v>
      </c>
      <c r="D171" s="1" t="s">
        <v>700</v>
      </c>
      <c r="E171" s="4" t="s">
        <v>701</v>
      </c>
      <c r="F171" s="84">
        <v>101</v>
      </c>
      <c r="G171" s="84">
        <v>77</v>
      </c>
      <c r="H171" s="84">
        <v>89.5</v>
      </c>
      <c r="I171" s="84">
        <v>59</v>
      </c>
      <c r="J171" s="84">
        <v>43</v>
      </c>
      <c r="K171" s="84">
        <v>55</v>
      </c>
      <c r="L171" s="84">
        <v>79</v>
      </c>
      <c r="M171" s="84">
        <v>50</v>
      </c>
      <c r="N171" s="84">
        <v>56</v>
      </c>
      <c r="O171" s="5">
        <f t="shared" si="9"/>
        <v>424.5</v>
      </c>
      <c r="P171" s="6">
        <f t="shared" ref="P171:P223" si="12">RANK(O171,$O$170:$O$223)</f>
        <v>39</v>
      </c>
      <c r="Q171" s="5">
        <f t="shared" si="10"/>
        <v>653</v>
      </c>
      <c r="R171" s="5">
        <v>432.5</v>
      </c>
      <c r="S171" s="5">
        <v>565</v>
      </c>
      <c r="T171" s="5">
        <f t="shared" si="11"/>
        <v>-88</v>
      </c>
    </row>
    <row r="172" spans="1:20">
      <c r="A172" s="1" t="s">
        <v>702</v>
      </c>
      <c r="B172" s="1" t="s">
        <v>3198</v>
      </c>
      <c r="C172" s="4" t="s">
        <v>117</v>
      </c>
      <c r="D172" s="1" t="s">
        <v>703</v>
      </c>
      <c r="E172" s="4" t="s">
        <v>704</v>
      </c>
      <c r="F172" s="84">
        <v>100</v>
      </c>
      <c r="G172" s="84">
        <v>70</v>
      </c>
      <c r="H172" s="84">
        <v>104</v>
      </c>
      <c r="I172" s="84">
        <v>69</v>
      </c>
      <c r="J172" s="84">
        <v>45</v>
      </c>
      <c r="K172" s="84">
        <v>68</v>
      </c>
      <c r="L172" s="84">
        <v>72</v>
      </c>
      <c r="M172" s="84">
        <v>59</v>
      </c>
      <c r="N172" s="84">
        <v>49</v>
      </c>
      <c r="O172" s="5">
        <f t="shared" si="9"/>
        <v>456</v>
      </c>
      <c r="P172" s="6">
        <f t="shared" si="12"/>
        <v>25</v>
      </c>
      <c r="Q172" s="5">
        <f t="shared" si="10"/>
        <v>477</v>
      </c>
      <c r="R172" s="5">
        <v>452.5</v>
      </c>
      <c r="S172" s="5">
        <v>453</v>
      </c>
      <c r="T172" s="5">
        <f t="shared" si="11"/>
        <v>-24</v>
      </c>
    </row>
    <row r="173" spans="1:20">
      <c r="A173" s="1" t="s">
        <v>705</v>
      </c>
      <c r="B173" s="1" t="s">
        <v>3198</v>
      </c>
      <c r="C173" s="4" t="s">
        <v>117</v>
      </c>
      <c r="D173" s="1" t="s">
        <v>706</v>
      </c>
      <c r="E173" s="4" t="s">
        <v>707</v>
      </c>
      <c r="F173" s="84">
        <v>99</v>
      </c>
      <c r="G173" s="84">
        <v>78</v>
      </c>
      <c r="H173" s="84">
        <v>90</v>
      </c>
      <c r="I173" s="84">
        <v>57</v>
      </c>
      <c r="J173" s="84">
        <v>48</v>
      </c>
      <c r="K173" s="84">
        <v>73</v>
      </c>
      <c r="L173" s="84">
        <v>80</v>
      </c>
      <c r="M173" s="84">
        <v>67</v>
      </c>
      <c r="N173" s="84">
        <v>60</v>
      </c>
      <c r="O173" s="5">
        <f t="shared" si="9"/>
        <v>445</v>
      </c>
      <c r="P173" s="6">
        <f t="shared" si="12"/>
        <v>31</v>
      </c>
      <c r="Q173" s="5">
        <f t="shared" si="10"/>
        <v>547</v>
      </c>
      <c r="R173" s="5">
        <v>479.5</v>
      </c>
      <c r="S173" s="5">
        <v>310</v>
      </c>
      <c r="T173" s="5">
        <f t="shared" si="11"/>
        <v>-237</v>
      </c>
    </row>
    <row r="174" spans="1:20">
      <c r="A174" s="1" t="s">
        <v>708</v>
      </c>
      <c r="B174" s="1" t="s">
        <v>3198</v>
      </c>
      <c r="C174" s="4" t="s">
        <v>117</v>
      </c>
      <c r="D174" s="1" t="s">
        <v>709</v>
      </c>
      <c r="E174" s="4" t="s">
        <v>710</v>
      </c>
      <c r="F174" s="84">
        <v>116</v>
      </c>
      <c r="G174" s="84">
        <v>51</v>
      </c>
      <c r="H174" s="84">
        <v>78</v>
      </c>
      <c r="I174" s="84">
        <v>47</v>
      </c>
      <c r="J174" s="84">
        <v>43</v>
      </c>
      <c r="K174" s="84">
        <v>62</v>
      </c>
      <c r="L174" s="84">
        <v>71</v>
      </c>
      <c r="M174" s="84">
        <v>80</v>
      </c>
      <c r="N174" s="84">
        <v>56</v>
      </c>
      <c r="O174" s="5">
        <f t="shared" si="9"/>
        <v>397</v>
      </c>
      <c r="P174" s="6">
        <f t="shared" si="12"/>
        <v>46</v>
      </c>
      <c r="Q174" s="5">
        <f t="shared" si="10"/>
        <v>782</v>
      </c>
      <c r="R174" s="5">
        <v>421</v>
      </c>
      <c r="S174" s="5">
        <v>635</v>
      </c>
      <c r="T174" s="5">
        <f t="shared" si="11"/>
        <v>-147</v>
      </c>
    </row>
    <row r="175" spans="1:20">
      <c r="A175" s="1" t="s">
        <v>711</v>
      </c>
      <c r="B175" s="1" t="s">
        <v>3198</v>
      </c>
      <c r="C175" s="4" t="s">
        <v>117</v>
      </c>
      <c r="D175" s="1" t="s">
        <v>712</v>
      </c>
      <c r="E175" s="4" t="s">
        <v>713</v>
      </c>
      <c r="F175" s="84">
        <v>99</v>
      </c>
      <c r="G175" s="84">
        <v>45</v>
      </c>
      <c r="H175" s="84">
        <v>82.5</v>
      </c>
      <c r="I175" s="84">
        <v>54</v>
      </c>
      <c r="J175" s="84">
        <v>39</v>
      </c>
      <c r="K175" s="84">
        <v>49</v>
      </c>
      <c r="L175" s="84">
        <v>65</v>
      </c>
      <c r="M175" s="84">
        <v>63</v>
      </c>
      <c r="N175" s="84">
        <v>41</v>
      </c>
      <c r="O175" s="5">
        <f t="shared" si="9"/>
        <v>368.5</v>
      </c>
      <c r="P175" s="6">
        <f t="shared" si="12"/>
        <v>53</v>
      </c>
      <c r="Q175" s="5">
        <f t="shared" si="10"/>
        <v>862</v>
      </c>
      <c r="R175" s="5">
        <v>370</v>
      </c>
      <c r="S175" s="5">
        <v>841</v>
      </c>
      <c r="T175" s="5">
        <f t="shared" si="11"/>
        <v>-21</v>
      </c>
    </row>
    <row r="176" spans="1:20">
      <c r="A176" s="1" t="s">
        <v>714</v>
      </c>
      <c r="B176" s="1" t="s">
        <v>3198</v>
      </c>
      <c r="C176" s="4" t="s">
        <v>117</v>
      </c>
      <c r="D176" s="1" t="s">
        <v>715</v>
      </c>
      <c r="E176" s="4" t="s">
        <v>716</v>
      </c>
      <c r="F176" s="84">
        <v>86</v>
      </c>
      <c r="G176" s="84">
        <v>84</v>
      </c>
      <c r="H176" s="84">
        <v>92.5</v>
      </c>
      <c r="I176" s="84">
        <v>69</v>
      </c>
      <c r="J176" s="84">
        <v>39</v>
      </c>
      <c r="K176" s="84">
        <v>56</v>
      </c>
      <c r="L176" s="84">
        <v>56</v>
      </c>
      <c r="M176" s="84">
        <v>72</v>
      </c>
      <c r="N176" s="84">
        <v>57</v>
      </c>
      <c r="O176" s="5">
        <f t="shared" si="9"/>
        <v>426.5</v>
      </c>
      <c r="P176" s="6">
        <f t="shared" si="12"/>
        <v>37</v>
      </c>
      <c r="Q176" s="5">
        <f t="shared" si="10"/>
        <v>642</v>
      </c>
      <c r="R176" s="5">
        <v>444</v>
      </c>
      <c r="S176" s="5">
        <v>506</v>
      </c>
      <c r="T176" s="5">
        <f t="shared" si="11"/>
        <v>-136</v>
      </c>
    </row>
    <row r="177" spans="1:20">
      <c r="A177" s="1" t="s">
        <v>717</v>
      </c>
      <c r="B177" s="1" t="s">
        <v>3198</v>
      </c>
      <c r="C177" s="4" t="s">
        <v>117</v>
      </c>
      <c r="D177" s="1" t="s">
        <v>718</v>
      </c>
      <c r="E177" s="4" t="s">
        <v>719</v>
      </c>
      <c r="F177" s="84">
        <v>92</v>
      </c>
      <c r="G177" s="84">
        <v>71</v>
      </c>
      <c r="H177" s="84">
        <v>89.5</v>
      </c>
      <c r="I177" s="84">
        <v>51</v>
      </c>
      <c r="J177" s="84">
        <v>29</v>
      </c>
      <c r="K177" s="84">
        <v>58</v>
      </c>
      <c r="L177" s="84">
        <v>68</v>
      </c>
      <c r="M177" s="84">
        <v>71</v>
      </c>
      <c r="N177" s="84">
        <v>49</v>
      </c>
      <c r="O177" s="5">
        <f t="shared" si="9"/>
        <v>390.5</v>
      </c>
      <c r="P177" s="6">
        <f t="shared" si="12"/>
        <v>49</v>
      </c>
      <c r="Q177" s="5">
        <f t="shared" si="10"/>
        <v>801</v>
      </c>
      <c r="R177" s="5">
        <v>384.5</v>
      </c>
      <c r="S177" s="5">
        <v>790</v>
      </c>
      <c r="T177" s="5">
        <f t="shared" si="11"/>
        <v>-11</v>
      </c>
    </row>
    <row r="178" spans="1:20">
      <c r="A178" s="1" t="s">
        <v>720</v>
      </c>
      <c r="B178" s="1" t="s">
        <v>3198</v>
      </c>
      <c r="C178" s="4" t="s">
        <v>117</v>
      </c>
      <c r="D178" s="1" t="s">
        <v>721</v>
      </c>
      <c r="E178" s="4" t="s">
        <v>722</v>
      </c>
      <c r="F178" s="84">
        <v>104</v>
      </c>
      <c r="G178" s="84">
        <v>81</v>
      </c>
      <c r="H178" s="84">
        <v>93.5</v>
      </c>
      <c r="I178" s="84">
        <v>55</v>
      </c>
      <c r="J178" s="84">
        <v>53</v>
      </c>
      <c r="K178" s="84">
        <v>65</v>
      </c>
      <c r="L178" s="84">
        <v>63</v>
      </c>
      <c r="M178" s="84">
        <v>70</v>
      </c>
      <c r="N178" s="84">
        <v>58</v>
      </c>
      <c r="O178" s="5">
        <f t="shared" si="9"/>
        <v>451.5</v>
      </c>
      <c r="P178" s="6">
        <f t="shared" si="12"/>
        <v>29</v>
      </c>
      <c r="Q178" s="5">
        <f t="shared" si="10"/>
        <v>506</v>
      </c>
      <c r="R178" s="5">
        <v>393</v>
      </c>
      <c r="S178" s="5">
        <v>755</v>
      </c>
      <c r="T178" s="5">
        <f t="shared" si="11"/>
        <v>249</v>
      </c>
    </row>
    <row r="179" spans="1:20">
      <c r="A179" s="1" t="s">
        <v>723</v>
      </c>
      <c r="B179" s="1" t="s">
        <v>3198</v>
      </c>
      <c r="C179" s="4" t="s">
        <v>117</v>
      </c>
      <c r="D179" s="1" t="s">
        <v>724</v>
      </c>
      <c r="E179" s="4" t="s">
        <v>725</v>
      </c>
      <c r="F179" s="84">
        <v>106</v>
      </c>
      <c r="G179" s="84">
        <v>91</v>
      </c>
      <c r="H179" s="84">
        <v>90.5</v>
      </c>
      <c r="I179" s="84">
        <v>67</v>
      </c>
      <c r="J179" s="84">
        <v>70</v>
      </c>
      <c r="K179" s="84">
        <v>64</v>
      </c>
      <c r="L179" s="84">
        <v>66</v>
      </c>
      <c r="M179" s="84">
        <v>64</v>
      </c>
      <c r="N179" s="84">
        <v>50</v>
      </c>
      <c r="O179" s="5">
        <f t="shared" si="9"/>
        <v>488.5</v>
      </c>
      <c r="P179" s="6">
        <f t="shared" si="12"/>
        <v>13</v>
      </c>
      <c r="Q179" s="5">
        <f t="shared" si="10"/>
        <v>297</v>
      </c>
      <c r="R179" s="5">
        <v>485.5</v>
      </c>
      <c r="S179" s="5">
        <v>285</v>
      </c>
      <c r="T179" s="5">
        <f t="shared" si="11"/>
        <v>-12</v>
      </c>
    </row>
    <row r="180" spans="1:20">
      <c r="A180" s="1" t="s">
        <v>726</v>
      </c>
      <c r="B180" s="1" t="s">
        <v>3198</v>
      </c>
      <c r="C180" s="4" t="s">
        <v>117</v>
      </c>
      <c r="D180" s="1" t="s">
        <v>727</v>
      </c>
      <c r="E180" s="4" t="s">
        <v>728</v>
      </c>
      <c r="F180" s="84">
        <v>106</v>
      </c>
      <c r="G180" s="84">
        <v>75</v>
      </c>
      <c r="H180" s="84">
        <v>87.5</v>
      </c>
      <c r="I180" s="84">
        <v>70</v>
      </c>
      <c r="J180" s="84">
        <v>49</v>
      </c>
      <c r="K180" s="84">
        <v>67</v>
      </c>
      <c r="L180" s="84">
        <v>74</v>
      </c>
      <c r="M180" s="84">
        <v>55</v>
      </c>
      <c r="N180" s="84">
        <v>48</v>
      </c>
      <c r="O180" s="5">
        <f t="shared" si="9"/>
        <v>454.5</v>
      </c>
      <c r="P180" s="6">
        <f t="shared" si="12"/>
        <v>27</v>
      </c>
      <c r="Q180" s="5">
        <f t="shared" si="10"/>
        <v>485</v>
      </c>
      <c r="R180" s="5">
        <v>474</v>
      </c>
      <c r="S180" s="5">
        <v>335</v>
      </c>
      <c r="T180" s="5">
        <f t="shared" si="11"/>
        <v>-150</v>
      </c>
    </row>
    <row r="181" spans="1:20">
      <c r="A181" s="1" t="s">
        <v>729</v>
      </c>
      <c r="B181" s="1" t="s">
        <v>3198</v>
      </c>
      <c r="C181" s="4" t="s">
        <v>117</v>
      </c>
      <c r="D181" s="1" t="s">
        <v>730</v>
      </c>
      <c r="E181" s="4" t="s">
        <v>731</v>
      </c>
      <c r="F181" s="84">
        <v>121</v>
      </c>
      <c r="G181" s="84">
        <v>85</v>
      </c>
      <c r="H181" s="84">
        <v>107</v>
      </c>
      <c r="I181" s="84">
        <v>86</v>
      </c>
      <c r="J181" s="84">
        <v>60</v>
      </c>
      <c r="K181" s="84">
        <v>85</v>
      </c>
      <c r="L181" s="84">
        <v>86</v>
      </c>
      <c r="M181" s="84">
        <v>82</v>
      </c>
      <c r="N181" s="84">
        <v>61</v>
      </c>
      <c r="O181" s="5">
        <f t="shared" si="9"/>
        <v>544</v>
      </c>
      <c r="P181" s="6">
        <f t="shared" si="12"/>
        <v>3</v>
      </c>
      <c r="Q181" s="5">
        <f t="shared" si="10"/>
        <v>95</v>
      </c>
      <c r="R181" s="5">
        <v>528.5</v>
      </c>
      <c r="S181" s="5">
        <v>110</v>
      </c>
      <c r="T181" s="5">
        <f t="shared" si="11"/>
        <v>15</v>
      </c>
    </row>
    <row r="182" spans="1:20">
      <c r="A182" s="1" t="s">
        <v>732</v>
      </c>
      <c r="B182" s="1" t="s">
        <v>3198</v>
      </c>
      <c r="C182" s="4" t="s">
        <v>117</v>
      </c>
      <c r="D182" s="1" t="s">
        <v>733</v>
      </c>
      <c r="E182" s="4" t="s">
        <v>734</v>
      </c>
      <c r="F182" s="84">
        <v>79</v>
      </c>
      <c r="G182" s="84">
        <v>68</v>
      </c>
      <c r="H182" s="84">
        <v>64.5</v>
      </c>
      <c r="I182" s="84">
        <v>61</v>
      </c>
      <c r="J182" s="84">
        <v>51</v>
      </c>
      <c r="K182" s="84">
        <v>51</v>
      </c>
      <c r="L182" s="84">
        <v>70</v>
      </c>
      <c r="M182" s="84">
        <v>52</v>
      </c>
      <c r="N182" s="84">
        <v>47</v>
      </c>
      <c r="O182" s="5">
        <f t="shared" si="9"/>
        <v>374.5</v>
      </c>
      <c r="P182" s="6">
        <f t="shared" si="12"/>
        <v>52</v>
      </c>
      <c r="Q182" s="5">
        <f t="shared" si="10"/>
        <v>844</v>
      </c>
      <c r="R182" s="5">
        <v>392.5</v>
      </c>
      <c r="S182" s="5">
        <v>757</v>
      </c>
      <c r="T182" s="5">
        <f t="shared" si="11"/>
        <v>-87</v>
      </c>
    </row>
    <row r="183" spans="1:20">
      <c r="A183" s="1" t="s">
        <v>735</v>
      </c>
      <c r="B183" s="1" t="s">
        <v>3198</v>
      </c>
      <c r="C183" s="4" t="s">
        <v>117</v>
      </c>
      <c r="D183" s="1" t="s">
        <v>736</v>
      </c>
      <c r="E183" s="4" t="s">
        <v>737</v>
      </c>
      <c r="F183" s="84">
        <v>111</v>
      </c>
      <c r="G183" s="84">
        <v>65</v>
      </c>
      <c r="H183" s="84">
        <v>101.5</v>
      </c>
      <c r="I183" s="84">
        <v>53</v>
      </c>
      <c r="J183" s="84">
        <v>56</v>
      </c>
      <c r="K183" s="84">
        <v>92</v>
      </c>
      <c r="L183" s="84">
        <v>78</v>
      </c>
      <c r="M183" s="84">
        <v>58</v>
      </c>
      <c r="N183" s="84">
        <v>52</v>
      </c>
      <c r="O183" s="5">
        <f t="shared" si="9"/>
        <v>478.5</v>
      </c>
      <c r="P183" s="6">
        <f t="shared" si="12"/>
        <v>17</v>
      </c>
      <c r="Q183" s="5">
        <f t="shared" si="10"/>
        <v>348</v>
      </c>
      <c r="R183" s="5">
        <v>407</v>
      </c>
      <c r="S183" s="5">
        <v>695</v>
      </c>
      <c r="T183" s="5">
        <f t="shared" si="11"/>
        <v>347</v>
      </c>
    </row>
    <row r="184" spans="1:20">
      <c r="A184" s="1" t="s">
        <v>738</v>
      </c>
      <c r="B184" s="1" t="s">
        <v>3198</v>
      </c>
      <c r="C184" s="4" t="s">
        <v>117</v>
      </c>
      <c r="D184" s="1" t="s">
        <v>739</v>
      </c>
      <c r="E184" s="4" t="s">
        <v>740</v>
      </c>
      <c r="F184" s="84">
        <v>95</v>
      </c>
      <c r="G184" s="84">
        <v>62</v>
      </c>
      <c r="H184" s="84">
        <v>73</v>
      </c>
      <c r="I184" s="84">
        <v>28</v>
      </c>
      <c r="J184" s="84">
        <v>42</v>
      </c>
      <c r="K184" s="84">
        <v>87</v>
      </c>
      <c r="L184" s="84">
        <v>83</v>
      </c>
      <c r="M184" s="84">
        <v>80</v>
      </c>
      <c r="N184" s="84">
        <v>62</v>
      </c>
      <c r="O184" s="5">
        <f t="shared" si="9"/>
        <v>387</v>
      </c>
      <c r="P184" s="6">
        <f t="shared" si="12"/>
        <v>50</v>
      </c>
      <c r="Q184" s="5">
        <f t="shared" si="10"/>
        <v>813</v>
      </c>
      <c r="R184" s="5">
        <v>420</v>
      </c>
      <c r="S184" s="5">
        <v>642</v>
      </c>
      <c r="T184" s="5">
        <f t="shared" si="11"/>
        <v>-171</v>
      </c>
    </row>
    <row r="185" spans="1:20">
      <c r="A185" s="1" t="s">
        <v>741</v>
      </c>
      <c r="B185" s="1" t="s">
        <v>3198</v>
      </c>
      <c r="C185" s="4" t="s">
        <v>117</v>
      </c>
      <c r="D185" s="1" t="s">
        <v>742</v>
      </c>
      <c r="E185" s="4" t="s">
        <v>743</v>
      </c>
      <c r="F185" s="84">
        <v>115</v>
      </c>
      <c r="G185" s="84">
        <v>60</v>
      </c>
      <c r="H185" s="84">
        <v>98</v>
      </c>
      <c r="I185" s="84">
        <v>60</v>
      </c>
      <c r="J185" s="84">
        <v>51</v>
      </c>
      <c r="K185" s="84">
        <v>72</v>
      </c>
      <c r="L185" s="84">
        <v>81</v>
      </c>
      <c r="M185" s="84">
        <v>68</v>
      </c>
      <c r="N185" s="84">
        <v>55</v>
      </c>
      <c r="O185" s="5">
        <f t="shared" si="9"/>
        <v>456</v>
      </c>
      <c r="P185" s="6">
        <f t="shared" si="12"/>
        <v>25</v>
      </c>
      <c r="Q185" s="5">
        <f t="shared" si="10"/>
        <v>477</v>
      </c>
      <c r="R185" s="5">
        <v>463</v>
      </c>
      <c r="S185" s="5">
        <v>398</v>
      </c>
      <c r="T185" s="5">
        <f t="shared" si="11"/>
        <v>-79</v>
      </c>
    </row>
    <row r="186" spans="1:20">
      <c r="A186" s="1" t="s">
        <v>744</v>
      </c>
      <c r="B186" s="1" t="s">
        <v>3198</v>
      </c>
      <c r="C186" s="4" t="s">
        <v>117</v>
      </c>
      <c r="D186" s="1" t="s">
        <v>745</v>
      </c>
      <c r="E186" s="4" t="s">
        <v>746</v>
      </c>
      <c r="F186" s="84">
        <v>107</v>
      </c>
      <c r="G186" s="84">
        <v>71</v>
      </c>
      <c r="H186" s="84">
        <v>85</v>
      </c>
      <c r="I186" s="84">
        <v>52</v>
      </c>
      <c r="J186" s="84">
        <v>53</v>
      </c>
      <c r="K186" s="84">
        <v>63</v>
      </c>
      <c r="L186" s="84">
        <v>82</v>
      </c>
      <c r="M186" s="84">
        <v>76</v>
      </c>
      <c r="N186" s="84">
        <v>57</v>
      </c>
      <c r="O186" s="5">
        <f t="shared" si="9"/>
        <v>431</v>
      </c>
      <c r="P186" s="6">
        <f t="shared" si="12"/>
        <v>34</v>
      </c>
      <c r="Q186" s="5">
        <f t="shared" si="10"/>
        <v>616</v>
      </c>
      <c r="R186" s="5">
        <v>456.5</v>
      </c>
      <c r="S186" s="5">
        <v>430</v>
      </c>
      <c r="T186" s="5">
        <f t="shared" si="11"/>
        <v>-186</v>
      </c>
    </row>
    <row r="187" spans="1:20">
      <c r="A187" s="1" t="s">
        <v>747</v>
      </c>
      <c r="B187" s="1" t="s">
        <v>3198</v>
      </c>
      <c r="C187" s="4" t="s">
        <v>117</v>
      </c>
      <c r="D187" s="1" t="s">
        <v>748</v>
      </c>
      <c r="E187" s="4" t="s">
        <v>749</v>
      </c>
      <c r="F187" s="84">
        <v>95</v>
      </c>
      <c r="G187" s="84">
        <v>53</v>
      </c>
      <c r="H187" s="84">
        <v>57.5</v>
      </c>
      <c r="I187" s="84">
        <v>45</v>
      </c>
      <c r="J187" s="84">
        <v>42</v>
      </c>
      <c r="K187" s="84">
        <v>66</v>
      </c>
      <c r="L187" s="84">
        <v>82</v>
      </c>
      <c r="M187" s="84">
        <v>74</v>
      </c>
      <c r="N187" s="84">
        <v>66</v>
      </c>
      <c r="O187" s="5">
        <f t="shared" si="9"/>
        <v>358.5</v>
      </c>
      <c r="P187" s="6">
        <f t="shared" si="12"/>
        <v>54</v>
      </c>
      <c r="Q187" s="5">
        <f t="shared" si="10"/>
        <v>880</v>
      </c>
      <c r="R187" s="5">
        <v>386</v>
      </c>
      <c r="S187" s="5">
        <v>782</v>
      </c>
      <c r="T187" s="5">
        <f t="shared" si="11"/>
        <v>-98</v>
      </c>
    </row>
    <row r="188" spans="1:20">
      <c r="A188" s="1" t="s">
        <v>750</v>
      </c>
      <c r="B188" s="1" t="s">
        <v>3198</v>
      </c>
      <c r="C188" s="4" t="s">
        <v>117</v>
      </c>
      <c r="D188" s="1" t="s">
        <v>751</v>
      </c>
      <c r="E188" s="4" t="s">
        <v>752</v>
      </c>
      <c r="F188" s="84">
        <v>91</v>
      </c>
      <c r="G188" s="84">
        <v>104</v>
      </c>
      <c r="H188" s="84">
        <v>82</v>
      </c>
      <c r="I188" s="84">
        <v>78</v>
      </c>
      <c r="J188" s="84">
        <v>67</v>
      </c>
      <c r="K188" s="84">
        <v>73</v>
      </c>
      <c r="L188" s="84">
        <v>72</v>
      </c>
      <c r="M188" s="84">
        <v>74</v>
      </c>
      <c r="N188" s="84">
        <v>57</v>
      </c>
      <c r="O188" s="5">
        <f t="shared" si="9"/>
        <v>495</v>
      </c>
      <c r="P188" s="6">
        <f t="shared" si="12"/>
        <v>11</v>
      </c>
      <c r="Q188" s="5">
        <f t="shared" si="10"/>
        <v>266</v>
      </c>
      <c r="R188" s="5">
        <v>478.5</v>
      </c>
      <c r="S188" s="5">
        <v>314</v>
      </c>
      <c r="T188" s="5">
        <f t="shared" si="11"/>
        <v>48</v>
      </c>
    </row>
    <row r="189" spans="1:20">
      <c r="A189" s="1" t="s">
        <v>753</v>
      </c>
      <c r="B189" s="1" t="s">
        <v>3198</v>
      </c>
      <c r="C189" s="4" t="s">
        <v>117</v>
      </c>
      <c r="D189" s="1" t="s">
        <v>754</v>
      </c>
      <c r="E189" s="4" t="s">
        <v>755</v>
      </c>
      <c r="F189" s="84">
        <v>87</v>
      </c>
      <c r="G189" s="84">
        <v>95</v>
      </c>
      <c r="H189" s="84">
        <v>105</v>
      </c>
      <c r="I189" s="84">
        <v>85</v>
      </c>
      <c r="J189" s="84">
        <v>54</v>
      </c>
      <c r="K189" s="84">
        <v>71</v>
      </c>
      <c r="L189" s="84">
        <v>46</v>
      </c>
      <c r="M189" s="84">
        <v>62</v>
      </c>
      <c r="N189" s="84">
        <v>51</v>
      </c>
      <c r="O189" s="5">
        <f t="shared" si="9"/>
        <v>497</v>
      </c>
      <c r="P189" s="6">
        <f t="shared" si="12"/>
        <v>10</v>
      </c>
      <c r="Q189" s="5">
        <f t="shared" si="10"/>
        <v>258</v>
      </c>
      <c r="R189" s="5">
        <v>433.5</v>
      </c>
      <c r="S189" s="5">
        <v>554</v>
      </c>
      <c r="T189" s="5">
        <f t="shared" si="11"/>
        <v>296</v>
      </c>
    </row>
    <row r="190" spans="1:20">
      <c r="A190" s="1" t="s">
        <v>756</v>
      </c>
      <c r="B190" s="1" t="s">
        <v>3198</v>
      </c>
      <c r="C190" s="4" t="s">
        <v>117</v>
      </c>
      <c r="D190" s="1" t="s">
        <v>757</v>
      </c>
      <c r="E190" s="4" t="s">
        <v>758</v>
      </c>
      <c r="F190" s="84">
        <v>98</v>
      </c>
      <c r="G190" s="84">
        <v>79</v>
      </c>
      <c r="H190" s="84">
        <v>89.5</v>
      </c>
      <c r="I190" s="84">
        <v>90</v>
      </c>
      <c r="J190" s="84">
        <v>55</v>
      </c>
      <c r="K190" s="84">
        <v>76</v>
      </c>
      <c r="L190" s="84">
        <v>65</v>
      </c>
      <c r="M190" s="84">
        <v>68</v>
      </c>
      <c r="N190" s="84">
        <v>56</v>
      </c>
      <c r="O190" s="5">
        <f t="shared" si="9"/>
        <v>487.5</v>
      </c>
      <c r="P190" s="6">
        <f t="shared" si="12"/>
        <v>14</v>
      </c>
      <c r="Q190" s="5">
        <f t="shared" si="10"/>
        <v>301</v>
      </c>
      <c r="R190" s="5">
        <v>468</v>
      </c>
      <c r="S190" s="5">
        <v>380</v>
      </c>
      <c r="T190" s="5">
        <f t="shared" si="11"/>
        <v>79</v>
      </c>
    </row>
    <row r="191" spans="1:20">
      <c r="A191" s="1" t="s">
        <v>759</v>
      </c>
      <c r="B191" s="1" t="s">
        <v>3198</v>
      </c>
      <c r="C191" s="4" t="s">
        <v>117</v>
      </c>
      <c r="D191" s="1" t="s">
        <v>760</v>
      </c>
      <c r="E191" s="4" t="s">
        <v>761</v>
      </c>
      <c r="F191" s="84">
        <v>105</v>
      </c>
      <c r="G191" s="84">
        <v>60</v>
      </c>
      <c r="H191" s="84">
        <v>78.5</v>
      </c>
      <c r="I191" s="84">
        <v>53</v>
      </c>
      <c r="J191" s="84">
        <v>44</v>
      </c>
      <c r="K191" s="84">
        <v>61</v>
      </c>
      <c r="L191" s="84">
        <v>68</v>
      </c>
      <c r="M191" s="84">
        <v>67</v>
      </c>
      <c r="N191" s="84">
        <v>53</v>
      </c>
      <c r="O191" s="5">
        <f t="shared" si="9"/>
        <v>401.5</v>
      </c>
      <c r="P191" s="6">
        <f t="shared" si="12"/>
        <v>44</v>
      </c>
      <c r="Q191" s="5">
        <f t="shared" si="10"/>
        <v>763</v>
      </c>
      <c r="R191" s="5">
        <v>384</v>
      </c>
      <c r="S191" s="5">
        <v>793</v>
      </c>
      <c r="T191" s="5">
        <f t="shared" si="11"/>
        <v>30</v>
      </c>
    </row>
    <row r="192" spans="1:20">
      <c r="A192" s="1" t="s">
        <v>762</v>
      </c>
      <c r="B192" s="1" t="s">
        <v>3198</v>
      </c>
      <c r="C192" s="4" t="s">
        <v>117</v>
      </c>
      <c r="D192" s="1" t="s">
        <v>763</v>
      </c>
      <c r="E192" s="4" t="s">
        <v>764</v>
      </c>
      <c r="F192" s="84">
        <v>80</v>
      </c>
      <c r="G192" s="84">
        <v>78</v>
      </c>
      <c r="H192" s="84">
        <v>61</v>
      </c>
      <c r="I192" s="84">
        <v>66</v>
      </c>
      <c r="J192" s="84">
        <v>56</v>
      </c>
      <c r="K192" s="84">
        <v>56</v>
      </c>
      <c r="L192" s="84">
        <v>68</v>
      </c>
      <c r="M192" s="84">
        <v>61</v>
      </c>
      <c r="N192" s="84">
        <v>52</v>
      </c>
      <c r="O192" s="5">
        <f t="shared" si="9"/>
        <v>397</v>
      </c>
      <c r="P192" s="6">
        <f t="shared" si="12"/>
        <v>46</v>
      </c>
      <c r="Q192" s="5">
        <f t="shared" si="10"/>
        <v>782</v>
      </c>
      <c r="R192" s="5">
        <v>378</v>
      </c>
      <c r="S192" s="5">
        <v>814</v>
      </c>
      <c r="T192" s="5">
        <f t="shared" si="11"/>
        <v>32</v>
      </c>
    </row>
    <row r="193" spans="1:20">
      <c r="A193" s="1" t="s">
        <v>765</v>
      </c>
      <c r="B193" s="1" t="s">
        <v>3198</v>
      </c>
      <c r="C193" s="4" t="s">
        <v>117</v>
      </c>
      <c r="D193" s="1" t="s">
        <v>766</v>
      </c>
      <c r="E193" s="4" t="s">
        <v>767</v>
      </c>
      <c r="F193" s="84">
        <v>109</v>
      </c>
      <c r="G193" s="84">
        <v>97</v>
      </c>
      <c r="H193" s="84">
        <v>101.5</v>
      </c>
      <c r="I193" s="84">
        <v>76</v>
      </c>
      <c r="J193" s="84">
        <v>58</v>
      </c>
      <c r="K193" s="84">
        <v>59</v>
      </c>
      <c r="L193" s="84">
        <v>75</v>
      </c>
      <c r="M193" s="84">
        <v>59</v>
      </c>
      <c r="N193" s="84">
        <v>52</v>
      </c>
      <c r="O193" s="5">
        <f t="shared" si="9"/>
        <v>500.5</v>
      </c>
      <c r="P193" s="6">
        <f t="shared" si="12"/>
        <v>8</v>
      </c>
      <c r="Q193" s="5">
        <f t="shared" si="10"/>
        <v>244</v>
      </c>
      <c r="R193" s="5">
        <v>477.5</v>
      </c>
      <c r="S193" s="5">
        <v>317</v>
      </c>
      <c r="T193" s="5">
        <f t="shared" si="11"/>
        <v>73</v>
      </c>
    </row>
    <row r="194" spans="1:20">
      <c r="A194" s="1" t="s">
        <v>768</v>
      </c>
      <c r="B194" s="1" t="s">
        <v>3198</v>
      </c>
      <c r="C194" s="4" t="s">
        <v>117</v>
      </c>
      <c r="D194" s="1" t="s">
        <v>769</v>
      </c>
      <c r="E194" s="4" t="s">
        <v>770</v>
      </c>
      <c r="F194" s="84">
        <v>104</v>
      </c>
      <c r="G194" s="84">
        <v>68</v>
      </c>
      <c r="H194" s="84">
        <v>80</v>
      </c>
      <c r="I194" s="84">
        <v>62</v>
      </c>
      <c r="J194" s="84">
        <v>49</v>
      </c>
      <c r="K194" s="84">
        <v>66</v>
      </c>
      <c r="L194" s="84">
        <v>74</v>
      </c>
      <c r="M194" s="84">
        <v>69</v>
      </c>
      <c r="N194" s="84">
        <v>47</v>
      </c>
      <c r="O194" s="5">
        <f t="shared" si="9"/>
        <v>429</v>
      </c>
      <c r="P194" s="6">
        <f t="shared" si="12"/>
        <v>36</v>
      </c>
      <c r="Q194" s="5">
        <f t="shared" si="10"/>
        <v>634</v>
      </c>
      <c r="R194" s="5">
        <v>405</v>
      </c>
      <c r="S194" s="5">
        <v>705</v>
      </c>
      <c r="T194" s="5">
        <f t="shared" si="11"/>
        <v>71</v>
      </c>
    </row>
    <row r="195" spans="1:20">
      <c r="A195" s="1" t="s">
        <v>771</v>
      </c>
      <c r="B195" s="1" t="s">
        <v>3198</v>
      </c>
      <c r="C195" s="4" t="s">
        <v>117</v>
      </c>
      <c r="D195" s="1" t="s">
        <v>772</v>
      </c>
      <c r="E195" s="4" t="s">
        <v>773</v>
      </c>
      <c r="F195" s="84">
        <v>101</v>
      </c>
      <c r="G195" s="84">
        <v>65</v>
      </c>
      <c r="H195" s="84">
        <v>64</v>
      </c>
      <c r="I195" s="84">
        <v>73</v>
      </c>
      <c r="J195" s="84">
        <v>42</v>
      </c>
      <c r="K195" s="84">
        <v>74</v>
      </c>
      <c r="L195" s="84">
        <v>76</v>
      </c>
      <c r="M195" s="84">
        <v>77</v>
      </c>
      <c r="N195" s="84">
        <v>58</v>
      </c>
      <c r="O195" s="5">
        <f t="shared" si="9"/>
        <v>419</v>
      </c>
      <c r="P195" s="6">
        <f t="shared" si="12"/>
        <v>40</v>
      </c>
      <c r="Q195" s="5">
        <f t="shared" si="10"/>
        <v>673</v>
      </c>
      <c r="R195" s="5">
        <v>388.5</v>
      </c>
      <c r="S195" s="5">
        <v>770</v>
      </c>
      <c r="T195" s="5">
        <f t="shared" si="11"/>
        <v>97</v>
      </c>
    </row>
    <row r="196" spans="1:20">
      <c r="A196" s="1" t="s">
        <v>774</v>
      </c>
      <c r="B196" s="1" t="s">
        <v>3198</v>
      </c>
      <c r="C196" s="4" t="s">
        <v>117</v>
      </c>
      <c r="D196" s="1" t="s">
        <v>775</v>
      </c>
      <c r="E196" s="4" t="s">
        <v>776</v>
      </c>
      <c r="F196" s="84">
        <v>100</v>
      </c>
      <c r="G196" s="84">
        <v>90</v>
      </c>
      <c r="H196" s="84">
        <v>97.5</v>
      </c>
      <c r="I196" s="84">
        <v>62</v>
      </c>
      <c r="J196" s="84">
        <v>60</v>
      </c>
      <c r="K196" s="84">
        <v>71</v>
      </c>
      <c r="L196" s="84">
        <v>67</v>
      </c>
      <c r="M196" s="84">
        <v>79</v>
      </c>
      <c r="N196" s="84">
        <v>52</v>
      </c>
      <c r="O196" s="5">
        <f t="shared" ref="O196:O259" si="13">SUM(F196:K196)</f>
        <v>480.5</v>
      </c>
      <c r="P196" s="6">
        <f t="shared" si="12"/>
        <v>16</v>
      </c>
      <c r="Q196" s="5">
        <f t="shared" ref="Q196:Q259" si="14">RANK(O196,$O$3:$O$936)</f>
        <v>336</v>
      </c>
      <c r="R196" s="5">
        <v>463</v>
      </c>
      <c r="S196" s="5">
        <v>398</v>
      </c>
      <c r="T196" s="5">
        <f t="shared" ref="T196:T259" si="15">S196-Q196</f>
        <v>62</v>
      </c>
    </row>
    <row r="197" spans="1:20">
      <c r="A197" s="1" t="s">
        <v>777</v>
      </c>
      <c r="B197" s="1" t="s">
        <v>3198</v>
      </c>
      <c r="C197" s="4" t="s">
        <v>117</v>
      </c>
      <c r="D197" s="1" t="s">
        <v>778</v>
      </c>
      <c r="E197" s="4" t="s">
        <v>779</v>
      </c>
      <c r="F197" s="84">
        <v>104</v>
      </c>
      <c r="G197" s="84">
        <v>76</v>
      </c>
      <c r="H197" s="84">
        <v>104</v>
      </c>
      <c r="I197" s="84">
        <v>68</v>
      </c>
      <c r="J197" s="84">
        <v>53</v>
      </c>
      <c r="K197" s="84">
        <v>73</v>
      </c>
      <c r="L197" s="84">
        <v>79</v>
      </c>
      <c r="M197" s="84">
        <v>64</v>
      </c>
      <c r="N197" s="84">
        <v>63</v>
      </c>
      <c r="O197" s="5">
        <f t="shared" si="13"/>
        <v>478</v>
      </c>
      <c r="P197" s="6">
        <f t="shared" si="12"/>
        <v>18</v>
      </c>
      <c r="Q197" s="5">
        <f t="shared" si="14"/>
        <v>351</v>
      </c>
      <c r="R197" s="5">
        <v>482</v>
      </c>
      <c r="S197" s="5">
        <v>296</v>
      </c>
      <c r="T197" s="5">
        <f t="shared" si="15"/>
        <v>-55</v>
      </c>
    </row>
    <row r="198" spans="1:20">
      <c r="A198" s="1" t="s">
        <v>1687</v>
      </c>
      <c r="B198" s="1" t="s">
        <v>3198</v>
      </c>
      <c r="C198" s="4" t="s">
        <v>117</v>
      </c>
      <c r="D198" s="1" t="s">
        <v>781</v>
      </c>
      <c r="E198" s="4" t="s">
        <v>1689</v>
      </c>
      <c r="F198" s="84">
        <v>104</v>
      </c>
      <c r="G198" s="84">
        <v>74</v>
      </c>
      <c r="H198" s="84">
        <v>84</v>
      </c>
      <c r="I198" s="84">
        <v>75</v>
      </c>
      <c r="J198" s="84">
        <v>59</v>
      </c>
      <c r="K198" s="84">
        <v>73</v>
      </c>
      <c r="L198" s="84">
        <v>56</v>
      </c>
      <c r="M198" s="84">
        <v>60</v>
      </c>
      <c r="N198" s="84">
        <v>36</v>
      </c>
      <c r="O198" s="5">
        <f t="shared" si="13"/>
        <v>469</v>
      </c>
      <c r="P198" s="6">
        <f t="shared" si="12"/>
        <v>20</v>
      </c>
      <c r="Q198" s="5">
        <f t="shared" si="14"/>
        <v>397</v>
      </c>
      <c r="R198" s="5">
        <v>410</v>
      </c>
      <c r="S198" s="5">
        <v>685</v>
      </c>
      <c r="T198" s="5">
        <f t="shared" si="15"/>
        <v>288</v>
      </c>
    </row>
    <row r="199" spans="1:20">
      <c r="A199" s="1" t="s">
        <v>782</v>
      </c>
      <c r="B199" s="1" t="s">
        <v>3198</v>
      </c>
      <c r="C199" s="4" t="s">
        <v>117</v>
      </c>
      <c r="D199" s="1" t="s">
        <v>783</v>
      </c>
      <c r="E199" s="4" t="s">
        <v>784</v>
      </c>
      <c r="F199" s="84">
        <v>104</v>
      </c>
      <c r="G199" s="84">
        <v>62</v>
      </c>
      <c r="H199" s="84">
        <v>68.5</v>
      </c>
      <c r="I199" s="84">
        <v>49</v>
      </c>
      <c r="J199" s="84">
        <v>37</v>
      </c>
      <c r="K199" s="84">
        <v>60</v>
      </c>
      <c r="L199" s="84">
        <v>58</v>
      </c>
      <c r="M199" s="84">
        <v>63</v>
      </c>
      <c r="N199" s="84">
        <v>40</v>
      </c>
      <c r="O199" s="5">
        <f t="shared" si="13"/>
        <v>380.5</v>
      </c>
      <c r="P199" s="6">
        <f t="shared" si="12"/>
        <v>51</v>
      </c>
      <c r="Q199" s="5">
        <f t="shared" si="14"/>
        <v>830</v>
      </c>
      <c r="R199" s="5">
        <v>386</v>
      </c>
      <c r="S199" s="5">
        <v>782</v>
      </c>
      <c r="T199" s="5">
        <f t="shared" si="15"/>
        <v>-48</v>
      </c>
    </row>
    <row r="200" spans="1:20">
      <c r="A200" s="1" t="s">
        <v>785</v>
      </c>
      <c r="B200" s="1" t="s">
        <v>3198</v>
      </c>
      <c r="C200" s="4" t="s">
        <v>117</v>
      </c>
      <c r="D200" s="1" t="s">
        <v>786</v>
      </c>
      <c r="E200" s="4" t="s">
        <v>787</v>
      </c>
      <c r="F200" s="84">
        <v>95</v>
      </c>
      <c r="G200" s="84">
        <v>57</v>
      </c>
      <c r="H200" s="84">
        <v>79.5</v>
      </c>
      <c r="I200" s="84">
        <v>58</v>
      </c>
      <c r="J200" s="84">
        <v>52</v>
      </c>
      <c r="K200" s="84">
        <v>69</v>
      </c>
      <c r="L200" s="84">
        <v>78</v>
      </c>
      <c r="M200" s="84">
        <v>64</v>
      </c>
      <c r="N200" s="84">
        <v>59</v>
      </c>
      <c r="O200" s="5">
        <f t="shared" si="13"/>
        <v>410.5</v>
      </c>
      <c r="P200" s="6">
        <f t="shared" si="12"/>
        <v>41</v>
      </c>
      <c r="Q200" s="5">
        <f t="shared" si="14"/>
        <v>718</v>
      </c>
      <c r="R200" s="5">
        <v>403</v>
      </c>
      <c r="S200" s="5">
        <v>717</v>
      </c>
      <c r="T200" s="5">
        <f t="shared" si="15"/>
        <v>-1</v>
      </c>
    </row>
    <row r="201" spans="1:20">
      <c r="A201" s="1" t="s">
        <v>788</v>
      </c>
      <c r="B201" s="1" t="s">
        <v>3198</v>
      </c>
      <c r="C201" s="4" t="s">
        <v>117</v>
      </c>
      <c r="D201" s="1" t="s">
        <v>789</v>
      </c>
      <c r="E201" s="4" t="s">
        <v>790</v>
      </c>
      <c r="F201" s="84">
        <v>99</v>
      </c>
      <c r="G201" s="84">
        <v>110</v>
      </c>
      <c r="H201" s="84">
        <v>81</v>
      </c>
      <c r="I201" s="84">
        <v>87</v>
      </c>
      <c r="J201" s="84">
        <v>67</v>
      </c>
      <c r="K201" s="84">
        <v>76</v>
      </c>
      <c r="L201" s="84">
        <v>66</v>
      </c>
      <c r="M201" s="84">
        <v>68</v>
      </c>
      <c r="N201" s="84">
        <v>64</v>
      </c>
      <c r="O201" s="5">
        <f t="shared" si="13"/>
        <v>520</v>
      </c>
      <c r="P201" s="6">
        <f t="shared" si="12"/>
        <v>5</v>
      </c>
      <c r="Q201" s="5">
        <f t="shared" si="14"/>
        <v>165</v>
      </c>
      <c r="R201" s="5">
        <v>481.5</v>
      </c>
      <c r="S201" s="5">
        <v>298</v>
      </c>
      <c r="T201" s="5">
        <f t="shared" si="15"/>
        <v>133</v>
      </c>
    </row>
    <row r="202" spans="1:20">
      <c r="A202" s="1" t="s">
        <v>791</v>
      </c>
      <c r="B202" s="1" t="s">
        <v>3198</v>
      </c>
      <c r="C202" s="4" t="s">
        <v>117</v>
      </c>
      <c r="D202" s="1" t="s">
        <v>792</v>
      </c>
      <c r="E202" s="4" t="s">
        <v>793</v>
      </c>
      <c r="F202" s="84">
        <v>116</v>
      </c>
      <c r="G202" s="84">
        <v>73</v>
      </c>
      <c r="H202" s="84">
        <v>88.5</v>
      </c>
      <c r="I202" s="84">
        <v>38</v>
      </c>
      <c r="J202" s="84">
        <v>45</v>
      </c>
      <c r="K202" s="84">
        <v>70</v>
      </c>
      <c r="L202" s="84">
        <v>76</v>
      </c>
      <c r="M202" s="84">
        <v>72</v>
      </c>
      <c r="N202" s="84">
        <v>45</v>
      </c>
      <c r="O202" s="5">
        <f t="shared" si="13"/>
        <v>430.5</v>
      </c>
      <c r="P202" s="6">
        <f t="shared" si="12"/>
        <v>35</v>
      </c>
      <c r="Q202" s="5">
        <f t="shared" si="14"/>
        <v>620</v>
      </c>
      <c r="R202" s="5">
        <v>377.5</v>
      </c>
      <c r="S202" s="5">
        <v>815</v>
      </c>
      <c r="T202" s="5">
        <f t="shared" si="15"/>
        <v>195</v>
      </c>
    </row>
    <row r="203" spans="1:20">
      <c r="A203" s="1" t="s">
        <v>797</v>
      </c>
      <c r="B203" s="1" t="s">
        <v>3198</v>
      </c>
      <c r="C203" s="4" t="s">
        <v>117</v>
      </c>
      <c r="D203" s="1" t="s">
        <v>798</v>
      </c>
      <c r="E203" s="4" t="s">
        <v>799</v>
      </c>
      <c r="F203" s="84">
        <v>105</v>
      </c>
      <c r="G203" s="84">
        <v>61</v>
      </c>
      <c r="H203" s="84">
        <v>93</v>
      </c>
      <c r="I203" s="84">
        <v>74</v>
      </c>
      <c r="J203" s="84">
        <v>61</v>
      </c>
      <c r="K203" s="84">
        <v>77</v>
      </c>
      <c r="L203" s="84">
        <v>85</v>
      </c>
      <c r="M203" s="84">
        <v>83</v>
      </c>
      <c r="N203" s="84">
        <v>50</v>
      </c>
      <c r="O203" s="5">
        <f t="shared" si="13"/>
        <v>471</v>
      </c>
      <c r="P203" s="6">
        <f t="shared" si="12"/>
        <v>19</v>
      </c>
      <c r="Q203" s="5">
        <f t="shared" si="14"/>
        <v>386</v>
      </c>
      <c r="R203" s="5">
        <v>424.5</v>
      </c>
      <c r="S203" s="5">
        <v>609</v>
      </c>
      <c r="T203" s="5">
        <f t="shared" si="15"/>
        <v>223</v>
      </c>
    </row>
    <row r="204" spans="1:20">
      <c r="A204" s="1" t="s">
        <v>800</v>
      </c>
      <c r="B204" s="1" t="s">
        <v>3198</v>
      </c>
      <c r="C204" s="4" t="s">
        <v>117</v>
      </c>
      <c r="D204" s="1" t="s">
        <v>801</v>
      </c>
      <c r="E204" s="1" t="s">
        <v>802</v>
      </c>
      <c r="F204" s="84">
        <v>89</v>
      </c>
      <c r="G204" s="84">
        <v>80</v>
      </c>
      <c r="H204" s="84">
        <v>59.5</v>
      </c>
      <c r="I204" s="84">
        <v>78</v>
      </c>
      <c r="J204" s="84">
        <v>67</v>
      </c>
      <c r="K204" s="84">
        <v>92</v>
      </c>
      <c r="L204" s="84">
        <v>75</v>
      </c>
      <c r="M204" s="84">
        <v>81</v>
      </c>
      <c r="N204" s="84">
        <v>65</v>
      </c>
      <c r="O204" s="5">
        <f t="shared" si="13"/>
        <v>465.5</v>
      </c>
      <c r="P204" s="6">
        <f t="shared" si="12"/>
        <v>23</v>
      </c>
      <c r="Q204" s="5">
        <f t="shared" si="14"/>
        <v>419</v>
      </c>
      <c r="R204" s="5">
        <v>451</v>
      </c>
      <c r="S204" s="5">
        <v>461</v>
      </c>
      <c r="T204" s="5">
        <f t="shared" si="15"/>
        <v>42</v>
      </c>
    </row>
    <row r="205" spans="1:20">
      <c r="A205" s="1" t="s">
        <v>803</v>
      </c>
      <c r="B205" s="1" t="s">
        <v>3198</v>
      </c>
      <c r="C205" s="4" t="s">
        <v>117</v>
      </c>
      <c r="D205" s="1" t="s">
        <v>804</v>
      </c>
      <c r="E205" s="4" t="s">
        <v>805</v>
      </c>
      <c r="F205" s="84">
        <v>98</v>
      </c>
      <c r="G205" s="84">
        <v>53</v>
      </c>
      <c r="H205" s="84">
        <v>98</v>
      </c>
      <c r="I205" s="84">
        <v>64</v>
      </c>
      <c r="J205" s="84">
        <v>56</v>
      </c>
      <c r="K205" s="84">
        <v>80</v>
      </c>
      <c r="L205" s="84">
        <v>78</v>
      </c>
      <c r="M205" s="84">
        <v>74</v>
      </c>
      <c r="N205" s="84">
        <v>61</v>
      </c>
      <c r="O205" s="5">
        <f t="shared" si="13"/>
        <v>449</v>
      </c>
      <c r="P205" s="6">
        <f t="shared" si="12"/>
        <v>30</v>
      </c>
      <c r="Q205" s="5">
        <f t="shared" si="14"/>
        <v>522</v>
      </c>
      <c r="R205" s="5">
        <v>434.5</v>
      </c>
      <c r="S205" s="5">
        <v>547</v>
      </c>
      <c r="T205" s="5">
        <f t="shared" si="15"/>
        <v>25</v>
      </c>
    </row>
    <row r="206" spans="1:20">
      <c r="A206" s="1" t="s">
        <v>806</v>
      </c>
      <c r="B206" s="1" t="s">
        <v>3198</v>
      </c>
      <c r="C206" s="4" t="s">
        <v>117</v>
      </c>
      <c r="D206" s="1" t="s">
        <v>807</v>
      </c>
      <c r="E206" s="4" t="s">
        <v>808</v>
      </c>
      <c r="F206" s="84">
        <v>104</v>
      </c>
      <c r="G206" s="84">
        <v>118</v>
      </c>
      <c r="H206" s="84">
        <v>76.5</v>
      </c>
      <c r="I206" s="84">
        <v>100</v>
      </c>
      <c r="J206" s="84">
        <v>80</v>
      </c>
      <c r="K206" s="84">
        <v>76</v>
      </c>
      <c r="L206" s="84">
        <v>55</v>
      </c>
      <c r="M206" s="84">
        <v>68</v>
      </c>
      <c r="N206" s="84">
        <v>59</v>
      </c>
      <c r="O206" s="5">
        <f t="shared" si="13"/>
        <v>554.5</v>
      </c>
      <c r="P206" s="6">
        <f t="shared" si="12"/>
        <v>2</v>
      </c>
      <c r="Q206" s="5">
        <f t="shared" si="14"/>
        <v>75</v>
      </c>
      <c r="R206" s="5">
        <v>565.5</v>
      </c>
      <c r="S206" s="5">
        <v>34</v>
      </c>
      <c r="T206" s="5">
        <f t="shared" si="15"/>
        <v>-41</v>
      </c>
    </row>
    <row r="207" spans="1:20">
      <c r="A207" s="1" t="s">
        <v>809</v>
      </c>
      <c r="B207" s="1" t="s">
        <v>3198</v>
      </c>
      <c r="C207" s="4" t="s">
        <v>117</v>
      </c>
      <c r="D207" s="1" t="s">
        <v>810</v>
      </c>
      <c r="E207" s="4" t="s">
        <v>811</v>
      </c>
      <c r="F207" s="84">
        <v>110</v>
      </c>
      <c r="G207" s="84">
        <v>53</v>
      </c>
      <c r="H207" s="84">
        <v>111.5</v>
      </c>
      <c r="I207" s="84">
        <v>45</v>
      </c>
      <c r="J207" s="84">
        <v>74</v>
      </c>
      <c r="K207" s="84">
        <v>69</v>
      </c>
      <c r="L207" s="84">
        <v>77</v>
      </c>
      <c r="M207" s="84">
        <v>76</v>
      </c>
      <c r="N207" s="84">
        <v>55</v>
      </c>
      <c r="O207" s="5">
        <f t="shared" si="13"/>
        <v>462.5</v>
      </c>
      <c r="P207" s="6">
        <f t="shared" si="12"/>
        <v>24</v>
      </c>
      <c r="Q207" s="5">
        <f t="shared" si="14"/>
        <v>443</v>
      </c>
      <c r="R207" s="5">
        <v>465.5</v>
      </c>
      <c r="S207" s="5">
        <v>388</v>
      </c>
      <c r="T207" s="5">
        <f t="shared" si="15"/>
        <v>-55</v>
      </c>
    </row>
    <row r="208" spans="1:20">
      <c r="A208" s="1" t="s">
        <v>812</v>
      </c>
      <c r="B208" s="1" t="s">
        <v>3198</v>
      </c>
      <c r="C208" s="4" t="s">
        <v>117</v>
      </c>
      <c r="D208" s="1" t="s">
        <v>813</v>
      </c>
      <c r="E208" s="4" t="s">
        <v>814</v>
      </c>
      <c r="F208" s="84">
        <v>89</v>
      </c>
      <c r="G208" s="84">
        <v>84</v>
      </c>
      <c r="H208" s="84">
        <v>107.5</v>
      </c>
      <c r="I208" s="84">
        <v>53</v>
      </c>
      <c r="J208" s="84">
        <v>45</v>
      </c>
      <c r="K208" s="84">
        <v>65</v>
      </c>
      <c r="L208" s="84">
        <v>73</v>
      </c>
      <c r="M208" s="84">
        <v>47</v>
      </c>
      <c r="N208" s="84">
        <v>40</v>
      </c>
      <c r="O208" s="5">
        <f t="shared" si="13"/>
        <v>443.5</v>
      </c>
      <c r="P208" s="6">
        <f t="shared" si="12"/>
        <v>32</v>
      </c>
      <c r="Q208" s="5">
        <f t="shared" si="14"/>
        <v>554</v>
      </c>
      <c r="R208" s="5">
        <v>443</v>
      </c>
      <c r="S208" s="5">
        <v>513</v>
      </c>
      <c r="T208" s="5">
        <f t="shared" si="15"/>
        <v>-41</v>
      </c>
    </row>
    <row r="209" spans="1:20">
      <c r="A209" s="1" t="s">
        <v>818</v>
      </c>
      <c r="B209" s="1" t="s">
        <v>3198</v>
      </c>
      <c r="C209" s="4" t="s">
        <v>117</v>
      </c>
      <c r="D209" s="1" t="s">
        <v>819</v>
      </c>
      <c r="E209" s="4" t="s">
        <v>820</v>
      </c>
      <c r="F209" s="84">
        <v>102</v>
      </c>
      <c r="G209" s="84">
        <v>116</v>
      </c>
      <c r="H209" s="84">
        <v>88</v>
      </c>
      <c r="I209" s="84">
        <v>81</v>
      </c>
      <c r="J209" s="84">
        <v>59</v>
      </c>
      <c r="K209" s="84">
        <v>66</v>
      </c>
      <c r="L209" s="84">
        <v>62</v>
      </c>
      <c r="M209" s="84">
        <v>66</v>
      </c>
      <c r="N209" s="84">
        <v>47</v>
      </c>
      <c r="O209" s="5">
        <f t="shared" si="13"/>
        <v>512</v>
      </c>
      <c r="P209" s="6">
        <f t="shared" si="12"/>
        <v>6</v>
      </c>
      <c r="Q209" s="5">
        <f t="shared" si="14"/>
        <v>200</v>
      </c>
      <c r="R209" s="5">
        <v>506.5</v>
      </c>
      <c r="S209" s="5">
        <v>184</v>
      </c>
      <c r="T209" s="5">
        <f t="shared" si="15"/>
        <v>-16</v>
      </c>
    </row>
    <row r="210" spans="1:20">
      <c r="A210" s="1" t="s">
        <v>821</v>
      </c>
      <c r="B210" s="1" t="s">
        <v>3198</v>
      </c>
      <c r="C210" s="4" t="s">
        <v>117</v>
      </c>
      <c r="D210" s="1" t="s">
        <v>822</v>
      </c>
      <c r="E210" s="4" t="s">
        <v>823</v>
      </c>
      <c r="F210" s="84">
        <v>96</v>
      </c>
      <c r="G210" s="84">
        <v>73</v>
      </c>
      <c r="H210" s="84">
        <v>92</v>
      </c>
      <c r="I210" s="84">
        <v>73</v>
      </c>
      <c r="J210" s="84">
        <v>54</v>
      </c>
      <c r="K210" s="84">
        <v>78</v>
      </c>
      <c r="L210" s="84">
        <v>86</v>
      </c>
      <c r="M210" s="84">
        <v>74</v>
      </c>
      <c r="N210" s="84">
        <v>64</v>
      </c>
      <c r="O210" s="5">
        <f t="shared" si="13"/>
        <v>466</v>
      </c>
      <c r="P210" s="6">
        <f t="shared" si="12"/>
        <v>21</v>
      </c>
      <c r="Q210" s="5">
        <f t="shared" si="14"/>
        <v>416</v>
      </c>
      <c r="R210" s="5">
        <v>507</v>
      </c>
      <c r="S210" s="5">
        <v>181</v>
      </c>
      <c r="T210" s="5">
        <f t="shared" si="15"/>
        <v>-235</v>
      </c>
    </row>
    <row r="211" spans="1:20">
      <c r="A211" s="1" t="s">
        <v>824</v>
      </c>
      <c r="B211" s="1" t="s">
        <v>3198</v>
      </c>
      <c r="C211" s="4" t="s">
        <v>117</v>
      </c>
      <c r="D211" s="1" t="s">
        <v>825</v>
      </c>
      <c r="E211" s="4" t="s">
        <v>122</v>
      </c>
      <c r="F211" s="84">
        <v>102</v>
      </c>
      <c r="G211" s="84">
        <v>66</v>
      </c>
      <c r="H211" s="84">
        <v>118</v>
      </c>
      <c r="I211" s="84">
        <v>80</v>
      </c>
      <c r="J211" s="84">
        <v>55</v>
      </c>
      <c r="K211" s="84">
        <v>62</v>
      </c>
      <c r="L211" s="84">
        <v>75</v>
      </c>
      <c r="M211" s="84">
        <v>79</v>
      </c>
      <c r="N211" s="84">
        <v>62</v>
      </c>
      <c r="O211" s="5">
        <f t="shared" si="13"/>
        <v>483</v>
      </c>
      <c r="P211" s="6">
        <f t="shared" si="12"/>
        <v>15</v>
      </c>
      <c r="Q211" s="5">
        <f t="shared" si="14"/>
        <v>321</v>
      </c>
      <c r="R211" s="5">
        <v>529.5</v>
      </c>
      <c r="S211" s="5">
        <v>106</v>
      </c>
      <c r="T211" s="5">
        <f t="shared" si="15"/>
        <v>-215</v>
      </c>
    </row>
    <row r="212" spans="1:20">
      <c r="A212" s="1" t="s">
        <v>826</v>
      </c>
      <c r="B212" s="1" t="s">
        <v>3198</v>
      </c>
      <c r="C212" s="4" t="s">
        <v>117</v>
      </c>
      <c r="D212" s="1" t="s">
        <v>827</v>
      </c>
      <c r="E212" s="4" t="s">
        <v>118</v>
      </c>
      <c r="F212" s="84">
        <v>101</v>
      </c>
      <c r="G212" s="84">
        <v>113</v>
      </c>
      <c r="H212" s="84">
        <v>110</v>
      </c>
      <c r="I212" s="84">
        <v>102</v>
      </c>
      <c r="J212" s="84">
        <v>72</v>
      </c>
      <c r="K212" s="84">
        <v>82</v>
      </c>
      <c r="L212" s="84">
        <v>71</v>
      </c>
      <c r="M212" s="84">
        <v>57</v>
      </c>
      <c r="N212" s="84">
        <v>48</v>
      </c>
      <c r="O212" s="5">
        <f t="shared" si="13"/>
        <v>580</v>
      </c>
      <c r="P212" s="6">
        <f t="shared" si="12"/>
        <v>1</v>
      </c>
      <c r="Q212" s="5">
        <f t="shared" si="14"/>
        <v>35</v>
      </c>
      <c r="R212" s="5">
        <v>578</v>
      </c>
      <c r="S212" s="5">
        <v>24</v>
      </c>
      <c r="T212" s="5">
        <f t="shared" si="15"/>
        <v>-11</v>
      </c>
    </row>
    <row r="213" spans="1:20">
      <c r="A213" s="1" t="s">
        <v>828</v>
      </c>
      <c r="B213" s="1" t="s">
        <v>3198</v>
      </c>
      <c r="C213" s="4" t="s">
        <v>117</v>
      </c>
      <c r="D213" s="1" t="s">
        <v>829</v>
      </c>
      <c r="E213" s="4" t="s">
        <v>830</v>
      </c>
      <c r="F213" s="84">
        <v>93</v>
      </c>
      <c r="G213" s="84">
        <v>84</v>
      </c>
      <c r="H213" s="84">
        <v>63.5</v>
      </c>
      <c r="I213" s="84">
        <v>58</v>
      </c>
      <c r="J213" s="84">
        <v>58</v>
      </c>
      <c r="K213" s="84">
        <v>51</v>
      </c>
      <c r="L213" s="84">
        <v>61</v>
      </c>
      <c r="M213" s="84">
        <v>60</v>
      </c>
      <c r="N213" s="84">
        <v>45</v>
      </c>
      <c r="O213" s="5">
        <f t="shared" si="13"/>
        <v>407.5</v>
      </c>
      <c r="P213" s="6">
        <f t="shared" si="12"/>
        <v>43</v>
      </c>
      <c r="Q213" s="5">
        <f t="shared" si="14"/>
        <v>736</v>
      </c>
      <c r="R213" s="5">
        <v>423.5</v>
      </c>
      <c r="S213" s="5">
        <v>616</v>
      </c>
      <c r="T213" s="5">
        <f t="shared" si="15"/>
        <v>-120</v>
      </c>
    </row>
    <row r="214" spans="1:20">
      <c r="A214" s="1" t="s">
        <v>831</v>
      </c>
      <c r="B214" s="1" t="s">
        <v>3198</v>
      </c>
      <c r="C214" s="4" t="s">
        <v>117</v>
      </c>
      <c r="D214" s="1" t="s">
        <v>832</v>
      </c>
      <c r="E214" s="4" t="s">
        <v>833</v>
      </c>
      <c r="F214" s="84">
        <v>97</v>
      </c>
      <c r="G214" s="84">
        <v>62</v>
      </c>
      <c r="H214" s="84">
        <v>97.5</v>
      </c>
      <c r="I214" s="84">
        <v>63</v>
      </c>
      <c r="J214" s="84">
        <v>50</v>
      </c>
      <c r="K214" s="84">
        <v>56</v>
      </c>
      <c r="L214" s="84">
        <v>60</v>
      </c>
      <c r="M214" s="84">
        <v>71</v>
      </c>
      <c r="N214" s="84">
        <v>42</v>
      </c>
      <c r="O214" s="5">
        <f t="shared" si="13"/>
        <v>425.5</v>
      </c>
      <c r="P214" s="6">
        <f t="shared" si="12"/>
        <v>38</v>
      </c>
      <c r="Q214" s="5">
        <f t="shared" si="14"/>
        <v>644</v>
      </c>
      <c r="R214" s="5">
        <v>428.5</v>
      </c>
      <c r="S214" s="5">
        <v>582</v>
      </c>
      <c r="T214" s="5">
        <f t="shared" si="15"/>
        <v>-62</v>
      </c>
    </row>
    <row r="215" spans="1:20">
      <c r="A215" s="1" t="s">
        <v>834</v>
      </c>
      <c r="B215" s="1" t="s">
        <v>3198</v>
      </c>
      <c r="C215" s="4" t="s">
        <v>117</v>
      </c>
      <c r="D215" s="1" t="s">
        <v>835</v>
      </c>
      <c r="E215" s="4" t="s">
        <v>836</v>
      </c>
      <c r="F215" s="84">
        <v>110</v>
      </c>
      <c r="G215" s="84">
        <v>69</v>
      </c>
      <c r="H215" s="84">
        <v>119</v>
      </c>
      <c r="I215" s="84">
        <v>75</v>
      </c>
      <c r="J215" s="84">
        <v>73</v>
      </c>
      <c r="K215" s="84">
        <v>59</v>
      </c>
      <c r="L215" s="84">
        <v>74</v>
      </c>
      <c r="M215" s="84">
        <v>67</v>
      </c>
      <c r="N215" s="84">
        <v>54</v>
      </c>
      <c r="O215" s="5">
        <f t="shared" si="13"/>
        <v>505</v>
      </c>
      <c r="P215" s="6">
        <f t="shared" si="12"/>
        <v>7</v>
      </c>
      <c r="Q215" s="5">
        <f t="shared" si="14"/>
        <v>223</v>
      </c>
      <c r="R215" s="5">
        <v>561</v>
      </c>
      <c r="S215" s="5">
        <v>42</v>
      </c>
      <c r="T215" s="5">
        <f t="shared" si="15"/>
        <v>-181</v>
      </c>
    </row>
    <row r="216" spans="1:20">
      <c r="A216" s="1" t="s">
        <v>837</v>
      </c>
      <c r="B216" s="1" t="s">
        <v>3198</v>
      </c>
      <c r="C216" s="4" t="s">
        <v>117</v>
      </c>
      <c r="D216" s="1" t="s">
        <v>838</v>
      </c>
      <c r="E216" s="4" t="s">
        <v>839</v>
      </c>
      <c r="F216" s="84">
        <v>103</v>
      </c>
      <c r="G216" s="84">
        <v>104</v>
      </c>
      <c r="H216" s="84">
        <v>120.5</v>
      </c>
      <c r="I216" s="84">
        <v>70</v>
      </c>
      <c r="J216" s="84">
        <v>61</v>
      </c>
      <c r="K216" s="84">
        <v>68</v>
      </c>
      <c r="L216" s="84">
        <v>88</v>
      </c>
      <c r="M216" s="84">
        <v>79</v>
      </c>
      <c r="N216" s="84">
        <v>53</v>
      </c>
      <c r="O216" s="5">
        <f t="shared" si="13"/>
        <v>526.5</v>
      </c>
      <c r="P216" s="6">
        <f t="shared" si="12"/>
        <v>4</v>
      </c>
      <c r="Q216" s="5">
        <f t="shared" si="14"/>
        <v>144</v>
      </c>
      <c r="R216" s="5">
        <v>481</v>
      </c>
      <c r="S216" s="5">
        <v>304</v>
      </c>
      <c r="T216" s="5">
        <f t="shared" si="15"/>
        <v>160</v>
      </c>
    </row>
    <row r="217" spans="1:20">
      <c r="A217" s="1" t="s">
        <v>840</v>
      </c>
      <c r="B217" s="1" t="s">
        <v>3198</v>
      </c>
      <c r="C217" s="4" t="s">
        <v>117</v>
      </c>
      <c r="D217" s="1" t="s">
        <v>841</v>
      </c>
      <c r="E217" s="4" t="s">
        <v>842</v>
      </c>
      <c r="F217" s="84">
        <v>93</v>
      </c>
      <c r="G217" s="84">
        <v>43</v>
      </c>
      <c r="H217" s="84">
        <v>59</v>
      </c>
      <c r="I217" s="84">
        <v>68</v>
      </c>
      <c r="J217" s="84">
        <v>65</v>
      </c>
      <c r="K217" s="84">
        <v>63</v>
      </c>
      <c r="L217" s="84">
        <v>44</v>
      </c>
      <c r="M217" s="84">
        <v>53</v>
      </c>
      <c r="N217" s="84">
        <v>43</v>
      </c>
      <c r="O217" s="5">
        <f t="shared" si="13"/>
        <v>391</v>
      </c>
      <c r="P217" s="6">
        <f t="shared" si="12"/>
        <v>48</v>
      </c>
      <c r="Q217" s="5">
        <f t="shared" si="14"/>
        <v>797</v>
      </c>
      <c r="R217" s="5">
        <v>408</v>
      </c>
      <c r="S217" s="5">
        <v>692</v>
      </c>
      <c r="T217" s="5">
        <f t="shared" si="15"/>
        <v>-105</v>
      </c>
    </row>
    <row r="218" spans="1:20">
      <c r="A218" s="1" t="s">
        <v>846</v>
      </c>
      <c r="B218" s="1" t="s">
        <v>3198</v>
      </c>
      <c r="C218" s="4" t="s">
        <v>117</v>
      </c>
      <c r="D218" s="1" t="s">
        <v>847</v>
      </c>
      <c r="E218" s="4" t="s">
        <v>848</v>
      </c>
      <c r="F218" s="84">
        <v>84</v>
      </c>
      <c r="G218" s="84">
        <v>68</v>
      </c>
      <c r="H218" s="84">
        <v>92.5</v>
      </c>
      <c r="I218" s="84">
        <v>47</v>
      </c>
      <c r="J218" s="84">
        <v>50</v>
      </c>
      <c r="K218" s="84">
        <v>68</v>
      </c>
      <c r="L218" s="84">
        <v>85</v>
      </c>
      <c r="M218" s="84">
        <v>59</v>
      </c>
      <c r="N218" s="84">
        <v>51</v>
      </c>
      <c r="O218" s="5">
        <f t="shared" si="13"/>
        <v>409.5</v>
      </c>
      <c r="P218" s="6">
        <f t="shared" si="12"/>
        <v>42</v>
      </c>
      <c r="Q218" s="5">
        <f t="shared" si="14"/>
        <v>723</v>
      </c>
      <c r="R218" s="5">
        <v>406</v>
      </c>
      <c r="S218" s="5">
        <v>699</v>
      </c>
      <c r="T218" s="5">
        <f t="shared" si="15"/>
        <v>-24</v>
      </c>
    </row>
    <row r="219" spans="1:20">
      <c r="A219" s="1" t="s">
        <v>849</v>
      </c>
      <c r="B219" s="1" t="s">
        <v>3198</v>
      </c>
      <c r="C219" s="4" t="s">
        <v>117</v>
      </c>
      <c r="D219" s="1" t="s">
        <v>850</v>
      </c>
      <c r="E219" s="4" t="s">
        <v>851</v>
      </c>
      <c r="F219" s="84">
        <v>116</v>
      </c>
      <c r="G219" s="84">
        <v>80</v>
      </c>
      <c r="H219" s="84">
        <v>96</v>
      </c>
      <c r="I219" s="84">
        <v>65</v>
      </c>
      <c r="J219" s="84">
        <v>60</v>
      </c>
      <c r="K219" s="84">
        <v>82</v>
      </c>
      <c r="L219" s="84">
        <v>84</v>
      </c>
      <c r="M219" s="84">
        <v>75</v>
      </c>
      <c r="N219" s="84">
        <v>45</v>
      </c>
      <c r="O219" s="5">
        <f t="shared" si="13"/>
        <v>499</v>
      </c>
      <c r="P219" s="6">
        <f t="shared" si="12"/>
        <v>9</v>
      </c>
      <c r="Q219" s="5">
        <f t="shared" si="14"/>
        <v>251</v>
      </c>
      <c r="R219" s="5">
        <v>494.5</v>
      </c>
      <c r="S219" s="5">
        <v>237</v>
      </c>
      <c r="T219" s="5">
        <f t="shared" si="15"/>
        <v>-14</v>
      </c>
    </row>
    <row r="220" spans="1:20">
      <c r="A220" s="1" t="s">
        <v>852</v>
      </c>
      <c r="B220" s="1" t="s">
        <v>3198</v>
      </c>
      <c r="C220" s="4" t="s">
        <v>117</v>
      </c>
      <c r="D220" s="1" t="s">
        <v>853</v>
      </c>
      <c r="E220" s="4" t="s">
        <v>854</v>
      </c>
      <c r="F220" s="84">
        <v>106</v>
      </c>
      <c r="G220" s="84">
        <v>66</v>
      </c>
      <c r="H220" s="84">
        <v>107</v>
      </c>
      <c r="I220" s="84">
        <v>60</v>
      </c>
      <c r="J220" s="84">
        <v>59</v>
      </c>
      <c r="K220" s="84">
        <v>68</v>
      </c>
      <c r="L220" s="84">
        <v>85</v>
      </c>
      <c r="M220" s="84">
        <v>75</v>
      </c>
      <c r="N220" s="84">
        <v>47</v>
      </c>
      <c r="O220" s="5">
        <f t="shared" si="13"/>
        <v>466</v>
      </c>
      <c r="P220" s="6">
        <f t="shared" si="12"/>
        <v>21</v>
      </c>
      <c r="Q220" s="5">
        <f t="shared" si="14"/>
        <v>416</v>
      </c>
      <c r="R220" s="5">
        <v>458.5</v>
      </c>
      <c r="S220" s="5">
        <v>421</v>
      </c>
      <c r="T220" s="5">
        <f t="shared" si="15"/>
        <v>5</v>
      </c>
    </row>
    <row r="221" spans="1:20">
      <c r="A221" s="1" t="s">
        <v>855</v>
      </c>
      <c r="B221" s="1" t="s">
        <v>3198</v>
      </c>
      <c r="C221" s="4" t="s">
        <v>117</v>
      </c>
      <c r="D221" s="1" t="s">
        <v>856</v>
      </c>
      <c r="E221" s="4" t="s">
        <v>857</v>
      </c>
      <c r="F221" s="84">
        <v>90</v>
      </c>
      <c r="G221" s="84">
        <v>70</v>
      </c>
      <c r="H221" s="84">
        <v>91.5</v>
      </c>
      <c r="I221" s="84">
        <v>84</v>
      </c>
      <c r="J221" s="84">
        <v>44</v>
      </c>
      <c r="K221" s="84">
        <v>74</v>
      </c>
      <c r="L221" s="84">
        <v>72</v>
      </c>
      <c r="M221" s="84">
        <v>64</v>
      </c>
      <c r="N221" s="84">
        <v>61</v>
      </c>
      <c r="O221" s="5">
        <f t="shared" si="13"/>
        <v>453.5</v>
      </c>
      <c r="P221" s="6">
        <f t="shared" si="12"/>
        <v>28</v>
      </c>
      <c r="Q221" s="5">
        <f t="shared" si="14"/>
        <v>491</v>
      </c>
      <c r="R221" s="5">
        <v>434.5</v>
      </c>
      <c r="S221" s="5">
        <v>547</v>
      </c>
      <c r="T221" s="5">
        <f t="shared" si="15"/>
        <v>56</v>
      </c>
    </row>
    <row r="222" spans="1:20">
      <c r="A222" s="1" t="s">
        <v>858</v>
      </c>
      <c r="B222" s="1" t="s">
        <v>3198</v>
      </c>
      <c r="C222" s="4" t="s">
        <v>117</v>
      </c>
      <c r="D222" s="1" t="s">
        <v>859</v>
      </c>
      <c r="E222" s="4" t="s">
        <v>860</v>
      </c>
      <c r="F222" s="84">
        <v>102</v>
      </c>
      <c r="G222" s="84">
        <v>34</v>
      </c>
      <c r="H222" s="84">
        <v>80</v>
      </c>
      <c r="I222" s="84">
        <v>60</v>
      </c>
      <c r="J222" s="84">
        <v>50</v>
      </c>
      <c r="K222" s="84">
        <v>74</v>
      </c>
      <c r="L222" s="84">
        <v>55</v>
      </c>
      <c r="M222" s="84">
        <v>53</v>
      </c>
      <c r="N222" s="84">
        <v>48</v>
      </c>
      <c r="O222" s="5">
        <f t="shared" si="13"/>
        <v>400</v>
      </c>
      <c r="P222" s="6">
        <f t="shared" si="12"/>
        <v>45</v>
      </c>
      <c r="Q222" s="5">
        <f t="shared" si="14"/>
        <v>774</v>
      </c>
      <c r="R222" s="5">
        <v>378.5</v>
      </c>
      <c r="S222" s="5">
        <v>811</v>
      </c>
      <c r="T222" s="5">
        <f t="shared" si="15"/>
        <v>37</v>
      </c>
    </row>
    <row r="223" spans="1:20">
      <c r="A223" s="1" t="s">
        <v>861</v>
      </c>
      <c r="B223" s="1" t="s">
        <v>3198</v>
      </c>
      <c r="C223" s="4" t="s">
        <v>117</v>
      </c>
      <c r="D223" s="1" t="s">
        <v>862</v>
      </c>
      <c r="E223" s="4" t="s">
        <v>863</v>
      </c>
      <c r="F223" s="84">
        <v>97</v>
      </c>
      <c r="G223" s="84">
        <v>62</v>
      </c>
      <c r="H223" s="84">
        <v>83</v>
      </c>
      <c r="I223" s="84">
        <v>83</v>
      </c>
      <c r="J223" s="84">
        <v>56</v>
      </c>
      <c r="K223" s="84">
        <v>58</v>
      </c>
      <c r="L223" s="84">
        <v>70</v>
      </c>
      <c r="M223" s="84">
        <v>59</v>
      </c>
      <c r="N223" s="84">
        <v>53</v>
      </c>
      <c r="O223" s="5">
        <f t="shared" si="13"/>
        <v>439</v>
      </c>
      <c r="P223" s="6">
        <f t="shared" si="12"/>
        <v>33</v>
      </c>
      <c r="Q223" s="5">
        <f t="shared" si="14"/>
        <v>575</v>
      </c>
      <c r="R223" s="5">
        <v>426</v>
      </c>
      <c r="S223" s="5">
        <v>600</v>
      </c>
      <c r="T223" s="5">
        <f t="shared" si="15"/>
        <v>25</v>
      </c>
    </row>
    <row r="224" spans="1:20">
      <c r="A224" s="1" t="s">
        <v>864</v>
      </c>
      <c r="B224" s="1" t="s">
        <v>3198</v>
      </c>
      <c r="C224" s="4" t="s">
        <v>60</v>
      </c>
      <c r="D224" s="1" t="s">
        <v>865</v>
      </c>
      <c r="E224" s="4" t="s">
        <v>866</v>
      </c>
      <c r="F224" s="84">
        <v>101</v>
      </c>
      <c r="G224" s="84">
        <v>67</v>
      </c>
      <c r="H224" s="84">
        <v>67.5</v>
      </c>
      <c r="I224" s="84">
        <v>70</v>
      </c>
      <c r="J224" s="84">
        <v>49</v>
      </c>
      <c r="K224" s="84">
        <v>71</v>
      </c>
      <c r="L224" s="84">
        <v>61</v>
      </c>
      <c r="M224" s="84">
        <v>66</v>
      </c>
      <c r="N224" s="84">
        <v>54</v>
      </c>
      <c r="O224" s="5">
        <f t="shared" si="13"/>
        <v>425.5</v>
      </c>
      <c r="P224" s="6">
        <f>RANK(O224,$O$224:$O$280)</f>
        <v>35</v>
      </c>
      <c r="Q224" s="5">
        <f t="shared" si="14"/>
        <v>644</v>
      </c>
      <c r="R224" s="5">
        <v>409.5</v>
      </c>
      <c r="S224" s="5">
        <v>688</v>
      </c>
      <c r="T224" s="5">
        <f t="shared" si="15"/>
        <v>44</v>
      </c>
    </row>
    <row r="225" spans="1:20">
      <c r="A225" s="1" t="s">
        <v>867</v>
      </c>
      <c r="B225" s="1" t="s">
        <v>3198</v>
      </c>
      <c r="C225" s="4" t="s">
        <v>60</v>
      </c>
      <c r="D225" s="1" t="s">
        <v>868</v>
      </c>
      <c r="E225" s="4" t="s">
        <v>869</v>
      </c>
      <c r="F225" s="84">
        <v>101</v>
      </c>
      <c r="G225" s="84">
        <v>72</v>
      </c>
      <c r="H225" s="84">
        <v>64.5</v>
      </c>
      <c r="I225" s="84">
        <v>51</v>
      </c>
      <c r="J225" s="84">
        <v>54</v>
      </c>
      <c r="K225" s="84">
        <v>68</v>
      </c>
      <c r="L225" s="84">
        <v>68</v>
      </c>
      <c r="M225" s="84">
        <v>67</v>
      </c>
      <c r="N225" s="84">
        <v>46</v>
      </c>
      <c r="O225" s="5">
        <f t="shared" si="13"/>
        <v>410.5</v>
      </c>
      <c r="P225" s="6">
        <f t="shared" ref="P225:P280" si="16">RANK(O225,$O$224:$O$280)</f>
        <v>41</v>
      </c>
      <c r="Q225" s="5">
        <f t="shared" si="14"/>
        <v>718</v>
      </c>
      <c r="R225" s="5">
        <v>419</v>
      </c>
      <c r="S225" s="5">
        <v>647</v>
      </c>
      <c r="T225" s="5">
        <f t="shared" si="15"/>
        <v>-71</v>
      </c>
    </row>
    <row r="226" spans="1:20">
      <c r="A226" s="1" t="s">
        <v>870</v>
      </c>
      <c r="B226" s="1" t="s">
        <v>3198</v>
      </c>
      <c r="C226" s="4" t="s">
        <v>60</v>
      </c>
      <c r="D226" s="1" t="s">
        <v>871</v>
      </c>
      <c r="E226" s="4" t="s">
        <v>872</v>
      </c>
      <c r="F226" s="84">
        <v>86</v>
      </c>
      <c r="G226" s="84">
        <v>48</v>
      </c>
      <c r="H226" s="84">
        <v>69.5</v>
      </c>
      <c r="I226" s="84">
        <v>38</v>
      </c>
      <c r="J226" s="84">
        <v>35</v>
      </c>
      <c r="K226" s="84">
        <v>51</v>
      </c>
      <c r="L226" s="84">
        <v>51</v>
      </c>
      <c r="M226" s="84">
        <v>56</v>
      </c>
      <c r="N226" s="84">
        <v>37</v>
      </c>
      <c r="O226" s="5">
        <f t="shared" si="13"/>
        <v>327.5</v>
      </c>
      <c r="P226" s="6">
        <f t="shared" si="16"/>
        <v>57</v>
      </c>
      <c r="Q226" s="5">
        <f t="shared" si="14"/>
        <v>913</v>
      </c>
      <c r="R226" s="5">
        <v>289.5</v>
      </c>
      <c r="S226" s="5">
        <v>929</v>
      </c>
      <c r="T226" s="5">
        <f t="shared" si="15"/>
        <v>16</v>
      </c>
    </row>
    <row r="227" spans="1:20">
      <c r="A227" s="1" t="s">
        <v>873</v>
      </c>
      <c r="B227" s="1" t="s">
        <v>3198</v>
      </c>
      <c r="C227" s="4" t="s">
        <v>60</v>
      </c>
      <c r="D227" s="1" t="s">
        <v>874</v>
      </c>
      <c r="E227" s="4" t="s">
        <v>875</v>
      </c>
      <c r="F227" s="84">
        <v>108</v>
      </c>
      <c r="G227" s="84">
        <v>65</v>
      </c>
      <c r="H227" s="84">
        <v>98.5</v>
      </c>
      <c r="I227" s="84">
        <v>43</v>
      </c>
      <c r="J227" s="84">
        <v>55</v>
      </c>
      <c r="K227" s="84">
        <v>55</v>
      </c>
      <c r="L227" s="84">
        <v>66</v>
      </c>
      <c r="M227" s="84">
        <v>63</v>
      </c>
      <c r="N227" s="84">
        <v>42</v>
      </c>
      <c r="O227" s="5">
        <f t="shared" si="13"/>
        <v>424.5</v>
      </c>
      <c r="P227" s="6">
        <f t="shared" si="16"/>
        <v>36</v>
      </c>
      <c r="Q227" s="5">
        <f t="shared" si="14"/>
        <v>653</v>
      </c>
      <c r="R227" s="5">
        <v>426.5</v>
      </c>
      <c r="S227" s="5">
        <v>595</v>
      </c>
      <c r="T227" s="5">
        <f t="shared" si="15"/>
        <v>-58</v>
      </c>
    </row>
    <row r="228" spans="1:20">
      <c r="A228" s="1" t="s">
        <v>876</v>
      </c>
      <c r="B228" s="1" t="s">
        <v>3198</v>
      </c>
      <c r="C228" s="4" t="s">
        <v>60</v>
      </c>
      <c r="D228" s="1" t="s">
        <v>877</v>
      </c>
      <c r="E228" s="4" t="s">
        <v>878</v>
      </c>
      <c r="F228" s="84">
        <v>97</v>
      </c>
      <c r="G228" s="84">
        <v>87</v>
      </c>
      <c r="H228" s="84">
        <v>63</v>
      </c>
      <c r="I228" s="84">
        <v>97</v>
      </c>
      <c r="J228" s="84">
        <v>67</v>
      </c>
      <c r="K228" s="84">
        <v>75</v>
      </c>
      <c r="L228" s="84">
        <v>59</v>
      </c>
      <c r="M228" s="84">
        <v>81</v>
      </c>
      <c r="N228" s="84">
        <v>41</v>
      </c>
      <c r="O228" s="5">
        <f t="shared" si="13"/>
        <v>486</v>
      </c>
      <c r="P228" s="6">
        <f t="shared" si="16"/>
        <v>15</v>
      </c>
      <c r="Q228" s="5">
        <f t="shared" si="14"/>
        <v>305</v>
      </c>
      <c r="R228" s="5">
        <v>464.5</v>
      </c>
      <c r="S228" s="5">
        <v>392</v>
      </c>
      <c r="T228" s="5">
        <f t="shared" si="15"/>
        <v>87</v>
      </c>
    </row>
    <row r="229" spans="1:20">
      <c r="A229" s="1" t="s">
        <v>879</v>
      </c>
      <c r="B229" s="1" t="s">
        <v>3198</v>
      </c>
      <c r="C229" s="4" t="s">
        <v>60</v>
      </c>
      <c r="D229" s="1" t="s">
        <v>880</v>
      </c>
      <c r="E229" s="4" t="s">
        <v>881</v>
      </c>
      <c r="F229" s="84">
        <v>106</v>
      </c>
      <c r="G229" s="84">
        <v>80</v>
      </c>
      <c r="H229" s="84">
        <v>107</v>
      </c>
      <c r="I229" s="84">
        <v>82</v>
      </c>
      <c r="J229" s="84">
        <v>65</v>
      </c>
      <c r="K229" s="84">
        <v>87</v>
      </c>
      <c r="L229" s="84">
        <v>75</v>
      </c>
      <c r="M229" s="84">
        <v>64</v>
      </c>
      <c r="N229" s="84">
        <v>45</v>
      </c>
      <c r="O229" s="5">
        <f t="shared" si="13"/>
        <v>527</v>
      </c>
      <c r="P229" s="6">
        <f t="shared" si="16"/>
        <v>4</v>
      </c>
      <c r="Q229" s="5">
        <f t="shared" si="14"/>
        <v>142</v>
      </c>
      <c r="R229" s="5">
        <v>508</v>
      </c>
      <c r="S229" s="5">
        <v>176</v>
      </c>
      <c r="T229" s="5">
        <f t="shared" si="15"/>
        <v>34</v>
      </c>
    </row>
    <row r="230" spans="1:20">
      <c r="A230" s="1" t="s">
        <v>1649</v>
      </c>
      <c r="B230" s="1" t="s">
        <v>3198</v>
      </c>
      <c r="C230" s="4" t="s">
        <v>60</v>
      </c>
      <c r="D230" s="1" t="s">
        <v>883</v>
      </c>
      <c r="E230" s="4" t="s">
        <v>1651</v>
      </c>
      <c r="F230" s="84">
        <v>106</v>
      </c>
      <c r="G230" s="84">
        <v>71</v>
      </c>
      <c r="H230" s="84">
        <v>92</v>
      </c>
      <c r="I230" s="84">
        <v>79</v>
      </c>
      <c r="J230" s="84">
        <v>68</v>
      </c>
      <c r="K230" s="84">
        <v>76</v>
      </c>
      <c r="L230" s="84">
        <v>79</v>
      </c>
      <c r="M230" s="84">
        <v>68</v>
      </c>
      <c r="N230" s="84">
        <v>56</v>
      </c>
      <c r="O230" s="5">
        <f t="shared" si="13"/>
        <v>492</v>
      </c>
      <c r="P230" s="6">
        <f t="shared" si="16"/>
        <v>13</v>
      </c>
      <c r="Q230" s="5">
        <f t="shared" si="14"/>
        <v>280</v>
      </c>
      <c r="R230" s="5">
        <v>489</v>
      </c>
      <c r="S230" s="5">
        <v>265</v>
      </c>
      <c r="T230" s="5">
        <f t="shared" si="15"/>
        <v>-15</v>
      </c>
    </row>
    <row r="231" spans="1:20">
      <c r="A231" s="1" t="s">
        <v>885</v>
      </c>
      <c r="B231" s="1" t="s">
        <v>3198</v>
      </c>
      <c r="C231" s="1" t="s">
        <v>60</v>
      </c>
      <c r="D231" s="1" t="s">
        <v>886</v>
      </c>
      <c r="E231" s="1" t="s">
        <v>887</v>
      </c>
      <c r="F231" s="84">
        <v>103</v>
      </c>
      <c r="G231" s="84">
        <v>90</v>
      </c>
      <c r="H231" s="84">
        <v>83</v>
      </c>
      <c r="I231" s="84">
        <v>54</v>
      </c>
      <c r="J231" s="84">
        <v>62</v>
      </c>
      <c r="K231" s="84">
        <v>81</v>
      </c>
      <c r="L231" s="84">
        <v>59</v>
      </c>
      <c r="M231" s="84">
        <v>58</v>
      </c>
      <c r="N231" s="84">
        <v>32</v>
      </c>
      <c r="O231" s="5">
        <f t="shared" si="13"/>
        <v>473</v>
      </c>
      <c r="P231" s="6">
        <f t="shared" si="16"/>
        <v>20</v>
      </c>
      <c r="Q231" s="5">
        <f t="shared" si="14"/>
        <v>377</v>
      </c>
      <c r="R231" s="5">
        <v>475</v>
      </c>
      <c r="S231" s="5">
        <v>326</v>
      </c>
      <c r="T231" s="5">
        <f t="shared" si="15"/>
        <v>-51</v>
      </c>
    </row>
    <row r="232" spans="1:20">
      <c r="A232" s="1" t="s">
        <v>888</v>
      </c>
      <c r="B232" s="1" t="s">
        <v>3198</v>
      </c>
      <c r="C232" s="4" t="s">
        <v>60</v>
      </c>
      <c r="D232" s="1" t="s">
        <v>889</v>
      </c>
      <c r="E232" s="4" t="s">
        <v>890</v>
      </c>
      <c r="F232" s="84">
        <v>110</v>
      </c>
      <c r="G232" s="84">
        <v>54</v>
      </c>
      <c r="H232" s="84">
        <v>87</v>
      </c>
      <c r="I232" s="84">
        <v>69</v>
      </c>
      <c r="J232" s="84">
        <v>60</v>
      </c>
      <c r="K232" s="84">
        <v>83</v>
      </c>
      <c r="L232" s="84">
        <v>74</v>
      </c>
      <c r="M232" s="84">
        <v>63</v>
      </c>
      <c r="N232" s="84">
        <v>47</v>
      </c>
      <c r="O232" s="5">
        <f t="shared" si="13"/>
        <v>463</v>
      </c>
      <c r="P232" s="6">
        <f t="shared" si="16"/>
        <v>23</v>
      </c>
      <c r="Q232" s="5">
        <f t="shared" si="14"/>
        <v>439</v>
      </c>
      <c r="R232" s="5">
        <v>430.5</v>
      </c>
      <c r="S232" s="5">
        <v>570</v>
      </c>
      <c r="T232" s="5">
        <f t="shared" si="15"/>
        <v>131</v>
      </c>
    </row>
    <row r="233" spans="1:20">
      <c r="A233" s="1" t="s">
        <v>1660</v>
      </c>
      <c r="B233" s="1" t="s">
        <v>3198</v>
      </c>
      <c r="C233" s="4" t="s">
        <v>60</v>
      </c>
      <c r="D233" s="1" t="s">
        <v>892</v>
      </c>
      <c r="E233" s="4" t="s">
        <v>1662</v>
      </c>
      <c r="F233" s="84">
        <v>101</v>
      </c>
      <c r="G233" s="84">
        <v>61</v>
      </c>
      <c r="H233" s="84">
        <v>69.5</v>
      </c>
      <c r="I233" s="84">
        <v>78</v>
      </c>
      <c r="J233" s="84">
        <v>62</v>
      </c>
      <c r="K233" s="84">
        <v>85</v>
      </c>
      <c r="L233" s="84">
        <v>86</v>
      </c>
      <c r="M233" s="84">
        <v>62</v>
      </c>
      <c r="N233" s="84">
        <v>48</v>
      </c>
      <c r="O233" s="5">
        <f t="shared" si="13"/>
        <v>456.5</v>
      </c>
      <c r="P233" s="6">
        <f t="shared" si="16"/>
        <v>28</v>
      </c>
      <c r="Q233" s="5">
        <f t="shared" si="14"/>
        <v>475</v>
      </c>
      <c r="R233" s="5">
        <v>441</v>
      </c>
      <c r="S233" s="5">
        <v>522</v>
      </c>
      <c r="T233" s="5">
        <f t="shared" si="15"/>
        <v>47</v>
      </c>
    </row>
    <row r="234" spans="1:20">
      <c r="A234" s="1" t="s">
        <v>893</v>
      </c>
      <c r="B234" s="1" t="s">
        <v>3198</v>
      </c>
      <c r="C234" s="4" t="s">
        <v>60</v>
      </c>
      <c r="D234" s="1" t="s">
        <v>894</v>
      </c>
      <c r="E234" s="4" t="s">
        <v>895</v>
      </c>
      <c r="F234" s="84">
        <v>97</v>
      </c>
      <c r="G234" s="84">
        <v>44</v>
      </c>
      <c r="H234" s="84">
        <v>93.5</v>
      </c>
      <c r="I234" s="84">
        <v>54</v>
      </c>
      <c r="J234" s="84">
        <v>47</v>
      </c>
      <c r="K234" s="84">
        <v>65</v>
      </c>
      <c r="L234" s="84">
        <v>66</v>
      </c>
      <c r="M234" s="84">
        <v>60</v>
      </c>
      <c r="N234" s="84">
        <v>57</v>
      </c>
      <c r="O234" s="5">
        <f t="shared" si="13"/>
        <v>400.5</v>
      </c>
      <c r="P234" s="6">
        <f t="shared" si="16"/>
        <v>44</v>
      </c>
      <c r="Q234" s="5">
        <f t="shared" si="14"/>
        <v>770</v>
      </c>
      <c r="R234" s="5">
        <v>398</v>
      </c>
      <c r="S234" s="5">
        <v>740</v>
      </c>
      <c r="T234" s="5">
        <f t="shared" si="15"/>
        <v>-30</v>
      </c>
    </row>
    <row r="235" spans="1:20">
      <c r="A235" s="1" t="s">
        <v>896</v>
      </c>
      <c r="B235" s="1" t="s">
        <v>3198</v>
      </c>
      <c r="C235" s="4" t="s">
        <v>60</v>
      </c>
      <c r="D235" s="1" t="s">
        <v>897</v>
      </c>
      <c r="E235" s="4" t="s">
        <v>898</v>
      </c>
      <c r="F235" s="84">
        <v>98</v>
      </c>
      <c r="G235" s="84">
        <v>66</v>
      </c>
      <c r="H235" s="84">
        <v>72</v>
      </c>
      <c r="I235" s="84">
        <v>35</v>
      </c>
      <c r="J235" s="84">
        <v>40</v>
      </c>
      <c r="K235" s="84">
        <v>53</v>
      </c>
      <c r="L235" s="84">
        <v>57</v>
      </c>
      <c r="M235" s="84">
        <v>56</v>
      </c>
      <c r="N235" s="84">
        <v>37</v>
      </c>
      <c r="O235" s="5">
        <f t="shared" si="13"/>
        <v>364</v>
      </c>
      <c r="P235" s="6">
        <f t="shared" si="16"/>
        <v>52</v>
      </c>
      <c r="Q235" s="5">
        <f t="shared" si="14"/>
        <v>871</v>
      </c>
      <c r="R235" s="5">
        <v>340</v>
      </c>
      <c r="S235" s="5">
        <v>895</v>
      </c>
      <c r="T235" s="5">
        <f t="shared" si="15"/>
        <v>24</v>
      </c>
    </row>
    <row r="236" spans="1:20">
      <c r="A236" s="1" t="s">
        <v>899</v>
      </c>
      <c r="B236" s="1" t="s">
        <v>3198</v>
      </c>
      <c r="C236" s="4" t="s">
        <v>60</v>
      </c>
      <c r="D236" s="1" t="s">
        <v>900</v>
      </c>
      <c r="E236" s="4" t="s">
        <v>901</v>
      </c>
      <c r="F236" s="84">
        <v>96</v>
      </c>
      <c r="G236" s="84">
        <v>93</v>
      </c>
      <c r="H236" s="84">
        <v>99</v>
      </c>
      <c r="I236" s="84">
        <v>79</v>
      </c>
      <c r="J236" s="84">
        <v>68</v>
      </c>
      <c r="K236" s="84">
        <v>73</v>
      </c>
      <c r="L236" s="84">
        <v>72</v>
      </c>
      <c r="M236" s="84">
        <v>64</v>
      </c>
      <c r="N236" s="84">
        <v>67</v>
      </c>
      <c r="O236" s="5">
        <f t="shared" si="13"/>
        <v>508</v>
      </c>
      <c r="P236" s="6">
        <f t="shared" si="16"/>
        <v>7</v>
      </c>
      <c r="Q236" s="5">
        <f t="shared" si="14"/>
        <v>213</v>
      </c>
      <c r="R236" s="5">
        <v>470</v>
      </c>
      <c r="S236" s="5">
        <v>364</v>
      </c>
      <c r="T236" s="5">
        <f t="shared" si="15"/>
        <v>151</v>
      </c>
    </row>
    <row r="237" spans="1:20">
      <c r="A237" s="1" t="s">
        <v>1712</v>
      </c>
      <c r="B237" s="1" t="s">
        <v>3198</v>
      </c>
      <c r="C237" s="4" t="s">
        <v>60</v>
      </c>
      <c r="D237" s="1" t="s">
        <v>903</v>
      </c>
      <c r="E237" s="4" t="s">
        <v>1714</v>
      </c>
      <c r="F237" s="84">
        <v>106</v>
      </c>
      <c r="G237" s="84">
        <v>103</v>
      </c>
      <c r="H237" s="84">
        <v>92</v>
      </c>
      <c r="I237" s="84">
        <v>56</v>
      </c>
      <c r="J237" s="84">
        <v>68</v>
      </c>
      <c r="K237" s="84">
        <v>68</v>
      </c>
      <c r="L237" s="84">
        <v>70</v>
      </c>
      <c r="M237" s="84">
        <v>67</v>
      </c>
      <c r="N237" s="84">
        <v>48</v>
      </c>
      <c r="O237" s="5">
        <f t="shared" si="13"/>
        <v>493</v>
      </c>
      <c r="P237" s="6">
        <f t="shared" si="16"/>
        <v>11</v>
      </c>
      <c r="Q237" s="5">
        <f t="shared" si="14"/>
        <v>274</v>
      </c>
      <c r="R237" s="5">
        <v>492.5</v>
      </c>
      <c r="S237" s="5">
        <v>250</v>
      </c>
      <c r="T237" s="5">
        <f t="shared" si="15"/>
        <v>-24</v>
      </c>
    </row>
    <row r="238" spans="1:20">
      <c r="A238" s="1" t="s">
        <v>907</v>
      </c>
      <c r="B238" s="1" t="s">
        <v>3198</v>
      </c>
      <c r="C238" s="4" t="s">
        <v>60</v>
      </c>
      <c r="D238" s="1" t="s">
        <v>905</v>
      </c>
      <c r="E238" s="4" t="s">
        <v>909</v>
      </c>
      <c r="F238" s="84">
        <v>85</v>
      </c>
      <c r="G238" s="84">
        <v>66</v>
      </c>
      <c r="H238" s="84">
        <v>110.5</v>
      </c>
      <c r="I238" s="84">
        <v>69</v>
      </c>
      <c r="J238" s="84">
        <v>53</v>
      </c>
      <c r="K238" s="84">
        <v>58</v>
      </c>
      <c r="L238" s="84">
        <v>78</v>
      </c>
      <c r="M238" s="84">
        <v>64</v>
      </c>
      <c r="N238" s="84">
        <v>48</v>
      </c>
      <c r="O238" s="5">
        <f t="shared" si="13"/>
        <v>441.5</v>
      </c>
      <c r="P238" s="6">
        <f t="shared" si="16"/>
        <v>31</v>
      </c>
      <c r="Q238" s="5">
        <f t="shared" si="14"/>
        <v>564</v>
      </c>
      <c r="R238" s="5">
        <v>380.5</v>
      </c>
      <c r="S238" s="5">
        <v>805</v>
      </c>
      <c r="T238" s="5">
        <f t="shared" si="15"/>
        <v>241</v>
      </c>
    </row>
    <row r="239" spans="1:20">
      <c r="A239" s="1" t="s">
        <v>1595</v>
      </c>
      <c r="B239" s="1" t="s">
        <v>3198</v>
      </c>
      <c r="C239" s="4" t="s">
        <v>60</v>
      </c>
      <c r="D239" s="1" t="s">
        <v>908</v>
      </c>
      <c r="E239" s="4" t="s">
        <v>1597</v>
      </c>
      <c r="F239" s="84">
        <v>103</v>
      </c>
      <c r="G239" s="84">
        <v>69</v>
      </c>
      <c r="H239" s="84">
        <v>98</v>
      </c>
      <c r="I239" s="84">
        <v>84</v>
      </c>
      <c r="J239" s="84">
        <v>54</v>
      </c>
      <c r="K239" s="84">
        <v>60</v>
      </c>
      <c r="L239" s="84">
        <v>74</v>
      </c>
      <c r="M239" s="84">
        <v>72</v>
      </c>
      <c r="N239" s="84">
        <v>53</v>
      </c>
      <c r="O239" s="5">
        <f t="shared" si="13"/>
        <v>468</v>
      </c>
      <c r="P239" s="6">
        <f t="shared" si="16"/>
        <v>22</v>
      </c>
      <c r="Q239" s="5">
        <f t="shared" si="14"/>
        <v>405</v>
      </c>
      <c r="R239" s="5">
        <v>454.5</v>
      </c>
      <c r="S239" s="5">
        <v>442</v>
      </c>
      <c r="T239" s="5">
        <f t="shared" si="15"/>
        <v>37</v>
      </c>
    </row>
    <row r="240" spans="1:20">
      <c r="A240" s="1" t="s">
        <v>910</v>
      </c>
      <c r="B240" s="1" t="s">
        <v>3198</v>
      </c>
      <c r="C240" s="4" t="s">
        <v>60</v>
      </c>
      <c r="D240" s="1" t="s">
        <v>911</v>
      </c>
      <c r="E240" s="4" t="s">
        <v>912</v>
      </c>
      <c r="F240" s="84">
        <v>96</v>
      </c>
      <c r="G240" s="84">
        <v>52</v>
      </c>
      <c r="H240" s="84">
        <v>92.5</v>
      </c>
      <c r="I240" s="84">
        <v>54</v>
      </c>
      <c r="J240" s="84">
        <v>41</v>
      </c>
      <c r="K240" s="84">
        <v>64</v>
      </c>
      <c r="L240" s="84">
        <v>50</v>
      </c>
      <c r="M240" s="84">
        <v>58</v>
      </c>
      <c r="N240" s="84">
        <v>45</v>
      </c>
      <c r="O240" s="5">
        <f t="shared" si="13"/>
        <v>399.5</v>
      </c>
      <c r="P240" s="6">
        <f t="shared" si="16"/>
        <v>46</v>
      </c>
      <c r="Q240" s="5">
        <f t="shared" si="14"/>
        <v>775</v>
      </c>
      <c r="R240" s="5">
        <v>403.5</v>
      </c>
      <c r="S240" s="5">
        <v>715</v>
      </c>
      <c r="T240" s="5">
        <f t="shared" si="15"/>
        <v>-60</v>
      </c>
    </row>
    <row r="241" spans="1:20">
      <c r="A241" s="1" t="s">
        <v>913</v>
      </c>
      <c r="B241" s="1" t="s">
        <v>3198</v>
      </c>
      <c r="C241" s="4" t="s">
        <v>60</v>
      </c>
      <c r="D241" s="1" t="s">
        <v>914</v>
      </c>
      <c r="E241" s="4" t="s">
        <v>915</v>
      </c>
      <c r="F241" s="84">
        <v>95</v>
      </c>
      <c r="G241" s="84">
        <v>52</v>
      </c>
      <c r="H241" s="84">
        <v>61.5</v>
      </c>
      <c r="I241" s="84">
        <v>62</v>
      </c>
      <c r="J241" s="84">
        <v>38</v>
      </c>
      <c r="K241" s="84">
        <v>54</v>
      </c>
      <c r="L241" s="84">
        <v>79</v>
      </c>
      <c r="M241" s="84">
        <v>60</v>
      </c>
      <c r="N241" s="84">
        <v>52</v>
      </c>
      <c r="O241" s="5">
        <f t="shared" si="13"/>
        <v>362.5</v>
      </c>
      <c r="P241" s="6">
        <f t="shared" si="16"/>
        <v>53</v>
      </c>
      <c r="Q241" s="5">
        <f t="shared" si="14"/>
        <v>876</v>
      </c>
      <c r="R241" s="5">
        <v>350</v>
      </c>
      <c r="S241" s="5">
        <v>879</v>
      </c>
      <c r="T241" s="5">
        <f t="shared" si="15"/>
        <v>3</v>
      </c>
    </row>
    <row r="242" spans="1:20">
      <c r="A242" s="1" t="s">
        <v>916</v>
      </c>
      <c r="B242" s="1" t="s">
        <v>3198</v>
      </c>
      <c r="C242" s="4" t="s">
        <v>60</v>
      </c>
      <c r="D242" s="1" t="s">
        <v>917</v>
      </c>
      <c r="E242" s="4" t="s">
        <v>918</v>
      </c>
      <c r="F242" s="84">
        <v>110</v>
      </c>
      <c r="G242" s="84">
        <v>46</v>
      </c>
      <c r="H242" s="84">
        <v>96.5</v>
      </c>
      <c r="I242" s="84">
        <v>39</v>
      </c>
      <c r="J242" s="84">
        <v>35</v>
      </c>
      <c r="K242" s="84">
        <v>57</v>
      </c>
      <c r="L242" s="84">
        <v>68</v>
      </c>
      <c r="M242" s="84">
        <v>75</v>
      </c>
      <c r="N242" s="84">
        <v>57</v>
      </c>
      <c r="O242" s="5">
        <f t="shared" si="13"/>
        <v>383.5</v>
      </c>
      <c r="P242" s="6">
        <f t="shared" si="16"/>
        <v>48</v>
      </c>
      <c r="Q242" s="5">
        <f t="shared" si="14"/>
        <v>820</v>
      </c>
      <c r="R242" s="5">
        <v>412</v>
      </c>
      <c r="S242" s="5">
        <v>670</v>
      </c>
      <c r="T242" s="5">
        <f t="shared" si="15"/>
        <v>-150</v>
      </c>
    </row>
    <row r="243" spans="1:20">
      <c r="A243" s="1" t="s">
        <v>919</v>
      </c>
      <c r="B243" s="1" t="s">
        <v>3198</v>
      </c>
      <c r="C243" s="4" t="s">
        <v>60</v>
      </c>
      <c r="D243" s="1" t="s">
        <v>920</v>
      </c>
      <c r="E243" s="4" t="s">
        <v>921</v>
      </c>
      <c r="F243" s="84">
        <v>110</v>
      </c>
      <c r="G243" s="84">
        <v>85</v>
      </c>
      <c r="H243" s="84">
        <v>77</v>
      </c>
      <c r="I243" s="84">
        <v>79</v>
      </c>
      <c r="J243" s="84">
        <v>58</v>
      </c>
      <c r="K243" s="84">
        <v>70</v>
      </c>
      <c r="L243" s="84">
        <v>77</v>
      </c>
      <c r="M243" s="84">
        <v>65</v>
      </c>
      <c r="N243" s="84">
        <v>52</v>
      </c>
      <c r="O243" s="5">
        <f t="shared" si="13"/>
        <v>479</v>
      </c>
      <c r="P243" s="6">
        <f t="shared" si="16"/>
        <v>19</v>
      </c>
      <c r="Q243" s="5">
        <f t="shared" si="14"/>
        <v>344</v>
      </c>
      <c r="R243" s="5">
        <v>428.5</v>
      </c>
      <c r="S243" s="5">
        <v>582</v>
      </c>
      <c r="T243" s="5">
        <f t="shared" si="15"/>
        <v>238</v>
      </c>
    </row>
    <row r="244" spans="1:20">
      <c r="A244" s="1" t="s">
        <v>922</v>
      </c>
      <c r="B244" s="1" t="s">
        <v>3198</v>
      </c>
      <c r="C244" s="4" t="s">
        <v>60</v>
      </c>
      <c r="D244" s="1" t="s">
        <v>923</v>
      </c>
      <c r="E244" s="4" t="s">
        <v>924</v>
      </c>
      <c r="F244" s="84">
        <v>102</v>
      </c>
      <c r="G244" s="84">
        <v>58</v>
      </c>
      <c r="H244" s="84">
        <v>73.5</v>
      </c>
      <c r="I244" s="84">
        <v>39</v>
      </c>
      <c r="J244" s="84">
        <v>43</v>
      </c>
      <c r="K244" s="84">
        <v>66</v>
      </c>
      <c r="L244" s="84">
        <v>80</v>
      </c>
      <c r="M244" s="84">
        <v>73</v>
      </c>
      <c r="N244" s="84">
        <v>52</v>
      </c>
      <c r="O244" s="5">
        <f t="shared" si="13"/>
        <v>381.5</v>
      </c>
      <c r="P244" s="6">
        <f t="shared" si="16"/>
        <v>50</v>
      </c>
      <c r="Q244" s="5">
        <f t="shared" si="14"/>
        <v>825</v>
      </c>
      <c r="R244" s="5">
        <v>352</v>
      </c>
      <c r="S244" s="5">
        <v>876</v>
      </c>
      <c r="T244" s="5">
        <f t="shared" si="15"/>
        <v>51</v>
      </c>
    </row>
    <row r="245" spans="1:20">
      <c r="A245" s="1" t="s">
        <v>925</v>
      </c>
      <c r="B245" s="1" t="s">
        <v>3198</v>
      </c>
      <c r="C245" s="4" t="s">
        <v>60</v>
      </c>
      <c r="D245" s="1" t="s">
        <v>926</v>
      </c>
      <c r="E245" s="4" t="s">
        <v>927</v>
      </c>
      <c r="F245" s="84">
        <v>101</v>
      </c>
      <c r="G245" s="84">
        <v>101</v>
      </c>
      <c r="H245" s="84">
        <v>92</v>
      </c>
      <c r="I245" s="84">
        <v>85</v>
      </c>
      <c r="J245" s="84">
        <v>52</v>
      </c>
      <c r="K245" s="84">
        <v>62</v>
      </c>
      <c r="L245" s="84">
        <v>67</v>
      </c>
      <c r="M245" s="84">
        <v>64</v>
      </c>
      <c r="N245" s="84">
        <v>51</v>
      </c>
      <c r="O245" s="5">
        <f t="shared" si="13"/>
        <v>493</v>
      </c>
      <c r="P245" s="6">
        <f t="shared" si="16"/>
        <v>11</v>
      </c>
      <c r="Q245" s="5">
        <f t="shared" si="14"/>
        <v>274</v>
      </c>
      <c r="R245" s="5">
        <v>486</v>
      </c>
      <c r="S245" s="5">
        <v>282</v>
      </c>
      <c r="T245" s="5">
        <f t="shared" si="15"/>
        <v>8</v>
      </c>
    </row>
    <row r="246" spans="1:20">
      <c r="A246" s="1" t="s">
        <v>940</v>
      </c>
      <c r="B246" s="1" t="s">
        <v>3198</v>
      </c>
      <c r="C246" s="4" t="s">
        <v>60</v>
      </c>
      <c r="D246" s="1" t="s">
        <v>3322</v>
      </c>
      <c r="E246" s="4" t="s">
        <v>179</v>
      </c>
      <c r="F246" s="84">
        <v>102</v>
      </c>
      <c r="G246" s="84">
        <v>78</v>
      </c>
      <c r="H246" s="84">
        <v>96.5</v>
      </c>
      <c r="I246" s="84">
        <v>82</v>
      </c>
      <c r="J246" s="84">
        <v>66</v>
      </c>
      <c r="K246" s="84">
        <v>78</v>
      </c>
      <c r="L246" s="84">
        <v>76</v>
      </c>
      <c r="M246" s="84">
        <v>73</v>
      </c>
      <c r="N246" s="84">
        <v>58</v>
      </c>
      <c r="O246" s="5">
        <f t="shared" si="13"/>
        <v>502.5</v>
      </c>
      <c r="P246" s="6">
        <f t="shared" si="16"/>
        <v>9</v>
      </c>
      <c r="Q246" s="5">
        <f t="shared" si="14"/>
        <v>236</v>
      </c>
      <c r="R246" s="5">
        <v>500</v>
      </c>
      <c r="S246" s="5">
        <v>211</v>
      </c>
      <c r="T246" s="5">
        <f t="shared" si="15"/>
        <v>-25</v>
      </c>
    </row>
    <row r="247" spans="1:20">
      <c r="A247" s="1" t="s">
        <v>928</v>
      </c>
      <c r="B247" s="1" t="s">
        <v>3198</v>
      </c>
      <c r="C247" s="4" t="s">
        <v>60</v>
      </c>
      <c r="D247" s="1" t="s">
        <v>929</v>
      </c>
      <c r="E247" s="4" t="s">
        <v>930</v>
      </c>
      <c r="F247" s="84">
        <v>107</v>
      </c>
      <c r="G247" s="84">
        <v>73</v>
      </c>
      <c r="H247" s="84">
        <v>98</v>
      </c>
      <c r="I247" s="84">
        <v>79</v>
      </c>
      <c r="J247" s="84">
        <v>60</v>
      </c>
      <c r="K247" s="84">
        <v>75</v>
      </c>
      <c r="L247" s="84">
        <v>62</v>
      </c>
      <c r="M247" s="84">
        <v>80</v>
      </c>
      <c r="N247" s="84">
        <v>61</v>
      </c>
      <c r="O247" s="5">
        <f t="shared" si="13"/>
        <v>492</v>
      </c>
      <c r="P247" s="6">
        <f t="shared" si="16"/>
        <v>13</v>
      </c>
      <c r="Q247" s="5">
        <f t="shared" si="14"/>
        <v>280</v>
      </c>
      <c r="R247" s="5">
        <v>474</v>
      </c>
      <c r="S247" s="5">
        <v>335</v>
      </c>
      <c r="T247" s="5">
        <f t="shared" si="15"/>
        <v>55</v>
      </c>
    </row>
    <row r="248" spans="1:20">
      <c r="A248" s="1" t="s">
        <v>931</v>
      </c>
      <c r="B248" s="1" t="s">
        <v>3198</v>
      </c>
      <c r="C248" s="4" t="s">
        <v>60</v>
      </c>
      <c r="D248" s="1" t="s">
        <v>932</v>
      </c>
      <c r="E248" s="4" t="s">
        <v>933</v>
      </c>
      <c r="F248" s="84">
        <v>104</v>
      </c>
      <c r="G248" s="84">
        <v>46</v>
      </c>
      <c r="H248" s="84">
        <v>67.5</v>
      </c>
      <c r="I248" s="84">
        <v>54</v>
      </c>
      <c r="J248" s="84">
        <v>58</v>
      </c>
      <c r="K248" s="84">
        <v>59</v>
      </c>
      <c r="L248" s="84">
        <v>65</v>
      </c>
      <c r="M248" s="84">
        <v>70</v>
      </c>
      <c r="N248" s="84">
        <v>45</v>
      </c>
      <c r="O248" s="5">
        <f t="shared" si="13"/>
        <v>388.5</v>
      </c>
      <c r="P248" s="6">
        <f t="shared" si="16"/>
        <v>47</v>
      </c>
      <c r="Q248" s="5">
        <f t="shared" si="14"/>
        <v>807</v>
      </c>
      <c r="R248" s="5">
        <v>366.5</v>
      </c>
      <c r="S248" s="5">
        <v>849</v>
      </c>
      <c r="T248" s="5">
        <f t="shared" si="15"/>
        <v>42</v>
      </c>
    </row>
    <row r="249" spans="1:20">
      <c r="A249" s="1" t="s">
        <v>934</v>
      </c>
      <c r="B249" s="1" t="s">
        <v>3198</v>
      </c>
      <c r="C249" s="4" t="s">
        <v>60</v>
      </c>
      <c r="D249" s="1" t="s">
        <v>935</v>
      </c>
      <c r="E249" s="4" t="s">
        <v>936</v>
      </c>
      <c r="F249" s="84">
        <v>100</v>
      </c>
      <c r="G249" s="84">
        <v>66</v>
      </c>
      <c r="H249" s="84">
        <v>56.5</v>
      </c>
      <c r="I249" s="84">
        <v>57</v>
      </c>
      <c r="J249" s="84">
        <v>51</v>
      </c>
      <c r="K249" s="84">
        <v>71</v>
      </c>
      <c r="L249" s="84">
        <v>55</v>
      </c>
      <c r="M249" s="84">
        <v>61</v>
      </c>
      <c r="N249" s="84">
        <v>61</v>
      </c>
      <c r="O249" s="5">
        <f t="shared" si="13"/>
        <v>401.5</v>
      </c>
      <c r="P249" s="6">
        <f t="shared" si="16"/>
        <v>43</v>
      </c>
      <c r="Q249" s="5">
        <f t="shared" si="14"/>
        <v>763</v>
      </c>
      <c r="R249" s="5">
        <v>404.5</v>
      </c>
      <c r="S249" s="5">
        <v>710</v>
      </c>
      <c r="T249" s="5">
        <f t="shared" si="15"/>
        <v>-53</v>
      </c>
    </row>
    <row r="250" spans="1:20">
      <c r="A250" s="1" t="s">
        <v>937</v>
      </c>
      <c r="B250" s="1" t="s">
        <v>3198</v>
      </c>
      <c r="C250" s="4" t="s">
        <v>60</v>
      </c>
      <c r="D250" s="1" t="s">
        <v>938</v>
      </c>
      <c r="E250" s="4" t="s">
        <v>939</v>
      </c>
      <c r="F250" s="84">
        <v>108</v>
      </c>
      <c r="G250" s="84">
        <v>64</v>
      </c>
      <c r="H250" s="84">
        <v>90</v>
      </c>
      <c r="I250" s="84">
        <v>84</v>
      </c>
      <c r="J250" s="84">
        <v>68</v>
      </c>
      <c r="K250" s="84">
        <v>70</v>
      </c>
      <c r="L250" s="84">
        <v>65</v>
      </c>
      <c r="M250" s="84">
        <v>58</v>
      </c>
      <c r="N250" s="84">
        <v>53</v>
      </c>
      <c r="O250" s="5">
        <f t="shared" si="13"/>
        <v>484</v>
      </c>
      <c r="P250" s="6">
        <f t="shared" si="16"/>
        <v>17</v>
      </c>
      <c r="Q250" s="5">
        <f t="shared" si="14"/>
        <v>314</v>
      </c>
      <c r="R250" s="5">
        <v>497</v>
      </c>
      <c r="S250" s="5">
        <v>225</v>
      </c>
      <c r="T250" s="5">
        <f t="shared" si="15"/>
        <v>-89</v>
      </c>
    </row>
    <row r="251" spans="1:20">
      <c r="A251" s="1" t="s">
        <v>1690</v>
      </c>
      <c r="B251" s="1" t="s">
        <v>3198</v>
      </c>
      <c r="C251" s="4" t="s">
        <v>60</v>
      </c>
      <c r="D251" s="1" t="s">
        <v>941</v>
      </c>
      <c r="E251" s="4" t="s">
        <v>1692</v>
      </c>
      <c r="F251" s="84">
        <v>112</v>
      </c>
      <c r="G251" s="84">
        <v>76</v>
      </c>
      <c r="H251" s="84">
        <v>106.5</v>
      </c>
      <c r="I251" s="84">
        <v>60</v>
      </c>
      <c r="J251" s="84">
        <v>67</v>
      </c>
      <c r="K251" s="84">
        <v>63</v>
      </c>
      <c r="L251" s="84">
        <v>76</v>
      </c>
      <c r="M251" s="84">
        <v>66</v>
      </c>
      <c r="N251" s="84">
        <v>48</v>
      </c>
      <c r="O251" s="5">
        <f t="shared" si="13"/>
        <v>484.5</v>
      </c>
      <c r="P251" s="6">
        <f t="shared" si="16"/>
        <v>16</v>
      </c>
      <c r="Q251" s="5">
        <f t="shared" si="14"/>
        <v>312</v>
      </c>
      <c r="R251" s="5">
        <v>500</v>
      </c>
      <c r="S251" s="5">
        <v>211</v>
      </c>
      <c r="T251" s="5">
        <f t="shared" si="15"/>
        <v>-101</v>
      </c>
    </row>
    <row r="252" spans="1:20">
      <c r="A252" s="1" t="s">
        <v>942</v>
      </c>
      <c r="B252" s="1" t="s">
        <v>3198</v>
      </c>
      <c r="C252" s="4" t="s">
        <v>60</v>
      </c>
      <c r="D252" s="1" t="s">
        <v>943</v>
      </c>
      <c r="E252" s="4" t="s">
        <v>944</v>
      </c>
      <c r="F252" s="84">
        <v>104</v>
      </c>
      <c r="G252" s="84">
        <v>92</v>
      </c>
      <c r="H252" s="84">
        <v>99</v>
      </c>
      <c r="I252" s="84">
        <v>89</v>
      </c>
      <c r="J252" s="84">
        <v>74</v>
      </c>
      <c r="K252" s="84">
        <v>60</v>
      </c>
      <c r="L252" s="84">
        <v>69</v>
      </c>
      <c r="M252" s="84">
        <v>64</v>
      </c>
      <c r="N252" s="84">
        <v>42</v>
      </c>
      <c r="O252" s="5">
        <f t="shared" si="13"/>
        <v>518</v>
      </c>
      <c r="P252" s="6">
        <f t="shared" si="16"/>
        <v>6</v>
      </c>
      <c r="Q252" s="5">
        <f t="shared" si="14"/>
        <v>174</v>
      </c>
      <c r="R252" s="5">
        <v>486.5</v>
      </c>
      <c r="S252" s="5">
        <v>280</v>
      </c>
      <c r="T252" s="5">
        <f t="shared" si="15"/>
        <v>106</v>
      </c>
    </row>
    <row r="253" spans="1:20">
      <c r="A253" s="1" t="s">
        <v>945</v>
      </c>
      <c r="B253" s="1" t="s">
        <v>3198</v>
      </c>
      <c r="C253" s="4" t="s">
        <v>60</v>
      </c>
      <c r="D253" s="1" t="s">
        <v>946</v>
      </c>
      <c r="E253" s="4" t="s">
        <v>947</v>
      </c>
      <c r="F253" s="84">
        <v>99</v>
      </c>
      <c r="G253" s="84">
        <v>80</v>
      </c>
      <c r="H253" s="84">
        <v>116</v>
      </c>
      <c r="I253" s="84">
        <v>64</v>
      </c>
      <c r="J253" s="84">
        <v>66</v>
      </c>
      <c r="K253" s="84">
        <v>79</v>
      </c>
      <c r="L253" s="84">
        <v>77</v>
      </c>
      <c r="M253" s="84">
        <v>85</v>
      </c>
      <c r="N253" s="84">
        <v>71</v>
      </c>
      <c r="O253" s="5">
        <f t="shared" si="13"/>
        <v>504</v>
      </c>
      <c r="P253" s="6">
        <f t="shared" si="16"/>
        <v>8</v>
      </c>
      <c r="Q253" s="5">
        <f t="shared" si="14"/>
        <v>230</v>
      </c>
      <c r="R253" s="5">
        <v>505</v>
      </c>
      <c r="S253" s="5">
        <v>188</v>
      </c>
      <c r="T253" s="5">
        <f t="shared" si="15"/>
        <v>-42</v>
      </c>
    </row>
    <row r="254" spans="1:20">
      <c r="A254" s="1" t="s">
        <v>948</v>
      </c>
      <c r="B254" s="1" t="s">
        <v>3198</v>
      </c>
      <c r="C254" s="4" t="s">
        <v>60</v>
      </c>
      <c r="D254" s="1" t="s">
        <v>949</v>
      </c>
      <c r="E254" s="4" t="s">
        <v>950</v>
      </c>
      <c r="F254" s="84">
        <v>91</v>
      </c>
      <c r="G254" s="84">
        <v>71</v>
      </c>
      <c r="H254" s="84">
        <v>72</v>
      </c>
      <c r="I254" s="84">
        <v>75</v>
      </c>
      <c r="J254" s="84">
        <v>48</v>
      </c>
      <c r="K254" s="84">
        <v>59</v>
      </c>
      <c r="L254" s="84">
        <v>76</v>
      </c>
      <c r="M254" s="84">
        <v>57</v>
      </c>
      <c r="N254" s="84">
        <v>54</v>
      </c>
      <c r="O254" s="5">
        <f t="shared" si="13"/>
        <v>416</v>
      </c>
      <c r="P254" s="6">
        <f t="shared" si="16"/>
        <v>38</v>
      </c>
      <c r="Q254" s="5">
        <f t="shared" si="14"/>
        <v>687</v>
      </c>
      <c r="R254" s="5">
        <v>369.5</v>
      </c>
      <c r="S254" s="5">
        <v>843</v>
      </c>
      <c r="T254" s="5">
        <f t="shared" si="15"/>
        <v>156</v>
      </c>
    </row>
    <row r="255" spans="1:20">
      <c r="A255" s="1" t="s">
        <v>951</v>
      </c>
      <c r="B255" s="1" t="s">
        <v>3198</v>
      </c>
      <c r="C255" s="4" t="s">
        <v>60</v>
      </c>
      <c r="D255" s="1" t="s">
        <v>952</v>
      </c>
      <c r="E255" s="4" t="s">
        <v>953</v>
      </c>
      <c r="F255" s="84">
        <v>106</v>
      </c>
      <c r="G255" s="84">
        <v>75</v>
      </c>
      <c r="H255" s="84">
        <v>83.5</v>
      </c>
      <c r="I255" s="84">
        <v>71</v>
      </c>
      <c r="J255" s="84">
        <v>56</v>
      </c>
      <c r="K255" s="84">
        <v>69</v>
      </c>
      <c r="L255" s="84">
        <v>63</v>
      </c>
      <c r="M255" s="84">
        <v>77</v>
      </c>
      <c r="N255" s="84">
        <v>54</v>
      </c>
      <c r="O255" s="5">
        <f t="shared" si="13"/>
        <v>460.5</v>
      </c>
      <c r="P255" s="6">
        <f t="shared" si="16"/>
        <v>25</v>
      </c>
      <c r="Q255" s="5">
        <f t="shared" si="14"/>
        <v>453</v>
      </c>
      <c r="R255" s="5">
        <v>466.5</v>
      </c>
      <c r="S255" s="5">
        <v>384</v>
      </c>
      <c r="T255" s="5">
        <f t="shared" si="15"/>
        <v>-69</v>
      </c>
    </row>
    <row r="256" spans="1:20">
      <c r="A256" s="1" t="s">
        <v>954</v>
      </c>
      <c r="B256" s="1" t="s">
        <v>3198</v>
      </c>
      <c r="C256" s="4" t="s">
        <v>60</v>
      </c>
      <c r="D256" s="1" t="s">
        <v>955</v>
      </c>
      <c r="E256" s="4" t="s">
        <v>956</v>
      </c>
      <c r="F256" s="84">
        <v>121</v>
      </c>
      <c r="G256" s="84">
        <v>80</v>
      </c>
      <c r="H256" s="84">
        <v>91.5</v>
      </c>
      <c r="I256" s="84">
        <v>63</v>
      </c>
      <c r="J256" s="84">
        <v>35</v>
      </c>
      <c r="K256" s="84">
        <v>62</v>
      </c>
      <c r="L256" s="84">
        <v>79</v>
      </c>
      <c r="M256" s="84">
        <v>74</v>
      </c>
      <c r="N256" s="84">
        <v>49</v>
      </c>
      <c r="O256" s="5">
        <f t="shared" si="13"/>
        <v>452.5</v>
      </c>
      <c r="P256" s="6">
        <f t="shared" si="16"/>
        <v>29</v>
      </c>
      <c r="Q256" s="5">
        <f t="shared" si="14"/>
        <v>500</v>
      </c>
      <c r="R256" s="5">
        <v>446</v>
      </c>
      <c r="S256" s="5">
        <v>491</v>
      </c>
      <c r="T256" s="5">
        <f t="shared" si="15"/>
        <v>-9</v>
      </c>
    </row>
    <row r="257" spans="1:20">
      <c r="A257" s="1" t="s">
        <v>957</v>
      </c>
      <c r="B257" s="1" t="s">
        <v>3198</v>
      </c>
      <c r="C257" s="4" t="s">
        <v>60</v>
      </c>
      <c r="D257" s="1" t="s">
        <v>958</v>
      </c>
      <c r="E257" s="4" t="s">
        <v>959</v>
      </c>
      <c r="F257" s="84">
        <v>116</v>
      </c>
      <c r="G257" s="84">
        <v>92</v>
      </c>
      <c r="H257" s="84">
        <v>116</v>
      </c>
      <c r="I257" s="84">
        <v>72</v>
      </c>
      <c r="J257" s="84">
        <v>53</v>
      </c>
      <c r="K257" s="84">
        <v>77</v>
      </c>
      <c r="L257" s="84">
        <v>82</v>
      </c>
      <c r="M257" s="84">
        <v>73</v>
      </c>
      <c r="N257" s="84">
        <v>59</v>
      </c>
      <c r="O257" s="5">
        <f t="shared" si="13"/>
        <v>526</v>
      </c>
      <c r="P257" s="6">
        <f t="shared" si="16"/>
        <v>5</v>
      </c>
      <c r="Q257" s="5">
        <f t="shared" si="14"/>
        <v>146</v>
      </c>
      <c r="R257" s="5">
        <v>469</v>
      </c>
      <c r="S257" s="5">
        <v>372</v>
      </c>
      <c r="T257" s="5">
        <f t="shared" si="15"/>
        <v>226</v>
      </c>
    </row>
    <row r="258" spans="1:20">
      <c r="A258" s="1">
        <v>20181082</v>
      </c>
      <c r="B258" s="1" t="s">
        <v>3198</v>
      </c>
      <c r="C258" s="4" t="s">
        <v>60</v>
      </c>
      <c r="D258" s="1" t="s">
        <v>961</v>
      </c>
      <c r="E258" s="4" t="s">
        <v>3247</v>
      </c>
      <c r="F258" s="84">
        <v>106</v>
      </c>
      <c r="G258" s="84">
        <v>74</v>
      </c>
      <c r="H258" s="84">
        <v>94</v>
      </c>
      <c r="I258" s="84">
        <v>86</v>
      </c>
      <c r="J258" s="84">
        <v>44</v>
      </c>
      <c r="K258" s="84">
        <v>57</v>
      </c>
      <c r="L258" s="84">
        <v>61</v>
      </c>
      <c r="M258" s="84">
        <v>54</v>
      </c>
      <c r="N258" s="84">
        <v>52</v>
      </c>
      <c r="O258" s="5">
        <f t="shared" si="13"/>
        <v>461</v>
      </c>
      <c r="P258" s="6">
        <f t="shared" si="16"/>
        <v>24</v>
      </c>
      <c r="Q258" s="5">
        <f t="shared" si="14"/>
        <v>450</v>
      </c>
      <c r="R258" s="5">
        <v>404.5</v>
      </c>
      <c r="S258" s="5">
        <v>710</v>
      </c>
      <c r="T258" s="5">
        <f t="shared" si="15"/>
        <v>260</v>
      </c>
    </row>
    <row r="259" spans="1:20">
      <c r="A259" s="1" t="s">
        <v>962</v>
      </c>
      <c r="B259" s="1" t="s">
        <v>3198</v>
      </c>
      <c r="C259" s="4" t="s">
        <v>60</v>
      </c>
      <c r="D259" s="1" t="s">
        <v>963</v>
      </c>
      <c r="E259" s="4" t="s">
        <v>964</v>
      </c>
      <c r="F259" s="84">
        <v>104</v>
      </c>
      <c r="G259" s="84">
        <v>56</v>
      </c>
      <c r="H259" s="84">
        <v>86.5</v>
      </c>
      <c r="I259" s="84">
        <v>65</v>
      </c>
      <c r="J259" s="84">
        <v>58</v>
      </c>
      <c r="K259" s="84">
        <v>64</v>
      </c>
      <c r="L259" s="84">
        <v>51</v>
      </c>
      <c r="M259" s="84">
        <v>56</v>
      </c>
      <c r="N259" s="84">
        <v>37</v>
      </c>
      <c r="O259" s="5">
        <f t="shared" si="13"/>
        <v>433.5</v>
      </c>
      <c r="P259" s="6">
        <f t="shared" si="16"/>
        <v>33</v>
      </c>
      <c r="Q259" s="5">
        <f t="shared" si="14"/>
        <v>607</v>
      </c>
      <c r="R259" s="5">
        <v>375.5</v>
      </c>
      <c r="S259" s="5">
        <v>820</v>
      </c>
      <c r="T259" s="5">
        <f t="shared" si="15"/>
        <v>213</v>
      </c>
    </row>
    <row r="260" spans="1:20">
      <c r="A260" s="1" t="s">
        <v>965</v>
      </c>
      <c r="B260" s="1" t="s">
        <v>3198</v>
      </c>
      <c r="C260" s="4" t="s">
        <v>60</v>
      </c>
      <c r="D260" s="1" t="s">
        <v>966</v>
      </c>
      <c r="E260" s="4" t="s">
        <v>967</v>
      </c>
      <c r="F260" s="84">
        <v>104</v>
      </c>
      <c r="G260" s="84">
        <v>80</v>
      </c>
      <c r="H260" s="84">
        <v>72.5</v>
      </c>
      <c r="I260" s="84">
        <v>57</v>
      </c>
      <c r="J260" s="84">
        <v>60</v>
      </c>
      <c r="K260" s="84">
        <v>67</v>
      </c>
      <c r="L260" s="84">
        <v>86</v>
      </c>
      <c r="M260" s="84">
        <v>59</v>
      </c>
      <c r="N260" s="84">
        <v>52</v>
      </c>
      <c r="O260" s="5">
        <f t="shared" ref="O260:O322" si="17">SUM(F260:K260)</f>
        <v>440.5</v>
      </c>
      <c r="P260" s="6">
        <f t="shared" si="16"/>
        <v>32</v>
      </c>
      <c r="Q260" s="5">
        <f t="shared" ref="Q260:Q323" si="18">RANK(O260,$O$3:$O$936)</f>
        <v>568</v>
      </c>
      <c r="R260" s="5">
        <v>430</v>
      </c>
      <c r="S260" s="5">
        <v>573</v>
      </c>
      <c r="T260" s="5">
        <f t="shared" ref="T260:T323" si="19">S260-Q260</f>
        <v>5</v>
      </c>
    </row>
    <row r="261" spans="1:20">
      <c r="A261" s="1" t="s">
        <v>968</v>
      </c>
      <c r="B261" s="1" t="s">
        <v>3198</v>
      </c>
      <c r="C261" s="4" t="s">
        <v>60</v>
      </c>
      <c r="D261" s="1" t="s">
        <v>969</v>
      </c>
      <c r="E261" s="4" t="s">
        <v>970</v>
      </c>
      <c r="F261" s="84">
        <v>107</v>
      </c>
      <c r="G261" s="84">
        <v>53</v>
      </c>
      <c r="H261" s="84">
        <v>67</v>
      </c>
      <c r="I261" s="84">
        <v>43</v>
      </c>
      <c r="J261" s="84">
        <v>41</v>
      </c>
      <c r="K261" s="84">
        <v>46</v>
      </c>
      <c r="L261" s="84">
        <v>78</v>
      </c>
      <c r="M261" s="84">
        <v>69</v>
      </c>
      <c r="N261" s="84">
        <v>35</v>
      </c>
      <c r="O261" s="5">
        <f t="shared" si="17"/>
        <v>357</v>
      </c>
      <c r="P261" s="6">
        <f t="shared" si="16"/>
        <v>54</v>
      </c>
      <c r="Q261" s="5">
        <f t="shared" si="18"/>
        <v>883</v>
      </c>
      <c r="R261" s="5">
        <v>354</v>
      </c>
      <c r="S261" s="5">
        <v>872</v>
      </c>
      <c r="T261" s="5">
        <f t="shared" si="19"/>
        <v>-11</v>
      </c>
    </row>
    <row r="262" spans="1:20">
      <c r="A262" s="1" t="s">
        <v>971</v>
      </c>
      <c r="B262" s="1" t="s">
        <v>3198</v>
      </c>
      <c r="C262" s="4" t="s">
        <v>60</v>
      </c>
      <c r="D262" s="1" t="s">
        <v>972</v>
      </c>
      <c r="E262" s="4" t="s">
        <v>973</v>
      </c>
      <c r="F262" s="84">
        <v>98</v>
      </c>
      <c r="G262" s="84">
        <v>52</v>
      </c>
      <c r="H262" s="84">
        <v>45</v>
      </c>
      <c r="I262" s="84">
        <v>50</v>
      </c>
      <c r="J262" s="84">
        <v>44</v>
      </c>
      <c r="K262" s="84">
        <v>46</v>
      </c>
      <c r="L262" s="84">
        <v>59</v>
      </c>
      <c r="M262" s="84">
        <v>66</v>
      </c>
      <c r="N262" s="84">
        <v>42</v>
      </c>
      <c r="O262" s="5">
        <f t="shared" si="17"/>
        <v>335</v>
      </c>
      <c r="P262" s="6">
        <f t="shared" si="16"/>
        <v>56</v>
      </c>
      <c r="Q262" s="5">
        <f t="shared" si="18"/>
        <v>911</v>
      </c>
      <c r="R262" s="5">
        <v>356.5</v>
      </c>
      <c r="S262" s="5">
        <v>864</v>
      </c>
      <c r="T262" s="5">
        <f t="shared" si="19"/>
        <v>-47</v>
      </c>
    </row>
    <row r="263" spans="1:20">
      <c r="A263" s="1" t="s">
        <v>974</v>
      </c>
      <c r="B263" s="1" t="s">
        <v>3198</v>
      </c>
      <c r="C263" s="4" t="s">
        <v>60</v>
      </c>
      <c r="D263" s="1" t="s">
        <v>975</v>
      </c>
      <c r="E263" s="4" t="s">
        <v>976</v>
      </c>
      <c r="F263" s="84">
        <v>117</v>
      </c>
      <c r="G263" s="84">
        <v>43</v>
      </c>
      <c r="H263" s="84">
        <v>90</v>
      </c>
      <c r="I263" s="84">
        <v>50</v>
      </c>
      <c r="J263" s="84">
        <v>58</v>
      </c>
      <c r="K263" s="84">
        <v>61</v>
      </c>
      <c r="L263" s="84">
        <v>71</v>
      </c>
      <c r="M263" s="84">
        <v>63</v>
      </c>
      <c r="N263" s="84">
        <v>48</v>
      </c>
      <c r="O263" s="5">
        <f t="shared" si="17"/>
        <v>419</v>
      </c>
      <c r="P263" s="6">
        <f t="shared" si="16"/>
        <v>37</v>
      </c>
      <c r="Q263" s="5">
        <f t="shared" si="18"/>
        <v>673</v>
      </c>
      <c r="R263" s="5">
        <v>445</v>
      </c>
      <c r="S263" s="5">
        <v>498</v>
      </c>
      <c r="T263" s="5">
        <f t="shared" si="19"/>
        <v>-175</v>
      </c>
    </row>
    <row r="264" spans="1:20">
      <c r="A264" s="1" t="s">
        <v>977</v>
      </c>
      <c r="B264" s="1" t="s">
        <v>3198</v>
      </c>
      <c r="C264" s="4" t="s">
        <v>60</v>
      </c>
      <c r="D264" s="1" t="s">
        <v>978</v>
      </c>
      <c r="E264" s="4" t="s">
        <v>979</v>
      </c>
      <c r="F264" s="84">
        <v>104</v>
      </c>
      <c r="G264" s="84">
        <v>49</v>
      </c>
      <c r="H264" s="84">
        <v>58</v>
      </c>
      <c r="I264" s="84">
        <v>63</v>
      </c>
      <c r="J264" s="84">
        <v>54</v>
      </c>
      <c r="K264" s="84">
        <v>54</v>
      </c>
      <c r="L264" s="84">
        <v>52</v>
      </c>
      <c r="M264" s="84">
        <v>55</v>
      </c>
      <c r="N264" s="84">
        <v>53</v>
      </c>
      <c r="O264" s="5">
        <f t="shared" si="17"/>
        <v>382</v>
      </c>
      <c r="P264" s="6">
        <f t="shared" si="16"/>
        <v>49</v>
      </c>
      <c r="Q264" s="5">
        <f t="shared" si="18"/>
        <v>823</v>
      </c>
      <c r="R264" s="5">
        <v>383.5</v>
      </c>
      <c r="S264" s="5">
        <v>795</v>
      </c>
      <c r="T264" s="5">
        <f t="shared" si="19"/>
        <v>-28</v>
      </c>
    </row>
    <row r="265" spans="1:20">
      <c r="A265" s="1" t="s">
        <v>980</v>
      </c>
      <c r="B265" s="1" t="s">
        <v>3198</v>
      </c>
      <c r="C265" s="4" t="s">
        <v>60</v>
      </c>
      <c r="D265" s="1" t="s">
        <v>981</v>
      </c>
      <c r="E265" s="4" t="s">
        <v>982</v>
      </c>
      <c r="F265" s="84">
        <v>90</v>
      </c>
      <c r="G265" s="84">
        <v>98</v>
      </c>
      <c r="H265" s="84">
        <v>68</v>
      </c>
      <c r="I265" s="84">
        <v>95</v>
      </c>
      <c r="J265" s="84">
        <v>71</v>
      </c>
      <c r="K265" s="84">
        <v>78</v>
      </c>
      <c r="L265" s="84">
        <v>66</v>
      </c>
      <c r="M265" s="84">
        <v>81</v>
      </c>
      <c r="N265" s="84">
        <v>56</v>
      </c>
      <c r="O265" s="5">
        <f t="shared" si="17"/>
        <v>500</v>
      </c>
      <c r="P265" s="6">
        <f t="shared" si="16"/>
        <v>10</v>
      </c>
      <c r="Q265" s="5">
        <f t="shared" si="18"/>
        <v>246</v>
      </c>
      <c r="R265" s="5">
        <v>455.5</v>
      </c>
      <c r="S265" s="5">
        <v>436</v>
      </c>
      <c r="T265" s="5">
        <f t="shared" si="19"/>
        <v>190</v>
      </c>
    </row>
    <row r="266" spans="1:20">
      <c r="A266" s="1" t="s">
        <v>983</v>
      </c>
      <c r="B266" s="1" t="s">
        <v>3198</v>
      </c>
      <c r="C266" s="4" t="s">
        <v>60</v>
      </c>
      <c r="D266" s="1" t="s">
        <v>984</v>
      </c>
      <c r="E266" s="4" t="s">
        <v>985</v>
      </c>
      <c r="F266" s="84">
        <v>119</v>
      </c>
      <c r="G266" s="84">
        <v>97</v>
      </c>
      <c r="H266" s="84">
        <v>97.5</v>
      </c>
      <c r="I266" s="84">
        <v>71</v>
      </c>
      <c r="J266" s="84">
        <v>67</v>
      </c>
      <c r="K266" s="84">
        <v>76</v>
      </c>
      <c r="L266" s="84">
        <v>79</v>
      </c>
      <c r="M266" s="84">
        <v>64</v>
      </c>
      <c r="N266" s="84">
        <v>53</v>
      </c>
      <c r="O266" s="5">
        <f t="shared" si="17"/>
        <v>527.5</v>
      </c>
      <c r="P266" s="6">
        <f t="shared" si="16"/>
        <v>3</v>
      </c>
      <c r="Q266" s="5">
        <f t="shared" si="18"/>
        <v>139</v>
      </c>
      <c r="R266" s="5">
        <v>451.5</v>
      </c>
      <c r="S266" s="5">
        <v>458</v>
      </c>
      <c r="T266" s="5">
        <f t="shared" si="19"/>
        <v>319</v>
      </c>
    </row>
    <row r="267" spans="1:20">
      <c r="A267" s="1" t="s">
        <v>986</v>
      </c>
      <c r="B267" s="1" t="s">
        <v>3198</v>
      </c>
      <c r="C267" s="4" t="s">
        <v>60</v>
      </c>
      <c r="D267" s="1" t="s">
        <v>987</v>
      </c>
      <c r="E267" s="4" t="s">
        <v>988</v>
      </c>
      <c r="F267" s="84">
        <v>100</v>
      </c>
      <c r="G267" s="84">
        <v>29</v>
      </c>
      <c r="H267" s="84">
        <v>116.5</v>
      </c>
      <c r="I267" s="84">
        <v>41</v>
      </c>
      <c r="J267" s="84">
        <v>44</v>
      </c>
      <c r="K267" s="84">
        <v>70</v>
      </c>
      <c r="L267" s="84">
        <v>61</v>
      </c>
      <c r="M267" s="84">
        <v>74</v>
      </c>
      <c r="N267" s="84">
        <v>59</v>
      </c>
      <c r="O267" s="5">
        <f t="shared" si="17"/>
        <v>400.5</v>
      </c>
      <c r="P267" s="6">
        <f t="shared" si="16"/>
        <v>44</v>
      </c>
      <c r="Q267" s="5">
        <f t="shared" si="18"/>
        <v>770</v>
      </c>
      <c r="R267" s="5">
        <v>388</v>
      </c>
      <c r="S267" s="5">
        <v>774</v>
      </c>
      <c r="T267" s="5">
        <f t="shared" si="19"/>
        <v>4</v>
      </c>
    </row>
    <row r="268" spans="1:20">
      <c r="A268" s="1" t="s">
        <v>989</v>
      </c>
      <c r="B268" s="1" t="s">
        <v>3198</v>
      </c>
      <c r="C268" s="4" t="s">
        <v>60</v>
      </c>
      <c r="D268" s="1" t="s">
        <v>990</v>
      </c>
      <c r="E268" s="4" t="s">
        <v>991</v>
      </c>
      <c r="F268" s="84">
        <v>107</v>
      </c>
      <c r="G268" s="84">
        <v>70</v>
      </c>
      <c r="H268" s="84">
        <v>97</v>
      </c>
      <c r="I268" s="84">
        <v>53</v>
      </c>
      <c r="J268" s="84">
        <v>62</v>
      </c>
      <c r="K268" s="84">
        <v>69</v>
      </c>
      <c r="L268" s="84">
        <v>76</v>
      </c>
      <c r="M268" s="84">
        <v>56</v>
      </c>
      <c r="N268" s="84">
        <v>55</v>
      </c>
      <c r="O268" s="5">
        <f t="shared" si="17"/>
        <v>458</v>
      </c>
      <c r="P268" s="6">
        <f t="shared" si="16"/>
        <v>26</v>
      </c>
      <c r="Q268" s="5">
        <f t="shared" si="18"/>
        <v>465</v>
      </c>
      <c r="R268" s="5">
        <v>445</v>
      </c>
      <c r="S268" s="5">
        <v>498</v>
      </c>
      <c r="T268" s="5">
        <f t="shared" si="19"/>
        <v>33</v>
      </c>
    </row>
    <row r="269" spans="1:20">
      <c r="A269" s="1" t="s">
        <v>992</v>
      </c>
      <c r="B269" s="1" t="s">
        <v>3198</v>
      </c>
      <c r="C269" s="4" t="s">
        <v>60</v>
      </c>
      <c r="D269" s="1" t="s">
        <v>993</v>
      </c>
      <c r="E269" s="4" t="s">
        <v>994</v>
      </c>
      <c r="F269" s="84">
        <v>110</v>
      </c>
      <c r="G269" s="84">
        <v>99</v>
      </c>
      <c r="H269" s="84">
        <v>105.5</v>
      </c>
      <c r="I269" s="84">
        <v>96</v>
      </c>
      <c r="J269" s="84">
        <v>69</v>
      </c>
      <c r="K269" s="84">
        <v>87</v>
      </c>
      <c r="L269" s="84">
        <v>62</v>
      </c>
      <c r="M269" s="84">
        <v>71</v>
      </c>
      <c r="N269" s="84">
        <v>67</v>
      </c>
      <c r="O269" s="5">
        <f t="shared" si="17"/>
        <v>566.5</v>
      </c>
      <c r="P269" s="6">
        <f t="shared" si="16"/>
        <v>1</v>
      </c>
      <c r="Q269" s="5">
        <f t="shared" si="18"/>
        <v>48</v>
      </c>
      <c r="R269" s="5">
        <v>528</v>
      </c>
      <c r="S269" s="5">
        <v>114</v>
      </c>
      <c r="T269" s="5">
        <f t="shared" si="19"/>
        <v>66</v>
      </c>
    </row>
    <row r="270" spans="1:20">
      <c r="A270" s="1" t="s">
        <v>995</v>
      </c>
      <c r="B270" s="1" t="s">
        <v>3198</v>
      </c>
      <c r="C270" s="4" t="s">
        <v>60</v>
      </c>
      <c r="D270" s="1" t="s">
        <v>996</v>
      </c>
      <c r="E270" s="4" t="s">
        <v>997</v>
      </c>
      <c r="F270" s="84">
        <v>68</v>
      </c>
      <c r="G270" s="84">
        <v>65</v>
      </c>
      <c r="H270" s="84">
        <v>73.5</v>
      </c>
      <c r="I270" s="84">
        <v>53</v>
      </c>
      <c r="J270" s="84">
        <v>34</v>
      </c>
      <c r="K270" s="84">
        <v>61</v>
      </c>
      <c r="L270" s="84">
        <v>64</v>
      </c>
      <c r="M270" s="84">
        <v>71</v>
      </c>
      <c r="N270" s="84">
        <v>43</v>
      </c>
      <c r="O270" s="5">
        <f t="shared" si="17"/>
        <v>354.5</v>
      </c>
      <c r="P270" s="6">
        <f t="shared" si="16"/>
        <v>55</v>
      </c>
      <c r="Q270" s="5">
        <f t="shared" si="18"/>
        <v>888</v>
      </c>
      <c r="R270" s="5">
        <v>389</v>
      </c>
      <c r="S270" s="5">
        <v>769</v>
      </c>
      <c r="T270" s="5">
        <f t="shared" si="19"/>
        <v>-119</v>
      </c>
    </row>
    <row r="271" spans="1:20">
      <c r="A271" s="1" t="s">
        <v>998</v>
      </c>
      <c r="B271" s="1" t="s">
        <v>3198</v>
      </c>
      <c r="C271" s="4" t="s">
        <v>60</v>
      </c>
      <c r="D271" s="1" t="s">
        <v>999</v>
      </c>
      <c r="E271" s="4" t="s">
        <v>1000</v>
      </c>
      <c r="F271" s="84">
        <v>107</v>
      </c>
      <c r="G271" s="84">
        <v>94</v>
      </c>
      <c r="H271" s="84">
        <v>95</v>
      </c>
      <c r="I271" s="84">
        <v>67</v>
      </c>
      <c r="J271" s="84">
        <v>56</v>
      </c>
      <c r="K271" s="84">
        <v>65</v>
      </c>
      <c r="L271" s="84">
        <v>73</v>
      </c>
      <c r="M271" s="84">
        <v>60</v>
      </c>
      <c r="N271" s="84">
        <v>52</v>
      </c>
      <c r="O271" s="5">
        <f t="shared" si="17"/>
        <v>484</v>
      </c>
      <c r="P271" s="6">
        <f t="shared" si="16"/>
        <v>17</v>
      </c>
      <c r="Q271" s="5">
        <f t="shared" si="18"/>
        <v>314</v>
      </c>
      <c r="R271" s="5">
        <v>453.5</v>
      </c>
      <c r="S271" s="5">
        <v>446</v>
      </c>
      <c r="T271" s="5">
        <f t="shared" si="19"/>
        <v>132</v>
      </c>
    </row>
    <row r="272" spans="1:20">
      <c r="A272" s="1" t="s">
        <v>1001</v>
      </c>
      <c r="B272" s="1" t="s">
        <v>3198</v>
      </c>
      <c r="C272" s="4" t="s">
        <v>60</v>
      </c>
      <c r="D272" s="1" t="s">
        <v>1002</v>
      </c>
      <c r="E272" s="4" t="s">
        <v>1003</v>
      </c>
      <c r="F272" s="84">
        <v>95</v>
      </c>
      <c r="G272" s="84">
        <v>56</v>
      </c>
      <c r="H272" s="84">
        <v>84.5</v>
      </c>
      <c r="I272" s="84">
        <v>42</v>
      </c>
      <c r="J272" s="84">
        <v>41</v>
      </c>
      <c r="K272" s="84">
        <v>60</v>
      </c>
      <c r="L272" s="84">
        <v>58</v>
      </c>
      <c r="M272" s="84">
        <v>56</v>
      </c>
      <c r="N272" s="84">
        <v>45</v>
      </c>
      <c r="O272" s="5">
        <f t="shared" si="17"/>
        <v>378.5</v>
      </c>
      <c r="P272" s="6">
        <f t="shared" si="16"/>
        <v>51</v>
      </c>
      <c r="Q272" s="5">
        <f t="shared" si="18"/>
        <v>832</v>
      </c>
      <c r="R272" s="5">
        <v>336</v>
      </c>
      <c r="S272" s="5">
        <v>899</v>
      </c>
      <c r="T272" s="5">
        <f t="shared" si="19"/>
        <v>67</v>
      </c>
    </row>
    <row r="273" spans="1:20">
      <c r="A273" s="1" t="s">
        <v>1004</v>
      </c>
      <c r="B273" s="1" t="s">
        <v>3198</v>
      </c>
      <c r="C273" s="4" t="s">
        <v>60</v>
      </c>
      <c r="D273" s="1" t="s">
        <v>1005</v>
      </c>
      <c r="E273" s="4" t="s">
        <v>1006</v>
      </c>
      <c r="F273" s="84">
        <v>107</v>
      </c>
      <c r="G273" s="84">
        <v>82</v>
      </c>
      <c r="H273" s="84">
        <v>88.5</v>
      </c>
      <c r="I273" s="84">
        <v>36</v>
      </c>
      <c r="J273" s="84">
        <v>51</v>
      </c>
      <c r="K273" s="84">
        <v>65</v>
      </c>
      <c r="L273" s="84">
        <v>78</v>
      </c>
      <c r="M273" s="84">
        <v>51</v>
      </c>
      <c r="N273" s="84">
        <v>48</v>
      </c>
      <c r="O273" s="5">
        <f t="shared" si="17"/>
        <v>429.5</v>
      </c>
      <c r="P273" s="6">
        <f t="shared" si="16"/>
        <v>34</v>
      </c>
      <c r="Q273" s="5">
        <f t="shared" si="18"/>
        <v>626</v>
      </c>
      <c r="R273" s="5">
        <v>420.5</v>
      </c>
      <c r="S273" s="5">
        <v>639</v>
      </c>
      <c r="T273" s="5">
        <f t="shared" si="19"/>
        <v>13</v>
      </c>
    </row>
    <row r="274" spans="1:20">
      <c r="A274" s="1" t="s">
        <v>1007</v>
      </c>
      <c r="B274" s="1" t="s">
        <v>3198</v>
      </c>
      <c r="C274" s="4" t="s">
        <v>60</v>
      </c>
      <c r="D274" s="1" t="s">
        <v>1008</v>
      </c>
      <c r="E274" s="4" t="s">
        <v>1009</v>
      </c>
      <c r="F274" s="84">
        <v>109</v>
      </c>
      <c r="G274" s="84">
        <v>71</v>
      </c>
      <c r="H274" s="84">
        <v>106</v>
      </c>
      <c r="I274" s="84">
        <v>36</v>
      </c>
      <c r="J274" s="84">
        <v>31</v>
      </c>
      <c r="K274" s="84">
        <v>62</v>
      </c>
      <c r="L274" s="84">
        <v>72</v>
      </c>
      <c r="M274" s="84">
        <v>64</v>
      </c>
      <c r="N274" s="84">
        <v>57</v>
      </c>
      <c r="O274" s="5">
        <f t="shared" si="17"/>
        <v>415</v>
      </c>
      <c r="P274" s="6">
        <f t="shared" si="16"/>
        <v>39</v>
      </c>
      <c r="Q274" s="5">
        <f t="shared" si="18"/>
        <v>691</v>
      </c>
      <c r="R274" s="5">
        <v>388.5</v>
      </c>
      <c r="S274" s="5">
        <v>770</v>
      </c>
      <c r="T274" s="5">
        <f t="shared" si="19"/>
        <v>79</v>
      </c>
    </row>
    <row r="275" spans="1:20">
      <c r="A275" s="1" t="s">
        <v>1010</v>
      </c>
      <c r="B275" s="1" t="s">
        <v>3198</v>
      </c>
      <c r="C275" s="4" t="s">
        <v>60</v>
      </c>
      <c r="D275" s="1" t="s">
        <v>1011</v>
      </c>
      <c r="E275" s="4" t="s">
        <v>1012</v>
      </c>
      <c r="F275" s="84">
        <v>106</v>
      </c>
      <c r="G275" s="84">
        <v>87</v>
      </c>
      <c r="H275" s="84">
        <v>93</v>
      </c>
      <c r="I275" s="84">
        <v>53</v>
      </c>
      <c r="J275" s="84">
        <v>44</v>
      </c>
      <c r="K275" s="84">
        <v>69</v>
      </c>
      <c r="L275" s="84">
        <v>68</v>
      </c>
      <c r="M275" s="84">
        <v>69</v>
      </c>
      <c r="N275" s="84">
        <v>57</v>
      </c>
      <c r="O275" s="5">
        <f t="shared" si="17"/>
        <v>452</v>
      </c>
      <c r="P275" s="6">
        <f t="shared" si="16"/>
        <v>30</v>
      </c>
      <c r="Q275" s="5">
        <f t="shared" si="18"/>
        <v>503</v>
      </c>
      <c r="R275" s="5">
        <v>423.5</v>
      </c>
      <c r="S275" s="5">
        <v>616</v>
      </c>
      <c r="T275" s="5">
        <f t="shared" si="19"/>
        <v>113</v>
      </c>
    </row>
    <row r="276" spans="1:20">
      <c r="A276" s="1" t="s">
        <v>1013</v>
      </c>
      <c r="B276" s="1" t="s">
        <v>3198</v>
      </c>
      <c r="C276" s="4" t="s">
        <v>60</v>
      </c>
      <c r="D276" s="1" t="s">
        <v>1014</v>
      </c>
      <c r="E276" s="4" t="s">
        <v>1015</v>
      </c>
      <c r="F276" s="84">
        <v>116</v>
      </c>
      <c r="G276" s="84">
        <v>64</v>
      </c>
      <c r="H276" s="84">
        <v>97.5</v>
      </c>
      <c r="I276" s="84">
        <v>52</v>
      </c>
      <c r="J276" s="84">
        <v>62</v>
      </c>
      <c r="K276" s="84">
        <v>66</v>
      </c>
      <c r="L276" s="84">
        <v>82</v>
      </c>
      <c r="M276" s="84">
        <v>67</v>
      </c>
      <c r="N276" s="84">
        <v>49</v>
      </c>
      <c r="O276" s="5">
        <f t="shared" si="17"/>
        <v>457.5</v>
      </c>
      <c r="P276" s="6">
        <f t="shared" si="16"/>
        <v>27</v>
      </c>
      <c r="Q276" s="5">
        <f t="shared" si="18"/>
        <v>467</v>
      </c>
      <c r="R276" s="5">
        <v>438</v>
      </c>
      <c r="S276" s="5">
        <v>534</v>
      </c>
      <c r="T276" s="5">
        <f t="shared" si="19"/>
        <v>67</v>
      </c>
    </row>
    <row r="277" spans="1:20">
      <c r="A277" s="1" t="s">
        <v>1016</v>
      </c>
      <c r="B277" s="1" t="s">
        <v>3198</v>
      </c>
      <c r="C277" s="4" t="s">
        <v>60</v>
      </c>
      <c r="D277" s="1" t="s">
        <v>1017</v>
      </c>
      <c r="E277" s="4" t="s">
        <v>1018</v>
      </c>
      <c r="F277" s="84">
        <v>101</v>
      </c>
      <c r="G277" s="84">
        <v>60</v>
      </c>
      <c r="H277" s="84">
        <v>65.5</v>
      </c>
      <c r="I277" s="84">
        <v>61</v>
      </c>
      <c r="J277" s="84">
        <v>59</v>
      </c>
      <c r="K277" s="84">
        <v>68</v>
      </c>
      <c r="L277" s="84">
        <v>74</v>
      </c>
      <c r="M277" s="84">
        <v>49</v>
      </c>
      <c r="N277" s="84">
        <v>49</v>
      </c>
      <c r="O277" s="5">
        <f t="shared" si="17"/>
        <v>414.5</v>
      </c>
      <c r="P277" s="6">
        <f t="shared" si="16"/>
        <v>40</v>
      </c>
      <c r="Q277" s="5">
        <f t="shared" si="18"/>
        <v>694</v>
      </c>
      <c r="R277" s="5">
        <v>398.5</v>
      </c>
      <c r="S277" s="5">
        <v>737</v>
      </c>
      <c r="T277" s="5">
        <f t="shared" si="19"/>
        <v>43</v>
      </c>
    </row>
    <row r="278" spans="1:20">
      <c r="A278" s="1" t="s">
        <v>1019</v>
      </c>
      <c r="B278" s="1" t="s">
        <v>3198</v>
      </c>
      <c r="C278" s="4" t="s">
        <v>60</v>
      </c>
      <c r="D278" s="1" t="s">
        <v>1020</v>
      </c>
      <c r="E278" s="4" t="s">
        <v>1021</v>
      </c>
      <c r="F278" s="84">
        <v>98</v>
      </c>
      <c r="G278" s="84">
        <v>105</v>
      </c>
      <c r="H278" s="84">
        <v>73</v>
      </c>
      <c r="I278" s="84">
        <v>61</v>
      </c>
      <c r="J278" s="84">
        <v>57</v>
      </c>
      <c r="K278" s="84">
        <v>75</v>
      </c>
      <c r="L278" s="84">
        <v>69</v>
      </c>
      <c r="M278" s="84">
        <v>73</v>
      </c>
      <c r="N278" s="84">
        <v>54</v>
      </c>
      <c r="O278" s="5">
        <f t="shared" si="17"/>
        <v>469</v>
      </c>
      <c r="P278" s="6">
        <f t="shared" si="16"/>
        <v>21</v>
      </c>
      <c r="Q278" s="5">
        <f t="shared" si="18"/>
        <v>397</v>
      </c>
      <c r="R278" s="5">
        <v>461.5</v>
      </c>
      <c r="S278" s="5">
        <v>407</v>
      </c>
      <c r="T278" s="5">
        <f t="shared" si="19"/>
        <v>10</v>
      </c>
    </row>
    <row r="279" spans="1:20">
      <c r="A279" s="1" t="s">
        <v>1022</v>
      </c>
      <c r="B279" s="1" t="s">
        <v>3198</v>
      </c>
      <c r="C279" s="4" t="s">
        <v>60</v>
      </c>
      <c r="D279" s="1" t="s">
        <v>1023</v>
      </c>
      <c r="E279" s="4" t="s">
        <v>1024</v>
      </c>
      <c r="F279" s="84">
        <v>124</v>
      </c>
      <c r="G279" s="84">
        <v>109</v>
      </c>
      <c r="H279" s="84">
        <v>74.5</v>
      </c>
      <c r="I279" s="84">
        <v>78</v>
      </c>
      <c r="J279" s="84">
        <v>70</v>
      </c>
      <c r="K279" s="84">
        <v>75</v>
      </c>
      <c r="L279" s="84">
        <v>77</v>
      </c>
      <c r="M279" s="84">
        <v>63</v>
      </c>
      <c r="N279" s="84">
        <v>51</v>
      </c>
      <c r="O279" s="5">
        <f t="shared" si="17"/>
        <v>530.5</v>
      </c>
      <c r="P279" s="6">
        <f t="shared" si="16"/>
        <v>2</v>
      </c>
      <c r="Q279" s="5">
        <f t="shared" si="18"/>
        <v>134</v>
      </c>
      <c r="R279" s="5">
        <v>488</v>
      </c>
      <c r="S279" s="5">
        <v>269</v>
      </c>
      <c r="T279" s="5">
        <f t="shared" si="19"/>
        <v>135</v>
      </c>
    </row>
    <row r="280" spans="1:20">
      <c r="A280" s="1">
        <v>20181083</v>
      </c>
      <c r="B280" s="1" t="s">
        <v>3198</v>
      </c>
      <c r="C280" s="4" t="s">
        <v>60</v>
      </c>
      <c r="D280" s="1" t="s">
        <v>3266</v>
      </c>
      <c r="E280" s="4" t="s">
        <v>3249</v>
      </c>
      <c r="F280" s="84">
        <v>90</v>
      </c>
      <c r="G280" s="84">
        <v>37</v>
      </c>
      <c r="H280" s="84">
        <v>47</v>
      </c>
      <c r="I280" s="84">
        <v>73</v>
      </c>
      <c r="J280" s="84">
        <v>77</v>
      </c>
      <c r="K280" s="84">
        <v>78</v>
      </c>
      <c r="L280" s="84">
        <v>65</v>
      </c>
      <c r="M280" s="84">
        <v>65</v>
      </c>
      <c r="N280" s="84">
        <v>62</v>
      </c>
      <c r="O280" s="5">
        <f t="shared" si="17"/>
        <v>402</v>
      </c>
      <c r="P280" s="6">
        <f t="shared" si="16"/>
        <v>42</v>
      </c>
      <c r="Q280" s="5">
        <f t="shared" si="18"/>
        <v>760</v>
      </c>
      <c r="R280" s="5">
        <v>411.5</v>
      </c>
      <c r="S280" s="5">
        <v>674</v>
      </c>
      <c r="T280" s="5">
        <f t="shared" si="19"/>
        <v>-86</v>
      </c>
    </row>
    <row r="281" spans="1:20">
      <c r="A281" s="1" t="s">
        <v>1025</v>
      </c>
      <c r="B281" s="1" t="s">
        <v>3198</v>
      </c>
      <c r="C281" s="4" t="s">
        <v>68</v>
      </c>
      <c r="D281" s="1" t="s">
        <v>1026</v>
      </c>
      <c r="E281" s="4" t="s">
        <v>1027</v>
      </c>
      <c r="F281" s="84">
        <v>98</v>
      </c>
      <c r="G281" s="84">
        <v>27</v>
      </c>
      <c r="H281" s="84">
        <v>65.5</v>
      </c>
      <c r="I281" s="84">
        <v>36</v>
      </c>
      <c r="J281" s="84">
        <v>38</v>
      </c>
      <c r="K281" s="84">
        <v>62</v>
      </c>
      <c r="L281" s="84">
        <v>70</v>
      </c>
      <c r="M281" s="84">
        <v>66</v>
      </c>
      <c r="N281" s="84">
        <v>48</v>
      </c>
      <c r="O281" s="5">
        <f t="shared" si="17"/>
        <v>326.5</v>
      </c>
      <c r="P281" s="6">
        <f>RANK(O281,$O$281:$O$336)</f>
        <v>55</v>
      </c>
      <c r="Q281" s="5">
        <f t="shared" si="18"/>
        <v>914</v>
      </c>
      <c r="R281" s="5">
        <v>353</v>
      </c>
      <c r="S281" s="5">
        <v>873</v>
      </c>
      <c r="T281" s="5">
        <f t="shared" si="19"/>
        <v>-41</v>
      </c>
    </row>
    <row r="282" spans="1:20">
      <c r="A282" s="1" t="s">
        <v>1028</v>
      </c>
      <c r="B282" s="1" t="s">
        <v>3198</v>
      </c>
      <c r="C282" s="4" t="s">
        <v>68</v>
      </c>
      <c r="D282" s="1" t="s">
        <v>1029</v>
      </c>
      <c r="E282" s="4" t="s">
        <v>1030</v>
      </c>
      <c r="F282" s="84">
        <v>102</v>
      </c>
      <c r="G282" s="84">
        <v>95</v>
      </c>
      <c r="H282" s="84">
        <v>62.5</v>
      </c>
      <c r="I282" s="84">
        <v>68</v>
      </c>
      <c r="J282" s="84">
        <v>53</v>
      </c>
      <c r="K282" s="84">
        <v>72</v>
      </c>
      <c r="L282" s="84">
        <v>69</v>
      </c>
      <c r="M282" s="84">
        <v>80</v>
      </c>
      <c r="N282" s="84">
        <v>55</v>
      </c>
      <c r="O282" s="5">
        <f t="shared" si="17"/>
        <v>452.5</v>
      </c>
      <c r="P282" s="6">
        <f t="shared" ref="P282:P336" si="20">RANK(O282,$O$281:$O$336)</f>
        <v>27</v>
      </c>
      <c r="Q282" s="5">
        <f t="shared" si="18"/>
        <v>500</v>
      </c>
      <c r="R282" s="5">
        <v>443.5</v>
      </c>
      <c r="S282" s="5">
        <v>508</v>
      </c>
      <c r="T282" s="5">
        <f t="shared" si="19"/>
        <v>8</v>
      </c>
    </row>
    <row r="283" spans="1:20">
      <c r="A283" s="1" t="s">
        <v>1031</v>
      </c>
      <c r="B283" s="1" t="s">
        <v>3198</v>
      </c>
      <c r="C283" s="4" t="s">
        <v>68</v>
      </c>
      <c r="D283" s="1" t="s">
        <v>1032</v>
      </c>
      <c r="E283" s="4" t="s">
        <v>1033</v>
      </c>
      <c r="F283" s="84">
        <v>99</v>
      </c>
      <c r="G283" s="84">
        <v>73</v>
      </c>
      <c r="H283" s="84">
        <v>97</v>
      </c>
      <c r="I283" s="84">
        <v>53</v>
      </c>
      <c r="J283" s="84">
        <v>67</v>
      </c>
      <c r="K283" s="84">
        <v>60</v>
      </c>
      <c r="L283" s="84">
        <v>66</v>
      </c>
      <c r="M283" s="84">
        <v>71</v>
      </c>
      <c r="N283" s="84">
        <v>40</v>
      </c>
      <c r="O283" s="5">
        <f t="shared" si="17"/>
        <v>449</v>
      </c>
      <c r="P283" s="6">
        <f t="shared" si="20"/>
        <v>28</v>
      </c>
      <c r="Q283" s="5">
        <f t="shared" si="18"/>
        <v>522</v>
      </c>
      <c r="R283" s="5">
        <v>410.5</v>
      </c>
      <c r="S283" s="5">
        <v>681</v>
      </c>
      <c r="T283" s="5">
        <f t="shared" si="19"/>
        <v>159</v>
      </c>
    </row>
    <row r="284" spans="1:20">
      <c r="A284" s="1" t="s">
        <v>1034</v>
      </c>
      <c r="B284" s="1" t="s">
        <v>3198</v>
      </c>
      <c r="C284" s="4" t="s">
        <v>68</v>
      </c>
      <c r="D284" s="1" t="s">
        <v>1035</v>
      </c>
      <c r="E284" s="4" t="s">
        <v>186</v>
      </c>
      <c r="F284" s="84">
        <v>114</v>
      </c>
      <c r="G284" s="84">
        <v>99</v>
      </c>
      <c r="H284" s="84">
        <v>98</v>
      </c>
      <c r="I284" s="84">
        <v>82</v>
      </c>
      <c r="J284" s="84">
        <v>86</v>
      </c>
      <c r="K284" s="84">
        <v>86</v>
      </c>
      <c r="L284" s="84">
        <v>72</v>
      </c>
      <c r="M284" s="84">
        <v>74</v>
      </c>
      <c r="N284" s="84">
        <v>48</v>
      </c>
      <c r="O284" s="5">
        <f t="shared" si="17"/>
        <v>565</v>
      </c>
      <c r="P284" s="6">
        <f t="shared" si="20"/>
        <v>1</v>
      </c>
      <c r="Q284" s="5">
        <f t="shared" si="18"/>
        <v>50</v>
      </c>
      <c r="R284" s="5">
        <v>540.5</v>
      </c>
      <c r="S284" s="5">
        <v>85</v>
      </c>
      <c r="T284" s="5">
        <f t="shared" si="19"/>
        <v>35</v>
      </c>
    </row>
    <row r="285" spans="1:20">
      <c r="A285" s="1" t="s">
        <v>1036</v>
      </c>
      <c r="B285" s="1" t="s">
        <v>3198</v>
      </c>
      <c r="C285" s="4" t="s">
        <v>68</v>
      </c>
      <c r="D285" s="1" t="s">
        <v>1037</v>
      </c>
      <c r="E285" s="4" t="s">
        <v>69</v>
      </c>
      <c r="F285" s="84">
        <v>104</v>
      </c>
      <c r="G285" s="84">
        <v>128</v>
      </c>
      <c r="H285" s="84">
        <v>79.5</v>
      </c>
      <c r="I285" s="84">
        <v>100</v>
      </c>
      <c r="J285" s="84">
        <v>73</v>
      </c>
      <c r="K285" s="84">
        <v>77</v>
      </c>
      <c r="L285" s="84">
        <v>61</v>
      </c>
      <c r="M285" s="84">
        <v>72</v>
      </c>
      <c r="N285" s="84">
        <v>54</v>
      </c>
      <c r="O285" s="5">
        <f t="shared" si="17"/>
        <v>561.5</v>
      </c>
      <c r="P285" s="6">
        <f t="shared" si="20"/>
        <v>3</v>
      </c>
      <c r="Q285" s="5">
        <f t="shared" si="18"/>
        <v>65</v>
      </c>
      <c r="R285" s="5">
        <v>517</v>
      </c>
      <c r="S285" s="5">
        <v>146</v>
      </c>
      <c r="T285" s="5">
        <f t="shared" si="19"/>
        <v>81</v>
      </c>
    </row>
    <row r="286" spans="1:20">
      <c r="A286" s="1" t="s">
        <v>1038</v>
      </c>
      <c r="B286" s="1" t="s">
        <v>3198</v>
      </c>
      <c r="C286" s="4" t="s">
        <v>68</v>
      </c>
      <c r="D286" s="1" t="s">
        <v>1039</v>
      </c>
      <c r="E286" s="4" t="s">
        <v>1040</v>
      </c>
      <c r="F286" s="84">
        <v>101</v>
      </c>
      <c r="G286" s="84">
        <v>85</v>
      </c>
      <c r="H286" s="84">
        <v>87</v>
      </c>
      <c r="I286" s="84">
        <v>66</v>
      </c>
      <c r="J286" s="84">
        <v>58</v>
      </c>
      <c r="K286" s="84">
        <v>78</v>
      </c>
      <c r="L286" s="84">
        <v>89</v>
      </c>
      <c r="M286" s="84">
        <v>67</v>
      </c>
      <c r="N286" s="84">
        <v>63</v>
      </c>
      <c r="O286" s="5">
        <f t="shared" si="17"/>
        <v>475</v>
      </c>
      <c r="P286" s="6">
        <f t="shared" si="20"/>
        <v>21</v>
      </c>
      <c r="Q286" s="5">
        <f t="shared" si="18"/>
        <v>368</v>
      </c>
      <c r="R286" s="5">
        <v>502</v>
      </c>
      <c r="S286" s="5">
        <v>199</v>
      </c>
      <c r="T286" s="5">
        <f t="shared" si="19"/>
        <v>-169</v>
      </c>
    </row>
    <row r="287" spans="1:20">
      <c r="A287" s="1" t="s">
        <v>1041</v>
      </c>
      <c r="B287" s="1" t="s">
        <v>3198</v>
      </c>
      <c r="C287" s="4" t="s">
        <v>68</v>
      </c>
      <c r="D287" s="1" t="s">
        <v>1042</v>
      </c>
      <c r="E287" s="4" t="s">
        <v>1043</v>
      </c>
      <c r="F287" s="84">
        <v>90</v>
      </c>
      <c r="G287" s="84">
        <v>80</v>
      </c>
      <c r="H287" s="84">
        <v>84.5</v>
      </c>
      <c r="I287" s="84">
        <v>79</v>
      </c>
      <c r="J287" s="84">
        <v>40</v>
      </c>
      <c r="K287" s="84">
        <v>56</v>
      </c>
      <c r="L287" s="84">
        <v>50</v>
      </c>
      <c r="M287" s="84">
        <v>69</v>
      </c>
      <c r="N287" s="84">
        <v>57</v>
      </c>
      <c r="O287" s="5">
        <f t="shared" si="17"/>
        <v>429.5</v>
      </c>
      <c r="P287" s="6">
        <f t="shared" si="20"/>
        <v>36</v>
      </c>
      <c r="Q287" s="5">
        <f t="shared" si="18"/>
        <v>626</v>
      </c>
      <c r="R287" s="5">
        <v>451.5</v>
      </c>
      <c r="S287" s="5">
        <v>458</v>
      </c>
      <c r="T287" s="5">
        <f t="shared" si="19"/>
        <v>-168</v>
      </c>
    </row>
    <row r="288" spans="1:20">
      <c r="A288" s="1" t="s">
        <v>1628</v>
      </c>
      <c r="B288" s="1" t="s">
        <v>3198</v>
      </c>
      <c r="C288" s="4" t="s">
        <v>68</v>
      </c>
      <c r="D288" s="1" t="s">
        <v>1045</v>
      </c>
      <c r="E288" s="4" t="s">
        <v>1630</v>
      </c>
      <c r="F288" s="84">
        <v>108</v>
      </c>
      <c r="G288" s="84">
        <v>77</v>
      </c>
      <c r="H288" s="84">
        <v>86</v>
      </c>
      <c r="I288" s="84">
        <v>75</v>
      </c>
      <c r="J288" s="84">
        <v>57</v>
      </c>
      <c r="K288" s="84">
        <v>77</v>
      </c>
      <c r="L288" s="84">
        <v>79</v>
      </c>
      <c r="M288" s="84">
        <v>62</v>
      </c>
      <c r="N288" s="84">
        <v>63</v>
      </c>
      <c r="O288" s="5">
        <f t="shared" si="17"/>
        <v>480</v>
      </c>
      <c r="P288" s="6">
        <f t="shared" si="20"/>
        <v>20</v>
      </c>
      <c r="Q288" s="5">
        <f t="shared" si="18"/>
        <v>339</v>
      </c>
      <c r="R288" s="5">
        <v>495</v>
      </c>
      <c r="S288" s="5">
        <v>234</v>
      </c>
      <c r="T288" s="5">
        <f t="shared" si="19"/>
        <v>-105</v>
      </c>
    </row>
    <row r="289" spans="1:20">
      <c r="A289" s="1" t="s">
        <v>1047</v>
      </c>
      <c r="B289" s="1" t="s">
        <v>3198</v>
      </c>
      <c r="C289" s="4" t="s">
        <v>68</v>
      </c>
      <c r="D289" s="1" t="s">
        <v>1048</v>
      </c>
      <c r="E289" s="4" t="s">
        <v>208</v>
      </c>
      <c r="F289" s="84">
        <v>104</v>
      </c>
      <c r="G289" s="84">
        <v>114</v>
      </c>
      <c r="H289" s="84">
        <v>102</v>
      </c>
      <c r="I289" s="84">
        <v>65</v>
      </c>
      <c r="J289" s="84">
        <v>61</v>
      </c>
      <c r="K289" s="84">
        <v>79</v>
      </c>
      <c r="L289" s="84">
        <v>66</v>
      </c>
      <c r="M289" s="84">
        <v>71</v>
      </c>
      <c r="N289" s="84">
        <v>47</v>
      </c>
      <c r="O289" s="5">
        <f t="shared" si="17"/>
        <v>525</v>
      </c>
      <c r="P289" s="6">
        <f t="shared" si="20"/>
        <v>7</v>
      </c>
      <c r="Q289" s="5">
        <f t="shared" si="18"/>
        <v>151</v>
      </c>
      <c r="R289" s="5">
        <v>501.5</v>
      </c>
      <c r="S289" s="5">
        <v>204</v>
      </c>
      <c r="T289" s="5">
        <f t="shared" si="19"/>
        <v>53</v>
      </c>
    </row>
    <row r="290" spans="1:20">
      <c r="A290" s="1" t="s">
        <v>1049</v>
      </c>
      <c r="B290" s="1" t="s">
        <v>3198</v>
      </c>
      <c r="C290" s="4" t="s">
        <v>68</v>
      </c>
      <c r="D290" s="1" t="s">
        <v>1050</v>
      </c>
      <c r="E290" s="4" t="s">
        <v>1051</v>
      </c>
      <c r="F290" s="84">
        <v>107</v>
      </c>
      <c r="G290" s="84">
        <v>65</v>
      </c>
      <c r="H290" s="84">
        <v>75</v>
      </c>
      <c r="I290" s="84">
        <v>54</v>
      </c>
      <c r="J290" s="84">
        <v>50</v>
      </c>
      <c r="K290" s="84">
        <v>61</v>
      </c>
      <c r="L290" s="84">
        <v>66</v>
      </c>
      <c r="M290" s="84">
        <v>61</v>
      </c>
      <c r="N290" s="84">
        <v>57</v>
      </c>
      <c r="O290" s="5">
        <f t="shared" si="17"/>
        <v>412</v>
      </c>
      <c r="P290" s="6">
        <f t="shared" si="20"/>
        <v>42</v>
      </c>
      <c r="Q290" s="5">
        <f t="shared" si="18"/>
        <v>710</v>
      </c>
      <c r="R290" s="5">
        <v>371</v>
      </c>
      <c r="S290" s="5">
        <v>838</v>
      </c>
      <c r="T290" s="5">
        <f t="shared" si="19"/>
        <v>128</v>
      </c>
    </row>
    <row r="291" spans="1:20">
      <c r="A291" s="1" t="s">
        <v>1052</v>
      </c>
      <c r="B291" s="1" t="s">
        <v>3198</v>
      </c>
      <c r="C291" s="4" t="s">
        <v>68</v>
      </c>
      <c r="D291" s="1" t="s">
        <v>1053</v>
      </c>
      <c r="E291" s="4" t="s">
        <v>1054</v>
      </c>
      <c r="F291" s="84">
        <v>100</v>
      </c>
      <c r="G291" s="84">
        <v>75</v>
      </c>
      <c r="H291" s="84">
        <v>74</v>
      </c>
      <c r="I291" s="84">
        <v>39</v>
      </c>
      <c r="J291" s="84">
        <v>44</v>
      </c>
      <c r="K291" s="84">
        <v>78</v>
      </c>
      <c r="L291" s="84">
        <v>72</v>
      </c>
      <c r="M291" s="84">
        <v>63</v>
      </c>
      <c r="N291" s="84">
        <v>41</v>
      </c>
      <c r="O291" s="5">
        <f t="shared" si="17"/>
        <v>410</v>
      </c>
      <c r="P291" s="6">
        <f t="shared" si="20"/>
        <v>44</v>
      </c>
      <c r="Q291" s="5">
        <f t="shared" si="18"/>
        <v>722</v>
      </c>
      <c r="R291" s="5">
        <v>433.5</v>
      </c>
      <c r="S291" s="5">
        <v>554</v>
      </c>
      <c r="T291" s="5">
        <f t="shared" si="19"/>
        <v>-168</v>
      </c>
    </row>
    <row r="292" spans="1:20">
      <c r="A292" s="1" t="s">
        <v>1585</v>
      </c>
      <c r="B292" s="1" t="s">
        <v>3198</v>
      </c>
      <c r="C292" s="4" t="s">
        <v>68</v>
      </c>
      <c r="D292" s="1" t="s">
        <v>1056</v>
      </c>
      <c r="E292" s="4" t="s">
        <v>43</v>
      </c>
      <c r="F292" s="84">
        <v>115</v>
      </c>
      <c r="G292" s="84">
        <v>73</v>
      </c>
      <c r="H292" s="84">
        <v>107.5</v>
      </c>
      <c r="I292" s="84">
        <v>62</v>
      </c>
      <c r="J292" s="84">
        <v>64</v>
      </c>
      <c r="K292" s="84">
        <v>82</v>
      </c>
      <c r="L292" s="84">
        <v>68</v>
      </c>
      <c r="M292" s="84">
        <v>79</v>
      </c>
      <c r="N292" s="84">
        <v>56</v>
      </c>
      <c r="O292" s="5">
        <f t="shared" si="17"/>
        <v>503.5</v>
      </c>
      <c r="P292" s="6">
        <f t="shared" si="20"/>
        <v>11</v>
      </c>
      <c r="Q292" s="5">
        <f t="shared" si="18"/>
        <v>232</v>
      </c>
      <c r="R292" s="5">
        <v>505.5</v>
      </c>
      <c r="S292" s="5">
        <v>186</v>
      </c>
      <c r="T292" s="5">
        <f t="shared" si="19"/>
        <v>-46</v>
      </c>
    </row>
    <row r="293" spans="1:20">
      <c r="A293" s="1" t="s">
        <v>1058</v>
      </c>
      <c r="B293" s="1" t="s">
        <v>3198</v>
      </c>
      <c r="C293" s="4" t="s">
        <v>68</v>
      </c>
      <c r="D293" s="1" t="s">
        <v>1059</v>
      </c>
      <c r="E293" s="4" t="s">
        <v>1060</v>
      </c>
      <c r="F293" s="84">
        <v>119</v>
      </c>
      <c r="G293" s="84">
        <v>80</v>
      </c>
      <c r="H293" s="84">
        <v>98.5</v>
      </c>
      <c r="I293" s="84">
        <v>57</v>
      </c>
      <c r="J293" s="84">
        <v>62</v>
      </c>
      <c r="K293" s="84">
        <v>74</v>
      </c>
      <c r="L293" s="84">
        <v>60</v>
      </c>
      <c r="M293" s="84">
        <v>56</v>
      </c>
      <c r="N293" s="84">
        <v>48</v>
      </c>
      <c r="O293" s="5">
        <f t="shared" si="17"/>
        <v>490.5</v>
      </c>
      <c r="P293" s="6">
        <f t="shared" si="20"/>
        <v>14</v>
      </c>
      <c r="Q293" s="5">
        <f t="shared" si="18"/>
        <v>290</v>
      </c>
      <c r="R293" s="5">
        <v>459.5</v>
      </c>
      <c r="S293" s="5">
        <v>418</v>
      </c>
      <c r="T293" s="5">
        <f t="shared" si="19"/>
        <v>128</v>
      </c>
    </row>
    <row r="294" spans="1:20">
      <c r="A294" s="1" t="s">
        <v>1061</v>
      </c>
      <c r="B294" s="1" t="s">
        <v>3198</v>
      </c>
      <c r="C294" s="4" t="s">
        <v>68</v>
      </c>
      <c r="D294" s="1" t="s">
        <v>1062</v>
      </c>
      <c r="E294" s="4" t="s">
        <v>1063</v>
      </c>
      <c r="F294" s="84">
        <v>98</v>
      </c>
      <c r="G294" s="84">
        <v>66</v>
      </c>
      <c r="H294" s="84">
        <v>64</v>
      </c>
      <c r="I294" s="84">
        <v>60</v>
      </c>
      <c r="J294" s="84">
        <v>61</v>
      </c>
      <c r="K294" s="84">
        <v>64</v>
      </c>
      <c r="L294" s="84">
        <v>64</v>
      </c>
      <c r="M294" s="84">
        <v>62</v>
      </c>
      <c r="N294" s="84">
        <v>48</v>
      </c>
      <c r="O294" s="5">
        <f t="shared" si="17"/>
        <v>413</v>
      </c>
      <c r="P294" s="6">
        <f t="shared" si="20"/>
        <v>39</v>
      </c>
      <c r="Q294" s="5">
        <f t="shared" si="18"/>
        <v>704</v>
      </c>
      <c r="R294" s="5">
        <v>391.5</v>
      </c>
      <c r="S294" s="5">
        <v>763</v>
      </c>
      <c r="T294" s="5">
        <f t="shared" si="19"/>
        <v>59</v>
      </c>
    </row>
    <row r="295" spans="1:20">
      <c r="A295" s="1" t="s">
        <v>1064</v>
      </c>
      <c r="B295" s="1" t="s">
        <v>3198</v>
      </c>
      <c r="C295" s="4" t="s">
        <v>68</v>
      </c>
      <c r="D295" s="1" t="s">
        <v>1065</v>
      </c>
      <c r="E295" s="4" t="s">
        <v>1066</v>
      </c>
      <c r="F295" s="84">
        <v>97</v>
      </c>
      <c r="G295" s="84">
        <v>97</v>
      </c>
      <c r="H295" s="84">
        <v>89.5</v>
      </c>
      <c r="I295" s="84">
        <v>99</v>
      </c>
      <c r="J295" s="84">
        <v>75</v>
      </c>
      <c r="K295" s="84">
        <v>80</v>
      </c>
      <c r="L295" s="84">
        <v>69</v>
      </c>
      <c r="M295" s="84">
        <v>69</v>
      </c>
      <c r="N295" s="84">
        <v>55</v>
      </c>
      <c r="O295" s="5">
        <f t="shared" si="17"/>
        <v>537.5</v>
      </c>
      <c r="P295" s="6">
        <f t="shared" si="20"/>
        <v>4</v>
      </c>
      <c r="Q295" s="5">
        <f t="shared" si="18"/>
        <v>112</v>
      </c>
      <c r="R295" s="5">
        <v>497.5</v>
      </c>
      <c r="S295" s="5">
        <v>223</v>
      </c>
      <c r="T295" s="5">
        <f t="shared" si="19"/>
        <v>111</v>
      </c>
    </row>
    <row r="296" spans="1:20">
      <c r="A296" s="1" t="s">
        <v>1067</v>
      </c>
      <c r="B296" s="1" t="s">
        <v>3198</v>
      </c>
      <c r="C296" s="4" t="s">
        <v>68</v>
      </c>
      <c r="D296" s="1" t="s">
        <v>1068</v>
      </c>
      <c r="E296" s="4" t="s">
        <v>1069</v>
      </c>
      <c r="F296" s="84">
        <v>104</v>
      </c>
      <c r="G296" s="84">
        <v>73</v>
      </c>
      <c r="H296" s="84">
        <v>83</v>
      </c>
      <c r="I296" s="84">
        <v>51</v>
      </c>
      <c r="J296" s="84">
        <v>58</v>
      </c>
      <c r="K296" s="84">
        <v>73</v>
      </c>
      <c r="L296" s="84">
        <v>71</v>
      </c>
      <c r="M296" s="84">
        <v>62</v>
      </c>
      <c r="N296" s="84">
        <v>61</v>
      </c>
      <c r="O296" s="5">
        <f t="shared" si="17"/>
        <v>442</v>
      </c>
      <c r="P296" s="6">
        <f t="shared" si="20"/>
        <v>29</v>
      </c>
      <c r="Q296" s="5">
        <f t="shared" si="18"/>
        <v>561</v>
      </c>
      <c r="R296" s="5">
        <v>429.5</v>
      </c>
      <c r="S296" s="5">
        <v>578</v>
      </c>
      <c r="T296" s="5">
        <f t="shared" si="19"/>
        <v>17</v>
      </c>
    </row>
    <row r="297" spans="1:20">
      <c r="A297" s="1" t="s">
        <v>1070</v>
      </c>
      <c r="B297" s="1" t="s">
        <v>3198</v>
      </c>
      <c r="C297" s="4" t="s">
        <v>68</v>
      </c>
      <c r="D297" s="1" t="s">
        <v>1071</v>
      </c>
      <c r="E297" s="4" t="s">
        <v>1072</v>
      </c>
      <c r="F297" s="84">
        <v>102</v>
      </c>
      <c r="G297" s="84">
        <v>84</v>
      </c>
      <c r="H297" s="84">
        <v>75.5</v>
      </c>
      <c r="I297" s="84">
        <v>53</v>
      </c>
      <c r="J297" s="84">
        <v>46</v>
      </c>
      <c r="K297" s="84">
        <v>70</v>
      </c>
      <c r="L297" s="84">
        <v>73</v>
      </c>
      <c r="M297" s="84">
        <v>57</v>
      </c>
      <c r="N297" s="84">
        <v>41</v>
      </c>
      <c r="O297" s="5">
        <f t="shared" si="17"/>
        <v>430.5</v>
      </c>
      <c r="P297" s="6">
        <f t="shared" si="20"/>
        <v>35</v>
      </c>
      <c r="Q297" s="5">
        <f t="shared" si="18"/>
        <v>620</v>
      </c>
      <c r="R297" s="5">
        <v>425.5</v>
      </c>
      <c r="S297" s="5">
        <v>602</v>
      </c>
      <c r="T297" s="5">
        <f t="shared" si="19"/>
        <v>-18</v>
      </c>
    </row>
    <row r="298" spans="1:20">
      <c r="A298" s="1" t="s">
        <v>1073</v>
      </c>
      <c r="B298" s="1" t="s">
        <v>3198</v>
      </c>
      <c r="C298" s="4" t="s">
        <v>68</v>
      </c>
      <c r="D298" s="1" t="s">
        <v>1074</v>
      </c>
      <c r="E298" s="4" t="s">
        <v>1075</v>
      </c>
      <c r="F298" s="84">
        <v>94</v>
      </c>
      <c r="G298" s="84">
        <v>45</v>
      </c>
      <c r="H298" s="84">
        <v>85</v>
      </c>
      <c r="I298" s="84">
        <v>61</v>
      </c>
      <c r="J298" s="84">
        <v>41</v>
      </c>
      <c r="K298" s="84">
        <v>71</v>
      </c>
      <c r="L298" s="84">
        <v>75</v>
      </c>
      <c r="M298" s="84">
        <v>74</v>
      </c>
      <c r="N298" s="84">
        <v>52</v>
      </c>
      <c r="O298" s="5">
        <f t="shared" si="17"/>
        <v>397</v>
      </c>
      <c r="P298" s="6">
        <f t="shared" si="20"/>
        <v>48</v>
      </c>
      <c r="Q298" s="5">
        <f t="shared" si="18"/>
        <v>782</v>
      </c>
      <c r="R298" s="5">
        <v>393.5</v>
      </c>
      <c r="S298" s="5">
        <v>753</v>
      </c>
      <c r="T298" s="5">
        <f t="shared" si="19"/>
        <v>-29</v>
      </c>
    </row>
    <row r="299" spans="1:20">
      <c r="A299" s="1" t="s">
        <v>1076</v>
      </c>
      <c r="B299" s="1" t="s">
        <v>3198</v>
      </c>
      <c r="C299" s="4" t="s">
        <v>68</v>
      </c>
      <c r="D299" s="1" t="s">
        <v>1077</v>
      </c>
      <c r="E299" s="4" t="s">
        <v>1078</v>
      </c>
      <c r="F299" s="84">
        <v>105</v>
      </c>
      <c r="G299" s="84">
        <v>81</v>
      </c>
      <c r="H299" s="84">
        <v>90.5</v>
      </c>
      <c r="I299" s="84">
        <v>62</v>
      </c>
      <c r="J299" s="84">
        <v>59</v>
      </c>
      <c r="K299" s="84">
        <v>64</v>
      </c>
      <c r="L299" s="84">
        <v>69</v>
      </c>
      <c r="M299" s="84">
        <v>58</v>
      </c>
      <c r="N299" s="84">
        <v>54</v>
      </c>
      <c r="O299" s="5">
        <f t="shared" si="17"/>
        <v>461.5</v>
      </c>
      <c r="P299" s="6">
        <f t="shared" si="20"/>
        <v>24</v>
      </c>
      <c r="Q299" s="5">
        <f t="shared" si="18"/>
        <v>448</v>
      </c>
      <c r="R299" s="5">
        <v>446.5</v>
      </c>
      <c r="S299" s="5">
        <v>485</v>
      </c>
      <c r="T299" s="5">
        <f t="shared" si="19"/>
        <v>37</v>
      </c>
    </row>
    <row r="300" spans="1:20">
      <c r="A300" s="1" t="s">
        <v>1079</v>
      </c>
      <c r="B300" s="1" t="s">
        <v>3198</v>
      </c>
      <c r="C300" s="4" t="s">
        <v>68</v>
      </c>
      <c r="D300" s="1" t="s">
        <v>1080</v>
      </c>
      <c r="E300" s="4" t="s">
        <v>1081</v>
      </c>
      <c r="F300" s="84">
        <v>107</v>
      </c>
      <c r="G300" s="84">
        <v>77</v>
      </c>
      <c r="H300" s="84">
        <v>86</v>
      </c>
      <c r="I300" s="84">
        <v>73</v>
      </c>
      <c r="J300" s="84">
        <v>53</v>
      </c>
      <c r="K300" s="84">
        <v>70</v>
      </c>
      <c r="L300" s="84">
        <v>83</v>
      </c>
      <c r="M300" s="84">
        <v>76</v>
      </c>
      <c r="N300" s="84">
        <v>49</v>
      </c>
      <c r="O300" s="5">
        <f t="shared" si="17"/>
        <v>466</v>
      </c>
      <c r="P300" s="6">
        <f t="shared" si="20"/>
        <v>23</v>
      </c>
      <c r="Q300" s="5">
        <f t="shared" si="18"/>
        <v>416</v>
      </c>
      <c r="R300" s="5">
        <v>463</v>
      </c>
      <c r="S300" s="5">
        <v>398</v>
      </c>
      <c r="T300" s="5">
        <f t="shared" si="19"/>
        <v>-18</v>
      </c>
    </row>
    <row r="301" spans="1:20">
      <c r="A301" s="1" t="s">
        <v>1082</v>
      </c>
      <c r="B301" s="1" t="s">
        <v>3198</v>
      </c>
      <c r="C301" s="4" t="s">
        <v>68</v>
      </c>
      <c r="D301" s="1" t="s">
        <v>1083</v>
      </c>
      <c r="E301" s="4" t="s">
        <v>1084</v>
      </c>
      <c r="F301" s="84">
        <v>116</v>
      </c>
      <c r="G301" s="84">
        <v>77</v>
      </c>
      <c r="H301" s="84">
        <v>80</v>
      </c>
      <c r="I301" s="84">
        <v>44</v>
      </c>
      <c r="J301" s="84">
        <v>65</v>
      </c>
      <c r="K301" s="84">
        <v>59</v>
      </c>
      <c r="L301" s="84">
        <v>79</v>
      </c>
      <c r="M301" s="84">
        <v>77</v>
      </c>
      <c r="N301" s="84">
        <v>46</v>
      </c>
      <c r="O301" s="5">
        <f t="shared" si="17"/>
        <v>441</v>
      </c>
      <c r="P301" s="6">
        <f t="shared" si="20"/>
        <v>30</v>
      </c>
      <c r="Q301" s="5">
        <f t="shared" si="18"/>
        <v>565</v>
      </c>
      <c r="R301" s="5">
        <v>371.5</v>
      </c>
      <c r="S301" s="5">
        <v>834</v>
      </c>
      <c r="T301" s="5">
        <f t="shared" si="19"/>
        <v>269</v>
      </c>
    </row>
    <row r="302" spans="1:20">
      <c r="A302" s="1" t="s">
        <v>1085</v>
      </c>
      <c r="B302" s="1" t="s">
        <v>3198</v>
      </c>
      <c r="C302" s="4" t="s">
        <v>68</v>
      </c>
      <c r="D302" s="1" t="s">
        <v>1086</v>
      </c>
      <c r="E302" s="4" t="s">
        <v>1087</v>
      </c>
      <c r="F302" s="84">
        <v>98</v>
      </c>
      <c r="G302" s="84">
        <v>63</v>
      </c>
      <c r="H302" s="84">
        <v>90</v>
      </c>
      <c r="I302" s="84">
        <v>58</v>
      </c>
      <c r="J302" s="84">
        <v>47</v>
      </c>
      <c r="K302" s="84">
        <v>81</v>
      </c>
      <c r="L302" s="84">
        <v>69</v>
      </c>
      <c r="M302" s="84">
        <v>75</v>
      </c>
      <c r="N302" s="84">
        <v>52</v>
      </c>
      <c r="O302" s="5">
        <f t="shared" si="17"/>
        <v>437</v>
      </c>
      <c r="P302" s="6">
        <f t="shared" si="20"/>
        <v>33</v>
      </c>
      <c r="Q302" s="5">
        <f t="shared" si="18"/>
        <v>588</v>
      </c>
      <c r="R302" s="5">
        <v>429</v>
      </c>
      <c r="S302" s="5">
        <v>580</v>
      </c>
      <c r="T302" s="5">
        <f t="shared" si="19"/>
        <v>-8</v>
      </c>
    </row>
    <row r="303" spans="1:20">
      <c r="A303" s="1" t="s">
        <v>1088</v>
      </c>
      <c r="B303" s="1" t="s">
        <v>3198</v>
      </c>
      <c r="C303" s="4" t="s">
        <v>68</v>
      </c>
      <c r="D303" s="1" t="s">
        <v>1089</v>
      </c>
      <c r="E303" s="4" t="s">
        <v>1090</v>
      </c>
      <c r="F303" s="84">
        <v>100</v>
      </c>
      <c r="G303" s="84">
        <v>60</v>
      </c>
      <c r="H303" s="84">
        <v>71</v>
      </c>
      <c r="I303" s="84">
        <v>66</v>
      </c>
      <c r="J303" s="84">
        <v>53</v>
      </c>
      <c r="K303" s="84">
        <v>63</v>
      </c>
      <c r="L303" s="84">
        <v>67</v>
      </c>
      <c r="M303" s="84">
        <v>52</v>
      </c>
      <c r="N303" s="84">
        <v>52</v>
      </c>
      <c r="O303" s="5">
        <f t="shared" si="17"/>
        <v>413</v>
      </c>
      <c r="P303" s="6">
        <f t="shared" si="20"/>
        <v>39</v>
      </c>
      <c r="Q303" s="5">
        <f t="shared" si="18"/>
        <v>704</v>
      </c>
      <c r="R303" s="5">
        <v>376</v>
      </c>
      <c r="S303" s="5">
        <v>818</v>
      </c>
      <c r="T303" s="5">
        <f t="shared" si="19"/>
        <v>114</v>
      </c>
    </row>
    <row r="304" spans="1:20">
      <c r="A304" s="1" t="s">
        <v>1094</v>
      </c>
      <c r="B304" s="1" t="s">
        <v>3198</v>
      </c>
      <c r="C304" s="4" t="s">
        <v>68</v>
      </c>
      <c r="D304" s="1" t="s">
        <v>1095</v>
      </c>
      <c r="E304" s="4" t="s">
        <v>1096</v>
      </c>
      <c r="F304" s="84">
        <v>89</v>
      </c>
      <c r="G304" s="84">
        <v>94</v>
      </c>
      <c r="H304" s="84">
        <v>104</v>
      </c>
      <c r="I304" s="84">
        <v>83</v>
      </c>
      <c r="J304" s="84">
        <v>70</v>
      </c>
      <c r="K304" s="84">
        <v>68</v>
      </c>
      <c r="L304" s="84">
        <v>54</v>
      </c>
      <c r="M304" s="84">
        <v>56</v>
      </c>
      <c r="N304" s="84">
        <v>50</v>
      </c>
      <c r="O304" s="5">
        <f t="shared" si="17"/>
        <v>508</v>
      </c>
      <c r="P304" s="6">
        <f t="shared" si="20"/>
        <v>10</v>
      </c>
      <c r="Q304" s="5">
        <f t="shared" si="18"/>
        <v>213</v>
      </c>
      <c r="R304" s="5">
        <v>481.5</v>
      </c>
      <c r="S304" s="5">
        <v>298</v>
      </c>
      <c r="T304" s="5">
        <f t="shared" si="19"/>
        <v>85</v>
      </c>
    </row>
    <row r="305" spans="1:20">
      <c r="A305" s="1" t="s">
        <v>1097</v>
      </c>
      <c r="B305" s="1" t="s">
        <v>3198</v>
      </c>
      <c r="C305" s="4" t="s">
        <v>68</v>
      </c>
      <c r="D305" s="1" t="s">
        <v>1098</v>
      </c>
      <c r="E305" s="4" t="s">
        <v>1099</v>
      </c>
      <c r="F305" s="84">
        <v>101</v>
      </c>
      <c r="G305" s="84">
        <v>72</v>
      </c>
      <c r="H305" s="84">
        <v>84.5</v>
      </c>
      <c r="I305" s="84">
        <v>68</v>
      </c>
      <c r="J305" s="84">
        <v>56</v>
      </c>
      <c r="K305" s="84">
        <v>56</v>
      </c>
      <c r="L305" s="84">
        <v>88</v>
      </c>
      <c r="M305" s="84">
        <v>61</v>
      </c>
      <c r="N305" s="84">
        <v>34</v>
      </c>
      <c r="O305" s="5">
        <f t="shared" si="17"/>
        <v>437.5</v>
      </c>
      <c r="P305" s="6">
        <f t="shared" si="20"/>
        <v>32</v>
      </c>
      <c r="Q305" s="5">
        <f t="shared" si="18"/>
        <v>584</v>
      </c>
      <c r="R305" s="5">
        <v>436</v>
      </c>
      <c r="S305" s="5">
        <v>541</v>
      </c>
      <c r="T305" s="5">
        <f t="shared" si="19"/>
        <v>-43</v>
      </c>
    </row>
    <row r="306" spans="1:20">
      <c r="A306" s="1" t="s">
        <v>1100</v>
      </c>
      <c r="B306" s="1" t="s">
        <v>3198</v>
      </c>
      <c r="C306" s="4" t="s">
        <v>68</v>
      </c>
      <c r="D306" s="1" t="s">
        <v>1101</v>
      </c>
      <c r="E306" s="4" t="s">
        <v>1102</v>
      </c>
      <c r="F306" s="84">
        <v>98</v>
      </c>
      <c r="G306" s="84">
        <v>81</v>
      </c>
      <c r="H306" s="84">
        <v>83</v>
      </c>
      <c r="I306" s="84">
        <v>89</v>
      </c>
      <c r="J306" s="84">
        <v>64</v>
      </c>
      <c r="K306" s="84">
        <v>69</v>
      </c>
      <c r="L306" s="84">
        <v>26</v>
      </c>
      <c r="M306" s="84">
        <v>47</v>
      </c>
      <c r="N306" s="84">
        <v>30</v>
      </c>
      <c r="O306" s="5">
        <f t="shared" si="17"/>
        <v>484</v>
      </c>
      <c r="P306" s="6">
        <f t="shared" si="20"/>
        <v>15</v>
      </c>
      <c r="Q306" s="5">
        <f t="shared" si="18"/>
        <v>314</v>
      </c>
      <c r="R306" s="5">
        <v>460</v>
      </c>
      <c r="S306" s="5">
        <v>414</v>
      </c>
      <c r="T306" s="5">
        <f t="shared" si="19"/>
        <v>100</v>
      </c>
    </row>
    <row r="307" spans="1:20">
      <c r="A307" s="1" t="s">
        <v>1103</v>
      </c>
      <c r="B307" s="1" t="s">
        <v>3198</v>
      </c>
      <c r="C307" s="4" t="s">
        <v>68</v>
      </c>
      <c r="D307" s="1" t="s">
        <v>1104</v>
      </c>
      <c r="E307" s="4" t="s">
        <v>1105</v>
      </c>
      <c r="F307" s="84">
        <v>109</v>
      </c>
      <c r="G307" s="84">
        <v>83</v>
      </c>
      <c r="H307" s="84">
        <v>80.5</v>
      </c>
      <c r="I307" s="84">
        <v>66</v>
      </c>
      <c r="J307" s="84">
        <v>69</v>
      </c>
      <c r="K307" s="84">
        <v>88</v>
      </c>
      <c r="L307" s="84">
        <v>74</v>
      </c>
      <c r="M307" s="84">
        <v>73</v>
      </c>
      <c r="N307" s="84">
        <v>54</v>
      </c>
      <c r="O307" s="5">
        <f t="shared" si="17"/>
        <v>495.5</v>
      </c>
      <c r="P307" s="6">
        <f t="shared" si="20"/>
        <v>12</v>
      </c>
      <c r="Q307" s="5">
        <f t="shared" si="18"/>
        <v>265</v>
      </c>
      <c r="R307" s="5">
        <v>487</v>
      </c>
      <c r="S307" s="5">
        <v>275</v>
      </c>
      <c r="T307" s="5">
        <f t="shared" si="19"/>
        <v>10</v>
      </c>
    </row>
    <row r="308" spans="1:20">
      <c r="A308" s="1" t="s">
        <v>1106</v>
      </c>
      <c r="B308" s="1" t="s">
        <v>3198</v>
      </c>
      <c r="C308" s="4" t="s">
        <v>68</v>
      </c>
      <c r="D308" s="1" t="s">
        <v>1107</v>
      </c>
      <c r="E308" s="4" t="s">
        <v>1108</v>
      </c>
      <c r="F308" s="84">
        <v>107</v>
      </c>
      <c r="G308" s="84">
        <v>55</v>
      </c>
      <c r="H308" s="84">
        <v>79.5</v>
      </c>
      <c r="I308" s="84">
        <v>74</v>
      </c>
      <c r="J308" s="84">
        <v>51</v>
      </c>
      <c r="K308" s="84">
        <v>46</v>
      </c>
      <c r="L308" s="84">
        <v>68</v>
      </c>
      <c r="M308" s="84">
        <v>57</v>
      </c>
      <c r="N308" s="84">
        <v>43</v>
      </c>
      <c r="O308" s="5">
        <f t="shared" si="17"/>
        <v>412.5</v>
      </c>
      <c r="P308" s="6">
        <f t="shared" si="20"/>
        <v>41</v>
      </c>
      <c r="Q308" s="5">
        <f t="shared" si="18"/>
        <v>708</v>
      </c>
      <c r="R308" s="5">
        <v>361.5</v>
      </c>
      <c r="S308" s="5">
        <v>858</v>
      </c>
      <c r="T308" s="5">
        <f t="shared" si="19"/>
        <v>150</v>
      </c>
    </row>
    <row r="309" spans="1:20">
      <c r="A309" s="1" t="s">
        <v>1657</v>
      </c>
      <c r="B309" s="1" t="s">
        <v>3198</v>
      </c>
      <c r="C309" s="4" t="s">
        <v>68</v>
      </c>
      <c r="D309" s="1" t="s">
        <v>1110</v>
      </c>
      <c r="E309" s="4" t="s">
        <v>1659</v>
      </c>
      <c r="F309" s="84">
        <v>86</v>
      </c>
      <c r="G309" s="84">
        <v>86</v>
      </c>
      <c r="H309" s="84">
        <v>99</v>
      </c>
      <c r="I309" s="84">
        <v>82</v>
      </c>
      <c r="J309" s="84">
        <v>59</v>
      </c>
      <c r="K309" s="84">
        <v>72</v>
      </c>
      <c r="L309" s="84">
        <v>60</v>
      </c>
      <c r="M309" s="84">
        <v>56</v>
      </c>
      <c r="N309" s="84">
        <v>46</v>
      </c>
      <c r="O309" s="5">
        <f t="shared" si="17"/>
        <v>484</v>
      </c>
      <c r="P309" s="6">
        <f t="shared" si="20"/>
        <v>15</v>
      </c>
      <c r="Q309" s="5">
        <f t="shared" si="18"/>
        <v>314</v>
      </c>
      <c r="R309" s="5">
        <v>457.5</v>
      </c>
      <c r="S309" s="5">
        <v>424</v>
      </c>
      <c r="T309" s="5">
        <f t="shared" si="19"/>
        <v>110</v>
      </c>
    </row>
    <row r="310" spans="1:20">
      <c r="A310" s="1" t="s">
        <v>1111</v>
      </c>
      <c r="B310" s="1" t="s">
        <v>3198</v>
      </c>
      <c r="C310" s="4" t="s">
        <v>68</v>
      </c>
      <c r="D310" s="1" t="s">
        <v>1112</v>
      </c>
      <c r="E310" s="4" t="s">
        <v>1113</v>
      </c>
      <c r="F310" s="84">
        <v>107</v>
      </c>
      <c r="G310" s="84">
        <v>101</v>
      </c>
      <c r="H310" s="84">
        <v>117.5</v>
      </c>
      <c r="I310" s="84">
        <v>55</v>
      </c>
      <c r="J310" s="84">
        <v>60</v>
      </c>
      <c r="K310" s="84">
        <v>84</v>
      </c>
      <c r="L310" s="84">
        <v>79</v>
      </c>
      <c r="M310" s="84">
        <v>68</v>
      </c>
      <c r="N310" s="84">
        <v>57</v>
      </c>
      <c r="O310" s="5">
        <f t="shared" si="17"/>
        <v>524.5</v>
      </c>
      <c r="P310" s="6">
        <f t="shared" si="20"/>
        <v>8</v>
      </c>
      <c r="Q310" s="5">
        <f t="shared" si="18"/>
        <v>153</v>
      </c>
      <c r="R310" s="5">
        <v>492</v>
      </c>
      <c r="S310" s="5">
        <v>253</v>
      </c>
      <c r="T310" s="5">
        <f t="shared" si="19"/>
        <v>100</v>
      </c>
    </row>
    <row r="311" spans="1:20">
      <c r="A311" s="1" t="s">
        <v>1681</v>
      </c>
      <c r="B311" s="1" t="s">
        <v>3198</v>
      </c>
      <c r="C311" s="4" t="s">
        <v>68</v>
      </c>
      <c r="D311" s="1" t="s">
        <v>1115</v>
      </c>
      <c r="E311" s="4" t="s">
        <v>1683</v>
      </c>
      <c r="F311" s="84">
        <v>107</v>
      </c>
      <c r="G311" s="84">
        <v>107</v>
      </c>
      <c r="H311" s="84">
        <v>114</v>
      </c>
      <c r="I311" s="84">
        <v>91</v>
      </c>
      <c r="J311" s="84">
        <v>66</v>
      </c>
      <c r="K311" s="84">
        <v>77</v>
      </c>
      <c r="L311" s="84">
        <v>77</v>
      </c>
      <c r="M311" s="84">
        <v>73</v>
      </c>
      <c r="N311" s="84">
        <v>59</v>
      </c>
      <c r="O311" s="5">
        <f t="shared" si="17"/>
        <v>562</v>
      </c>
      <c r="P311" s="6">
        <f t="shared" si="20"/>
        <v>2</v>
      </c>
      <c r="Q311" s="5">
        <f t="shared" si="18"/>
        <v>62</v>
      </c>
      <c r="R311" s="5">
        <v>524.5</v>
      </c>
      <c r="S311" s="5">
        <v>122</v>
      </c>
      <c r="T311" s="5">
        <f t="shared" si="19"/>
        <v>60</v>
      </c>
    </row>
    <row r="312" spans="1:20">
      <c r="A312" s="1" t="s">
        <v>1116</v>
      </c>
      <c r="B312" s="1" t="s">
        <v>3198</v>
      </c>
      <c r="C312" s="4" t="s">
        <v>68</v>
      </c>
      <c r="D312" s="1" t="s">
        <v>1117</v>
      </c>
      <c r="E312" s="4" t="s">
        <v>1118</v>
      </c>
      <c r="F312" s="84">
        <v>105</v>
      </c>
      <c r="G312" s="84">
        <v>70</v>
      </c>
      <c r="H312" s="84">
        <v>61.5</v>
      </c>
      <c r="I312" s="84">
        <v>49</v>
      </c>
      <c r="J312" s="84">
        <v>46</v>
      </c>
      <c r="K312" s="84">
        <v>75</v>
      </c>
      <c r="L312" s="84">
        <v>73</v>
      </c>
      <c r="M312" s="84">
        <v>70</v>
      </c>
      <c r="N312" s="84">
        <v>52</v>
      </c>
      <c r="O312" s="5">
        <f t="shared" si="17"/>
        <v>406.5</v>
      </c>
      <c r="P312" s="6">
        <f t="shared" si="20"/>
        <v>46</v>
      </c>
      <c r="Q312" s="5">
        <f t="shared" si="18"/>
        <v>740</v>
      </c>
      <c r="R312" s="5">
        <v>447.5</v>
      </c>
      <c r="S312" s="5">
        <v>482</v>
      </c>
      <c r="T312" s="5">
        <f t="shared" si="19"/>
        <v>-258</v>
      </c>
    </row>
    <row r="313" spans="1:20">
      <c r="A313" s="1" t="s">
        <v>1119</v>
      </c>
      <c r="B313" s="1" t="s">
        <v>3198</v>
      </c>
      <c r="C313" s="4" t="s">
        <v>68</v>
      </c>
      <c r="D313" s="1" t="s">
        <v>1120</v>
      </c>
      <c r="E313" s="4" t="s">
        <v>1121</v>
      </c>
      <c r="F313" s="84">
        <v>108</v>
      </c>
      <c r="G313" s="84">
        <v>73</v>
      </c>
      <c r="H313" s="84">
        <v>105.5</v>
      </c>
      <c r="I313" s="84">
        <v>80</v>
      </c>
      <c r="J313" s="84">
        <v>52</v>
      </c>
      <c r="K313" s="84">
        <v>63</v>
      </c>
      <c r="L313" s="84">
        <v>74</v>
      </c>
      <c r="M313" s="84">
        <v>71</v>
      </c>
      <c r="N313" s="84">
        <v>52</v>
      </c>
      <c r="O313" s="5">
        <f t="shared" si="17"/>
        <v>481.5</v>
      </c>
      <c r="P313" s="6">
        <f t="shared" si="20"/>
        <v>18</v>
      </c>
      <c r="Q313" s="5">
        <f t="shared" si="18"/>
        <v>329</v>
      </c>
      <c r="R313" s="5">
        <v>435</v>
      </c>
      <c r="S313" s="5">
        <v>544</v>
      </c>
      <c r="T313" s="5">
        <f t="shared" si="19"/>
        <v>215</v>
      </c>
    </row>
    <row r="314" spans="1:20">
      <c r="A314" s="1" t="s">
        <v>1122</v>
      </c>
      <c r="B314" s="1" t="s">
        <v>3198</v>
      </c>
      <c r="C314" s="4" t="s">
        <v>68</v>
      </c>
      <c r="D314" s="1" t="s">
        <v>1123</v>
      </c>
      <c r="E314" s="4" t="s">
        <v>1124</v>
      </c>
      <c r="F314" s="84">
        <v>93</v>
      </c>
      <c r="G314" s="84">
        <v>55</v>
      </c>
      <c r="H314" s="84">
        <v>79.5</v>
      </c>
      <c r="I314" s="84">
        <v>38</v>
      </c>
      <c r="J314" s="84">
        <v>33</v>
      </c>
      <c r="K314" s="84">
        <v>46</v>
      </c>
      <c r="L314" s="84">
        <v>67</v>
      </c>
      <c r="M314" s="84">
        <v>63</v>
      </c>
      <c r="N314" s="84">
        <v>44</v>
      </c>
      <c r="O314" s="5">
        <f t="shared" si="17"/>
        <v>344.5</v>
      </c>
      <c r="P314" s="6">
        <f t="shared" si="20"/>
        <v>54</v>
      </c>
      <c r="Q314" s="5">
        <f t="shared" si="18"/>
        <v>900</v>
      </c>
      <c r="R314" s="5">
        <v>322</v>
      </c>
      <c r="S314" s="5">
        <v>913</v>
      </c>
      <c r="T314" s="5">
        <f t="shared" si="19"/>
        <v>13</v>
      </c>
    </row>
    <row r="315" spans="1:20">
      <c r="A315" s="1" t="s">
        <v>1125</v>
      </c>
      <c r="B315" s="1" t="s">
        <v>3198</v>
      </c>
      <c r="C315" s="4" t="s">
        <v>68</v>
      </c>
      <c r="D315" s="1" t="s">
        <v>1126</v>
      </c>
      <c r="E315" s="4" t="s">
        <v>1127</v>
      </c>
      <c r="F315" s="84">
        <v>98</v>
      </c>
      <c r="G315" s="84">
        <v>84</v>
      </c>
      <c r="H315" s="84">
        <v>82.5</v>
      </c>
      <c r="I315" s="84">
        <v>55</v>
      </c>
      <c r="J315" s="84">
        <v>47</v>
      </c>
      <c r="K315" s="84">
        <v>63</v>
      </c>
      <c r="L315" s="84">
        <v>58</v>
      </c>
      <c r="M315" s="84">
        <v>58</v>
      </c>
      <c r="N315" s="84">
        <v>49</v>
      </c>
      <c r="O315" s="5">
        <f t="shared" si="17"/>
        <v>429.5</v>
      </c>
      <c r="P315" s="6">
        <f t="shared" si="20"/>
        <v>36</v>
      </c>
      <c r="Q315" s="5">
        <f t="shared" si="18"/>
        <v>626</v>
      </c>
      <c r="R315" s="5">
        <v>423</v>
      </c>
      <c r="S315" s="5">
        <v>618</v>
      </c>
      <c r="T315" s="5">
        <f t="shared" si="19"/>
        <v>-8</v>
      </c>
    </row>
    <row r="316" spans="1:20">
      <c r="A316" s="1" t="s">
        <v>1128</v>
      </c>
      <c r="B316" s="1" t="s">
        <v>3198</v>
      </c>
      <c r="C316" s="4" t="s">
        <v>68</v>
      </c>
      <c r="D316" s="1" t="s">
        <v>1129</v>
      </c>
      <c r="E316" s="4" t="s">
        <v>1130</v>
      </c>
      <c r="F316" s="84">
        <v>103</v>
      </c>
      <c r="G316" s="84">
        <v>90</v>
      </c>
      <c r="H316" s="84">
        <v>102.5</v>
      </c>
      <c r="I316" s="84">
        <v>73</v>
      </c>
      <c r="J316" s="84">
        <v>74</v>
      </c>
      <c r="K316" s="84">
        <v>83</v>
      </c>
      <c r="L316" s="84">
        <v>79</v>
      </c>
      <c r="M316" s="84">
        <v>81</v>
      </c>
      <c r="N316" s="84">
        <v>58</v>
      </c>
      <c r="O316" s="5">
        <f t="shared" si="17"/>
        <v>525.5</v>
      </c>
      <c r="P316" s="6">
        <f t="shared" si="20"/>
        <v>6</v>
      </c>
      <c r="Q316" s="5">
        <f t="shared" si="18"/>
        <v>149</v>
      </c>
      <c r="R316" s="5">
        <v>498.5</v>
      </c>
      <c r="S316" s="5">
        <v>217</v>
      </c>
      <c r="T316" s="5">
        <f t="shared" si="19"/>
        <v>68</v>
      </c>
    </row>
    <row r="317" spans="1:20">
      <c r="A317" s="1" t="s">
        <v>1131</v>
      </c>
      <c r="B317" s="1" t="s">
        <v>3198</v>
      </c>
      <c r="C317" s="4" t="s">
        <v>68</v>
      </c>
      <c r="D317" s="1" t="s">
        <v>1132</v>
      </c>
      <c r="E317" s="4" t="s">
        <v>1133</v>
      </c>
      <c r="F317" s="84">
        <v>87</v>
      </c>
      <c r="G317" s="84">
        <v>67</v>
      </c>
      <c r="H317" s="84">
        <v>68</v>
      </c>
      <c r="I317" s="84">
        <v>63</v>
      </c>
      <c r="J317" s="84">
        <v>35</v>
      </c>
      <c r="K317" s="84">
        <v>51</v>
      </c>
      <c r="L317" s="84">
        <v>44</v>
      </c>
      <c r="M317" s="84">
        <v>54</v>
      </c>
      <c r="N317" s="84">
        <v>50</v>
      </c>
      <c r="O317" s="5">
        <f t="shared" si="17"/>
        <v>371</v>
      </c>
      <c r="P317" s="6">
        <f t="shared" si="20"/>
        <v>51</v>
      </c>
      <c r="Q317" s="5">
        <f t="shared" si="18"/>
        <v>857</v>
      </c>
      <c r="R317" s="5">
        <v>325.5</v>
      </c>
      <c r="S317" s="5">
        <v>909</v>
      </c>
      <c r="T317" s="5">
        <f t="shared" si="19"/>
        <v>52</v>
      </c>
    </row>
    <row r="318" spans="1:20">
      <c r="A318" s="1" t="s">
        <v>1134</v>
      </c>
      <c r="B318" s="1" t="s">
        <v>3198</v>
      </c>
      <c r="C318" s="4" t="s">
        <v>68</v>
      </c>
      <c r="D318" s="1" t="s">
        <v>1135</v>
      </c>
      <c r="E318" s="4" t="s">
        <v>1136</v>
      </c>
      <c r="F318" s="84">
        <v>116</v>
      </c>
      <c r="G318" s="84">
        <v>85</v>
      </c>
      <c r="H318" s="84">
        <v>88</v>
      </c>
      <c r="I318" s="84">
        <v>67</v>
      </c>
      <c r="J318" s="84">
        <v>57</v>
      </c>
      <c r="K318" s="84">
        <v>71</v>
      </c>
      <c r="L318" s="84">
        <v>76</v>
      </c>
      <c r="M318" s="84">
        <v>76</v>
      </c>
      <c r="N318" s="84">
        <v>59</v>
      </c>
      <c r="O318" s="5">
        <f t="shared" si="17"/>
        <v>484</v>
      </c>
      <c r="P318" s="6">
        <f t="shared" si="20"/>
        <v>15</v>
      </c>
      <c r="Q318" s="5">
        <f t="shared" si="18"/>
        <v>314</v>
      </c>
      <c r="R318" s="5">
        <v>484</v>
      </c>
      <c r="S318" s="5">
        <v>289</v>
      </c>
      <c r="T318" s="5">
        <f t="shared" si="19"/>
        <v>-25</v>
      </c>
    </row>
    <row r="319" spans="1:20">
      <c r="A319" s="1" t="s">
        <v>1137</v>
      </c>
      <c r="B319" s="1" t="s">
        <v>3198</v>
      </c>
      <c r="C319" s="4" t="s">
        <v>68</v>
      </c>
      <c r="D319" s="1" t="s">
        <v>1138</v>
      </c>
      <c r="E319" s="4" t="s">
        <v>1139</v>
      </c>
      <c r="F319" s="84">
        <v>114</v>
      </c>
      <c r="G319" s="84">
        <v>60</v>
      </c>
      <c r="H319" s="84">
        <v>98.5</v>
      </c>
      <c r="I319" s="84">
        <v>54</v>
      </c>
      <c r="J319" s="84">
        <v>58</v>
      </c>
      <c r="K319" s="84">
        <v>73</v>
      </c>
      <c r="L319" s="84">
        <v>70</v>
      </c>
      <c r="M319" s="84">
        <v>60</v>
      </c>
      <c r="N319" s="84">
        <v>45</v>
      </c>
      <c r="O319" s="5">
        <f t="shared" si="17"/>
        <v>457.5</v>
      </c>
      <c r="P319" s="6">
        <f t="shared" si="20"/>
        <v>25</v>
      </c>
      <c r="Q319" s="5">
        <f t="shared" si="18"/>
        <v>467</v>
      </c>
      <c r="R319" s="5">
        <v>445.5</v>
      </c>
      <c r="S319" s="5">
        <v>495</v>
      </c>
      <c r="T319" s="5">
        <f t="shared" si="19"/>
        <v>28</v>
      </c>
    </row>
    <row r="320" spans="1:20">
      <c r="A320" s="1" t="s">
        <v>1140</v>
      </c>
      <c r="B320" s="1" t="s">
        <v>3198</v>
      </c>
      <c r="C320" s="4" t="s">
        <v>68</v>
      </c>
      <c r="D320" s="1" t="s">
        <v>1141</v>
      </c>
      <c r="E320" s="4" t="s">
        <v>1142</v>
      </c>
      <c r="F320" s="84">
        <v>92</v>
      </c>
      <c r="G320" s="84">
        <v>73</v>
      </c>
      <c r="H320" s="84">
        <v>66.5</v>
      </c>
      <c r="I320" s="84">
        <v>48</v>
      </c>
      <c r="J320" s="84">
        <v>60</v>
      </c>
      <c r="K320" s="84">
        <v>47</v>
      </c>
      <c r="L320" s="84">
        <v>66</v>
      </c>
      <c r="M320" s="84">
        <v>57</v>
      </c>
      <c r="N320" s="84">
        <v>48</v>
      </c>
      <c r="O320" s="5">
        <f t="shared" si="17"/>
        <v>386.5</v>
      </c>
      <c r="P320" s="6">
        <f t="shared" si="20"/>
        <v>49</v>
      </c>
      <c r="Q320" s="5">
        <f t="shared" si="18"/>
        <v>815</v>
      </c>
      <c r="R320" s="5">
        <v>381.5</v>
      </c>
      <c r="S320" s="5">
        <v>800</v>
      </c>
      <c r="T320" s="5">
        <f t="shared" si="19"/>
        <v>-15</v>
      </c>
    </row>
    <row r="321" spans="1:20">
      <c r="A321" s="1" t="s">
        <v>1706</v>
      </c>
      <c r="B321" s="1" t="s">
        <v>3198</v>
      </c>
      <c r="C321" s="4" t="s">
        <v>68</v>
      </c>
      <c r="D321" s="1" t="s">
        <v>1144</v>
      </c>
      <c r="E321" s="4" t="s">
        <v>1708</v>
      </c>
      <c r="F321" s="84">
        <v>107</v>
      </c>
      <c r="G321" s="84">
        <v>112</v>
      </c>
      <c r="H321" s="84">
        <v>98.5</v>
      </c>
      <c r="I321" s="84">
        <v>66</v>
      </c>
      <c r="J321" s="84">
        <v>58</v>
      </c>
      <c r="K321" s="84">
        <v>82</v>
      </c>
      <c r="L321" s="84">
        <v>85</v>
      </c>
      <c r="M321" s="84">
        <v>69</v>
      </c>
      <c r="N321" s="84">
        <v>50</v>
      </c>
      <c r="O321" s="5">
        <f t="shared" si="17"/>
        <v>523.5</v>
      </c>
      <c r="P321" s="6">
        <f t="shared" si="20"/>
        <v>9</v>
      </c>
      <c r="Q321" s="5">
        <f t="shared" si="18"/>
        <v>156</v>
      </c>
      <c r="R321" s="5">
        <v>477</v>
      </c>
      <c r="S321" s="5">
        <v>319</v>
      </c>
      <c r="T321" s="5">
        <f t="shared" si="19"/>
        <v>163</v>
      </c>
    </row>
    <row r="322" spans="1:20">
      <c r="A322" s="1" t="s">
        <v>1145</v>
      </c>
      <c r="B322" s="1" t="s">
        <v>3198</v>
      </c>
      <c r="C322" s="4" t="s">
        <v>68</v>
      </c>
      <c r="D322" s="1" t="s">
        <v>1146</v>
      </c>
      <c r="E322" s="4" t="s">
        <v>1147</v>
      </c>
      <c r="F322" s="84">
        <v>100</v>
      </c>
      <c r="G322" s="84">
        <v>67</v>
      </c>
      <c r="H322" s="84">
        <v>89</v>
      </c>
      <c r="I322" s="84">
        <v>78</v>
      </c>
      <c r="J322" s="84">
        <v>49</v>
      </c>
      <c r="K322" s="84">
        <v>73</v>
      </c>
      <c r="L322" s="84">
        <v>40</v>
      </c>
      <c r="M322" s="84">
        <v>50</v>
      </c>
      <c r="N322" s="84">
        <v>55</v>
      </c>
      <c r="O322" s="5">
        <f t="shared" si="17"/>
        <v>456</v>
      </c>
      <c r="P322" s="6">
        <f t="shared" si="20"/>
        <v>26</v>
      </c>
      <c r="Q322" s="5">
        <f t="shared" si="18"/>
        <v>477</v>
      </c>
      <c r="R322" s="5">
        <v>472</v>
      </c>
      <c r="S322" s="5">
        <v>352</v>
      </c>
      <c r="T322" s="5">
        <f t="shared" si="19"/>
        <v>-125</v>
      </c>
    </row>
    <row r="323" spans="1:20">
      <c r="A323" s="1" t="s">
        <v>1148</v>
      </c>
      <c r="B323" s="1" t="s">
        <v>3198</v>
      </c>
      <c r="C323" s="4" t="s">
        <v>68</v>
      </c>
      <c r="D323" s="1" t="s">
        <v>1149</v>
      </c>
      <c r="E323" s="4" t="s">
        <v>1150</v>
      </c>
      <c r="F323" s="84">
        <v>104</v>
      </c>
      <c r="G323" s="84">
        <v>94</v>
      </c>
      <c r="H323" s="84">
        <v>89</v>
      </c>
      <c r="I323" s="84">
        <v>64</v>
      </c>
      <c r="J323" s="84">
        <v>67</v>
      </c>
      <c r="K323" s="84">
        <v>73</v>
      </c>
      <c r="L323" s="84">
        <v>64</v>
      </c>
      <c r="M323" s="84">
        <v>69</v>
      </c>
      <c r="N323" s="84">
        <v>49</v>
      </c>
      <c r="O323" s="5">
        <f t="shared" ref="O323:O386" si="21">SUM(F323:K323)</f>
        <v>491</v>
      </c>
      <c r="P323" s="6">
        <f t="shared" si="20"/>
        <v>13</v>
      </c>
      <c r="Q323" s="5">
        <f t="shared" si="18"/>
        <v>287</v>
      </c>
      <c r="R323" s="5">
        <v>435</v>
      </c>
      <c r="S323" s="5">
        <v>544</v>
      </c>
      <c r="T323" s="5">
        <f t="shared" si="19"/>
        <v>257</v>
      </c>
    </row>
    <row r="324" spans="1:20">
      <c r="A324" s="1" t="s">
        <v>1151</v>
      </c>
      <c r="B324" s="1" t="s">
        <v>3198</v>
      </c>
      <c r="C324" s="4" t="s">
        <v>68</v>
      </c>
      <c r="D324" s="1" t="s">
        <v>1152</v>
      </c>
      <c r="E324" s="4" t="s">
        <v>1153</v>
      </c>
      <c r="F324" s="84">
        <v>103</v>
      </c>
      <c r="G324" s="84">
        <v>50</v>
      </c>
      <c r="H324" s="84">
        <v>68</v>
      </c>
      <c r="I324" s="84">
        <v>67</v>
      </c>
      <c r="J324" s="84">
        <v>47</v>
      </c>
      <c r="K324" s="84">
        <v>68</v>
      </c>
      <c r="L324" s="84">
        <v>55</v>
      </c>
      <c r="M324" s="84">
        <v>68</v>
      </c>
      <c r="N324" s="84">
        <v>57</v>
      </c>
      <c r="O324" s="5">
        <f t="shared" si="21"/>
        <v>403</v>
      </c>
      <c r="P324" s="6">
        <f t="shared" si="20"/>
        <v>47</v>
      </c>
      <c r="Q324" s="5">
        <f t="shared" ref="Q324:Q387" si="22">RANK(O324,$O$3:$O$936)</f>
        <v>751</v>
      </c>
      <c r="R324" s="5">
        <v>413</v>
      </c>
      <c r="S324" s="5">
        <v>665</v>
      </c>
      <c r="T324" s="5">
        <f t="shared" ref="T324:T387" si="23">S324-Q324</f>
        <v>-86</v>
      </c>
    </row>
    <row r="325" spans="1:20">
      <c r="A325" s="1" t="s">
        <v>1154</v>
      </c>
      <c r="B325" s="1" t="s">
        <v>3198</v>
      </c>
      <c r="C325" s="4" t="s">
        <v>68</v>
      </c>
      <c r="D325" s="1" t="s">
        <v>1155</v>
      </c>
      <c r="E325" s="4" t="s">
        <v>1156</v>
      </c>
      <c r="F325" s="84">
        <v>92</v>
      </c>
      <c r="G325" s="84">
        <v>64</v>
      </c>
      <c r="H325" s="84">
        <v>92</v>
      </c>
      <c r="I325" s="84">
        <v>78</v>
      </c>
      <c r="J325" s="84">
        <v>41</v>
      </c>
      <c r="K325" s="84">
        <v>66</v>
      </c>
      <c r="L325" s="84">
        <v>63</v>
      </c>
      <c r="M325" s="84">
        <v>70</v>
      </c>
      <c r="N325" s="84">
        <v>38</v>
      </c>
      <c r="O325" s="5">
        <f t="shared" si="21"/>
        <v>433</v>
      </c>
      <c r="P325" s="6">
        <f t="shared" si="20"/>
        <v>34</v>
      </c>
      <c r="Q325" s="5">
        <f t="shared" si="22"/>
        <v>611</v>
      </c>
      <c r="R325" s="5">
        <v>375.5</v>
      </c>
      <c r="S325" s="5">
        <v>820</v>
      </c>
      <c r="T325" s="5">
        <f t="shared" si="23"/>
        <v>209</v>
      </c>
    </row>
    <row r="326" spans="1:20">
      <c r="A326" s="1" t="s">
        <v>1157</v>
      </c>
      <c r="B326" s="1" t="s">
        <v>3198</v>
      </c>
      <c r="C326" s="4" t="s">
        <v>68</v>
      </c>
      <c r="D326" s="1" t="s">
        <v>1158</v>
      </c>
      <c r="E326" s="4" t="s">
        <v>1159</v>
      </c>
      <c r="F326" s="84">
        <v>86</v>
      </c>
      <c r="G326" s="84">
        <v>75</v>
      </c>
      <c r="H326" s="84">
        <v>68.5</v>
      </c>
      <c r="I326" s="84">
        <v>40</v>
      </c>
      <c r="J326" s="84">
        <v>39</v>
      </c>
      <c r="K326" s="84">
        <v>66</v>
      </c>
      <c r="L326" s="84">
        <v>62</v>
      </c>
      <c r="M326" s="84">
        <v>63</v>
      </c>
      <c r="N326" s="84">
        <v>61</v>
      </c>
      <c r="O326" s="5">
        <f t="shared" si="21"/>
        <v>374.5</v>
      </c>
      <c r="P326" s="6">
        <f t="shared" si="20"/>
        <v>50</v>
      </c>
      <c r="Q326" s="5">
        <f t="shared" si="22"/>
        <v>844</v>
      </c>
      <c r="R326" s="5">
        <v>349</v>
      </c>
      <c r="S326" s="5">
        <v>881</v>
      </c>
      <c r="T326" s="5">
        <f t="shared" si="23"/>
        <v>37</v>
      </c>
    </row>
    <row r="327" spans="1:20">
      <c r="A327" s="1" t="s">
        <v>1160</v>
      </c>
      <c r="B327" s="1" t="s">
        <v>3198</v>
      </c>
      <c r="C327" s="4" t="s">
        <v>68</v>
      </c>
      <c r="D327" s="1" t="s">
        <v>1161</v>
      </c>
      <c r="E327" s="4" t="s">
        <v>1162</v>
      </c>
      <c r="F327" s="84">
        <v>92</v>
      </c>
      <c r="G327" s="84">
        <v>73</v>
      </c>
      <c r="H327" s="84">
        <v>77</v>
      </c>
      <c r="I327" s="84">
        <v>35</v>
      </c>
      <c r="J327" s="84">
        <v>59</v>
      </c>
      <c r="K327" s="84">
        <v>73</v>
      </c>
      <c r="L327" s="84">
        <v>81</v>
      </c>
      <c r="M327" s="84">
        <v>70</v>
      </c>
      <c r="N327" s="84">
        <v>49</v>
      </c>
      <c r="O327" s="5">
        <f t="shared" si="21"/>
        <v>409</v>
      </c>
      <c r="P327" s="6">
        <f t="shared" si="20"/>
        <v>45</v>
      </c>
      <c r="Q327" s="5">
        <f t="shared" si="22"/>
        <v>730</v>
      </c>
      <c r="R327" s="5">
        <v>436</v>
      </c>
      <c r="S327" s="5">
        <v>541</v>
      </c>
      <c r="T327" s="5">
        <f t="shared" si="23"/>
        <v>-189</v>
      </c>
    </row>
    <row r="328" spans="1:20">
      <c r="A328" s="1" t="s">
        <v>1163</v>
      </c>
      <c r="B328" s="1" t="s">
        <v>3198</v>
      </c>
      <c r="C328" s="4" t="s">
        <v>68</v>
      </c>
      <c r="D328" s="1" t="s">
        <v>1164</v>
      </c>
      <c r="E328" s="4" t="s">
        <v>1165</v>
      </c>
      <c r="F328" s="84">
        <v>104</v>
      </c>
      <c r="G328" s="84">
        <v>97</v>
      </c>
      <c r="H328" s="84">
        <v>108.5</v>
      </c>
      <c r="I328" s="84">
        <v>79</v>
      </c>
      <c r="J328" s="84">
        <v>63</v>
      </c>
      <c r="K328" s="84">
        <v>85</v>
      </c>
      <c r="L328" s="84">
        <v>77</v>
      </c>
      <c r="M328" s="84">
        <v>87</v>
      </c>
      <c r="N328" s="84">
        <v>62</v>
      </c>
      <c r="O328" s="5">
        <f t="shared" si="21"/>
        <v>536.5</v>
      </c>
      <c r="P328" s="6">
        <f t="shared" si="20"/>
        <v>5</v>
      </c>
      <c r="Q328" s="5">
        <f t="shared" si="22"/>
        <v>116</v>
      </c>
      <c r="R328" s="5">
        <v>535.5</v>
      </c>
      <c r="S328" s="5">
        <v>96</v>
      </c>
      <c r="T328" s="5">
        <f t="shared" si="23"/>
        <v>-20</v>
      </c>
    </row>
    <row r="329" spans="1:20">
      <c r="A329" s="1" t="s">
        <v>1166</v>
      </c>
      <c r="B329" s="1" t="s">
        <v>3198</v>
      </c>
      <c r="C329" s="4" t="s">
        <v>68</v>
      </c>
      <c r="D329" s="1" t="s">
        <v>1167</v>
      </c>
      <c r="E329" s="4" t="s">
        <v>1168</v>
      </c>
      <c r="F329" s="84">
        <v>106</v>
      </c>
      <c r="G329" s="84">
        <v>48</v>
      </c>
      <c r="H329" s="84">
        <v>78</v>
      </c>
      <c r="I329" s="84">
        <v>66</v>
      </c>
      <c r="J329" s="84">
        <v>47</v>
      </c>
      <c r="K329" s="84">
        <v>74</v>
      </c>
      <c r="L329" s="84">
        <v>64</v>
      </c>
      <c r="M329" s="84">
        <v>68</v>
      </c>
      <c r="N329" s="84">
        <v>48</v>
      </c>
      <c r="O329" s="5">
        <f t="shared" si="21"/>
        <v>419</v>
      </c>
      <c r="P329" s="6">
        <f t="shared" si="20"/>
        <v>38</v>
      </c>
      <c r="Q329" s="5">
        <f t="shared" si="22"/>
        <v>673</v>
      </c>
      <c r="R329" s="5">
        <v>369</v>
      </c>
      <c r="S329" s="5">
        <v>844</v>
      </c>
      <c r="T329" s="5">
        <f t="shared" si="23"/>
        <v>171</v>
      </c>
    </row>
    <row r="330" spans="1:20">
      <c r="A330" s="1" t="s">
        <v>1169</v>
      </c>
      <c r="B330" s="1" t="s">
        <v>3198</v>
      </c>
      <c r="C330" s="4" t="s">
        <v>68</v>
      </c>
      <c r="D330" s="1" t="s">
        <v>1170</v>
      </c>
      <c r="E330" s="4" t="s">
        <v>1171</v>
      </c>
      <c r="F330" s="84">
        <v>93</v>
      </c>
      <c r="G330" s="84">
        <v>25</v>
      </c>
      <c r="H330" s="84">
        <v>67.5</v>
      </c>
      <c r="I330" s="84">
        <v>34</v>
      </c>
      <c r="J330" s="84">
        <v>27</v>
      </c>
      <c r="K330" s="84">
        <v>56</v>
      </c>
      <c r="L330" s="84">
        <v>80</v>
      </c>
      <c r="M330" s="84">
        <v>67</v>
      </c>
      <c r="N330" s="84">
        <v>50</v>
      </c>
      <c r="O330" s="5">
        <f t="shared" si="21"/>
        <v>302.5</v>
      </c>
      <c r="P330" s="6">
        <f t="shared" si="20"/>
        <v>56</v>
      </c>
      <c r="Q330" s="5">
        <f t="shared" si="22"/>
        <v>926</v>
      </c>
      <c r="R330" s="5">
        <v>307</v>
      </c>
      <c r="S330" s="5">
        <v>924</v>
      </c>
      <c r="T330" s="5">
        <f t="shared" si="23"/>
        <v>-2</v>
      </c>
    </row>
    <row r="331" spans="1:20">
      <c r="A331" s="1" t="s">
        <v>1172</v>
      </c>
      <c r="B331" s="1" t="s">
        <v>3198</v>
      </c>
      <c r="C331" s="4" t="s">
        <v>68</v>
      </c>
      <c r="D331" s="1" t="s">
        <v>1173</v>
      </c>
      <c r="E331" s="4" t="s">
        <v>1174</v>
      </c>
      <c r="F331" s="84">
        <v>107</v>
      </c>
      <c r="G331" s="84">
        <v>105</v>
      </c>
      <c r="H331" s="84">
        <v>73.5</v>
      </c>
      <c r="I331" s="84">
        <v>74</v>
      </c>
      <c r="J331" s="84">
        <v>52</v>
      </c>
      <c r="K331" s="84">
        <v>57</v>
      </c>
      <c r="L331" s="84">
        <v>49</v>
      </c>
      <c r="M331" s="84">
        <v>67</v>
      </c>
      <c r="N331" s="84">
        <v>43</v>
      </c>
      <c r="O331" s="5">
        <f t="shared" si="21"/>
        <v>468.5</v>
      </c>
      <c r="P331" s="6">
        <f t="shared" si="20"/>
        <v>22</v>
      </c>
      <c r="Q331" s="5">
        <f t="shared" si="22"/>
        <v>401</v>
      </c>
      <c r="R331" s="5">
        <v>476</v>
      </c>
      <c r="S331" s="5">
        <v>320</v>
      </c>
      <c r="T331" s="5">
        <f t="shared" si="23"/>
        <v>-81</v>
      </c>
    </row>
    <row r="332" spans="1:20">
      <c r="A332" s="1" t="s">
        <v>1175</v>
      </c>
      <c r="B332" s="1" t="s">
        <v>3198</v>
      </c>
      <c r="C332" s="4" t="s">
        <v>68</v>
      </c>
      <c r="D332" s="1" t="s">
        <v>1176</v>
      </c>
      <c r="E332" s="4" t="s">
        <v>1177</v>
      </c>
      <c r="F332" s="84">
        <v>87</v>
      </c>
      <c r="G332" s="84">
        <v>43</v>
      </c>
      <c r="H332" s="84">
        <v>62</v>
      </c>
      <c r="I332" s="84">
        <v>56</v>
      </c>
      <c r="J332" s="84">
        <v>54</v>
      </c>
      <c r="K332" s="84">
        <v>61</v>
      </c>
      <c r="L332" s="84">
        <v>61</v>
      </c>
      <c r="M332" s="84">
        <v>41</v>
      </c>
      <c r="N332" s="84">
        <v>44</v>
      </c>
      <c r="O332" s="5">
        <f t="shared" si="21"/>
        <v>363</v>
      </c>
      <c r="P332" s="6">
        <f t="shared" si="20"/>
        <v>53</v>
      </c>
      <c r="Q332" s="5">
        <f t="shared" si="22"/>
        <v>875</v>
      </c>
      <c r="R332" s="5">
        <v>352.5</v>
      </c>
      <c r="S332" s="5">
        <v>875</v>
      </c>
      <c r="T332" s="5">
        <f t="shared" si="23"/>
        <v>0</v>
      </c>
    </row>
    <row r="333" spans="1:20">
      <c r="A333" s="1" t="s">
        <v>1178</v>
      </c>
      <c r="B333" s="1" t="s">
        <v>3198</v>
      </c>
      <c r="C333" s="4" t="s">
        <v>68</v>
      </c>
      <c r="D333" s="1" t="s">
        <v>1179</v>
      </c>
      <c r="E333" s="4" t="s">
        <v>1180</v>
      </c>
      <c r="F333" s="84">
        <v>102</v>
      </c>
      <c r="G333" s="84">
        <v>64</v>
      </c>
      <c r="H333" s="84">
        <v>72.5</v>
      </c>
      <c r="I333" s="84">
        <v>41</v>
      </c>
      <c r="J333" s="84">
        <v>39</v>
      </c>
      <c r="K333" s="84">
        <v>50</v>
      </c>
      <c r="L333" s="84">
        <v>56</v>
      </c>
      <c r="M333" s="84">
        <v>45</v>
      </c>
      <c r="N333" s="84">
        <v>42</v>
      </c>
      <c r="O333" s="5">
        <f t="shared" si="21"/>
        <v>368.5</v>
      </c>
      <c r="P333" s="6">
        <f t="shared" si="20"/>
        <v>52</v>
      </c>
      <c r="Q333" s="5">
        <f t="shared" si="22"/>
        <v>862</v>
      </c>
      <c r="R333" s="5">
        <v>324</v>
      </c>
      <c r="S333" s="5">
        <v>910</v>
      </c>
      <c r="T333" s="5">
        <f t="shared" si="23"/>
        <v>48</v>
      </c>
    </row>
    <row r="334" spans="1:20">
      <c r="A334" s="1" t="s">
        <v>1181</v>
      </c>
      <c r="B334" s="1" t="s">
        <v>3198</v>
      </c>
      <c r="C334" s="4" t="s">
        <v>68</v>
      </c>
      <c r="D334" s="1" t="s">
        <v>1182</v>
      </c>
      <c r="E334" s="4" t="s">
        <v>1183</v>
      </c>
      <c r="F334" s="84">
        <v>113</v>
      </c>
      <c r="G334" s="84">
        <v>77</v>
      </c>
      <c r="H334" s="84">
        <v>76.5</v>
      </c>
      <c r="I334" s="84">
        <v>63</v>
      </c>
      <c r="J334" s="84">
        <v>50</v>
      </c>
      <c r="K334" s="84">
        <v>59</v>
      </c>
      <c r="L334" s="84">
        <v>73</v>
      </c>
      <c r="M334" s="84">
        <v>72</v>
      </c>
      <c r="N334" s="84">
        <v>52</v>
      </c>
      <c r="O334" s="5">
        <f t="shared" si="21"/>
        <v>438.5</v>
      </c>
      <c r="P334" s="6">
        <f t="shared" si="20"/>
        <v>31</v>
      </c>
      <c r="Q334" s="5">
        <f t="shared" si="22"/>
        <v>576</v>
      </c>
      <c r="R334" s="5">
        <v>420</v>
      </c>
      <c r="S334" s="5">
        <v>642</v>
      </c>
      <c r="T334" s="5">
        <f t="shared" si="23"/>
        <v>66</v>
      </c>
    </row>
    <row r="335" spans="1:20">
      <c r="A335" s="1" t="s">
        <v>1184</v>
      </c>
      <c r="B335" s="1" t="s">
        <v>3198</v>
      </c>
      <c r="C335" s="4" t="s">
        <v>68</v>
      </c>
      <c r="D335" s="1" t="s">
        <v>1185</v>
      </c>
      <c r="E335" s="4" t="s">
        <v>1186</v>
      </c>
      <c r="F335" s="84">
        <v>93</v>
      </c>
      <c r="G335" s="84">
        <v>87</v>
      </c>
      <c r="H335" s="84">
        <v>66</v>
      </c>
      <c r="I335" s="84">
        <v>93</v>
      </c>
      <c r="J335" s="84">
        <v>55</v>
      </c>
      <c r="K335" s="84">
        <v>87</v>
      </c>
      <c r="L335" s="84">
        <v>66</v>
      </c>
      <c r="M335" s="84">
        <v>66</v>
      </c>
      <c r="N335" s="84">
        <v>59</v>
      </c>
      <c r="O335" s="5">
        <f t="shared" si="21"/>
        <v>481</v>
      </c>
      <c r="P335" s="6">
        <f t="shared" si="20"/>
        <v>19</v>
      </c>
      <c r="Q335" s="5">
        <f t="shared" si="22"/>
        <v>332</v>
      </c>
      <c r="R335" s="5">
        <v>446</v>
      </c>
      <c r="S335" s="5">
        <v>491</v>
      </c>
      <c r="T335" s="5">
        <f t="shared" si="23"/>
        <v>159</v>
      </c>
    </row>
    <row r="336" spans="1:20">
      <c r="A336" s="1" t="s">
        <v>1187</v>
      </c>
      <c r="B336" s="1" t="s">
        <v>3198</v>
      </c>
      <c r="C336" s="4" t="s">
        <v>68</v>
      </c>
      <c r="D336" s="1" t="s">
        <v>1188</v>
      </c>
      <c r="E336" s="4" t="s">
        <v>1189</v>
      </c>
      <c r="F336" s="84">
        <v>98</v>
      </c>
      <c r="G336" s="84">
        <v>40</v>
      </c>
      <c r="H336" s="84">
        <v>92</v>
      </c>
      <c r="I336" s="84">
        <v>49</v>
      </c>
      <c r="J336" s="84">
        <v>57</v>
      </c>
      <c r="K336" s="84">
        <v>76</v>
      </c>
      <c r="L336" s="84">
        <v>76</v>
      </c>
      <c r="M336" s="84">
        <v>67</v>
      </c>
      <c r="N336" s="84">
        <v>53</v>
      </c>
      <c r="O336" s="5">
        <f t="shared" si="21"/>
        <v>412</v>
      </c>
      <c r="P336" s="6">
        <f t="shared" si="20"/>
        <v>42</v>
      </c>
      <c r="Q336" s="5">
        <f t="shared" si="22"/>
        <v>710</v>
      </c>
      <c r="R336" s="5">
        <v>446</v>
      </c>
      <c r="S336" s="5">
        <v>491</v>
      </c>
      <c r="T336" s="5">
        <f t="shared" si="23"/>
        <v>-219</v>
      </c>
    </row>
    <row r="337" spans="1:20">
      <c r="A337" s="1" t="s">
        <v>1190</v>
      </c>
      <c r="B337" s="1" t="s">
        <v>3198</v>
      </c>
      <c r="C337" s="4" t="s">
        <v>54</v>
      </c>
      <c r="D337" s="1" t="s">
        <v>1191</v>
      </c>
      <c r="E337" s="4" t="s">
        <v>1192</v>
      </c>
      <c r="F337" s="84">
        <v>103</v>
      </c>
      <c r="G337" s="84">
        <v>77</v>
      </c>
      <c r="H337" s="84">
        <v>55.5</v>
      </c>
      <c r="I337" s="84">
        <v>78</v>
      </c>
      <c r="J337" s="84">
        <v>67</v>
      </c>
      <c r="K337" s="84">
        <v>78</v>
      </c>
      <c r="L337" s="84">
        <v>60</v>
      </c>
      <c r="M337" s="84">
        <v>74</v>
      </c>
      <c r="N337" s="84">
        <v>54</v>
      </c>
      <c r="O337" s="5">
        <f t="shared" si="21"/>
        <v>458.5</v>
      </c>
      <c r="P337" s="6">
        <f>RANK(O337,$O$337:$O$391)</f>
        <v>27</v>
      </c>
      <c r="Q337" s="5">
        <f t="shared" si="22"/>
        <v>463</v>
      </c>
      <c r="R337" s="5">
        <v>441.5</v>
      </c>
      <c r="S337" s="5">
        <v>520</v>
      </c>
      <c r="T337" s="5">
        <f t="shared" si="23"/>
        <v>57</v>
      </c>
    </row>
    <row r="338" spans="1:20">
      <c r="A338" s="1" t="s">
        <v>1193</v>
      </c>
      <c r="B338" s="1" t="s">
        <v>3198</v>
      </c>
      <c r="C338" s="4" t="s">
        <v>54</v>
      </c>
      <c r="D338" s="1" t="s">
        <v>1194</v>
      </c>
      <c r="E338" s="4" t="s">
        <v>1195</v>
      </c>
      <c r="F338" s="84">
        <v>110</v>
      </c>
      <c r="G338" s="84">
        <v>90</v>
      </c>
      <c r="H338" s="84">
        <v>74</v>
      </c>
      <c r="I338" s="84">
        <v>62</v>
      </c>
      <c r="J338" s="84">
        <v>65</v>
      </c>
      <c r="K338" s="84">
        <v>69</v>
      </c>
      <c r="L338" s="84">
        <v>53</v>
      </c>
      <c r="M338" s="84">
        <v>77</v>
      </c>
      <c r="N338" s="84">
        <v>49</v>
      </c>
      <c r="O338" s="5">
        <f t="shared" si="21"/>
        <v>470</v>
      </c>
      <c r="P338" s="6">
        <f t="shared" ref="P338:P391" si="24">RANK(O338,$O$337:$O$391)</f>
        <v>20</v>
      </c>
      <c r="Q338" s="5">
        <f t="shared" si="22"/>
        <v>393</v>
      </c>
      <c r="R338" s="5">
        <v>471.5</v>
      </c>
      <c r="S338" s="5">
        <v>355</v>
      </c>
      <c r="T338" s="5">
        <f t="shared" si="23"/>
        <v>-38</v>
      </c>
    </row>
    <row r="339" spans="1:20">
      <c r="A339" s="1" t="s">
        <v>1196</v>
      </c>
      <c r="B339" s="1" t="s">
        <v>3198</v>
      </c>
      <c r="C339" s="1" t="s">
        <v>54</v>
      </c>
      <c r="D339" s="1" t="s">
        <v>1197</v>
      </c>
      <c r="E339" s="1" t="s">
        <v>1198</v>
      </c>
      <c r="F339" s="84">
        <v>105</v>
      </c>
      <c r="G339" s="84">
        <v>77</v>
      </c>
      <c r="H339" s="84">
        <v>88.5</v>
      </c>
      <c r="I339" s="84">
        <v>81</v>
      </c>
      <c r="J339" s="84">
        <v>66</v>
      </c>
      <c r="K339" s="84">
        <v>87</v>
      </c>
      <c r="L339" s="84">
        <v>66</v>
      </c>
      <c r="M339" s="84">
        <v>61</v>
      </c>
      <c r="N339" s="84">
        <v>56</v>
      </c>
      <c r="O339" s="5">
        <f t="shared" si="21"/>
        <v>504.5</v>
      </c>
      <c r="P339" s="6">
        <f t="shared" si="24"/>
        <v>8</v>
      </c>
      <c r="Q339" s="5">
        <f t="shared" si="22"/>
        <v>226</v>
      </c>
      <c r="R339" s="5">
        <v>456</v>
      </c>
      <c r="S339" s="5">
        <v>433</v>
      </c>
      <c r="T339" s="5">
        <f t="shared" si="23"/>
        <v>207</v>
      </c>
    </row>
    <row r="340" spans="1:20">
      <c r="A340" s="1" t="s">
        <v>1199</v>
      </c>
      <c r="B340" s="1" t="s">
        <v>3198</v>
      </c>
      <c r="C340" s="4" t="s">
        <v>54</v>
      </c>
      <c r="D340" s="1" t="s">
        <v>1200</v>
      </c>
      <c r="E340" s="4" t="s">
        <v>1201</v>
      </c>
      <c r="F340" s="84">
        <v>93</v>
      </c>
      <c r="G340" s="84">
        <v>62</v>
      </c>
      <c r="H340" s="84">
        <v>78.5</v>
      </c>
      <c r="I340" s="84">
        <v>50</v>
      </c>
      <c r="J340" s="84">
        <v>56</v>
      </c>
      <c r="K340" s="84">
        <v>62</v>
      </c>
      <c r="L340" s="84">
        <v>69</v>
      </c>
      <c r="M340" s="84">
        <v>50</v>
      </c>
      <c r="N340" s="84">
        <v>41</v>
      </c>
      <c r="O340" s="5">
        <f t="shared" si="21"/>
        <v>401.5</v>
      </c>
      <c r="P340" s="6">
        <f t="shared" si="24"/>
        <v>44</v>
      </c>
      <c r="Q340" s="5">
        <f t="shared" si="22"/>
        <v>763</v>
      </c>
      <c r="R340" s="5">
        <v>416</v>
      </c>
      <c r="S340" s="5">
        <v>656</v>
      </c>
      <c r="T340" s="5">
        <f t="shared" si="23"/>
        <v>-107</v>
      </c>
    </row>
    <row r="341" spans="1:20">
      <c r="A341" s="1" t="s">
        <v>1203</v>
      </c>
      <c r="B341" s="1" t="s">
        <v>3198</v>
      </c>
      <c r="C341" s="4" t="s">
        <v>54</v>
      </c>
      <c r="D341" s="1" t="s">
        <v>1204</v>
      </c>
      <c r="E341" s="4" t="s">
        <v>1205</v>
      </c>
      <c r="F341" s="84">
        <v>103</v>
      </c>
      <c r="G341" s="84">
        <v>74</v>
      </c>
      <c r="H341" s="84">
        <v>108.5</v>
      </c>
      <c r="I341" s="84">
        <v>86</v>
      </c>
      <c r="J341" s="84">
        <v>54</v>
      </c>
      <c r="K341" s="84">
        <v>71</v>
      </c>
      <c r="L341" s="84">
        <v>75</v>
      </c>
      <c r="M341" s="84">
        <v>64</v>
      </c>
      <c r="N341" s="84">
        <v>45</v>
      </c>
      <c r="O341" s="5">
        <f t="shared" si="21"/>
        <v>496.5</v>
      </c>
      <c r="P341" s="6">
        <f t="shared" si="24"/>
        <v>11</v>
      </c>
      <c r="Q341" s="5">
        <f t="shared" si="22"/>
        <v>262</v>
      </c>
      <c r="R341" s="5">
        <v>493</v>
      </c>
      <c r="S341" s="5">
        <v>247</v>
      </c>
      <c r="T341" s="5">
        <f t="shared" si="23"/>
        <v>-15</v>
      </c>
    </row>
    <row r="342" spans="1:20">
      <c r="A342" s="1" t="s">
        <v>1206</v>
      </c>
      <c r="B342" s="1" t="s">
        <v>3198</v>
      </c>
      <c r="C342" s="4" t="s">
        <v>54</v>
      </c>
      <c r="D342" s="1" t="s">
        <v>1207</v>
      </c>
      <c r="E342" s="4" t="s">
        <v>1208</v>
      </c>
      <c r="F342" s="84">
        <v>106</v>
      </c>
      <c r="G342" s="84">
        <v>59</v>
      </c>
      <c r="H342" s="84">
        <v>91</v>
      </c>
      <c r="I342" s="84">
        <v>51</v>
      </c>
      <c r="J342" s="84">
        <v>35</v>
      </c>
      <c r="K342" s="84">
        <v>59</v>
      </c>
      <c r="L342" s="84">
        <v>59</v>
      </c>
      <c r="M342" s="84">
        <v>55</v>
      </c>
      <c r="N342" s="84">
        <v>57</v>
      </c>
      <c r="O342" s="5">
        <f t="shared" si="21"/>
        <v>401</v>
      </c>
      <c r="P342" s="6">
        <f t="shared" si="24"/>
        <v>45</v>
      </c>
      <c r="Q342" s="5">
        <f t="shared" si="22"/>
        <v>768</v>
      </c>
      <c r="R342" s="5">
        <v>361.5</v>
      </c>
      <c r="S342" s="5">
        <v>858</v>
      </c>
      <c r="T342" s="5">
        <f t="shared" si="23"/>
        <v>90</v>
      </c>
    </row>
    <row r="343" spans="1:20">
      <c r="A343" s="1" t="s">
        <v>1209</v>
      </c>
      <c r="B343" s="1" t="s">
        <v>3198</v>
      </c>
      <c r="C343" s="4" t="s">
        <v>54</v>
      </c>
      <c r="D343" s="1" t="s">
        <v>1210</v>
      </c>
      <c r="E343" s="4" t="s">
        <v>1211</v>
      </c>
      <c r="F343" s="84">
        <v>92</v>
      </c>
      <c r="G343" s="84">
        <v>74</v>
      </c>
      <c r="H343" s="84">
        <v>79.5</v>
      </c>
      <c r="I343" s="84">
        <v>60</v>
      </c>
      <c r="J343" s="84">
        <v>57</v>
      </c>
      <c r="K343" s="84">
        <v>55</v>
      </c>
      <c r="L343" s="84">
        <v>50</v>
      </c>
      <c r="M343" s="84">
        <v>58</v>
      </c>
      <c r="N343" s="84">
        <v>41</v>
      </c>
      <c r="O343" s="5">
        <f t="shared" si="21"/>
        <v>417.5</v>
      </c>
      <c r="P343" s="6">
        <f t="shared" si="24"/>
        <v>42</v>
      </c>
      <c r="Q343" s="5">
        <f t="shared" si="22"/>
        <v>680</v>
      </c>
      <c r="R343" s="5">
        <v>426.5</v>
      </c>
      <c r="S343" s="5">
        <v>595</v>
      </c>
      <c r="T343" s="5">
        <f t="shared" si="23"/>
        <v>-85</v>
      </c>
    </row>
    <row r="344" spans="1:20">
      <c r="A344" s="1" t="s">
        <v>1212</v>
      </c>
      <c r="B344" s="1" t="s">
        <v>3198</v>
      </c>
      <c r="C344" s="4" t="s">
        <v>54</v>
      </c>
      <c r="D344" s="1" t="s">
        <v>1213</v>
      </c>
      <c r="E344" s="4" t="s">
        <v>1214</v>
      </c>
      <c r="F344" s="84">
        <v>117</v>
      </c>
      <c r="G344" s="84">
        <v>59</v>
      </c>
      <c r="H344" s="84">
        <v>89.5</v>
      </c>
      <c r="I344" s="84">
        <v>55</v>
      </c>
      <c r="J344" s="84">
        <v>51</v>
      </c>
      <c r="K344" s="84">
        <v>64</v>
      </c>
      <c r="L344" s="84">
        <v>67</v>
      </c>
      <c r="M344" s="84">
        <v>70</v>
      </c>
      <c r="N344" s="84">
        <v>49</v>
      </c>
      <c r="O344" s="5">
        <f t="shared" si="21"/>
        <v>435.5</v>
      </c>
      <c r="P344" s="6">
        <f t="shared" si="24"/>
        <v>35</v>
      </c>
      <c r="Q344" s="5">
        <f t="shared" si="22"/>
        <v>595</v>
      </c>
      <c r="R344" s="5">
        <v>391.5</v>
      </c>
      <c r="S344" s="5">
        <v>763</v>
      </c>
      <c r="T344" s="5">
        <f t="shared" si="23"/>
        <v>168</v>
      </c>
    </row>
    <row r="345" spans="1:20">
      <c r="A345" s="1" t="s">
        <v>1215</v>
      </c>
      <c r="B345" s="1" t="s">
        <v>3198</v>
      </c>
      <c r="C345" s="4" t="s">
        <v>54</v>
      </c>
      <c r="D345" s="1" t="s">
        <v>1216</v>
      </c>
      <c r="E345" s="4" t="s">
        <v>1217</v>
      </c>
      <c r="F345" s="84">
        <v>111</v>
      </c>
      <c r="G345" s="84">
        <v>61</v>
      </c>
      <c r="H345" s="84">
        <v>103.5</v>
      </c>
      <c r="I345" s="84">
        <v>52</v>
      </c>
      <c r="J345" s="84">
        <v>61</v>
      </c>
      <c r="K345" s="84">
        <v>69</v>
      </c>
      <c r="L345" s="84">
        <v>79</v>
      </c>
      <c r="M345" s="84">
        <v>64</v>
      </c>
      <c r="N345" s="84">
        <v>48</v>
      </c>
      <c r="O345" s="5">
        <f t="shared" si="21"/>
        <v>457.5</v>
      </c>
      <c r="P345" s="6">
        <f t="shared" si="24"/>
        <v>28</v>
      </c>
      <c r="Q345" s="5">
        <f t="shared" si="22"/>
        <v>467</v>
      </c>
      <c r="R345" s="5">
        <v>486.5</v>
      </c>
      <c r="S345" s="5">
        <v>280</v>
      </c>
      <c r="T345" s="5">
        <f t="shared" si="23"/>
        <v>-187</v>
      </c>
    </row>
    <row r="346" spans="1:20">
      <c r="A346" s="1">
        <v>20181084</v>
      </c>
      <c r="B346" s="1" t="s">
        <v>3198</v>
      </c>
      <c r="C346" s="4" t="s">
        <v>54</v>
      </c>
      <c r="D346" s="1" t="s">
        <v>1219</v>
      </c>
      <c r="E346" s="4" t="s">
        <v>3251</v>
      </c>
      <c r="F346" s="84">
        <v>96</v>
      </c>
      <c r="G346" s="84">
        <v>70</v>
      </c>
      <c r="H346" s="84">
        <v>92</v>
      </c>
      <c r="I346" s="84">
        <v>77</v>
      </c>
      <c r="J346" s="84">
        <v>41</v>
      </c>
      <c r="K346" s="84">
        <v>71</v>
      </c>
      <c r="L346" s="84">
        <v>61</v>
      </c>
      <c r="M346" s="84">
        <v>72</v>
      </c>
      <c r="N346" s="84">
        <v>54</v>
      </c>
      <c r="O346" s="5">
        <f t="shared" si="21"/>
        <v>447</v>
      </c>
      <c r="P346" s="6">
        <f t="shared" si="24"/>
        <v>32</v>
      </c>
      <c r="Q346" s="5">
        <f t="shared" si="22"/>
        <v>531</v>
      </c>
      <c r="R346" s="5">
        <v>443.5</v>
      </c>
      <c r="S346" s="5">
        <v>508</v>
      </c>
      <c r="T346" s="5">
        <f t="shared" si="23"/>
        <v>-23</v>
      </c>
    </row>
    <row r="347" spans="1:20">
      <c r="A347" s="1">
        <v>20181085</v>
      </c>
      <c r="B347" s="1" t="s">
        <v>3198</v>
      </c>
      <c r="C347" s="4" t="s">
        <v>54</v>
      </c>
      <c r="D347" s="1" t="s">
        <v>1222</v>
      </c>
      <c r="E347" s="4" t="s">
        <v>3244</v>
      </c>
      <c r="F347" s="84">
        <v>93</v>
      </c>
      <c r="G347" s="84">
        <v>30</v>
      </c>
      <c r="H347" s="84">
        <v>94</v>
      </c>
      <c r="I347" s="84">
        <v>22</v>
      </c>
      <c r="J347" s="84">
        <v>26</v>
      </c>
      <c r="K347" s="84">
        <v>61</v>
      </c>
      <c r="L347" s="84">
        <v>60</v>
      </c>
      <c r="M347" s="84">
        <v>76</v>
      </c>
      <c r="N347" s="84">
        <v>53</v>
      </c>
      <c r="O347" s="5">
        <f t="shared" si="21"/>
        <v>326</v>
      </c>
      <c r="P347" s="6">
        <f t="shared" si="24"/>
        <v>54</v>
      </c>
      <c r="Q347" s="5">
        <f t="shared" si="22"/>
        <v>915</v>
      </c>
      <c r="R347" s="5">
        <v>349</v>
      </c>
      <c r="S347" s="5">
        <v>881</v>
      </c>
      <c r="T347" s="5">
        <f t="shared" si="23"/>
        <v>-34</v>
      </c>
    </row>
    <row r="348" spans="1:20">
      <c r="A348" s="1" t="s">
        <v>1224</v>
      </c>
      <c r="B348" s="1" t="s">
        <v>3198</v>
      </c>
      <c r="C348" s="4" t="s">
        <v>54</v>
      </c>
      <c r="D348" s="1" t="s">
        <v>1225</v>
      </c>
      <c r="E348" s="4" t="s">
        <v>1226</v>
      </c>
      <c r="F348" s="84">
        <v>97</v>
      </c>
      <c r="G348" s="84">
        <v>81</v>
      </c>
      <c r="H348" s="84">
        <v>96</v>
      </c>
      <c r="I348" s="84">
        <v>51</v>
      </c>
      <c r="J348" s="84">
        <v>56</v>
      </c>
      <c r="K348" s="84">
        <v>70</v>
      </c>
      <c r="L348" s="84">
        <v>89</v>
      </c>
      <c r="M348" s="84">
        <v>66</v>
      </c>
      <c r="N348" s="84">
        <v>56</v>
      </c>
      <c r="O348" s="5">
        <f t="shared" si="21"/>
        <v>451</v>
      </c>
      <c r="P348" s="6">
        <f t="shared" si="24"/>
        <v>31</v>
      </c>
      <c r="Q348" s="5">
        <f t="shared" si="22"/>
        <v>509</v>
      </c>
      <c r="R348" s="5">
        <v>443.5</v>
      </c>
      <c r="S348" s="5">
        <v>508</v>
      </c>
      <c r="T348" s="5">
        <f t="shared" si="23"/>
        <v>-1</v>
      </c>
    </row>
    <row r="349" spans="1:20">
      <c r="A349" s="1" t="s">
        <v>1227</v>
      </c>
      <c r="B349" s="1" t="s">
        <v>3198</v>
      </c>
      <c r="C349" s="4" t="s">
        <v>54</v>
      </c>
      <c r="D349" s="1" t="s">
        <v>1228</v>
      </c>
      <c r="E349" s="4" t="s">
        <v>1229</v>
      </c>
      <c r="F349" s="84">
        <v>120</v>
      </c>
      <c r="G349" s="84">
        <v>45</v>
      </c>
      <c r="H349" s="84">
        <v>100</v>
      </c>
      <c r="I349" s="84">
        <v>50</v>
      </c>
      <c r="J349" s="84">
        <v>39</v>
      </c>
      <c r="K349" s="84">
        <v>65</v>
      </c>
      <c r="L349" s="84">
        <v>64</v>
      </c>
      <c r="M349" s="84">
        <v>62</v>
      </c>
      <c r="N349" s="84">
        <v>47</v>
      </c>
      <c r="O349" s="5">
        <f t="shared" si="21"/>
        <v>419</v>
      </c>
      <c r="P349" s="6">
        <f t="shared" si="24"/>
        <v>41</v>
      </c>
      <c r="Q349" s="5">
        <f t="shared" si="22"/>
        <v>673</v>
      </c>
      <c r="R349" s="5">
        <v>430</v>
      </c>
      <c r="S349" s="5">
        <v>573</v>
      </c>
      <c r="T349" s="5">
        <f t="shared" si="23"/>
        <v>-100</v>
      </c>
    </row>
    <row r="350" spans="1:20">
      <c r="A350" s="1" t="s">
        <v>1230</v>
      </c>
      <c r="B350" s="1" t="s">
        <v>3198</v>
      </c>
      <c r="C350" s="4" t="s">
        <v>54</v>
      </c>
      <c r="D350" s="1" t="s">
        <v>1231</v>
      </c>
      <c r="E350" s="4" t="s">
        <v>1232</v>
      </c>
      <c r="F350" s="84">
        <v>92</v>
      </c>
      <c r="G350" s="84">
        <v>60</v>
      </c>
      <c r="H350" s="84">
        <v>86.5</v>
      </c>
      <c r="I350" s="84">
        <v>73</v>
      </c>
      <c r="J350" s="84">
        <v>63</v>
      </c>
      <c r="K350" s="84">
        <v>63</v>
      </c>
      <c r="L350" s="84">
        <v>68</v>
      </c>
      <c r="M350" s="84">
        <v>70</v>
      </c>
      <c r="N350" s="84">
        <v>65</v>
      </c>
      <c r="O350" s="5">
        <f t="shared" si="21"/>
        <v>437.5</v>
      </c>
      <c r="P350" s="6">
        <f t="shared" si="24"/>
        <v>34</v>
      </c>
      <c r="Q350" s="5">
        <f t="shared" si="22"/>
        <v>584</v>
      </c>
      <c r="R350" s="5">
        <v>439.5</v>
      </c>
      <c r="S350" s="5">
        <v>526</v>
      </c>
      <c r="T350" s="5">
        <f t="shared" si="23"/>
        <v>-58</v>
      </c>
    </row>
    <row r="351" spans="1:20">
      <c r="A351" s="1" t="s">
        <v>1233</v>
      </c>
      <c r="B351" s="1" t="s">
        <v>3198</v>
      </c>
      <c r="C351" s="4" t="s">
        <v>54</v>
      </c>
      <c r="D351" s="1" t="s">
        <v>1234</v>
      </c>
      <c r="E351" s="4" t="s">
        <v>1235</v>
      </c>
      <c r="F351" s="84">
        <v>95</v>
      </c>
      <c r="G351" s="84">
        <v>69</v>
      </c>
      <c r="H351" s="84">
        <v>101</v>
      </c>
      <c r="I351" s="84">
        <v>40</v>
      </c>
      <c r="J351" s="84">
        <v>41</v>
      </c>
      <c r="K351" s="84">
        <v>53</v>
      </c>
      <c r="L351" s="84">
        <v>60</v>
      </c>
      <c r="M351" s="84">
        <v>55</v>
      </c>
      <c r="N351" s="84">
        <v>34</v>
      </c>
      <c r="O351" s="5">
        <f t="shared" si="21"/>
        <v>399</v>
      </c>
      <c r="P351" s="6">
        <f t="shared" si="24"/>
        <v>47</v>
      </c>
      <c r="Q351" s="5">
        <f t="shared" si="22"/>
        <v>778</v>
      </c>
      <c r="R351" s="5">
        <v>356</v>
      </c>
      <c r="S351" s="5">
        <v>866</v>
      </c>
      <c r="T351" s="5">
        <f t="shared" si="23"/>
        <v>88</v>
      </c>
    </row>
    <row r="352" spans="1:20">
      <c r="A352" s="1" t="s">
        <v>1236</v>
      </c>
      <c r="B352" s="1" t="s">
        <v>3198</v>
      </c>
      <c r="C352" s="4" t="s">
        <v>54</v>
      </c>
      <c r="D352" s="1" t="s">
        <v>1237</v>
      </c>
      <c r="E352" s="4" t="s">
        <v>1238</v>
      </c>
      <c r="F352" s="84">
        <v>124</v>
      </c>
      <c r="G352" s="84">
        <v>76</v>
      </c>
      <c r="H352" s="84">
        <v>111.5</v>
      </c>
      <c r="I352" s="84">
        <v>80</v>
      </c>
      <c r="J352" s="84">
        <v>58</v>
      </c>
      <c r="K352" s="84">
        <v>71</v>
      </c>
      <c r="L352" s="84">
        <v>82</v>
      </c>
      <c r="M352" s="84">
        <v>74</v>
      </c>
      <c r="N352" s="84">
        <v>50</v>
      </c>
      <c r="O352" s="5">
        <f t="shared" si="21"/>
        <v>520.5</v>
      </c>
      <c r="P352" s="6">
        <f t="shared" si="24"/>
        <v>5</v>
      </c>
      <c r="Q352" s="5">
        <f t="shared" si="22"/>
        <v>163</v>
      </c>
      <c r="R352" s="5"/>
      <c r="S352" s="5"/>
      <c r="T352" s="5"/>
    </row>
    <row r="353" spans="1:20">
      <c r="A353" s="1" t="s">
        <v>1239</v>
      </c>
      <c r="B353" s="1" t="s">
        <v>3198</v>
      </c>
      <c r="C353" s="4" t="s">
        <v>54</v>
      </c>
      <c r="D353" s="1" t="s">
        <v>1240</v>
      </c>
      <c r="E353" s="4" t="s">
        <v>1241</v>
      </c>
      <c r="F353" s="84">
        <v>96</v>
      </c>
      <c r="G353" s="84">
        <v>62</v>
      </c>
      <c r="H353" s="84">
        <v>84.5</v>
      </c>
      <c r="I353" s="84">
        <v>70</v>
      </c>
      <c r="J353" s="84">
        <v>62</v>
      </c>
      <c r="K353" s="84">
        <v>83</v>
      </c>
      <c r="L353" s="84">
        <v>69</v>
      </c>
      <c r="M353" s="84">
        <v>81</v>
      </c>
      <c r="N353" s="84">
        <v>55</v>
      </c>
      <c r="O353" s="5">
        <f t="shared" si="21"/>
        <v>457.5</v>
      </c>
      <c r="P353" s="6">
        <f t="shared" si="24"/>
        <v>28</v>
      </c>
      <c r="Q353" s="5">
        <f t="shared" si="22"/>
        <v>467</v>
      </c>
      <c r="R353" s="5">
        <v>449</v>
      </c>
      <c r="S353" s="5">
        <v>473</v>
      </c>
      <c r="T353" s="5">
        <f t="shared" si="23"/>
        <v>6</v>
      </c>
    </row>
    <row r="354" spans="1:20">
      <c r="A354" s="1" t="s">
        <v>1245</v>
      </c>
      <c r="B354" s="1" t="s">
        <v>3198</v>
      </c>
      <c r="C354" s="4" t="s">
        <v>54</v>
      </c>
      <c r="D354" s="1" t="s">
        <v>1246</v>
      </c>
      <c r="E354" s="4" t="s">
        <v>1247</v>
      </c>
      <c r="F354" s="84">
        <v>75</v>
      </c>
      <c r="G354" s="84">
        <v>54</v>
      </c>
      <c r="H354" s="84">
        <v>59.5</v>
      </c>
      <c r="I354" s="84">
        <v>66</v>
      </c>
      <c r="J354" s="84">
        <v>67</v>
      </c>
      <c r="K354" s="84">
        <v>79</v>
      </c>
      <c r="L354" s="84">
        <v>60</v>
      </c>
      <c r="M354" s="84">
        <v>72</v>
      </c>
      <c r="N354" s="84">
        <v>60</v>
      </c>
      <c r="O354" s="5">
        <f t="shared" si="21"/>
        <v>400.5</v>
      </c>
      <c r="P354" s="6">
        <f t="shared" si="24"/>
        <v>46</v>
      </c>
      <c r="Q354" s="5">
        <f t="shared" si="22"/>
        <v>770</v>
      </c>
      <c r="R354" s="5">
        <v>453.5</v>
      </c>
      <c r="S354" s="5">
        <v>446</v>
      </c>
      <c r="T354" s="5">
        <f t="shared" si="23"/>
        <v>-324</v>
      </c>
    </row>
    <row r="355" spans="1:20">
      <c r="A355" s="1" t="s">
        <v>1248</v>
      </c>
      <c r="B355" s="1" t="s">
        <v>3198</v>
      </c>
      <c r="C355" s="4" t="s">
        <v>54</v>
      </c>
      <c r="D355" s="1" t="s">
        <v>1249</v>
      </c>
      <c r="E355" s="4" t="s">
        <v>1250</v>
      </c>
      <c r="F355" s="84">
        <v>95</v>
      </c>
      <c r="G355" s="84">
        <v>64</v>
      </c>
      <c r="H355" s="84">
        <v>84.5</v>
      </c>
      <c r="I355" s="84">
        <v>49</v>
      </c>
      <c r="J355" s="84">
        <v>45</v>
      </c>
      <c r="K355" s="84">
        <v>69</v>
      </c>
      <c r="L355" s="84">
        <v>77</v>
      </c>
      <c r="M355" s="84">
        <v>79</v>
      </c>
      <c r="N355" s="84">
        <v>47</v>
      </c>
      <c r="O355" s="5">
        <f t="shared" si="21"/>
        <v>406.5</v>
      </c>
      <c r="P355" s="6">
        <f t="shared" si="24"/>
        <v>43</v>
      </c>
      <c r="Q355" s="5">
        <f t="shared" si="22"/>
        <v>740</v>
      </c>
      <c r="R355" s="5">
        <v>474</v>
      </c>
      <c r="S355" s="5">
        <v>335</v>
      </c>
      <c r="T355" s="5">
        <f t="shared" si="23"/>
        <v>-405</v>
      </c>
    </row>
    <row r="356" spans="1:20">
      <c r="A356" s="1" t="s">
        <v>1684</v>
      </c>
      <c r="B356" s="1" t="s">
        <v>3198</v>
      </c>
      <c r="C356" s="4" t="s">
        <v>54</v>
      </c>
      <c r="D356" s="1" t="s">
        <v>1251</v>
      </c>
      <c r="E356" s="4" t="s">
        <v>1686</v>
      </c>
      <c r="F356" s="84">
        <v>112</v>
      </c>
      <c r="G356" s="84">
        <v>86</v>
      </c>
      <c r="H356" s="84">
        <v>108.5</v>
      </c>
      <c r="I356" s="84">
        <v>54</v>
      </c>
      <c r="J356" s="84">
        <v>54</v>
      </c>
      <c r="K356" s="84">
        <v>77</v>
      </c>
      <c r="L356" s="84">
        <v>67</v>
      </c>
      <c r="M356" s="84">
        <v>75</v>
      </c>
      <c r="N356" s="84">
        <v>61</v>
      </c>
      <c r="O356" s="5">
        <f t="shared" si="21"/>
        <v>491.5</v>
      </c>
      <c r="P356" s="6">
        <f t="shared" si="24"/>
        <v>12</v>
      </c>
      <c r="Q356" s="5">
        <f t="shared" si="22"/>
        <v>283</v>
      </c>
      <c r="R356" s="5">
        <v>470</v>
      </c>
      <c r="S356" s="5">
        <v>364</v>
      </c>
      <c r="T356" s="5">
        <f t="shared" si="23"/>
        <v>81</v>
      </c>
    </row>
    <row r="357" spans="1:20">
      <c r="A357" s="1" t="s">
        <v>1252</v>
      </c>
      <c r="B357" s="1" t="s">
        <v>3198</v>
      </c>
      <c r="C357" s="4" t="s">
        <v>54</v>
      </c>
      <c r="D357" s="1" t="s">
        <v>1253</v>
      </c>
      <c r="E357" s="4" t="s">
        <v>1254</v>
      </c>
      <c r="F357" s="84">
        <v>96</v>
      </c>
      <c r="G357" s="84">
        <v>70</v>
      </c>
      <c r="H357" s="84">
        <v>92</v>
      </c>
      <c r="I357" s="84">
        <v>76</v>
      </c>
      <c r="J357" s="84">
        <v>69</v>
      </c>
      <c r="K357" s="84">
        <v>73</v>
      </c>
      <c r="L357" s="84">
        <v>75</v>
      </c>
      <c r="M357" s="84">
        <v>86</v>
      </c>
      <c r="N357" s="84">
        <v>69</v>
      </c>
      <c r="O357" s="5">
        <f t="shared" si="21"/>
        <v>476</v>
      </c>
      <c r="P357" s="6">
        <f t="shared" si="24"/>
        <v>16</v>
      </c>
      <c r="Q357" s="5">
        <f t="shared" si="22"/>
        <v>358</v>
      </c>
      <c r="R357" s="5">
        <v>487</v>
      </c>
      <c r="S357" s="5">
        <v>275</v>
      </c>
      <c r="T357" s="5">
        <f t="shared" si="23"/>
        <v>-83</v>
      </c>
    </row>
    <row r="358" spans="1:20">
      <c r="A358" s="1" t="s">
        <v>1255</v>
      </c>
      <c r="B358" s="1" t="s">
        <v>3198</v>
      </c>
      <c r="C358" s="4" t="s">
        <v>54</v>
      </c>
      <c r="D358" s="1" t="s">
        <v>1256</v>
      </c>
      <c r="E358" s="4" t="s">
        <v>1257</v>
      </c>
      <c r="F358" s="84">
        <v>117</v>
      </c>
      <c r="G358" s="84">
        <v>84</v>
      </c>
      <c r="H358" s="84">
        <v>86.5</v>
      </c>
      <c r="I358" s="84">
        <v>77</v>
      </c>
      <c r="J358" s="84">
        <v>68</v>
      </c>
      <c r="K358" s="84">
        <v>85</v>
      </c>
      <c r="L358" s="84">
        <v>51</v>
      </c>
      <c r="M358" s="84">
        <v>67</v>
      </c>
      <c r="N358" s="84">
        <v>49</v>
      </c>
      <c r="O358" s="5">
        <f t="shared" si="21"/>
        <v>517.5</v>
      </c>
      <c r="P358" s="6">
        <f t="shared" si="24"/>
        <v>7</v>
      </c>
      <c r="Q358" s="5">
        <f t="shared" si="22"/>
        <v>176</v>
      </c>
      <c r="R358" s="5">
        <v>494.5</v>
      </c>
      <c r="S358" s="5">
        <v>237</v>
      </c>
      <c r="T358" s="5">
        <f t="shared" si="23"/>
        <v>61</v>
      </c>
    </row>
    <row r="359" spans="1:20">
      <c r="A359" s="1" t="s">
        <v>1258</v>
      </c>
      <c r="B359" s="1" t="s">
        <v>3198</v>
      </c>
      <c r="C359" s="4" t="s">
        <v>54</v>
      </c>
      <c r="D359" s="1" t="s">
        <v>1259</v>
      </c>
      <c r="E359" s="4" t="s">
        <v>1260</v>
      </c>
      <c r="F359" s="84">
        <v>107</v>
      </c>
      <c r="G359" s="84">
        <v>106</v>
      </c>
      <c r="H359" s="84">
        <v>75.5</v>
      </c>
      <c r="I359" s="84">
        <v>95</v>
      </c>
      <c r="J359" s="84">
        <v>46</v>
      </c>
      <c r="K359" s="84">
        <v>72</v>
      </c>
      <c r="L359" s="84">
        <v>59</v>
      </c>
      <c r="M359" s="84">
        <v>70</v>
      </c>
      <c r="N359" s="84">
        <v>51</v>
      </c>
      <c r="O359" s="5">
        <f t="shared" si="21"/>
        <v>501.5</v>
      </c>
      <c r="P359" s="6">
        <f t="shared" si="24"/>
        <v>9</v>
      </c>
      <c r="Q359" s="5">
        <f t="shared" si="22"/>
        <v>239</v>
      </c>
      <c r="R359" s="5">
        <v>474</v>
      </c>
      <c r="S359" s="5">
        <v>335</v>
      </c>
      <c r="T359" s="5">
        <f t="shared" si="23"/>
        <v>96</v>
      </c>
    </row>
    <row r="360" spans="1:20">
      <c r="A360" s="1" t="s">
        <v>1261</v>
      </c>
      <c r="B360" s="1" t="s">
        <v>3198</v>
      </c>
      <c r="C360" s="4" t="s">
        <v>54</v>
      </c>
      <c r="D360" s="1" t="s">
        <v>1262</v>
      </c>
      <c r="E360" s="4" t="s">
        <v>1263</v>
      </c>
      <c r="F360" s="84">
        <v>96</v>
      </c>
      <c r="G360" s="84">
        <v>35</v>
      </c>
      <c r="H360" s="84">
        <v>75.5</v>
      </c>
      <c r="I360" s="84">
        <v>28</v>
      </c>
      <c r="J360" s="84">
        <v>59</v>
      </c>
      <c r="K360" s="84">
        <v>59</v>
      </c>
      <c r="L360" s="84">
        <v>63</v>
      </c>
      <c r="M360" s="84">
        <v>70</v>
      </c>
      <c r="N360" s="84">
        <v>45</v>
      </c>
      <c r="O360" s="5">
        <f t="shared" si="21"/>
        <v>352.5</v>
      </c>
      <c r="P360" s="6">
        <f t="shared" si="24"/>
        <v>53</v>
      </c>
      <c r="Q360" s="5">
        <f t="shared" si="22"/>
        <v>890</v>
      </c>
      <c r="R360" s="5">
        <v>375.5</v>
      </c>
      <c r="S360" s="5">
        <v>820</v>
      </c>
      <c r="T360" s="5">
        <f t="shared" si="23"/>
        <v>-70</v>
      </c>
    </row>
    <row r="361" spans="1:20">
      <c r="A361" s="1" t="s">
        <v>1264</v>
      </c>
      <c r="B361" s="1" t="s">
        <v>3198</v>
      </c>
      <c r="C361" s="4" t="s">
        <v>54</v>
      </c>
      <c r="D361" s="1" t="s">
        <v>1265</v>
      </c>
      <c r="E361" s="4" t="s">
        <v>1266</v>
      </c>
      <c r="F361" s="84">
        <v>86</v>
      </c>
      <c r="G361" s="84">
        <v>72</v>
      </c>
      <c r="H361" s="84">
        <v>80</v>
      </c>
      <c r="I361" s="84">
        <v>78</v>
      </c>
      <c r="J361" s="84">
        <v>53</v>
      </c>
      <c r="K361" s="84">
        <v>62</v>
      </c>
      <c r="L361" s="84">
        <v>53</v>
      </c>
      <c r="M361" s="84">
        <v>71</v>
      </c>
      <c r="N361" s="84">
        <v>45</v>
      </c>
      <c r="O361" s="5">
        <f t="shared" si="21"/>
        <v>431</v>
      </c>
      <c r="P361" s="6">
        <f t="shared" si="24"/>
        <v>39</v>
      </c>
      <c r="Q361" s="5">
        <f t="shared" si="22"/>
        <v>616</v>
      </c>
      <c r="R361" s="5">
        <v>413</v>
      </c>
      <c r="S361" s="5">
        <v>665</v>
      </c>
      <c r="T361" s="5">
        <f t="shared" si="23"/>
        <v>49</v>
      </c>
    </row>
    <row r="362" spans="1:20">
      <c r="A362" s="1" t="s">
        <v>1267</v>
      </c>
      <c r="B362" s="1" t="s">
        <v>3198</v>
      </c>
      <c r="C362" s="4" t="s">
        <v>54</v>
      </c>
      <c r="D362" s="1" t="s">
        <v>1268</v>
      </c>
      <c r="E362" s="4" t="s">
        <v>1269</v>
      </c>
      <c r="F362" s="84">
        <v>111</v>
      </c>
      <c r="G362" s="84">
        <v>50</v>
      </c>
      <c r="H362" s="84">
        <v>69</v>
      </c>
      <c r="I362" s="84">
        <v>49</v>
      </c>
      <c r="J362" s="84">
        <v>48</v>
      </c>
      <c r="K362" s="84">
        <v>54</v>
      </c>
      <c r="L362" s="84">
        <v>61</v>
      </c>
      <c r="M362" s="84">
        <v>64</v>
      </c>
      <c r="N362" s="84">
        <v>46</v>
      </c>
      <c r="O362" s="5">
        <f t="shared" si="21"/>
        <v>381</v>
      </c>
      <c r="P362" s="6">
        <f t="shared" si="24"/>
        <v>50</v>
      </c>
      <c r="Q362" s="5">
        <f t="shared" si="22"/>
        <v>827</v>
      </c>
      <c r="R362" s="5">
        <v>367.5</v>
      </c>
      <c r="S362" s="5">
        <v>845</v>
      </c>
      <c r="T362" s="5">
        <f t="shared" si="23"/>
        <v>18</v>
      </c>
    </row>
    <row r="363" spans="1:20">
      <c r="A363" s="1" t="s">
        <v>1270</v>
      </c>
      <c r="B363" s="1" t="s">
        <v>3198</v>
      </c>
      <c r="C363" s="4" t="s">
        <v>54</v>
      </c>
      <c r="D363" s="1" t="s">
        <v>1271</v>
      </c>
      <c r="E363" s="4" t="s">
        <v>1272</v>
      </c>
      <c r="F363" s="84">
        <v>97</v>
      </c>
      <c r="G363" s="84">
        <v>45</v>
      </c>
      <c r="H363" s="84">
        <v>60.5</v>
      </c>
      <c r="I363" s="84">
        <v>86</v>
      </c>
      <c r="J363" s="84">
        <v>90</v>
      </c>
      <c r="K363" s="84">
        <v>85</v>
      </c>
      <c r="L363" s="84">
        <v>72</v>
      </c>
      <c r="M363" s="84">
        <v>72</v>
      </c>
      <c r="N363" s="84">
        <v>70</v>
      </c>
      <c r="O363" s="5">
        <f t="shared" si="21"/>
        <v>463.5</v>
      </c>
      <c r="P363" s="6">
        <f t="shared" si="24"/>
        <v>24</v>
      </c>
      <c r="Q363" s="5">
        <f t="shared" si="22"/>
        <v>434</v>
      </c>
      <c r="R363" s="5">
        <v>430</v>
      </c>
      <c r="S363" s="5">
        <v>573</v>
      </c>
      <c r="T363" s="5">
        <f t="shared" si="23"/>
        <v>139</v>
      </c>
    </row>
    <row r="364" spans="1:20">
      <c r="A364" s="1" t="s">
        <v>1273</v>
      </c>
      <c r="B364" s="1" t="s">
        <v>3198</v>
      </c>
      <c r="C364" s="4" t="s">
        <v>54</v>
      </c>
      <c r="D364" s="1" t="s">
        <v>1274</v>
      </c>
      <c r="E364" s="4" t="s">
        <v>1275</v>
      </c>
      <c r="F364" s="84">
        <v>108</v>
      </c>
      <c r="G364" s="84">
        <v>65</v>
      </c>
      <c r="H364" s="84">
        <v>84</v>
      </c>
      <c r="I364" s="84">
        <v>53</v>
      </c>
      <c r="J364" s="84">
        <v>56</v>
      </c>
      <c r="K364" s="84">
        <v>68</v>
      </c>
      <c r="L364" s="84">
        <v>73</v>
      </c>
      <c r="M364" s="84">
        <v>57</v>
      </c>
      <c r="N364" s="84">
        <v>57</v>
      </c>
      <c r="O364" s="5">
        <f t="shared" si="21"/>
        <v>434</v>
      </c>
      <c r="P364" s="6">
        <f t="shared" si="24"/>
        <v>37</v>
      </c>
      <c r="Q364" s="5">
        <f t="shared" si="22"/>
        <v>604</v>
      </c>
      <c r="R364" s="5">
        <v>413</v>
      </c>
      <c r="S364" s="5">
        <v>665</v>
      </c>
      <c r="T364" s="5">
        <f t="shared" si="23"/>
        <v>61</v>
      </c>
    </row>
    <row r="365" spans="1:20">
      <c r="A365" s="1" t="s">
        <v>1276</v>
      </c>
      <c r="B365" s="1" t="s">
        <v>3198</v>
      </c>
      <c r="C365" s="4" t="s">
        <v>54</v>
      </c>
      <c r="D365" s="1" t="s">
        <v>1277</v>
      </c>
      <c r="E365" s="4" t="s">
        <v>1278</v>
      </c>
      <c r="F365" s="84">
        <v>105</v>
      </c>
      <c r="G365" s="84">
        <v>47</v>
      </c>
      <c r="H365" s="84">
        <v>82</v>
      </c>
      <c r="I365" s="84">
        <v>42</v>
      </c>
      <c r="J365" s="84">
        <v>48</v>
      </c>
      <c r="K365" s="84">
        <v>71</v>
      </c>
      <c r="L365" s="84">
        <v>67</v>
      </c>
      <c r="M365" s="84">
        <v>58</v>
      </c>
      <c r="N365" s="84">
        <v>59</v>
      </c>
      <c r="O365" s="5">
        <f t="shared" si="21"/>
        <v>395</v>
      </c>
      <c r="P365" s="6">
        <f t="shared" si="24"/>
        <v>48</v>
      </c>
      <c r="Q365" s="5">
        <f t="shared" si="22"/>
        <v>789</v>
      </c>
      <c r="R365" s="5">
        <v>411.5</v>
      </c>
      <c r="S365" s="5">
        <v>674</v>
      </c>
      <c r="T365" s="5">
        <f t="shared" si="23"/>
        <v>-115</v>
      </c>
    </row>
    <row r="366" spans="1:20">
      <c r="A366" s="1" t="s">
        <v>1279</v>
      </c>
      <c r="B366" s="1" t="s">
        <v>3198</v>
      </c>
      <c r="C366" s="4" t="s">
        <v>54</v>
      </c>
      <c r="D366" s="1" t="s">
        <v>1280</v>
      </c>
      <c r="E366" s="4" t="s">
        <v>1281</v>
      </c>
      <c r="F366" s="84">
        <v>91</v>
      </c>
      <c r="G366" s="84">
        <v>18</v>
      </c>
      <c r="H366" s="84">
        <v>63.5</v>
      </c>
      <c r="I366" s="84">
        <v>36</v>
      </c>
      <c r="J366" s="84">
        <v>30</v>
      </c>
      <c r="K366" s="84">
        <v>55</v>
      </c>
      <c r="L366" s="84">
        <v>74</v>
      </c>
      <c r="M366" s="84">
        <v>54</v>
      </c>
      <c r="N366" s="84">
        <v>43</v>
      </c>
      <c r="O366" s="5">
        <f t="shared" si="21"/>
        <v>293.5</v>
      </c>
      <c r="P366" s="6">
        <f t="shared" si="24"/>
        <v>55</v>
      </c>
      <c r="Q366" s="5">
        <f t="shared" si="22"/>
        <v>929</v>
      </c>
      <c r="R366" s="5">
        <v>425.5</v>
      </c>
      <c r="S366" s="5">
        <v>602</v>
      </c>
      <c r="T366" s="5">
        <f t="shared" si="23"/>
        <v>-327</v>
      </c>
    </row>
    <row r="367" spans="1:20">
      <c r="A367" s="1" t="s">
        <v>1282</v>
      </c>
      <c r="B367" s="1" t="s">
        <v>3198</v>
      </c>
      <c r="C367" s="4" t="s">
        <v>54</v>
      </c>
      <c r="D367" s="1" t="s">
        <v>1283</v>
      </c>
      <c r="E367" s="4" t="s">
        <v>1284</v>
      </c>
      <c r="F367" s="84">
        <v>99</v>
      </c>
      <c r="G367" s="84">
        <v>81</v>
      </c>
      <c r="H367" s="84">
        <v>76</v>
      </c>
      <c r="I367" s="84">
        <v>50</v>
      </c>
      <c r="J367" s="84">
        <v>66</v>
      </c>
      <c r="K367" s="84">
        <v>74</v>
      </c>
      <c r="L367" s="84">
        <v>80</v>
      </c>
      <c r="M367" s="84">
        <v>52</v>
      </c>
      <c r="N367" s="84">
        <v>49</v>
      </c>
      <c r="O367" s="5">
        <f t="shared" si="21"/>
        <v>446</v>
      </c>
      <c r="P367" s="6">
        <f t="shared" si="24"/>
        <v>33</v>
      </c>
      <c r="Q367" s="5">
        <f t="shared" si="22"/>
        <v>538</v>
      </c>
      <c r="R367" s="5"/>
      <c r="S367" s="5"/>
      <c r="T367" s="5"/>
    </row>
    <row r="368" spans="1:20">
      <c r="A368" s="1" t="s">
        <v>1285</v>
      </c>
      <c r="B368" s="1" t="s">
        <v>3198</v>
      </c>
      <c r="C368" s="4" t="s">
        <v>54</v>
      </c>
      <c r="D368" s="1" t="s">
        <v>1286</v>
      </c>
      <c r="E368" s="4" t="s">
        <v>1287</v>
      </c>
      <c r="F368" s="84">
        <v>105</v>
      </c>
      <c r="G368" s="84">
        <v>94</v>
      </c>
      <c r="H368" s="84">
        <v>95</v>
      </c>
      <c r="I368" s="84">
        <v>84</v>
      </c>
      <c r="J368" s="84">
        <v>76</v>
      </c>
      <c r="K368" s="84">
        <v>86</v>
      </c>
      <c r="L368" s="84">
        <v>66</v>
      </c>
      <c r="M368" s="84">
        <v>67</v>
      </c>
      <c r="N368" s="84">
        <v>56</v>
      </c>
      <c r="O368" s="5">
        <f t="shared" si="21"/>
        <v>540</v>
      </c>
      <c r="P368" s="6">
        <f t="shared" si="24"/>
        <v>2</v>
      </c>
      <c r="Q368" s="5">
        <f t="shared" si="22"/>
        <v>104</v>
      </c>
      <c r="R368" s="5">
        <v>528.5</v>
      </c>
      <c r="S368" s="5">
        <v>110</v>
      </c>
      <c r="T368" s="5">
        <f t="shared" si="23"/>
        <v>6</v>
      </c>
    </row>
    <row r="369" spans="1:20">
      <c r="A369" s="1" t="s">
        <v>1288</v>
      </c>
      <c r="B369" s="1" t="s">
        <v>3198</v>
      </c>
      <c r="C369" s="4" t="s">
        <v>54</v>
      </c>
      <c r="D369" s="1" t="s">
        <v>1289</v>
      </c>
      <c r="E369" s="4" t="s">
        <v>1290</v>
      </c>
      <c r="F369" s="84">
        <v>104</v>
      </c>
      <c r="G369" s="84">
        <v>60</v>
      </c>
      <c r="H369" s="84">
        <v>98</v>
      </c>
      <c r="I369" s="84">
        <v>62</v>
      </c>
      <c r="J369" s="84">
        <v>61</v>
      </c>
      <c r="K369" s="84">
        <v>83</v>
      </c>
      <c r="L369" s="84">
        <v>76</v>
      </c>
      <c r="M369" s="84">
        <v>62</v>
      </c>
      <c r="N369" s="84">
        <v>48</v>
      </c>
      <c r="O369" s="5">
        <f t="shared" si="21"/>
        <v>468</v>
      </c>
      <c r="P369" s="6">
        <f t="shared" si="24"/>
        <v>21</v>
      </c>
      <c r="Q369" s="5">
        <f t="shared" si="22"/>
        <v>405</v>
      </c>
      <c r="R369" s="5">
        <v>494</v>
      </c>
      <c r="S369" s="5">
        <v>242</v>
      </c>
      <c r="T369" s="5">
        <f t="shared" si="23"/>
        <v>-163</v>
      </c>
    </row>
    <row r="370" spans="1:20">
      <c r="A370" s="1" t="s">
        <v>1291</v>
      </c>
      <c r="B370" s="1" t="s">
        <v>3198</v>
      </c>
      <c r="C370" s="4" t="s">
        <v>54</v>
      </c>
      <c r="D370" s="1" t="s">
        <v>1292</v>
      </c>
      <c r="E370" s="4" t="s">
        <v>1293</v>
      </c>
      <c r="F370" s="84">
        <v>96</v>
      </c>
      <c r="G370" s="84">
        <v>52</v>
      </c>
      <c r="H370" s="84">
        <v>78</v>
      </c>
      <c r="I370" s="84">
        <v>46</v>
      </c>
      <c r="J370" s="84">
        <v>27</v>
      </c>
      <c r="K370" s="84">
        <v>66</v>
      </c>
      <c r="L370" s="84">
        <v>56</v>
      </c>
      <c r="M370" s="84">
        <v>59</v>
      </c>
      <c r="N370" s="84">
        <v>40</v>
      </c>
      <c r="O370" s="5">
        <f t="shared" si="21"/>
        <v>365</v>
      </c>
      <c r="P370" s="6">
        <f t="shared" si="24"/>
        <v>52</v>
      </c>
      <c r="Q370" s="5">
        <f t="shared" si="22"/>
        <v>870</v>
      </c>
      <c r="R370" s="5">
        <v>277</v>
      </c>
      <c r="S370" s="5">
        <v>930</v>
      </c>
      <c r="T370" s="5">
        <f t="shared" si="23"/>
        <v>60</v>
      </c>
    </row>
    <row r="371" spans="1:20">
      <c r="A371" s="1" t="s">
        <v>1294</v>
      </c>
      <c r="B371" s="1" t="s">
        <v>3198</v>
      </c>
      <c r="C371" s="4" t="s">
        <v>54</v>
      </c>
      <c r="D371" s="1" t="s">
        <v>1295</v>
      </c>
      <c r="E371" s="4" t="s">
        <v>55</v>
      </c>
      <c r="F371" s="84">
        <v>121</v>
      </c>
      <c r="G371" s="84">
        <v>76</v>
      </c>
      <c r="H371" s="84">
        <v>103.5</v>
      </c>
      <c r="I371" s="84">
        <v>55</v>
      </c>
      <c r="J371" s="84">
        <v>56</v>
      </c>
      <c r="K371" s="84">
        <v>77</v>
      </c>
      <c r="L371" s="84">
        <v>82</v>
      </c>
      <c r="M371" s="84">
        <v>63</v>
      </c>
      <c r="N371" s="84">
        <v>47</v>
      </c>
      <c r="O371" s="5">
        <f t="shared" si="21"/>
        <v>488.5</v>
      </c>
      <c r="P371" s="6">
        <f t="shared" si="24"/>
        <v>13</v>
      </c>
      <c r="Q371" s="5">
        <f t="shared" si="22"/>
        <v>297</v>
      </c>
      <c r="R371" s="5">
        <v>469</v>
      </c>
      <c r="S371" s="5">
        <v>372</v>
      </c>
      <c r="T371" s="5">
        <f t="shared" si="23"/>
        <v>75</v>
      </c>
    </row>
    <row r="372" spans="1:20">
      <c r="A372" s="1" t="s">
        <v>1296</v>
      </c>
      <c r="B372" s="1" t="s">
        <v>3198</v>
      </c>
      <c r="C372" s="4" t="s">
        <v>54</v>
      </c>
      <c r="D372" s="1" t="s">
        <v>1297</v>
      </c>
      <c r="E372" s="1" t="s">
        <v>1298</v>
      </c>
      <c r="F372" s="84">
        <v>108</v>
      </c>
      <c r="G372" s="84">
        <v>50</v>
      </c>
      <c r="H372" s="84">
        <v>86.5</v>
      </c>
      <c r="I372" s="84">
        <v>72</v>
      </c>
      <c r="J372" s="84">
        <v>48</v>
      </c>
      <c r="K372" s="84">
        <v>69</v>
      </c>
      <c r="L372" s="84">
        <v>71</v>
      </c>
      <c r="M372" s="84">
        <v>72</v>
      </c>
      <c r="N372" s="84">
        <v>50</v>
      </c>
      <c r="O372" s="5">
        <f t="shared" si="21"/>
        <v>433.5</v>
      </c>
      <c r="P372" s="6">
        <f t="shared" si="24"/>
        <v>38</v>
      </c>
      <c r="Q372" s="5">
        <f t="shared" si="22"/>
        <v>607</v>
      </c>
      <c r="R372" s="5">
        <v>455</v>
      </c>
      <c r="S372" s="5">
        <v>439</v>
      </c>
      <c r="T372" s="5">
        <f t="shared" si="23"/>
        <v>-168</v>
      </c>
    </row>
    <row r="373" spans="1:20">
      <c r="A373" s="1" t="s">
        <v>1299</v>
      </c>
      <c r="B373" s="1" t="s">
        <v>3198</v>
      </c>
      <c r="C373" s="4" t="s">
        <v>54</v>
      </c>
      <c r="D373" s="1" t="s">
        <v>1300</v>
      </c>
      <c r="E373" s="4" t="s">
        <v>1301</v>
      </c>
      <c r="F373" s="84">
        <v>112</v>
      </c>
      <c r="G373" s="84">
        <v>67</v>
      </c>
      <c r="H373" s="84">
        <v>79.5</v>
      </c>
      <c r="I373" s="84">
        <v>72</v>
      </c>
      <c r="J373" s="84">
        <v>67</v>
      </c>
      <c r="K373" s="84">
        <v>77</v>
      </c>
      <c r="L373" s="84">
        <v>69</v>
      </c>
      <c r="M373" s="84">
        <v>62</v>
      </c>
      <c r="N373" s="84">
        <v>49</v>
      </c>
      <c r="O373" s="5">
        <f t="shared" si="21"/>
        <v>474.5</v>
      </c>
      <c r="P373" s="6">
        <f t="shared" si="24"/>
        <v>18</v>
      </c>
      <c r="Q373" s="5">
        <f t="shared" si="22"/>
        <v>370</v>
      </c>
      <c r="R373" s="5">
        <v>470.5</v>
      </c>
      <c r="S373" s="5">
        <v>362</v>
      </c>
      <c r="T373" s="5">
        <f t="shared" si="23"/>
        <v>-8</v>
      </c>
    </row>
    <row r="374" spans="1:20">
      <c r="A374" s="1" t="s">
        <v>1302</v>
      </c>
      <c r="B374" s="1" t="s">
        <v>3198</v>
      </c>
      <c r="C374" s="4" t="s">
        <v>54</v>
      </c>
      <c r="D374" s="1" t="s">
        <v>1303</v>
      </c>
      <c r="E374" s="4" t="s">
        <v>1304</v>
      </c>
      <c r="F374" s="84">
        <v>92</v>
      </c>
      <c r="G374" s="84">
        <v>55</v>
      </c>
      <c r="H374" s="84">
        <v>75</v>
      </c>
      <c r="I374" s="84">
        <v>45</v>
      </c>
      <c r="J374" s="84">
        <v>42</v>
      </c>
      <c r="K374" s="84">
        <v>68</v>
      </c>
      <c r="L374" s="84">
        <v>61</v>
      </c>
      <c r="M374" s="84">
        <v>73</v>
      </c>
      <c r="N374" s="84">
        <v>47</v>
      </c>
      <c r="O374" s="5">
        <f t="shared" si="21"/>
        <v>377</v>
      </c>
      <c r="P374" s="6">
        <f t="shared" si="24"/>
        <v>51</v>
      </c>
      <c r="Q374" s="5">
        <f t="shared" si="22"/>
        <v>835</v>
      </c>
      <c r="R374" s="5">
        <v>373</v>
      </c>
      <c r="S374" s="5">
        <v>829</v>
      </c>
      <c r="T374" s="5">
        <f t="shared" si="23"/>
        <v>-6</v>
      </c>
    </row>
    <row r="375" spans="1:20">
      <c r="A375" s="1" t="s">
        <v>1698</v>
      </c>
      <c r="B375" s="1" t="s">
        <v>3198</v>
      </c>
      <c r="C375" s="4" t="s">
        <v>54</v>
      </c>
      <c r="D375" s="1" t="s">
        <v>1306</v>
      </c>
      <c r="E375" s="4" t="s">
        <v>1700</v>
      </c>
      <c r="F375" s="84">
        <v>108</v>
      </c>
      <c r="G375" s="84">
        <v>63</v>
      </c>
      <c r="H375" s="84">
        <v>84</v>
      </c>
      <c r="I375" s="84">
        <v>48</v>
      </c>
      <c r="J375" s="84">
        <v>45</v>
      </c>
      <c r="K375" s="84">
        <v>74</v>
      </c>
      <c r="L375" s="84">
        <v>62</v>
      </c>
      <c r="M375" s="84">
        <v>62</v>
      </c>
      <c r="N375" s="84">
        <v>44</v>
      </c>
      <c r="O375" s="5">
        <f t="shared" si="21"/>
        <v>422</v>
      </c>
      <c r="P375" s="6">
        <f t="shared" si="24"/>
        <v>40</v>
      </c>
      <c r="Q375" s="5">
        <f t="shared" si="22"/>
        <v>664</v>
      </c>
      <c r="R375" s="5">
        <v>411</v>
      </c>
      <c r="S375" s="5">
        <v>679</v>
      </c>
      <c r="T375" s="5">
        <f t="shared" si="23"/>
        <v>15</v>
      </c>
    </row>
    <row r="376" spans="1:20">
      <c r="A376" s="1" t="s">
        <v>1307</v>
      </c>
      <c r="B376" s="1" t="s">
        <v>3198</v>
      </c>
      <c r="C376" s="4" t="s">
        <v>54</v>
      </c>
      <c r="D376" s="1" t="s">
        <v>1308</v>
      </c>
      <c r="E376" s="4" t="s">
        <v>1309</v>
      </c>
      <c r="F376" s="84">
        <v>116</v>
      </c>
      <c r="G376" s="84">
        <v>76</v>
      </c>
      <c r="H376" s="84">
        <v>91.5</v>
      </c>
      <c r="I376" s="84">
        <v>56</v>
      </c>
      <c r="J376" s="84">
        <v>64</v>
      </c>
      <c r="K376" s="84">
        <v>76</v>
      </c>
      <c r="L376" s="84">
        <v>75</v>
      </c>
      <c r="M376" s="84">
        <v>74</v>
      </c>
      <c r="N376" s="84">
        <v>45</v>
      </c>
      <c r="O376" s="5">
        <f t="shared" si="21"/>
        <v>479.5</v>
      </c>
      <c r="P376" s="6">
        <f t="shared" si="24"/>
        <v>15</v>
      </c>
      <c r="Q376" s="5">
        <f t="shared" si="22"/>
        <v>340</v>
      </c>
      <c r="R376" s="5">
        <v>495</v>
      </c>
      <c r="S376" s="5">
        <v>234</v>
      </c>
      <c r="T376" s="5">
        <f t="shared" si="23"/>
        <v>-106</v>
      </c>
    </row>
    <row r="377" spans="1:20">
      <c r="A377" s="1" t="s">
        <v>1310</v>
      </c>
      <c r="B377" s="1" t="s">
        <v>3198</v>
      </c>
      <c r="C377" s="4" t="s">
        <v>54</v>
      </c>
      <c r="D377" s="1" t="s">
        <v>1311</v>
      </c>
      <c r="E377" s="4" t="s">
        <v>1312</v>
      </c>
      <c r="F377" s="84">
        <v>101</v>
      </c>
      <c r="G377" s="84">
        <v>73</v>
      </c>
      <c r="H377" s="84">
        <v>82.5</v>
      </c>
      <c r="I377" s="84">
        <v>65</v>
      </c>
      <c r="J377" s="84">
        <v>51</v>
      </c>
      <c r="K377" s="84">
        <v>62</v>
      </c>
      <c r="L377" s="84">
        <v>66</v>
      </c>
      <c r="M377" s="84">
        <v>73</v>
      </c>
      <c r="N377" s="84">
        <v>49</v>
      </c>
      <c r="O377" s="5">
        <f t="shared" si="21"/>
        <v>434.5</v>
      </c>
      <c r="P377" s="6">
        <f t="shared" si="24"/>
        <v>36</v>
      </c>
      <c r="Q377" s="5">
        <f t="shared" si="22"/>
        <v>600</v>
      </c>
      <c r="R377" s="5">
        <v>455</v>
      </c>
      <c r="S377" s="5">
        <v>439</v>
      </c>
      <c r="T377" s="5">
        <f t="shared" si="23"/>
        <v>-161</v>
      </c>
    </row>
    <row r="378" spans="1:20">
      <c r="A378" s="1" t="s">
        <v>1313</v>
      </c>
      <c r="B378" s="1" t="s">
        <v>3198</v>
      </c>
      <c r="C378" s="4" t="s">
        <v>54</v>
      </c>
      <c r="D378" s="1" t="s">
        <v>1314</v>
      </c>
      <c r="E378" s="4" t="s">
        <v>1315</v>
      </c>
      <c r="F378" s="84">
        <v>102</v>
      </c>
      <c r="G378" s="84">
        <v>88</v>
      </c>
      <c r="H378" s="84">
        <v>74</v>
      </c>
      <c r="I378" s="84">
        <v>85</v>
      </c>
      <c r="J378" s="84">
        <v>51</v>
      </c>
      <c r="K378" s="84">
        <v>59</v>
      </c>
      <c r="L378" s="84">
        <v>78</v>
      </c>
      <c r="M378" s="84">
        <v>65</v>
      </c>
      <c r="N378" s="84">
        <v>59</v>
      </c>
      <c r="O378" s="5">
        <f t="shared" si="21"/>
        <v>459</v>
      </c>
      <c r="P378" s="6">
        <f t="shared" si="24"/>
        <v>26</v>
      </c>
      <c r="Q378" s="5">
        <f t="shared" si="22"/>
        <v>460</v>
      </c>
      <c r="R378" s="5">
        <v>452</v>
      </c>
      <c r="S378" s="5">
        <v>456</v>
      </c>
      <c r="T378" s="5">
        <f t="shared" si="23"/>
        <v>-4</v>
      </c>
    </row>
    <row r="379" spans="1:20">
      <c r="A379" s="1" t="s">
        <v>1316</v>
      </c>
      <c r="B379" s="1" t="s">
        <v>3198</v>
      </c>
      <c r="C379" s="4" t="s">
        <v>54</v>
      </c>
      <c r="D379" s="1" t="s">
        <v>1317</v>
      </c>
      <c r="E379" s="4" t="s">
        <v>1318</v>
      </c>
      <c r="F379" s="84">
        <v>99</v>
      </c>
      <c r="G379" s="84">
        <v>73</v>
      </c>
      <c r="H379" s="84">
        <v>79.5</v>
      </c>
      <c r="I379" s="84">
        <v>69</v>
      </c>
      <c r="J379" s="84">
        <v>64</v>
      </c>
      <c r="K379" s="84">
        <v>82</v>
      </c>
      <c r="L379" s="84">
        <v>82</v>
      </c>
      <c r="M379" s="84">
        <v>67</v>
      </c>
      <c r="N379" s="84">
        <v>49</v>
      </c>
      <c r="O379" s="5">
        <f t="shared" si="21"/>
        <v>466.5</v>
      </c>
      <c r="P379" s="6">
        <f t="shared" si="24"/>
        <v>23</v>
      </c>
      <c r="Q379" s="5">
        <f t="shared" si="22"/>
        <v>414</v>
      </c>
      <c r="R379" s="5">
        <v>468</v>
      </c>
      <c r="S379" s="5">
        <v>380</v>
      </c>
      <c r="T379" s="5">
        <f t="shared" si="23"/>
        <v>-34</v>
      </c>
    </row>
    <row r="380" spans="1:20">
      <c r="A380" s="1" t="s">
        <v>1319</v>
      </c>
      <c r="B380" s="1" t="s">
        <v>3198</v>
      </c>
      <c r="C380" s="4" t="s">
        <v>54</v>
      </c>
      <c r="D380" s="1" t="s">
        <v>1320</v>
      </c>
      <c r="E380" s="4" t="s">
        <v>1321</v>
      </c>
      <c r="F380" s="84">
        <v>100</v>
      </c>
      <c r="G380" s="84">
        <v>83</v>
      </c>
      <c r="H380" s="84">
        <v>84.5</v>
      </c>
      <c r="I380" s="84">
        <v>60</v>
      </c>
      <c r="J380" s="84">
        <v>65</v>
      </c>
      <c r="K380" s="84">
        <v>71</v>
      </c>
      <c r="L380" s="84">
        <v>79</v>
      </c>
      <c r="M380" s="84">
        <v>81</v>
      </c>
      <c r="N380" s="84">
        <v>59</v>
      </c>
      <c r="O380" s="5">
        <f t="shared" si="21"/>
        <v>463.5</v>
      </c>
      <c r="P380" s="6">
        <f t="shared" si="24"/>
        <v>24</v>
      </c>
      <c r="Q380" s="5">
        <f t="shared" si="22"/>
        <v>434</v>
      </c>
      <c r="R380" s="5">
        <v>489.5</v>
      </c>
      <c r="S380" s="5">
        <v>261</v>
      </c>
      <c r="T380" s="5">
        <f t="shared" si="23"/>
        <v>-173</v>
      </c>
    </row>
    <row r="381" spans="1:20">
      <c r="A381" s="1" t="s">
        <v>1322</v>
      </c>
      <c r="B381" s="1" t="s">
        <v>3198</v>
      </c>
      <c r="C381" s="4" t="s">
        <v>54</v>
      </c>
      <c r="D381" s="1" t="s">
        <v>1323</v>
      </c>
      <c r="E381" s="4" t="s">
        <v>1324</v>
      </c>
      <c r="F381" s="84">
        <v>102</v>
      </c>
      <c r="G381" s="84">
        <v>91</v>
      </c>
      <c r="H381" s="84">
        <v>79</v>
      </c>
      <c r="I381" s="84">
        <v>73</v>
      </c>
      <c r="J381" s="84">
        <v>47</v>
      </c>
      <c r="K381" s="84">
        <v>80</v>
      </c>
      <c r="L381" s="84">
        <v>74</v>
      </c>
      <c r="M381" s="84">
        <v>74</v>
      </c>
      <c r="N381" s="84">
        <v>55</v>
      </c>
      <c r="O381" s="5">
        <f t="shared" si="21"/>
        <v>472</v>
      </c>
      <c r="P381" s="6">
        <f t="shared" si="24"/>
        <v>19</v>
      </c>
      <c r="Q381" s="5">
        <f t="shared" si="22"/>
        <v>381</v>
      </c>
      <c r="R381" s="5">
        <v>466.5</v>
      </c>
      <c r="S381" s="5">
        <v>384</v>
      </c>
      <c r="T381" s="5">
        <f t="shared" si="23"/>
        <v>3</v>
      </c>
    </row>
    <row r="382" spans="1:20">
      <c r="A382" s="1" t="s">
        <v>1325</v>
      </c>
      <c r="B382" s="1" t="s">
        <v>3198</v>
      </c>
      <c r="C382" s="4" t="s">
        <v>54</v>
      </c>
      <c r="D382" s="1" t="s">
        <v>1326</v>
      </c>
      <c r="E382" s="4" t="s">
        <v>1327</v>
      </c>
      <c r="F382" s="84">
        <v>92</v>
      </c>
      <c r="G382" s="84">
        <v>66</v>
      </c>
      <c r="H382" s="84">
        <v>75</v>
      </c>
      <c r="I382" s="84">
        <v>55</v>
      </c>
      <c r="J382" s="84">
        <v>49</v>
      </c>
      <c r="K382" s="84">
        <v>56</v>
      </c>
      <c r="L382" s="84">
        <v>62</v>
      </c>
      <c r="M382" s="84">
        <v>54</v>
      </c>
      <c r="N382" s="84">
        <v>44</v>
      </c>
      <c r="O382" s="5">
        <f t="shared" si="21"/>
        <v>393</v>
      </c>
      <c r="P382" s="6">
        <f t="shared" si="24"/>
        <v>49</v>
      </c>
      <c r="Q382" s="5">
        <f t="shared" si="22"/>
        <v>794</v>
      </c>
      <c r="R382" s="5">
        <v>382.5</v>
      </c>
      <c r="S382" s="5">
        <v>797</v>
      </c>
      <c r="T382" s="5">
        <f t="shared" si="23"/>
        <v>3</v>
      </c>
    </row>
    <row r="383" spans="1:20">
      <c r="A383" s="1" t="s">
        <v>1328</v>
      </c>
      <c r="B383" s="1" t="s">
        <v>3198</v>
      </c>
      <c r="C383" s="4" t="s">
        <v>54</v>
      </c>
      <c r="D383" s="1" t="s">
        <v>1329</v>
      </c>
      <c r="E383" s="4" t="s">
        <v>1330</v>
      </c>
      <c r="F383" s="84">
        <v>110</v>
      </c>
      <c r="G383" s="84">
        <v>92</v>
      </c>
      <c r="H383" s="84">
        <v>75.5</v>
      </c>
      <c r="I383" s="84">
        <v>58</v>
      </c>
      <c r="J383" s="84">
        <v>64</v>
      </c>
      <c r="K383" s="84">
        <v>76</v>
      </c>
      <c r="L383" s="84">
        <v>67</v>
      </c>
      <c r="M383" s="84">
        <v>45</v>
      </c>
      <c r="N383" s="84">
        <v>53</v>
      </c>
      <c r="O383" s="5">
        <f t="shared" si="21"/>
        <v>475.5</v>
      </c>
      <c r="P383" s="6">
        <f t="shared" si="24"/>
        <v>17</v>
      </c>
      <c r="Q383" s="5">
        <f t="shared" si="22"/>
        <v>366</v>
      </c>
      <c r="R383" s="5">
        <v>448.5</v>
      </c>
      <c r="S383" s="5">
        <v>477</v>
      </c>
      <c r="T383" s="5">
        <f t="shared" si="23"/>
        <v>111</v>
      </c>
    </row>
    <row r="384" spans="1:20">
      <c r="A384" s="1" t="s">
        <v>1331</v>
      </c>
      <c r="B384" s="1" t="s">
        <v>3198</v>
      </c>
      <c r="C384" s="4" t="s">
        <v>54</v>
      </c>
      <c r="D384" s="1" t="s">
        <v>1332</v>
      </c>
      <c r="E384" s="4" t="s">
        <v>1333</v>
      </c>
      <c r="F384" s="84">
        <v>113</v>
      </c>
      <c r="G384" s="84">
        <v>66</v>
      </c>
      <c r="H384" s="84">
        <v>104</v>
      </c>
      <c r="I384" s="84">
        <v>66</v>
      </c>
      <c r="J384" s="84">
        <v>55</v>
      </c>
      <c r="K384" s="84">
        <v>81</v>
      </c>
      <c r="L384" s="84">
        <v>64</v>
      </c>
      <c r="M384" s="84">
        <v>74</v>
      </c>
      <c r="N384" s="84">
        <v>49</v>
      </c>
      <c r="O384" s="5">
        <f t="shared" si="21"/>
        <v>485</v>
      </c>
      <c r="P384" s="6">
        <f t="shared" si="24"/>
        <v>14</v>
      </c>
      <c r="Q384" s="5">
        <f t="shared" si="22"/>
        <v>310</v>
      </c>
      <c r="R384" s="5">
        <v>449.5</v>
      </c>
      <c r="S384" s="5">
        <v>468</v>
      </c>
      <c r="T384" s="5">
        <f t="shared" si="23"/>
        <v>158</v>
      </c>
    </row>
    <row r="385" spans="1:20">
      <c r="A385" s="1" t="s">
        <v>1334</v>
      </c>
      <c r="B385" s="1" t="s">
        <v>3198</v>
      </c>
      <c r="C385" s="4" t="s">
        <v>54</v>
      </c>
      <c r="D385" s="1" t="s">
        <v>1335</v>
      </c>
      <c r="E385" s="4" t="s">
        <v>1336</v>
      </c>
      <c r="F385" s="84">
        <v>116</v>
      </c>
      <c r="G385" s="84">
        <v>97</v>
      </c>
      <c r="H385" s="84">
        <v>100</v>
      </c>
      <c r="I385" s="84">
        <v>86</v>
      </c>
      <c r="J385" s="84">
        <v>62</v>
      </c>
      <c r="K385" s="84">
        <v>83</v>
      </c>
      <c r="L385" s="84">
        <v>73</v>
      </c>
      <c r="M385" s="84">
        <v>70</v>
      </c>
      <c r="N385" s="84">
        <v>51</v>
      </c>
      <c r="O385" s="5">
        <f t="shared" si="21"/>
        <v>544</v>
      </c>
      <c r="P385" s="6">
        <f t="shared" si="24"/>
        <v>1</v>
      </c>
      <c r="Q385" s="5">
        <f t="shared" si="22"/>
        <v>95</v>
      </c>
      <c r="R385" s="5">
        <v>493</v>
      </c>
      <c r="S385" s="5">
        <v>247</v>
      </c>
      <c r="T385" s="5">
        <f t="shared" si="23"/>
        <v>152</v>
      </c>
    </row>
    <row r="386" spans="1:20">
      <c r="A386" s="1" t="s">
        <v>1337</v>
      </c>
      <c r="B386" s="1" t="s">
        <v>3198</v>
      </c>
      <c r="C386" s="4" t="s">
        <v>54</v>
      </c>
      <c r="D386" s="1" t="s">
        <v>1338</v>
      </c>
      <c r="E386" s="4" t="s">
        <v>1339</v>
      </c>
      <c r="F386" s="84">
        <v>117</v>
      </c>
      <c r="G386" s="84">
        <v>100</v>
      </c>
      <c r="H386" s="84">
        <v>91.5</v>
      </c>
      <c r="I386" s="84">
        <v>77</v>
      </c>
      <c r="J386" s="84">
        <v>62</v>
      </c>
      <c r="K386" s="84">
        <v>84</v>
      </c>
      <c r="L386" s="84">
        <v>82</v>
      </c>
      <c r="M386" s="84">
        <v>77</v>
      </c>
      <c r="N386" s="84">
        <v>54</v>
      </c>
      <c r="O386" s="5">
        <f t="shared" si="21"/>
        <v>531.5</v>
      </c>
      <c r="P386" s="6">
        <f t="shared" si="24"/>
        <v>4</v>
      </c>
      <c r="Q386" s="5">
        <f t="shared" si="22"/>
        <v>129</v>
      </c>
      <c r="R386" s="5">
        <v>532</v>
      </c>
      <c r="S386" s="5">
        <v>101</v>
      </c>
      <c r="T386" s="5">
        <f t="shared" si="23"/>
        <v>-28</v>
      </c>
    </row>
    <row r="387" spans="1:20">
      <c r="A387" s="1" t="s">
        <v>1340</v>
      </c>
      <c r="B387" s="1" t="s">
        <v>3198</v>
      </c>
      <c r="C387" s="4" t="s">
        <v>54</v>
      </c>
      <c r="D387" s="1" t="s">
        <v>1341</v>
      </c>
      <c r="E387" s="4" t="s">
        <v>1342</v>
      </c>
      <c r="F387" s="84">
        <v>107</v>
      </c>
      <c r="G387" s="84">
        <v>71</v>
      </c>
      <c r="H387" s="84">
        <v>100.5</v>
      </c>
      <c r="I387" s="84">
        <v>80</v>
      </c>
      <c r="J387" s="84">
        <v>67</v>
      </c>
      <c r="K387" s="84">
        <v>72</v>
      </c>
      <c r="L387" s="84">
        <v>53</v>
      </c>
      <c r="M387" s="84">
        <v>60</v>
      </c>
      <c r="N387" s="84">
        <v>42</v>
      </c>
      <c r="O387" s="5">
        <f t="shared" ref="O387:O450" si="25">SUM(F387:K387)</f>
        <v>497.5</v>
      </c>
      <c r="P387" s="6">
        <f t="shared" si="24"/>
        <v>10</v>
      </c>
      <c r="Q387" s="5">
        <f t="shared" si="22"/>
        <v>256</v>
      </c>
      <c r="R387" s="5">
        <v>528</v>
      </c>
      <c r="S387" s="5">
        <v>114</v>
      </c>
      <c r="T387" s="5">
        <f t="shared" si="23"/>
        <v>-142</v>
      </c>
    </row>
    <row r="388" spans="1:20">
      <c r="A388" s="1" t="s">
        <v>1343</v>
      </c>
      <c r="B388" s="1" t="s">
        <v>3198</v>
      </c>
      <c r="C388" s="4" t="s">
        <v>54</v>
      </c>
      <c r="D388" s="1" t="s">
        <v>1344</v>
      </c>
      <c r="E388" s="4" t="s">
        <v>1345</v>
      </c>
      <c r="F388" s="84">
        <v>92</v>
      </c>
      <c r="G388" s="84">
        <v>102</v>
      </c>
      <c r="H388" s="84">
        <v>89</v>
      </c>
      <c r="I388" s="84">
        <v>85</v>
      </c>
      <c r="J388" s="84">
        <v>64</v>
      </c>
      <c r="K388" s="84">
        <v>87</v>
      </c>
      <c r="L388" s="84">
        <v>52</v>
      </c>
      <c r="M388" s="84">
        <v>66</v>
      </c>
      <c r="N388" s="84">
        <v>46</v>
      </c>
      <c r="O388" s="5">
        <f t="shared" si="25"/>
        <v>519</v>
      </c>
      <c r="P388" s="6">
        <f t="shared" si="24"/>
        <v>6</v>
      </c>
      <c r="Q388" s="5">
        <f t="shared" ref="Q388:Q451" si="26">RANK(O388,$O$3:$O$936)</f>
        <v>169</v>
      </c>
      <c r="R388" s="5">
        <v>487</v>
      </c>
      <c r="S388" s="5">
        <v>275</v>
      </c>
      <c r="T388" s="5">
        <f t="shared" ref="T388:T451" si="27">S388-Q388</f>
        <v>106</v>
      </c>
    </row>
    <row r="389" spans="1:20">
      <c r="A389" s="1" t="s">
        <v>1346</v>
      </c>
      <c r="B389" s="1" t="s">
        <v>3198</v>
      </c>
      <c r="C389" s="4" t="s">
        <v>54</v>
      </c>
      <c r="D389" s="1" t="s">
        <v>1347</v>
      </c>
      <c r="E389" s="4" t="s">
        <v>1348</v>
      </c>
      <c r="F389" s="84">
        <v>115</v>
      </c>
      <c r="G389" s="84">
        <v>100</v>
      </c>
      <c r="H389" s="84">
        <v>83</v>
      </c>
      <c r="I389" s="84">
        <v>73</v>
      </c>
      <c r="J389" s="84">
        <v>76</v>
      </c>
      <c r="K389" s="84">
        <v>86</v>
      </c>
      <c r="L389" s="84">
        <v>68</v>
      </c>
      <c r="M389" s="84">
        <v>61</v>
      </c>
      <c r="N389" s="84">
        <v>57</v>
      </c>
      <c r="O389" s="5">
        <f t="shared" si="25"/>
        <v>533</v>
      </c>
      <c r="P389" s="6">
        <f t="shared" si="24"/>
        <v>3</v>
      </c>
      <c r="Q389" s="5">
        <f t="shared" si="26"/>
        <v>126</v>
      </c>
      <c r="R389" s="5">
        <v>525</v>
      </c>
      <c r="S389" s="5">
        <v>120</v>
      </c>
      <c r="T389" s="5">
        <f t="shared" si="27"/>
        <v>-6</v>
      </c>
    </row>
    <row r="390" spans="1:20">
      <c r="A390" s="1" t="s">
        <v>1349</v>
      </c>
      <c r="B390" s="1" t="s">
        <v>3198</v>
      </c>
      <c r="C390" s="4" t="s">
        <v>54</v>
      </c>
      <c r="D390" s="1" t="s">
        <v>1350</v>
      </c>
      <c r="E390" s="4" t="s">
        <v>1351</v>
      </c>
      <c r="F390" s="84">
        <v>91</v>
      </c>
      <c r="G390" s="84">
        <v>78</v>
      </c>
      <c r="H390" s="84">
        <v>70</v>
      </c>
      <c r="I390" s="84">
        <v>73</v>
      </c>
      <c r="J390" s="84">
        <v>67</v>
      </c>
      <c r="K390" s="84">
        <v>77</v>
      </c>
      <c r="L390" s="84">
        <v>82</v>
      </c>
      <c r="M390" s="84">
        <v>66</v>
      </c>
      <c r="N390" s="84">
        <v>61</v>
      </c>
      <c r="O390" s="5">
        <f t="shared" si="25"/>
        <v>456</v>
      </c>
      <c r="P390" s="6">
        <f t="shared" si="24"/>
        <v>30</v>
      </c>
      <c r="Q390" s="5">
        <f t="shared" si="26"/>
        <v>477</v>
      </c>
      <c r="R390" s="5">
        <v>457</v>
      </c>
      <c r="S390" s="5">
        <v>428</v>
      </c>
      <c r="T390" s="5">
        <f t="shared" si="27"/>
        <v>-49</v>
      </c>
    </row>
    <row r="391" spans="1:20">
      <c r="A391" s="1" t="s">
        <v>1352</v>
      </c>
      <c r="B391" s="1" t="s">
        <v>3198</v>
      </c>
      <c r="C391" s="4" t="s">
        <v>54</v>
      </c>
      <c r="D391" s="1" t="s">
        <v>1353</v>
      </c>
      <c r="E391" s="4" t="s">
        <v>1354</v>
      </c>
      <c r="F391" s="84">
        <v>104</v>
      </c>
      <c r="G391" s="84">
        <v>55</v>
      </c>
      <c r="H391" s="84">
        <v>119</v>
      </c>
      <c r="I391" s="84">
        <v>59</v>
      </c>
      <c r="J391" s="84">
        <v>54</v>
      </c>
      <c r="K391" s="84">
        <v>77</v>
      </c>
      <c r="L391" s="84">
        <v>69</v>
      </c>
      <c r="M391" s="84">
        <v>58</v>
      </c>
      <c r="N391" s="84">
        <v>40</v>
      </c>
      <c r="O391" s="5">
        <f t="shared" si="25"/>
        <v>468</v>
      </c>
      <c r="P391" s="6">
        <f t="shared" si="24"/>
        <v>21</v>
      </c>
      <c r="Q391" s="5">
        <f t="shared" si="26"/>
        <v>405</v>
      </c>
      <c r="R391" s="5">
        <v>397.5</v>
      </c>
      <c r="S391" s="5">
        <v>743</v>
      </c>
      <c r="T391" s="5">
        <f t="shared" si="27"/>
        <v>338</v>
      </c>
    </row>
    <row r="392" spans="1:20">
      <c r="A392" s="1" t="s">
        <v>1360</v>
      </c>
      <c r="B392" s="1" t="s">
        <v>3198</v>
      </c>
      <c r="C392" s="4" t="s">
        <v>56</v>
      </c>
      <c r="D392" s="1" t="s">
        <v>1361</v>
      </c>
      <c r="E392" s="4" t="s">
        <v>1362</v>
      </c>
      <c r="F392" s="84">
        <v>100</v>
      </c>
      <c r="G392" s="84">
        <v>71</v>
      </c>
      <c r="H392" s="84">
        <v>107.5</v>
      </c>
      <c r="I392" s="84">
        <v>37</v>
      </c>
      <c r="J392" s="84">
        <v>56</v>
      </c>
      <c r="K392" s="84">
        <v>74</v>
      </c>
      <c r="L392" s="84">
        <v>77</v>
      </c>
      <c r="M392" s="84">
        <v>69</v>
      </c>
      <c r="N392" s="84">
        <v>42</v>
      </c>
      <c r="O392" s="5">
        <f t="shared" si="25"/>
        <v>445.5</v>
      </c>
      <c r="P392" s="6">
        <f>RANK(O392,$O$392:$O$444)</f>
        <v>29</v>
      </c>
      <c r="Q392" s="5">
        <f t="shared" si="26"/>
        <v>541</v>
      </c>
      <c r="R392" s="5">
        <v>474</v>
      </c>
      <c r="S392" s="5">
        <v>335</v>
      </c>
      <c r="T392" s="5">
        <f t="shared" si="27"/>
        <v>-206</v>
      </c>
    </row>
    <row r="393" spans="1:20">
      <c r="A393" s="1" t="s">
        <v>1363</v>
      </c>
      <c r="B393" s="1" t="s">
        <v>3198</v>
      </c>
      <c r="C393" s="4" t="s">
        <v>56</v>
      </c>
      <c r="D393" s="1" t="s">
        <v>1364</v>
      </c>
      <c r="E393" s="4" t="s">
        <v>1365</v>
      </c>
      <c r="F393" s="84">
        <v>102</v>
      </c>
      <c r="G393" s="84">
        <v>55</v>
      </c>
      <c r="H393" s="84">
        <v>77</v>
      </c>
      <c r="I393" s="84">
        <v>64</v>
      </c>
      <c r="J393" s="84">
        <v>37</v>
      </c>
      <c r="K393" s="84">
        <v>66</v>
      </c>
      <c r="L393" s="84">
        <v>82</v>
      </c>
      <c r="M393" s="84">
        <v>59</v>
      </c>
      <c r="N393" s="84">
        <v>42</v>
      </c>
      <c r="O393" s="5">
        <f t="shared" si="25"/>
        <v>401</v>
      </c>
      <c r="P393" s="6">
        <f t="shared" ref="P393:P444" si="28">RANK(O393,$O$392:$O$444)</f>
        <v>41</v>
      </c>
      <c r="Q393" s="5">
        <f t="shared" si="26"/>
        <v>768</v>
      </c>
      <c r="R393" s="5">
        <v>376</v>
      </c>
      <c r="S393" s="5">
        <v>818</v>
      </c>
      <c r="T393" s="5">
        <f t="shared" si="27"/>
        <v>50</v>
      </c>
    </row>
    <row r="394" spans="1:20">
      <c r="A394" s="1" t="s">
        <v>1366</v>
      </c>
      <c r="B394" s="1" t="s">
        <v>3198</v>
      </c>
      <c r="C394" s="4" t="s">
        <v>56</v>
      </c>
      <c r="D394" s="1" t="s">
        <v>1367</v>
      </c>
      <c r="E394" s="4" t="s">
        <v>83</v>
      </c>
      <c r="F394" s="84">
        <v>101</v>
      </c>
      <c r="G394" s="84">
        <v>104</v>
      </c>
      <c r="H394" s="84">
        <v>83</v>
      </c>
      <c r="I394" s="84">
        <v>84</v>
      </c>
      <c r="J394" s="84">
        <v>51</v>
      </c>
      <c r="K394" s="84">
        <v>81</v>
      </c>
      <c r="L394" s="84">
        <v>61</v>
      </c>
      <c r="M394" s="84">
        <v>60</v>
      </c>
      <c r="N394" s="84">
        <v>63</v>
      </c>
      <c r="O394" s="5">
        <f t="shared" si="25"/>
        <v>504</v>
      </c>
      <c r="P394" s="6">
        <f t="shared" si="28"/>
        <v>7</v>
      </c>
      <c r="Q394" s="5">
        <f t="shared" si="26"/>
        <v>230</v>
      </c>
      <c r="R394" s="5">
        <v>446</v>
      </c>
      <c r="S394" s="5">
        <v>491</v>
      </c>
      <c r="T394" s="5">
        <f t="shared" si="27"/>
        <v>261</v>
      </c>
    </row>
    <row r="395" spans="1:20">
      <c r="A395" s="1" t="s">
        <v>1368</v>
      </c>
      <c r="B395" s="1" t="s">
        <v>3198</v>
      </c>
      <c r="C395" s="4" t="s">
        <v>56</v>
      </c>
      <c r="D395" s="1" t="s">
        <v>1369</v>
      </c>
      <c r="E395" s="4" t="s">
        <v>1370</v>
      </c>
      <c r="F395" s="84">
        <v>95</v>
      </c>
      <c r="G395" s="84">
        <v>77</v>
      </c>
      <c r="H395" s="84">
        <v>84</v>
      </c>
      <c r="I395" s="84">
        <v>86</v>
      </c>
      <c r="J395" s="84">
        <v>65</v>
      </c>
      <c r="K395" s="84">
        <v>83</v>
      </c>
      <c r="L395" s="84">
        <v>80</v>
      </c>
      <c r="M395" s="84">
        <v>68</v>
      </c>
      <c r="N395" s="84">
        <v>52</v>
      </c>
      <c r="O395" s="5">
        <f t="shared" si="25"/>
        <v>490</v>
      </c>
      <c r="P395" s="6">
        <f t="shared" si="28"/>
        <v>13</v>
      </c>
      <c r="Q395" s="5">
        <f t="shared" si="26"/>
        <v>293</v>
      </c>
      <c r="R395" s="5">
        <v>488</v>
      </c>
      <c r="S395" s="5">
        <v>269</v>
      </c>
      <c r="T395" s="5">
        <f t="shared" si="27"/>
        <v>-24</v>
      </c>
    </row>
    <row r="396" spans="1:20">
      <c r="A396" s="1" t="s">
        <v>1371</v>
      </c>
      <c r="B396" s="1" t="s">
        <v>3198</v>
      </c>
      <c r="C396" s="4" t="s">
        <v>56</v>
      </c>
      <c r="D396" s="1" t="s">
        <v>1372</v>
      </c>
      <c r="E396" s="4" t="s">
        <v>1373</v>
      </c>
      <c r="F396" s="84">
        <v>99</v>
      </c>
      <c r="G396" s="84">
        <v>41</v>
      </c>
      <c r="H396" s="84">
        <v>76.5</v>
      </c>
      <c r="I396" s="84">
        <v>52</v>
      </c>
      <c r="J396" s="84">
        <v>43</v>
      </c>
      <c r="K396" s="84">
        <v>85</v>
      </c>
      <c r="L396" s="84">
        <v>66</v>
      </c>
      <c r="M396" s="84">
        <v>76</v>
      </c>
      <c r="N396" s="84">
        <v>58</v>
      </c>
      <c r="O396" s="5">
        <f t="shared" si="25"/>
        <v>396.5</v>
      </c>
      <c r="P396" s="6">
        <f t="shared" si="28"/>
        <v>43</v>
      </c>
      <c r="Q396" s="5">
        <f t="shared" si="26"/>
        <v>787</v>
      </c>
      <c r="R396" s="5">
        <v>376.5</v>
      </c>
      <c r="S396" s="5">
        <v>817</v>
      </c>
      <c r="T396" s="5">
        <f t="shared" si="27"/>
        <v>30</v>
      </c>
    </row>
    <row r="397" spans="1:20">
      <c r="A397" s="1" t="s">
        <v>1374</v>
      </c>
      <c r="B397" s="1" t="s">
        <v>3198</v>
      </c>
      <c r="C397" s="4" t="s">
        <v>56</v>
      </c>
      <c r="D397" s="1" t="s">
        <v>1375</v>
      </c>
      <c r="E397" s="4" t="s">
        <v>1376</v>
      </c>
      <c r="F397" s="84">
        <v>96</v>
      </c>
      <c r="G397" s="84">
        <v>90</v>
      </c>
      <c r="H397" s="84">
        <v>68.5</v>
      </c>
      <c r="I397" s="84">
        <v>82</v>
      </c>
      <c r="J397" s="84">
        <v>50</v>
      </c>
      <c r="K397" s="84">
        <v>83</v>
      </c>
      <c r="L397" s="84">
        <v>81</v>
      </c>
      <c r="M397" s="84">
        <v>61</v>
      </c>
      <c r="N397" s="84">
        <v>43</v>
      </c>
      <c r="O397" s="5">
        <f t="shared" si="25"/>
        <v>469.5</v>
      </c>
      <c r="P397" s="6">
        <f t="shared" si="28"/>
        <v>19</v>
      </c>
      <c r="Q397" s="5">
        <f t="shared" si="26"/>
        <v>395</v>
      </c>
      <c r="R397" s="5">
        <v>415</v>
      </c>
      <c r="S397" s="5">
        <v>659</v>
      </c>
      <c r="T397" s="5">
        <f t="shared" si="27"/>
        <v>264</v>
      </c>
    </row>
    <row r="398" spans="1:20">
      <c r="A398" s="1" t="s">
        <v>1377</v>
      </c>
      <c r="B398" s="1" t="s">
        <v>3198</v>
      </c>
      <c r="C398" s="4" t="s">
        <v>56</v>
      </c>
      <c r="D398" s="1" t="s">
        <v>1378</v>
      </c>
      <c r="E398" s="4" t="s">
        <v>1379</v>
      </c>
      <c r="F398" s="84">
        <v>100</v>
      </c>
      <c r="G398" s="84">
        <v>74</v>
      </c>
      <c r="H398" s="84">
        <v>75</v>
      </c>
      <c r="I398" s="84">
        <v>59</v>
      </c>
      <c r="J398" s="84">
        <v>58</v>
      </c>
      <c r="K398" s="84">
        <v>65</v>
      </c>
      <c r="L398" s="84">
        <v>79</v>
      </c>
      <c r="M398" s="84">
        <v>71</v>
      </c>
      <c r="N398" s="84">
        <v>48</v>
      </c>
      <c r="O398" s="5">
        <f t="shared" si="25"/>
        <v>431</v>
      </c>
      <c r="P398" s="6">
        <f t="shared" si="28"/>
        <v>36</v>
      </c>
      <c r="Q398" s="5">
        <f t="shared" si="26"/>
        <v>616</v>
      </c>
      <c r="R398" s="5">
        <v>362</v>
      </c>
      <c r="S398" s="5">
        <v>855</v>
      </c>
      <c r="T398" s="5">
        <f t="shared" si="27"/>
        <v>239</v>
      </c>
    </row>
    <row r="399" spans="1:20">
      <c r="A399" s="1" t="s">
        <v>1380</v>
      </c>
      <c r="B399" s="1" t="s">
        <v>3198</v>
      </c>
      <c r="C399" s="4" t="s">
        <v>56</v>
      </c>
      <c r="D399" s="1" t="s">
        <v>1381</v>
      </c>
      <c r="E399" s="4" t="s">
        <v>1382</v>
      </c>
      <c r="F399" s="84">
        <v>89</v>
      </c>
      <c r="G399" s="84">
        <v>67</v>
      </c>
      <c r="H399" s="84">
        <v>93.5</v>
      </c>
      <c r="I399" s="84">
        <v>70</v>
      </c>
      <c r="J399" s="84">
        <v>64</v>
      </c>
      <c r="K399" s="84">
        <v>71</v>
      </c>
      <c r="L399" s="84">
        <v>69</v>
      </c>
      <c r="M399" s="84">
        <v>72</v>
      </c>
      <c r="N399" s="84">
        <v>47</v>
      </c>
      <c r="O399" s="5">
        <f t="shared" si="25"/>
        <v>454.5</v>
      </c>
      <c r="P399" s="6">
        <f t="shared" si="28"/>
        <v>25</v>
      </c>
      <c r="Q399" s="5">
        <f t="shared" si="26"/>
        <v>485</v>
      </c>
      <c r="R399" s="5">
        <v>456</v>
      </c>
      <c r="S399" s="5">
        <v>433</v>
      </c>
      <c r="T399" s="5">
        <f t="shared" si="27"/>
        <v>-52</v>
      </c>
    </row>
    <row r="400" spans="1:20">
      <c r="A400" s="1" t="s">
        <v>1550</v>
      </c>
      <c r="B400" s="1" t="s">
        <v>3198</v>
      </c>
      <c r="C400" s="4" t="s">
        <v>56</v>
      </c>
      <c r="D400" s="1" t="s">
        <v>1384</v>
      </c>
      <c r="E400" s="4" t="s">
        <v>1552</v>
      </c>
      <c r="F400" s="84">
        <v>96</v>
      </c>
      <c r="G400" s="84">
        <v>85</v>
      </c>
      <c r="H400" s="84">
        <v>107</v>
      </c>
      <c r="I400" s="84">
        <v>64</v>
      </c>
      <c r="J400" s="84">
        <v>40</v>
      </c>
      <c r="K400" s="84">
        <v>76</v>
      </c>
      <c r="L400" s="84">
        <v>69</v>
      </c>
      <c r="M400" s="84">
        <v>64</v>
      </c>
      <c r="N400" s="84">
        <v>50</v>
      </c>
      <c r="O400" s="5">
        <f t="shared" si="25"/>
        <v>468</v>
      </c>
      <c r="P400" s="6">
        <f t="shared" si="28"/>
        <v>21</v>
      </c>
      <c r="Q400" s="5">
        <f t="shared" si="26"/>
        <v>405</v>
      </c>
      <c r="R400" s="5">
        <v>489.5</v>
      </c>
      <c r="S400" s="5">
        <v>261</v>
      </c>
      <c r="T400" s="5">
        <f t="shared" si="27"/>
        <v>-144</v>
      </c>
    </row>
    <row r="401" spans="1:20">
      <c r="A401" s="1" t="s">
        <v>1385</v>
      </c>
      <c r="B401" s="1" t="s">
        <v>3198</v>
      </c>
      <c r="C401" s="4" t="s">
        <v>56</v>
      </c>
      <c r="D401" s="1" t="s">
        <v>1386</v>
      </c>
      <c r="E401" s="4" t="s">
        <v>63</v>
      </c>
      <c r="F401" s="84">
        <v>87</v>
      </c>
      <c r="G401" s="84">
        <v>90</v>
      </c>
      <c r="H401" s="84">
        <v>88.5</v>
      </c>
      <c r="I401" s="84">
        <v>72</v>
      </c>
      <c r="J401" s="84">
        <v>66</v>
      </c>
      <c r="K401" s="84">
        <v>88</v>
      </c>
      <c r="L401" s="84">
        <v>87</v>
      </c>
      <c r="M401" s="84">
        <v>74</v>
      </c>
      <c r="N401" s="84">
        <v>49</v>
      </c>
      <c r="O401" s="5">
        <f t="shared" si="25"/>
        <v>491.5</v>
      </c>
      <c r="P401" s="6">
        <f t="shared" si="28"/>
        <v>12</v>
      </c>
      <c r="Q401" s="5">
        <f t="shared" si="26"/>
        <v>283</v>
      </c>
      <c r="R401" s="5">
        <v>507.5</v>
      </c>
      <c r="S401" s="5">
        <v>180</v>
      </c>
      <c r="T401" s="5">
        <f t="shared" si="27"/>
        <v>-103</v>
      </c>
    </row>
    <row r="402" spans="1:20">
      <c r="A402" s="1" t="s">
        <v>1390</v>
      </c>
      <c r="B402" s="1" t="s">
        <v>3198</v>
      </c>
      <c r="C402" s="4" t="s">
        <v>56</v>
      </c>
      <c r="D402" s="1" t="s">
        <v>1391</v>
      </c>
      <c r="E402" s="4" t="s">
        <v>147</v>
      </c>
      <c r="F402" s="84">
        <v>90</v>
      </c>
      <c r="G402" s="84">
        <v>107</v>
      </c>
      <c r="H402" s="84">
        <v>108.5</v>
      </c>
      <c r="I402" s="84">
        <v>88</v>
      </c>
      <c r="J402" s="84">
        <v>60</v>
      </c>
      <c r="K402" s="84">
        <v>84</v>
      </c>
      <c r="L402" s="84">
        <v>75</v>
      </c>
      <c r="M402" s="84">
        <v>67</v>
      </c>
      <c r="N402" s="84">
        <v>52</v>
      </c>
      <c r="O402" s="5">
        <f t="shared" si="25"/>
        <v>537.5</v>
      </c>
      <c r="P402" s="6">
        <f t="shared" si="28"/>
        <v>3</v>
      </c>
      <c r="Q402" s="5">
        <f t="shared" si="26"/>
        <v>112</v>
      </c>
      <c r="R402" s="5">
        <v>520.5</v>
      </c>
      <c r="S402" s="5">
        <v>134</v>
      </c>
      <c r="T402" s="5">
        <f t="shared" si="27"/>
        <v>22</v>
      </c>
    </row>
    <row r="403" spans="1:20">
      <c r="A403" s="1" t="s">
        <v>1392</v>
      </c>
      <c r="B403" s="1" t="s">
        <v>3198</v>
      </c>
      <c r="C403" s="4" t="s">
        <v>56</v>
      </c>
      <c r="D403" s="1" t="s">
        <v>1393</v>
      </c>
      <c r="E403" s="4" t="s">
        <v>1394</v>
      </c>
      <c r="F403" s="84">
        <v>107</v>
      </c>
      <c r="G403" s="84">
        <v>65</v>
      </c>
      <c r="H403" s="84">
        <v>102.5</v>
      </c>
      <c r="I403" s="84">
        <v>60</v>
      </c>
      <c r="J403" s="84">
        <v>56</v>
      </c>
      <c r="K403" s="84">
        <v>79</v>
      </c>
      <c r="L403" s="84">
        <v>72</v>
      </c>
      <c r="M403" s="84">
        <v>75</v>
      </c>
      <c r="N403" s="84">
        <v>50</v>
      </c>
      <c r="O403" s="5">
        <f t="shared" si="25"/>
        <v>469.5</v>
      </c>
      <c r="P403" s="6">
        <f t="shared" si="28"/>
        <v>19</v>
      </c>
      <c r="Q403" s="5">
        <f t="shared" si="26"/>
        <v>395</v>
      </c>
      <c r="R403" s="5">
        <v>468.5</v>
      </c>
      <c r="S403" s="5">
        <v>377</v>
      </c>
      <c r="T403" s="5">
        <f t="shared" si="27"/>
        <v>-18</v>
      </c>
    </row>
    <row r="404" spans="1:20">
      <c r="A404" s="1" t="s">
        <v>1395</v>
      </c>
      <c r="B404" s="1" t="s">
        <v>3198</v>
      </c>
      <c r="C404" s="4" t="s">
        <v>56</v>
      </c>
      <c r="D404" s="1" t="s">
        <v>1396</v>
      </c>
      <c r="E404" s="4" t="s">
        <v>1397</v>
      </c>
      <c r="F404" s="84">
        <v>101</v>
      </c>
      <c r="G404" s="84">
        <v>53</v>
      </c>
      <c r="H404" s="84">
        <v>86.5</v>
      </c>
      <c r="I404" s="84">
        <v>51</v>
      </c>
      <c r="J404" s="84">
        <v>55</v>
      </c>
      <c r="K404" s="84">
        <v>67</v>
      </c>
      <c r="L404" s="84">
        <v>88</v>
      </c>
      <c r="M404" s="84">
        <v>78</v>
      </c>
      <c r="N404" s="84">
        <v>47</v>
      </c>
      <c r="O404" s="5">
        <f t="shared" si="25"/>
        <v>413.5</v>
      </c>
      <c r="P404" s="6">
        <f t="shared" si="28"/>
        <v>38</v>
      </c>
      <c r="Q404" s="5">
        <f t="shared" si="26"/>
        <v>702</v>
      </c>
      <c r="R404" s="5">
        <v>399.5</v>
      </c>
      <c r="S404" s="5">
        <v>732</v>
      </c>
      <c r="T404" s="5">
        <f t="shared" si="27"/>
        <v>30</v>
      </c>
    </row>
    <row r="405" spans="1:20">
      <c r="A405" s="1" t="s">
        <v>1398</v>
      </c>
      <c r="B405" s="1" t="s">
        <v>3198</v>
      </c>
      <c r="C405" s="4" t="s">
        <v>56</v>
      </c>
      <c r="D405" s="1" t="s">
        <v>1399</v>
      </c>
      <c r="E405" s="4" t="s">
        <v>1400</v>
      </c>
      <c r="F405" s="84">
        <v>94</v>
      </c>
      <c r="G405" s="84">
        <v>55</v>
      </c>
      <c r="H405" s="84">
        <v>71</v>
      </c>
      <c r="I405" s="84">
        <v>71</v>
      </c>
      <c r="J405" s="84">
        <v>37</v>
      </c>
      <c r="K405" s="84">
        <v>79</v>
      </c>
      <c r="L405" s="84">
        <v>70</v>
      </c>
      <c r="M405" s="84">
        <v>49</v>
      </c>
      <c r="N405" s="84">
        <v>47</v>
      </c>
      <c r="O405" s="5">
        <f t="shared" si="25"/>
        <v>407</v>
      </c>
      <c r="P405" s="6">
        <f t="shared" si="28"/>
        <v>40</v>
      </c>
      <c r="Q405" s="5">
        <f t="shared" si="26"/>
        <v>738</v>
      </c>
      <c r="R405" s="5">
        <v>378.5</v>
      </c>
      <c r="S405" s="5">
        <v>811</v>
      </c>
      <c r="T405" s="5">
        <f t="shared" si="27"/>
        <v>73</v>
      </c>
    </row>
    <row r="406" spans="1:20">
      <c r="A406" s="1" t="s">
        <v>1401</v>
      </c>
      <c r="B406" s="1" t="s">
        <v>3198</v>
      </c>
      <c r="C406" s="4" t="s">
        <v>56</v>
      </c>
      <c r="D406" s="1" t="s">
        <v>1402</v>
      </c>
      <c r="E406" s="4" t="s">
        <v>1403</v>
      </c>
      <c r="F406" s="84">
        <v>71</v>
      </c>
      <c r="G406" s="84">
        <v>55</v>
      </c>
      <c r="H406" s="84">
        <v>67</v>
      </c>
      <c r="I406" s="84">
        <v>51</v>
      </c>
      <c r="J406" s="84">
        <v>36</v>
      </c>
      <c r="K406" s="84">
        <v>59</v>
      </c>
      <c r="L406" s="84">
        <v>65</v>
      </c>
      <c r="M406" s="84">
        <v>59</v>
      </c>
      <c r="N406" s="84">
        <v>54</v>
      </c>
      <c r="O406" s="5">
        <f t="shared" si="25"/>
        <v>339</v>
      </c>
      <c r="P406" s="6">
        <f t="shared" si="28"/>
        <v>52</v>
      </c>
      <c r="Q406" s="5">
        <f t="shared" si="26"/>
        <v>907</v>
      </c>
      <c r="R406" s="5">
        <v>405</v>
      </c>
      <c r="S406" s="5">
        <v>705</v>
      </c>
      <c r="T406" s="5">
        <f t="shared" si="27"/>
        <v>-202</v>
      </c>
    </row>
    <row r="407" spans="1:20">
      <c r="A407" s="1" t="s">
        <v>1404</v>
      </c>
      <c r="B407" s="1" t="s">
        <v>3198</v>
      </c>
      <c r="C407" s="4" t="s">
        <v>56</v>
      </c>
      <c r="D407" s="1" t="s">
        <v>1405</v>
      </c>
      <c r="E407" s="4" t="s">
        <v>1406</v>
      </c>
      <c r="F407" s="84">
        <v>82</v>
      </c>
      <c r="G407" s="84">
        <v>84</v>
      </c>
      <c r="H407" s="84">
        <v>81</v>
      </c>
      <c r="I407" s="84">
        <v>54</v>
      </c>
      <c r="J407" s="84">
        <v>63</v>
      </c>
      <c r="K407" s="84">
        <v>81</v>
      </c>
      <c r="L407" s="84">
        <v>64</v>
      </c>
      <c r="M407" s="84">
        <v>57</v>
      </c>
      <c r="N407" s="84">
        <v>53</v>
      </c>
      <c r="O407" s="5">
        <f t="shared" si="25"/>
        <v>445</v>
      </c>
      <c r="P407" s="6">
        <f t="shared" si="28"/>
        <v>31</v>
      </c>
      <c r="Q407" s="5">
        <f t="shared" si="26"/>
        <v>547</v>
      </c>
      <c r="R407" s="5">
        <v>425.5</v>
      </c>
      <c r="S407" s="5">
        <v>602</v>
      </c>
      <c r="T407" s="5">
        <f t="shared" si="27"/>
        <v>55</v>
      </c>
    </row>
    <row r="408" spans="1:20">
      <c r="A408" s="1" t="s">
        <v>1407</v>
      </c>
      <c r="B408" s="1" t="s">
        <v>3198</v>
      </c>
      <c r="C408" s="4" t="s">
        <v>56</v>
      </c>
      <c r="D408" s="1" t="s">
        <v>1408</v>
      </c>
      <c r="E408" s="4" t="s">
        <v>1409</v>
      </c>
      <c r="F408" s="84">
        <v>92</v>
      </c>
      <c r="G408" s="84">
        <v>66</v>
      </c>
      <c r="H408" s="84">
        <v>87.5</v>
      </c>
      <c r="I408" s="84">
        <v>69</v>
      </c>
      <c r="J408" s="84">
        <v>54</v>
      </c>
      <c r="K408" s="84">
        <v>82</v>
      </c>
      <c r="L408" s="84">
        <v>57</v>
      </c>
      <c r="M408" s="84">
        <v>64</v>
      </c>
      <c r="N408" s="84">
        <v>48</v>
      </c>
      <c r="O408" s="5">
        <f t="shared" si="25"/>
        <v>450.5</v>
      </c>
      <c r="P408" s="6">
        <f t="shared" si="28"/>
        <v>27</v>
      </c>
      <c r="Q408" s="5">
        <f t="shared" si="26"/>
        <v>511</v>
      </c>
      <c r="R408" s="5">
        <v>438.5</v>
      </c>
      <c r="S408" s="5">
        <v>531</v>
      </c>
      <c r="T408" s="5">
        <f t="shared" si="27"/>
        <v>20</v>
      </c>
    </row>
    <row r="409" spans="1:20">
      <c r="A409" s="1" t="s">
        <v>1410</v>
      </c>
      <c r="B409" s="1" t="s">
        <v>3198</v>
      </c>
      <c r="C409" s="4" t="s">
        <v>56</v>
      </c>
      <c r="D409" s="1" t="s">
        <v>1411</v>
      </c>
      <c r="E409" s="4" t="s">
        <v>1412</v>
      </c>
      <c r="F409" s="84">
        <v>99</v>
      </c>
      <c r="G409" s="84">
        <v>120</v>
      </c>
      <c r="H409" s="84">
        <v>90.5</v>
      </c>
      <c r="I409" s="84">
        <v>92</v>
      </c>
      <c r="J409" s="84">
        <v>60</v>
      </c>
      <c r="K409" s="84">
        <v>78</v>
      </c>
      <c r="L409" s="84">
        <v>59</v>
      </c>
      <c r="M409" s="84">
        <v>60</v>
      </c>
      <c r="N409" s="84">
        <v>54</v>
      </c>
      <c r="O409" s="5">
        <f t="shared" si="25"/>
        <v>539.5</v>
      </c>
      <c r="P409" s="6">
        <f t="shared" si="28"/>
        <v>2</v>
      </c>
      <c r="Q409" s="5">
        <f t="shared" si="26"/>
        <v>107</v>
      </c>
      <c r="R409" s="5">
        <v>508.5</v>
      </c>
      <c r="S409" s="5">
        <v>173</v>
      </c>
      <c r="T409" s="5">
        <f t="shared" si="27"/>
        <v>66</v>
      </c>
    </row>
    <row r="410" spans="1:20">
      <c r="A410" s="1" t="s">
        <v>1413</v>
      </c>
      <c r="B410" s="1" t="s">
        <v>3198</v>
      </c>
      <c r="C410" s="4" t="s">
        <v>56</v>
      </c>
      <c r="D410" s="1" t="s">
        <v>1414</v>
      </c>
      <c r="E410" s="4" t="s">
        <v>1415</v>
      </c>
      <c r="F410" s="84">
        <v>114</v>
      </c>
      <c r="G410" s="84">
        <v>68</v>
      </c>
      <c r="H410" s="84">
        <v>94.5</v>
      </c>
      <c r="I410" s="84">
        <v>69</v>
      </c>
      <c r="J410" s="84">
        <v>48</v>
      </c>
      <c r="K410" s="84">
        <v>80</v>
      </c>
      <c r="L410" s="84">
        <v>74</v>
      </c>
      <c r="M410" s="84">
        <v>74</v>
      </c>
      <c r="N410" s="84">
        <v>58</v>
      </c>
      <c r="O410" s="5">
        <f t="shared" si="25"/>
        <v>473.5</v>
      </c>
      <c r="P410" s="6">
        <f t="shared" si="28"/>
        <v>18</v>
      </c>
      <c r="Q410" s="5">
        <f t="shared" si="26"/>
        <v>376</v>
      </c>
      <c r="R410" s="5">
        <v>494.5</v>
      </c>
      <c r="S410" s="5">
        <v>237</v>
      </c>
      <c r="T410" s="5">
        <f t="shared" si="27"/>
        <v>-139</v>
      </c>
    </row>
    <row r="411" spans="1:20">
      <c r="A411" s="1" t="s">
        <v>1416</v>
      </c>
      <c r="B411" s="1" t="s">
        <v>3198</v>
      </c>
      <c r="C411" s="4" t="s">
        <v>56</v>
      </c>
      <c r="D411" s="1" t="s">
        <v>1417</v>
      </c>
      <c r="E411" s="4" t="s">
        <v>1418</v>
      </c>
      <c r="F411" s="84">
        <v>103</v>
      </c>
      <c r="G411" s="84">
        <v>58</v>
      </c>
      <c r="H411" s="84">
        <v>100</v>
      </c>
      <c r="I411" s="84">
        <v>71</v>
      </c>
      <c r="J411" s="84">
        <v>57</v>
      </c>
      <c r="K411" s="84">
        <v>87</v>
      </c>
      <c r="L411" s="84">
        <v>71</v>
      </c>
      <c r="M411" s="84">
        <v>64</v>
      </c>
      <c r="N411" s="84">
        <v>59</v>
      </c>
      <c r="O411" s="5">
        <f t="shared" si="25"/>
        <v>476</v>
      </c>
      <c r="P411" s="6">
        <f t="shared" si="28"/>
        <v>16</v>
      </c>
      <c r="Q411" s="5">
        <f t="shared" si="26"/>
        <v>358</v>
      </c>
      <c r="R411" s="5">
        <v>466</v>
      </c>
      <c r="S411" s="5">
        <v>387</v>
      </c>
      <c r="T411" s="5">
        <f t="shared" si="27"/>
        <v>29</v>
      </c>
    </row>
    <row r="412" spans="1:20">
      <c r="A412" s="1" t="s">
        <v>1419</v>
      </c>
      <c r="B412" s="1" t="s">
        <v>3198</v>
      </c>
      <c r="C412" s="4" t="s">
        <v>56</v>
      </c>
      <c r="D412" s="1" t="s">
        <v>1420</v>
      </c>
      <c r="E412" s="4" t="s">
        <v>1421</v>
      </c>
      <c r="F412" s="84">
        <v>108</v>
      </c>
      <c r="G412" s="84">
        <v>68</v>
      </c>
      <c r="H412" s="84">
        <v>74.5</v>
      </c>
      <c r="I412" s="84">
        <v>87</v>
      </c>
      <c r="J412" s="84">
        <v>66</v>
      </c>
      <c r="K412" s="84">
        <v>79</v>
      </c>
      <c r="L412" s="84">
        <v>76</v>
      </c>
      <c r="M412" s="84">
        <v>74</v>
      </c>
      <c r="N412" s="84">
        <v>52</v>
      </c>
      <c r="O412" s="5">
        <f t="shared" si="25"/>
        <v>482.5</v>
      </c>
      <c r="P412" s="6">
        <f t="shared" si="28"/>
        <v>14</v>
      </c>
      <c r="Q412" s="5">
        <f t="shared" si="26"/>
        <v>323</v>
      </c>
      <c r="R412" s="5">
        <v>433.5</v>
      </c>
      <c r="S412" s="5">
        <v>554</v>
      </c>
      <c r="T412" s="5">
        <f t="shared" si="27"/>
        <v>231</v>
      </c>
    </row>
    <row r="413" spans="1:20">
      <c r="A413" s="1" t="s">
        <v>1422</v>
      </c>
      <c r="B413" s="1" t="s">
        <v>3198</v>
      </c>
      <c r="C413" s="4" t="s">
        <v>56</v>
      </c>
      <c r="D413" s="1" t="s">
        <v>1423</v>
      </c>
      <c r="E413" s="4" t="s">
        <v>1424</v>
      </c>
      <c r="F413" s="84">
        <v>93</v>
      </c>
      <c r="G413" s="84">
        <v>51</v>
      </c>
      <c r="H413" s="84">
        <v>101</v>
      </c>
      <c r="I413" s="84">
        <v>71</v>
      </c>
      <c r="J413" s="84">
        <v>60</v>
      </c>
      <c r="K413" s="84">
        <v>86</v>
      </c>
      <c r="L413" s="84">
        <v>60</v>
      </c>
      <c r="M413" s="84">
        <v>74</v>
      </c>
      <c r="N413" s="84">
        <v>59</v>
      </c>
      <c r="O413" s="5">
        <f t="shared" si="25"/>
        <v>462</v>
      </c>
      <c r="P413" s="6">
        <f t="shared" si="28"/>
        <v>23</v>
      </c>
      <c r="Q413" s="5">
        <f t="shared" si="26"/>
        <v>444</v>
      </c>
      <c r="R413" s="5">
        <v>498.5</v>
      </c>
      <c r="S413" s="5">
        <v>217</v>
      </c>
      <c r="T413" s="5">
        <f t="shared" si="27"/>
        <v>-227</v>
      </c>
    </row>
    <row r="414" spans="1:20">
      <c r="A414" s="1" t="s">
        <v>1425</v>
      </c>
      <c r="B414" s="1" t="s">
        <v>3198</v>
      </c>
      <c r="C414" s="4" t="s">
        <v>56</v>
      </c>
      <c r="D414" s="1" t="s">
        <v>1426</v>
      </c>
      <c r="E414" s="1" t="s">
        <v>1427</v>
      </c>
      <c r="F414" s="84">
        <v>94</v>
      </c>
      <c r="G414" s="84">
        <v>50</v>
      </c>
      <c r="H414" s="84">
        <v>71.5</v>
      </c>
      <c r="I414" s="84">
        <v>58</v>
      </c>
      <c r="J414" s="84">
        <v>26</v>
      </c>
      <c r="K414" s="84">
        <v>73</v>
      </c>
      <c r="L414" s="84">
        <v>67</v>
      </c>
      <c r="M414" s="84">
        <v>59</v>
      </c>
      <c r="N414" s="84">
        <v>53</v>
      </c>
      <c r="O414" s="5">
        <f t="shared" si="25"/>
        <v>372.5</v>
      </c>
      <c r="P414" s="6">
        <f t="shared" si="28"/>
        <v>50</v>
      </c>
      <c r="Q414" s="5">
        <f t="shared" si="26"/>
        <v>854</v>
      </c>
      <c r="R414" s="5">
        <v>347.5</v>
      </c>
      <c r="S414" s="5">
        <v>886</v>
      </c>
      <c r="T414" s="5">
        <f t="shared" si="27"/>
        <v>32</v>
      </c>
    </row>
    <row r="415" spans="1:20">
      <c r="A415" s="1" t="s">
        <v>1428</v>
      </c>
      <c r="B415" s="1" t="s">
        <v>3198</v>
      </c>
      <c r="C415" s="4" t="s">
        <v>56</v>
      </c>
      <c r="D415" s="1" t="s">
        <v>1429</v>
      </c>
      <c r="E415" s="4" t="s">
        <v>200</v>
      </c>
      <c r="F415" s="84">
        <v>92</v>
      </c>
      <c r="G415" s="84">
        <v>94</v>
      </c>
      <c r="H415" s="84">
        <v>96</v>
      </c>
      <c r="I415" s="84">
        <v>92</v>
      </c>
      <c r="J415" s="84">
        <v>60</v>
      </c>
      <c r="K415" s="84">
        <v>80</v>
      </c>
      <c r="L415" s="84">
        <v>68</v>
      </c>
      <c r="M415" s="84">
        <v>65</v>
      </c>
      <c r="N415" s="84">
        <v>40</v>
      </c>
      <c r="O415" s="5">
        <f t="shared" si="25"/>
        <v>514</v>
      </c>
      <c r="P415" s="6">
        <f t="shared" si="28"/>
        <v>5</v>
      </c>
      <c r="Q415" s="5">
        <f t="shared" si="26"/>
        <v>190</v>
      </c>
      <c r="R415" s="5">
        <v>508</v>
      </c>
      <c r="S415" s="5">
        <v>176</v>
      </c>
      <c r="T415" s="5">
        <f t="shared" si="27"/>
        <v>-14</v>
      </c>
    </row>
    <row r="416" spans="1:20">
      <c r="A416" s="1" t="s">
        <v>1430</v>
      </c>
      <c r="B416" s="1" t="s">
        <v>3198</v>
      </c>
      <c r="C416" s="4" t="s">
        <v>56</v>
      </c>
      <c r="D416" s="1" t="s">
        <v>1431</v>
      </c>
      <c r="E416" s="4" t="s">
        <v>1432</v>
      </c>
      <c r="F416" s="84">
        <v>106</v>
      </c>
      <c r="G416" s="84">
        <v>86</v>
      </c>
      <c r="H416" s="84">
        <v>106.5</v>
      </c>
      <c r="I416" s="84">
        <v>71</v>
      </c>
      <c r="J416" s="84">
        <v>59</v>
      </c>
      <c r="K416" s="84">
        <v>73</v>
      </c>
      <c r="L416" s="84">
        <v>73</v>
      </c>
      <c r="M416" s="84">
        <v>72</v>
      </c>
      <c r="N416" s="84">
        <v>48</v>
      </c>
      <c r="O416" s="5">
        <f t="shared" si="25"/>
        <v>501.5</v>
      </c>
      <c r="P416" s="6">
        <f t="shared" si="28"/>
        <v>10</v>
      </c>
      <c r="Q416" s="5">
        <f t="shared" si="26"/>
        <v>239</v>
      </c>
      <c r="R416" s="5">
        <v>474.5</v>
      </c>
      <c r="S416" s="5">
        <v>331</v>
      </c>
      <c r="T416" s="5">
        <f t="shared" si="27"/>
        <v>92</v>
      </c>
    </row>
    <row r="417" spans="1:20">
      <c r="A417" s="1" t="s">
        <v>1433</v>
      </c>
      <c r="B417" s="1" t="s">
        <v>3198</v>
      </c>
      <c r="C417" s="4" t="s">
        <v>56</v>
      </c>
      <c r="D417" s="1" t="s">
        <v>1434</v>
      </c>
      <c r="E417" s="4" t="s">
        <v>1435</v>
      </c>
      <c r="F417" s="84">
        <v>73</v>
      </c>
      <c r="G417" s="84">
        <v>47</v>
      </c>
      <c r="H417" s="84">
        <v>96.5</v>
      </c>
      <c r="I417" s="84">
        <v>55</v>
      </c>
      <c r="J417" s="84">
        <v>36</v>
      </c>
      <c r="K417" s="84">
        <v>69</v>
      </c>
      <c r="L417" s="84">
        <v>83</v>
      </c>
      <c r="M417" s="84">
        <v>79</v>
      </c>
      <c r="N417" s="84">
        <v>55</v>
      </c>
      <c r="O417" s="5">
        <f t="shared" si="25"/>
        <v>376.5</v>
      </c>
      <c r="P417" s="6">
        <f t="shared" si="28"/>
        <v>48</v>
      </c>
      <c r="Q417" s="5">
        <f t="shared" si="26"/>
        <v>837</v>
      </c>
      <c r="R417" s="5">
        <v>373.5</v>
      </c>
      <c r="S417" s="5">
        <v>827</v>
      </c>
      <c r="T417" s="5">
        <f t="shared" si="27"/>
        <v>-10</v>
      </c>
    </row>
    <row r="418" spans="1:20">
      <c r="A418" s="1" t="s">
        <v>1436</v>
      </c>
      <c r="B418" s="1" t="s">
        <v>3198</v>
      </c>
      <c r="C418" s="4" t="s">
        <v>56</v>
      </c>
      <c r="D418" s="1" t="s">
        <v>1437</v>
      </c>
      <c r="E418" s="4" t="s">
        <v>1438</v>
      </c>
      <c r="F418" s="84">
        <v>115</v>
      </c>
      <c r="G418" s="84">
        <v>88</v>
      </c>
      <c r="H418" s="84">
        <v>89</v>
      </c>
      <c r="I418" s="84">
        <v>61</v>
      </c>
      <c r="J418" s="84">
        <v>42</v>
      </c>
      <c r="K418" s="84">
        <v>86</v>
      </c>
      <c r="L418" s="84">
        <v>85</v>
      </c>
      <c r="M418" s="84">
        <v>64</v>
      </c>
      <c r="N418" s="84">
        <v>52</v>
      </c>
      <c r="O418" s="5">
        <f t="shared" si="25"/>
        <v>481</v>
      </c>
      <c r="P418" s="6">
        <f t="shared" si="28"/>
        <v>15</v>
      </c>
      <c r="Q418" s="5">
        <f t="shared" si="26"/>
        <v>332</v>
      </c>
      <c r="R418" s="5">
        <v>430.5</v>
      </c>
      <c r="S418" s="5">
        <v>570</v>
      </c>
      <c r="T418" s="5">
        <f t="shared" si="27"/>
        <v>238</v>
      </c>
    </row>
    <row r="419" spans="1:20">
      <c r="A419" s="1" t="s">
        <v>1439</v>
      </c>
      <c r="B419" s="1" t="s">
        <v>3198</v>
      </c>
      <c r="C419" s="4" t="s">
        <v>56</v>
      </c>
      <c r="D419" s="1" t="s">
        <v>1440</v>
      </c>
      <c r="E419" s="4" t="s">
        <v>1441</v>
      </c>
      <c r="F419" s="84">
        <v>92</v>
      </c>
      <c r="G419" s="84">
        <v>43</v>
      </c>
      <c r="H419" s="84">
        <v>86.5</v>
      </c>
      <c r="I419" s="84">
        <v>75</v>
      </c>
      <c r="J419" s="84">
        <v>60</v>
      </c>
      <c r="K419" s="84">
        <v>69</v>
      </c>
      <c r="L419" s="84">
        <v>62</v>
      </c>
      <c r="M419" s="84">
        <v>65</v>
      </c>
      <c r="N419" s="84">
        <v>44</v>
      </c>
      <c r="O419" s="5">
        <f t="shared" si="25"/>
        <v>425.5</v>
      </c>
      <c r="P419" s="6">
        <f t="shared" si="28"/>
        <v>37</v>
      </c>
      <c r="Q419" s="5">
        <f t="shared" si="26"/>
        <v>644</v>
      </c>
      <c r="R419" s="5">
        <v>433.5</v>
      </c>
      <c r="S419" s="5">
        <v>554</v>
      </c>
      <c r="T419" s="5">
        <f t="shared" si="27"/>
        <v>-90</v>
      </c>
    </row>
    <row r="420" spans="1:20">
      <c r="A420" s="1" t="s">
        <v>1442</v>
      </c>
      <c r="B420" s="1" t="s">
        <v>3198</v>
      </c>
      <c r="C420" s="4" t="s">
        <v>56</v>
      </c>
      <c r="D420" s="1" t="s">
        <v>1443</v>
      </c>
      <c r="E420" s="4" t="s">
        <v>1444</v>
      </c>
      <c r="F420" s="84">
        <v>92</v>
      </c>
      <c r="G420" s="84">
        <v>58</v>
      </c>
      <c r="H420" s="84">
        <v>80</v>
      </c>
      <c r="I420" s="84">
        <v>66</v>
      </c>
      <c r="J420" s="84">
        <v>29</v>
      </c>
      <c r="K420" s="84">
        <v>61</v>
      </c>
      <c r="L420" s="84">
        <v>83</v>
      </c>
      <c r="M420" s="84">
        <v>50</v>
      </c>
      <c r="N420" s="84">
        <v>40</v>
      </c>
      <c r="O420" s="5">
        <f t="shared" si="25"/>
        <v>386</v>
      </c>
      <c r="P420" s="6">
        <f t="shared" si="28"/>
        <v>45</v>
      </c>
      <c r="Q420" s="5">
        <f t="shared" si="26"/>
        <v>816</v>
      </c>
      <c r="R420" s="5">
        <v>392.5</v>
      </c>
      <c r="S420" s="5">
        <v>757</v>
      </c>
      <c r="T420" s="5">
        <f t="shared" si="27"/>
        <v>-59</v>
      </c>
    </row>
    <row r="421" spans="1:20">
      <c r="A421" s="1" t="s">
        <v>1445</v>
      </c>
      <c r="B421" s="1" t="s">
        <v>3198</v>
      </c>
      <c r="C421" s="4" t="s">
        <v>56</v>
      </c>
      <c r="D421" s="1" t="s">
        <v>1446</v>
      </c>
      <c r="E421" s="4" t="s">
        <v>1447</v>
      </c>
      <c r="F421" s="84">
        <v>102</v>
      </c>
      <c r="G421" s="84">
        <v>83</v>
      </c>
      <c r="H421" s="84">
        <v>85</v>
      </c>
      <c r="I421" s="84">
        <v>84</v>
      </c>
      <c r="J421" s="84">
        <v>49</v>
      </c>
      <c r="K421" s="84">
        <v>73</v>
      </c>
      <c r="L421" s="84">
        <v>89</v>
      </c>
      <c r="M421" s="84">
        <v>64</v>
      </c>
      <c r="N421" s="84">
        <v>51</v>
      </c>
      <c r="O421" s="5">
        <f t="shared" si="25"/>
        <v>476</v>
      </c>
      <c r="P421" s="6">
        <f t="shared" si="28"/>
        <v>16</v>
      </c>
      <c r="Q421" s="5">
        <f t="shared" si="26"/>
        <v>358</v>
      </c>
      <c r="R421" s="5">
        <v>461</v>
      </c>
      <c r="S421" s="5">
        <v>410</v>
      </c>
      <c r="T421" s="5">
        <f t="shared" si="27"/>
        <v>52</v>
      </c>
    </row>
    <row r="422" spans="1:20">
      <c r="A422" s="1" t="s">
        <v>1448</v>
      </c>
      <c r="B422" s="1" t="s">
        <v>3198</v>
      </c>
      <c r="C422" s="4" t="s">
        <v>56</v>
      </c>
      <c r="D422" s="1" t="s">
        <v>1449</v>
      </c>
      <c r="E422" s="4" t="s">
        <v>1450</v>
      </c>
      <c r="F422" s="84">
        <v>115</v>
      </c>
      <c r="G422" s="84">
        <v>46</v>
      </c>
      <c r="H422" s="84">
        <v>101</v>
      </c>
      <c r="I422" s="84">
        <v>48</v>
      </c>
      <c r="J422" s="84">
        <v>31</v>
      </c>
      <c r="K422" s="84">
        <v>45</v>
      </c>
      <c r="L422" s="84">
        <v>71</v>
      </c>
      <c r="M422" s="84">
        <v>69</v>
      </c>
      <c r="N422" s="84">
        <v>47</v>
      </c>
      <c r="O422" s="5">
        <f t="shared" si="25"/>
        <v>386</v>
      </c>
      <c r="P422" s="6">
        <f t="shared" si="28"/>
        <v>45</v>
      </c>
      <c r="Q422" s="5">
        <f t="shared" si="26"/>
        <v>816</v>
      </c>
      <c r="R422" s="5">
        <v>357.5</v>
      </c>
      <c r="S422" s="5">
        <v>862</v>
      </c>
      <c r="T422" s="5">
        <f t="shared" si="27"/>
        <v>46</v>
      </c>
    </row>
    <row r="423" spans="1:20">
      <c r="A423" s="1" t="s">
        <v>1451</v>
      </c>
      <c r="B423" s="1" t="s">
        <v>3198</v>
      </c>
      <c r="C423" s="4" t="s">
        <v>56</v>
      </c>
      <c r="D423" s="1" t="s">
        <v>1452</v>
      </c>
      <c r="E423" s="4" t="s">
        <v>1453</v>
      </c>
      <c r="F423" s="84">
        <v>95</v>
      </c>
      <c r="G423" s="84">
        <v>58</v>
      </c>
      <c r="H423" s="84">
        <v>81.5</v>
      </c>
      <c r="I423" s="84">
        <v>61</v>
      </c>
      <c r="J423" s="84">
        <v>45</v>
      </c>
      <c r="K423" s="84">
        <v>68</v>
      </c>
      <c r="L423" s="84">
        <v>72</v>
      </c>
      <c r="M423" s="84">
        <v>66</v>
      </c>
      <c r="N423" s="84">
        <v>47</v>
      </c>
      <c r="O423" s="5">
        <f t="shared" si="25"/>
        <v>408.5</v>
      </c>
      <c r="P423" s="6">
        <f t="shared" si="28"/>
        <v>39</v>
      </c>
      <c r="Q423" s="5">
        <f t="shared" si="26"/>
        <v>732</v>
      </c>
      <c r="R423" s="5">
        <v>381</v>
      </c>
      <c r="S423" s="5">
        <v>802</v>
      </c>
      <c r="T423" s="5">
        <f t="shared" si="27"/>
        <v>70</v>
      </c>
    </row>
    <row r="424" spans="1:20">
      <c r="A424" s="1" t="s">
        <v>1454</v>
      </c>
      <c r="B424" s="1" t="s">
        <v>3198</v>
      </c>
      <c r="C424" s="4" t="s">
        <v>56</v>
      </c>
      <c r="D424" s="1" t="s">
        <v>1455</v>
      </c>
      <c r="E424" s="4" t="s">
        <v>177</v>
      </c>
      <c r="F424" s="84">
        <v>101</v>
      </c>
      <c r="G424" s="84">
        <v>121</v>
      </c>
      <c r="H424" s="84">
        <v>89.5</v>
      </c>
      <c r="I424" s="84">
        <v>84</v>
      </c>
      <c r="J424" s="84">
        <v>60</v>
      </c>
      <c r="K424" s="84">
        <v>86</v>
      </c>
      <c r="L424" s="84">
        <v>82</v>
      </c>
      <c r="M424" s="84">
        <v>65</v>
      </c>
      <c r="N424" s="84">
        <v>44</v>
      </c>
      <c r="O424" s="5">
        <f t="shared" si="25"/>
        <v>541.5</v>
      </c>
      <c r="P424" s="6">
        <f t="shared" si="28"/>
        <v>1</v>
      </c>
      <c r="Q424" s="5">
        <f t="shared" si="26"/>
        <v>99</v>
      </c>
      <c r="R424" s="5">
        <v>563.5</v>
      </c>
      <c r="S424" s="5">
        <v>37</v>
      </c>
      <c r="T424" s="5">
        <f t="shared" si="27"/>
        <v>-62</v>
      </c>
    </row>
    <row r="425" spans="1:20">
      <c r="A425" s="1" t="s">
        <v>1456</v>
      </c>
      <c r="B425" s="1" t="s">
        <v>3198</v>
      </c>
      <c r="C425" s="4" t="s">
        <v>56</v>
      </c>
      <c r="D425" s="1" t="s">
        <v>1457</v>
      </c>
      <c r="E425" s="4" t="s">
        <v>1458</v>
      </c>
      <c r="F425" s="84">
        <v>98</v>
      </c>
      <c r="G425" s="84">
        <v>58</v>
      </c>
      <c r="H425" s="84">
        <v>75</v>
      </c>
      <c r="I425" s="84">
        <v>64</v>
      </c>
      <c r="J425" s="84">
        <v>79</v>
      </c>
      <c r="K425" s="84">
        <v>69</v>
      </c>
      <c r="L425" s="84">
        <v>58</v>
      </c>
      <c r="M425" s="84">
        <v>61</v>
      </c>
      <c r="N425" s="84">
        <v>56</v>
      </c>
      <c r="O425" s="5">
        <f t="shared" si="25"/>
        <v>443</v>
      </c>
      <c r="P425" s="6">
        <f t="shared" si="28"/>
        <v>32</v>
      </c>
      <c r="Q425" s="5">
        <f t="shared" si="26"/>
        <v>557</v>
      </c>
      <c r="R425" s="5">
        <v>377.5</v>
      </c>
      <c r="S425" s="5">
        <v>815</v>
      </c>
      <c r="T425" s="5">
        <f t="shared" si="27"/>
        <v>258</v>
      </c>
    </row>
    <row r="426" spans="1:20">
      <c r="A426" s="1" t="s">
        <v>1459</v>
      </c>
      <c r="B426" s="1" t="s">
        <v>3198</v>
      </c>
      <c r="C426" s="4" t="s">
        <v>56</v>
      </c>
      <c r="D426" s="1" t="s">
        <v>1460</v>
      </c>
      <c r="E426" s="4" t="s">
        <v>1461</v>
      </c>
      <c r="F426" s="84">
        <v>111</v>
      </c>
      <c r="G426" s="84">
        <v>64</v>
      </c>
      <c r="H426" s="84">
        <v>100</v>
      </c>
      <c r="I426" s="84">
        <v>72</v>
      </c>
      <c r="J426" s="84">
        <v>79</v>
      </c>
      <c r="K426" s="84">
        <v>77</v>
      </c>
      <c r="L426" s="84">
        <v>74</v>
      </c>
      <c r="M426" s="84">
        <v>63</v>
      </c>
      <c r="N426" s="84">
        <v>56</v>
      </c>
      <c r="O426" s="5">
        <f t="shared" si="25"/>
        <v>503</v>
      </c>
      <c r="P426" s="6">
        <f t="shared" si="28"/>
        <v>8</v>
      </c>
      <c r="Q426" s="5">
        <f t="shared" si="26"/>
        <v>233</v>
      </c>
      <c r="R426" s="5">
        <v>519.5</v>
      </c>
      <c r="S426" s="5">
        <v>138</v>
      </c>
      <c r="T426" s="5">
        <f t="shared" si="27"/>
        <v>-95</v>
      </c>
    </row>
    <row r="427" spans="1:20">
      <c r="A427" s="1" t="s">
        <v>1462</v>
      </c>
      <c r="B427" s="1" t="s">
        <v>3198</v>
      </c>
      <c r="C427" s="4" t="s">
        <v>56</v>
      </c>
      <c r="D427" s="1" t="s">
        <v>1463</v>
      </c>
      <c r="E427" s="4" t="s">
        <v>1464</v>
      </c>
      <c r="F427" s="84">
        <v>105</v>
      </c>
      <c r="G427" s="84">
        <v>47</v>
      </c>
      <c r="H427" s="84">
        <v>127</v>
      </c>
      <c r="I427" s="84">
        <v>70</v>
      </c>
      <c r="J427" s="84">
        <v>75</v>
      </c>
      <c r="K427" s="84">
        <v>78</v>
      </c>
      <c r="L427" s="84">
        <v>66</v>
      </c>
      <c r="M427" s="84">
        <v>82</v>
      </c>
      <c r="N427" s="84">
        <v>78</v>
      </c>
      <c r="O427" s="5">
        <f t="shared" si="25"/>
        <v>502</v>
      </c>
      <c r="P427" s="6">
        <f t="shared" si="28"/>
        <v>9</v>
      </c>
      <c r="Q427" s="5">
        <f t="shared" si="26"/>
        <v>238</v>
      </c>
      <c r="R427" s="5">
        <v>495.5</v>
      </c>
      <c r="S427" s="5">
        <v>231</v>
      </c>
      <c r="T427" s="5">
        <f t="shared" si="27"/>
        <v>-7</v>
      </c>
    </row>
    <row r="428" spans="1:20">
      <c r="A428" s="1" t="s">
        <v>1465</v>
      </c>
      <c r="B428" s="1" t="s">
        <v>3198</v>
      </c>
      <c r="C428" s="4" t="s">
        <v>56</v>
      </c>
      <c r="D428" s="1" t="s">
        <v>1466</v>
      </c>
      <c r="E428" s="4" t="s">
        <v>1467</v>
      </c>
      <c r="F428" s="84">
        <v>113</v>
      </c>
      <c r="G428" s="84">
        <v>49</v>
      </c>
      <c r="H428" s="84">
        <v>85.5</v>
      </c>
      <c r="I428" s="84">
        <v>57</v>
      </c>
      <c r="J428" s="84">
        <v>36</v>
      </c>
      <c r="K428" s="84">
        <v>55</v>
      </c>
      <c r="L428" s="84">
        <v>72</v>
      </c>
      <c r="M428" s="84">
        <v>68</v>
      </c>
      <c r="N428" s="84">
        <v>56</v>
      </c>
      <c r="O428" s="5">
        <f t="shared" si="25"/>
        <v>395.5</v>
      </c>
      <c r="P428" s="6">
        <f t="shared" si="28"/>
        <v>44</v>
      </c>
      <c r="Q428" s="5">
        <f t="shared" si="26"/>
        <v>788</v>
      </c>
      <c r="R428" s="5">
        <v>412</v>
      </c>
      <c r="S428" s="5">
        <v>670</v>
      </c>
      <c r="T428" s="5">
        <f t="shared" si="27"/>
        <v>-118</v>
      </c>
    </row>
    <row r="429" spans="1:20">
      <c r="A429" s="1" t="s">
        <v>1468</v>
      </c>
      <c r="B429" s="1" t="s">
        <v>3198</v>
      </c>
      <c r="C429" s="4" t="s">
        <v>56</v>
      </c>
      <c r="D429" s="1" t="s">
        <v>1469</v>
      </c>
      <c r="E429" s="4" t="s">
        <v>1470</v>
      </c>
      <c r="F429" s="84">
        <v>103</v>
      </c>
      <c r="G429" s="84">
        <v>73</v>
      </c>
      <c r="H429" s="84">
        <v>76</v>
      </c>
      <c r="I429" s="84">
        <v>77</v>
      </c>
      <c r="J429" s="84">
        <v>56</v>
      </c>
      <c r="K429" s="84">
        <v>74</v>
      </c>
      <c r="L429" s="84">
        <v>62</v>
      </c>
      <c r="M429" s="84">
        <v>58</v>
      </c>
      <c r="N429" s="84">
        <v>51</v>
      </c>
      <c r="O429" s="5">
        <f t="shared" si="25"/>
        <v>459</v>
      </c>
      <c r="P429" s="6">
        <f t="shared" si="28"/>
        <v>24</v>
      </c>
      <c r="Q429" s="5">
        <f t="shared" si="26"/>
        <v>460</v>
      </c>
      <c r="R429" s="5">
        <v>431.5</v>
      </c>
      <c r="S429" s="5">
        <v>567</v>
      </c>
      <c r="T429" s="5">
        <f t="shared" si="27"/>
        <v>107</v>
      </c>
    </row>
    <row r="430" spans="1:20">
      <c r="A430" s="1" t="s">
        <v>1471</v>
      </c>
      <c r="B430" s="1" t="s">
        <v>3198</v>
      </c>
      <c r="C430" s="4" t="s">
        <v>56</v>
      </c>
      <c r="D430" s="1" t="s">
        <v>1472</v>
      </c>
      <c r="E430" s="4" t="s">
        <v>1473</v>
      </c>
      <c r="F430" s="84">
        <v>108</v>
      </c>
      <c r="G430" s="84">
        <v>58</v>
      </c>
      <c r="H430" s="84">
        <v>78.5</v>
      </c>
      <c r="I430" s="84">
        <v>50</v>
      </c>
      <c r="J430" s="84">
        <v>59</v>
      </c>
      <c r="K430" s="84">
        <v>79</v>
      </c>
      <c r="L430" s="84">
        <v>71</v>
      </c>
      <c r="M430" s="84">
        <v>68</v>
      </c>
      <c r="N430" s="84">
        <v>49</v>
      </c>
      <c r="O430" s="5">
        <f t="shared" si="25"/>
        <v>432.5</v>
      </c>
      <c r="P430" s="6">
        <f t="shared" si="28"/>
        <v>35</v>
      </c>
      <c r="Q430" s="5">
        <f t="shared" si="26"/>
        <v>613</v>
      </c>
      <c r="R430" s="5">
        <v>400.5</v>
      </c>
      <c r="S430" s="5">
        <v>726</v>
      </c>
      <c r="T430" s="5">
        <f t="shared" si="27"/>
        <v>113</v>
      </c>
    </row>
    <row r="431" spans="1:20">
      <c r="A431" s="1" t="s">
        <v>1474</v>
      </c>
      <c r="B431" s="1" t="s">
        <v>3198</v>
      </c>
      <c r="C431" s="4" t="s">
        <v>56</v>
      </c>
      <c r="D431" s="1" t="s">
        <v>1475</v>
      </c>
      <c r="E431" s="4" t="s">
        <v>1476</v>
      </c>
      <c r="F431" s="84">
        <v>113</v>
      </c>
      <c r="G431" s="84">
        <v>48</v>
      </c>
      <c r="H431" s="84">
        <v>92.5</v>
      </c>
      <c r="I431" s="84">
        <v>28</v>
      </c>
      <c r="J431" s="84">
        <v>26</v>
      </c>
      <c r="K431" s="84">
        <v>67</v>
      </c>
      <c r="L431" s="84">
        <v>80</v>
      </c>
      <c r="M431" s="84">
        <v>77</v>
      </c>
      <c r="N431" s="84">
        <v>56</v>
      </c>
      <c r="O431" s="5">
        <f t="shared" si="25"/>
        <v>374.5</v>
      </c>
      <c r="P431" s="6">
        <f t="shared" si="28"/>
        <v>49</v>
      </c>
      <c r="Q431" s="5">
        <f t="shared" si="26"/>
        <v>844</v>
      </c>
      <c r="R431" s="5">
        <v>349</v>
      </c>
      <c r="S431" s="5">
        <v>881</v>
      </c>
      <c r="T431" s="5">
        <f t="shared" si="27"/>
        <v>37</v>
      </c>
    </row>
    <row r="432" spans="1:20">
      <c r="A432" s="1" t="s">
        <v>1477</v>
      </c>
      <c r="B432" s="1" t="s">
        <v>3198</v>
      </c>
      <c r="C432" s="4" t="s">
        <v>56</v>
      </c>
      <c r="D432" s="1" t="s">
        <v>1478</v>
      </c>
      <c r="E432" s="4" t="s">
        <v>1479</v>
      </c>
      <c r="F432" s="84">
        <v>109</v>
      </c>
      <c r="G432" s="84">
        <v>56</v>
      </c>
      <c r="H432" s="84">
        <v>84</v>
      </c>
      <c r="I432" s="84">
        <v>49</v>
      </c>
      <c r="J432" s="84">
        <v>26</v>
      </c>
      <c r="K432" s="84">
        <v>57</v>
      </c>
      <c r="L432" s="84">
        <v>66</v>
      </c>
      <c r="M432" s="84">
        <v>78</v>
      </c>
      <c r="N432" s="84">
        <v>52</v>
      </c>
      <c r="O432" s="5">
        <f t="shared" si="25"/>
        <v>381</v>
      </c>
      <c r="P432" s="6">
        <f t="shared" si="28"/>
        <v>47</v>
      </c>
      <c r="Q432" s="5">
        <f t="shared" si="26"/>
        <v>827</v>
      </c>
      <c r="R432" s="5">
        <v>383</v>
      </c>
      <c r="S432" s="5">
        <v>796</v>
      </c>
      <c r="T432" s="5">
        <f t="shared" si="27"/>
        <v>-31</v>
      </c>
    </row>
    <row r="433" spans="1:20">
      <c r="A433" s="1" t="s">
        <v>1480</v>
      </c>
      <c r="B433" s="1" t="s">
        <v>3198</v>
      </c>
      <c r="C433" s="4" t="s">
        <v>56</v>
      </c>
      <c r="D433" s="1" t="s">
        <v>1481</v>
      </c>
      <c r="E433" s="4" t="s">
        <v>1482</v>
      </c>
      <c r="F433" s="84">
        <v>94</v>
      </c>
      <c r="G433" s="84">
        <v>95</v>
      </c>
      <c r="H433" s="84">
        <v>99</v>
      </c>
      <c r="I433" s="84">
        <v>92</v>
      </c>
      <c r="J433" s="84">
        <v>57</v>
      </c>
      <c r="K433" s="84">
        <v>90</v>
      </c>
      <c r="L433" s="84">
        <v>80</v>
      </c>
      <c r="M433" s="84">
        <v>78</v>
      </c>
      <c r="N433" s="84">
        <v>50</v>
      </c>
      <c r="O433" s="5">
        <f t="shared" si="25"/>
        <v>527</v>
      </c>
      <c r="P433" s="6">
        <f t="shared" si="28"/>
        <v>4</v>
      </c>
      <c r="Q433" s="5">
        <f t="shared" si="26"/>
        <v>142</v>
      </c>
      <c r="R433" s="5">
        <v>481.5</v>
      </c>
      <c r="S433" s="5">
        <v>298</v>
      </c>
      <c r="T433" s="5">
        <f t="shared" si="27"/>
        <v>156</v>
      </c>
    </row>
    <row r="434" spans="1:20">
      <c r="A434" s="1" t="s">
        <v>1483</v>
      </c>
      <c r="B434" s="1" t="s">
        <v>3198</v>
      </c>
      <c r="C434" s="4" t="s">
        <v>56</v>
      </c>
      <c r="D434" s="1" t="s">
        <v>1484</v>
      </c>
      <c r="E434" s="4" t="s">
        <v>1485</v>
      </c>
      <c r="F434" s="84">
        <v>107</v>
      </c>
      <c r="G434" s="84">
        <v>64</v>
      </c>
      <c r="H434" s="84">
        <v>90</v>
      </c>
      <c r="I434" s="84">
        <v>63</v>
      </c>
      <c r="J434" s="84">
        <v>38</v>
      </c>
      <c r="K434" s="84">
        <v>76</v>
      </c>
      <c r="L434" s="84">
        <v>68</v>
      </c>
      <c r="M434" s="84">
        <v>80</v>
      </c>
      <c r="N434" s="84">
        <v>50</v>
      </c>
      <c r="O434" s="5">
        <f t="shared" si="25"/>
        <v>438</v>
      </c>
      <c r="P434" s="6">
        <f t="shared" si="28"/>
        <v>34</v>
      </c>
      <c r="Q434" s="5">
        <f t="shared" si="26"/>
        <v>579</v>
      </c>
      <c r="R434" s="5">
        <v>405.5</v>
      </c>
      <c r="S434" s="5">
        <v>701</v>
      </c>
      <c r="T434" s="5">
        <f t="shared" si="27"/>
        <v>122</v>
      </c>
    </row>
    <row r="435" spans="1:20">
      <c r="A435" s="1" t="s">
        <v>1486</v>
      </c>
      <c r="B435" s="1" t="s">
        <v>3198</v>
      </c>
      <c r="C435" s="4" t="s">
        <v>56</v>
      </c>
      <c r="D435" s="1" t="s">
        <v>1487</v>
      </c>
      <c r="E435" s="4" t="s">
        <v>1488</v>
      </c>
      <c r="F435" s="84">
        <v>81</v>
      </c>
      <c r="G435" s="84">
        <v>69</v>
      </c>
      <c r="H435" s="84">
        <v>92</v>
      </c>
      <c r="I435" s="84">
        <v>61</v>
      </c>
      <c r="J435" s="84">
        <v>44</v>
      </c>
      <c r="K435" s="84">
        <v>51</v>
      </c>
      <c r="L435" s="84">
        <v>71</v>
      </c>
      <c r="M435" s="84">
        <v>59</v>
      </c>
      <c r="N435" s="84">
        <v>47</v>
      </c>
      <c r="O435" s="5">
        <f t="shared" si="25"/>
        <v>398</v>
      </c>
      <c r="P435" s="6">
        <f t="shared" si="28"/>
        <v>42</v>
      </c>
      <c r="Q435" s="5">
        <f t="shared" si="26"/>
        <v>779</v>
      </c>
      <c r="R435" s="5">
        <v>345.5</v>
      </c>
      <c r="S435" s="5">
        <v>890</v>
      </c>
      <c r="T435" s="5">
        <f t="shared" si="27"/>
        <v>111</v>
      </c>
    </row>
    <row r="436" spans="1:20">
      <c r="A436" s="1" t="s">
        <v>1489</v>
      </c>
      <c r="B436" s="1" t="s">
        <v>3198</v>
      </c>
      <c r="C436" s="4" t="s">
        <v>56</v>
      </c>
      <c r="D436" s="1" t="s">
        <v>1490</v>
      </c>
      <c r="E436" s="4" t="s">
        <v>1491</v>
      </c>
      <c r="F436" s="84">
        <v>96</v>
      </c>
      <c r="G436" s="84">
        <v>66</v>
      </c>
      <c r="H436" s="84">
        <v>85.5</v>
      </c>
      <c r="I436" s="84">
        <v>70</v>
      </c>
      <c r="J436" s="84">
        <v>46</v>
      </c>
      <c r="K436" s="84">
        <v>83</v>
      </c>
      <c r="L436" s="84">
        <v>65</v>
      </c>
      <c r="M436" s="84">
        <v>49</v>
      </c>
      <c r="N436" s="84">
        <v>44</v>
      </c>
      <c r="O436" s="5">
        <f t="shared" si="25"/>
        <v>446.5</v>
      </c>
      <c r="P436" s="6">
        <f t="shared" si="28"/>
        <v>28</v>
      </c>
      <c r="Q436" s="5">
        <f t="shared" si="26"/>
        <v>534</v>
      </c>
      <c r="R436" s="5">
        <v>420.5</v>
      </c>
      <c r="S436" s="5">
        <v>639</v>
      </c>
      <c r="T436" s="5">
        <f t="shared" si="27"/>
        <v>105</v>
      </c>
    </row>
    <row r="437" spans="1:20">
      <c r="A437" s="1" t="s">
        <v>1492</v>
      </c>
      <c r="B437" s="1" t="s">
        <v>3198</v>
      </c>
      <c r="C437" s="4" t="s">
        <v>56</v>
      </c>
      <c r="D437" s="1" t="s">
        <v>1493</v>
      </c>
      <c r="E437" s="4" t="s">
        <v>1494</v>
      </c>
      <c r="F437" s="84">
        <v>109</v>
      </c>
      <c r="G437" s="84">
        <v>88</v>
      </c>
      <c r="H437" s="84">
        <v>90.5</v>
      </c>
      <c r="I437" s="84">
        <v>67</v>
      </c>
      <c r="J437" s="84">
        <v>57</v>
      </c>
      <c r="K437" s="84">
        <v>82</v>
      </c>
      <c r="L437" s="84">
        <v>72</v>
      </c>
      <c r="M437" s="84">
        <v>71</v>
      </c>
      <c r="N437" s="84">
        <v>47</v>
      </c>
      <c r="O437" s="5">
        <f t="shared" si="25"/>
        <v>493.5</v>
      </c>
      <c r="P437" s="6">
        <f t="shared" si="28"/>
        <v>11</v>
      </c>
      <c r="Q437" s="5">
        <f t="shared" si="26"/>
        <v>273</v>
      </c>
      <c r="R437" s="5">
        <v>449</v>
      </c>
      <c r="S437" s="5">
        <v>473</v>
      </c>
      <c r="T437" s="5">
        <f t="shared" si="27"/>
        <v>200</v>
      </c>
    </row>
    <row r="438" spans="1:20">
      <c r="A438" s="1" t="s">
        <v>1495</v>
      </c>
      <c r="B438" s="1" t="s">
        <v>3198</v>
      </c>
      <c r="C438" s="4" t="s">
        <v>56</v>
      </c>
      <c r="D438" s="1" t="s">
        <v>1496</v>
      </c>
      <c r="E438" s="4" t="s">
        <v>1497</v>
      </c>
      <c r="F438" s="84">
        <v>93</v>
      </c>
      <c r="G438" s="84">
        <v>59</v>
      </c>
      <c r="H438" s="84">
        <v>114.5</v>
      </c>
      <c r="I438" s="84">
        <v>65</v>
      </c>
      <c r="J438" s="84">
        <v>51</v>
      </c>
      <c r="K438" s="84">
        <v>82</v>
      </c>
      <c r="L438" s="84">
        <v>78</v>
      </c>
      <c r="M438" s="84">
        <v>71</v>
      </c>
      <c r="N438" s="84">
        <v>60</v>
      </c>
      <c r="O438" s="5">
        <f t="shared" si="25"/>
        <v>464.5</v>
      </c>
      <c r="P438" s="6">
        <f t="shared" si="28"/>
        <v>22</v>
      </c>
      <c r="Q438" s="5">
        <f t="shared" si="26"/>
        <v>424</v>
      </c>
      <c r="R438" s="5">
        <v>457.5</v>
      </c>
      <c r="S438" s="5">
        <v>424</v>
      </c>
      <c r="T438" s="5">
        <f t="shared" si="27"/>
        <v>0</v>
      </c>
    </row>
    <row r="439" spans="1:20">
      <c r="A439" s="1" t="s">
        <v>1501</v>
      </c>
      <c r="B439" s="1" t="s">
        <v>3198</v>
      </c>
      <c r="C439" s="4" t="s">
        <v>56</v>
      </c>
      <c r="D439" s="1" t="s">
        <v>1502</v>
      </c>
      <c r="E439" s="4" t="s">
        <v>1503</v>
      </c>
      <c r="F439" s="84">
        <v>91</v>
      </c>
      <c r="G439" s="84">
        <v>60</v>
      </c>
      <c r="H439" s="84">
        <v>85</v>
      </c>
      <c r="I439" s="84">
        <v>38</v>
      </c>
      <c r="J439" s="84">
        <v>27</v>
      </c>
      <c r="K439" s="84">
        <v>68</v>
      </c>
      <c r="L439" s="84">
        <v>79</v>
      </c>
      <c r="M439" s="84">
        <v>78</v>
      </c>
      <c r="N439" s="84">
        <v>40</v>
      </c>
      <c r="O439" s="5">
        <f t="shared" si="25"/>
        <v>369</v>
      </c>
      <c r="P439" s="6">
        <f t="shared" si="28"/>
        <v>51</v>
      </c>
      <c r="Q439" s="5">
        <f t="shared" si="26"/>
        <v>860</v>
      </c>
      <c r="R439" s="5">
        <v>392</v>
      </c>
      <c r="S439" s="5">
        <v>761</v>
      </c>
      <c r="T439" s="5">
        <f t="shared" si="27"/>
        <v>-99</v>
      </c>
    </row>
    <row r="440" spans="1:20">
      <c r="A440" s="1" t="s">
        <v>1504</v>
      </c>
      <c r="B440" s="1" t="s">
        <v>3198</v>
      </c>
      <c r="C440" s="4" t="s">
        <v>56</v>
      </c>
      <c r="D440" s="1" t="s">
        <v>1505</v>
      </c>
      <c r="E440" s="4" t="s">
        <v>1506</v>
      </c>
      <c r="F440" s="84">
        <v>100</v>
      </c>
      <c r="G440" s="84">
        <v>59</v>
      </c>
      <c r="H440" s="84">
        <v>120.5</v>
      </c>
      <c r="I440" s="84">
        <v>64</v>
      </c>
      <c r="J440" s="84">
        <v>43</v>
      </c>
      <c r="K440" s="84">
        <v>67</v>
      </c>
      <c r="L440" s="84">
        <v>76</v>
      </c>
      <c r="M440" s="84">
        <v>65</v>
      </c>
      <c r="N440" s="84">
        <v>46</v>
      </c>
      <c r="O440" s="5">
        <f t="shared" si="25"/>
        <v>453.5</v>
      </c>
      <c r="P440" s="6">
        <f t="shared" si="28"/>
        <v>26</v>
      </c>
      <c r="Q440" s="5">
        <f t="shared" si="26"/>
        <v>491</v>
      </c>
      <c r="R440" s="5">
        <v>456.5</v>
      </c>
      <c r="S440" s="5">
        <v>430</v>
      </c>
      <c r="T440" s="5">
        <f t="shared" si="27"/>
        <v>-61</v>
      </c>
    </row>
    <row r="441" spans="1:20">
      <c r="A441" s="1" t="s">
        <v>1507</v>
      </c>
      <c r="B441" s="1" t="s">
        <v>3198</v>
      </c>
      <c r="C441" s="4" t="s">
        <v>56</v>
      </c>
      <c r="D441" s="1" t="s">
        <v>1508</v>
      </c>
      <c r="E441" s="4" t="s">
        <v>1509</v>
      </c>
      <c r="F441" s="84">
        <v>100</v>
      </c>
      <c r="G441" s="84">
        <v>68</v>
      </c>
      <c r="H441" s="84">
        <v>91.5</v>
      </c>
      <c r="I441" s="84">
        <v>58</v>
      </c>
      <c r="J441" s="84">
        <v>51</v>
      </c>
      <c r="K441" s="84">
        <v>77</v>
      </c>
      <c r="L441" s="84">
        <v>71</v>
      </c>
      <c r="M441" s="84">
        <v>64</v>
      </c>
      <c r="N441" s="84">
        <v>60</v>
      </c>
      <c r="O441" s="5">
        <f t="shared" si="25"/>
        <v>445.5</v>
      </c>
      <c r="P441" s="6">
        <f t="shared" si="28"/>
        <v>29</v>
      </c>
      <c r="Q441" s="5">
        <f t="shared" si="26"/>
        <v>541</v>
      </c>
      <c r="R441" s="5">
        <v>427</v>
      </c>
      <c r="S441" s="5">
        <v>593</v>
      </c>
      <c r="T441" s="5">
        <f t="shared" si="27"/>
        <v>52</v>
      </c>
    </row>
    <row r="442" spans="1:20">
      <c r="A442" s="1" t="s">
        <v>1510</v>
      </c>
      <c r="B442" s="1" t="s">
        <v>3198</v>
      </c>
      <c r="C442" s="4" t="s">
        <v>56</v>
      </c>
      <c r="D442" s="1" t="s">
        <v>1511</v>
      </c>
      <c r="E442" s="4" t="s">
        <v>1512</v>
      </c>
      <c r="F442" s="84">
        <v>107</v>
      </c>
      <c r="G442" s="84">
        <v>92</v>
      </c>
      <c r="H442" s="84">
        <v>92</v>
      </c>
      <c r="I442" s="84">
        <v>71</v>
      </c>
      <c r="J442" s="84">
        <v>65</v>
      </c>
      <c r="K442" s="84">
        <v>84</v>
      </c>
      <c r="L442" s="84">
        <v>65</v>
      </c>
      <c r="M442" s="84">
        <v>62</v>
      </c>
      <c r="N442" s="84">
        <v>58</v>
      </c>
      <c r="O442" s="5">
        <f t="shared" si="25"/>
        <v>511</v>
      </c>
      <c r="P442" s="6">
        <f t="shared" si="28"/>
        <v>6</v>
      </c>
      <c r="Q442" s="5">
        <f t="shared" si="26"/>
        <v>202</v>
      </c>
      <c r="R442" s="5">
        <v>481.5</v>
      </c>
      <c r="S442" s="5">
        <v>298</v>
      </c>
      <c r="T442" s="5">
        <f t="shared" si="27"/>
        <v>96</v>
      </c>
    </row>
    <row r="443" spans="1:20">
      <c r="A443" s="1" t="s">
        <v>1513</v>
      </c>
      <c r="B443" s="1" t="s">
        <v>3198</v>
      </c>
      <c r="C443" s="4" t="s">
        <v>56</v>
      </c>
      <c r="D443" s="1" t="s">
        <v>1514</v>
      </c>
      <c r="E443" s="4" t="s">
        <v>1515</v>
      </c>
      <c r="F443" s="84">
        <v>100</v>
      </c>
      <c r="G443" s="84">
        <v>71</v>
      </c>
      <c r="H443" s="84">
        <v>101</v>
      </c>
      <c r="I443" s="84">
        <v>64</v>
      </c>
      <c r="J443" s="84">
        <v>27</v>
      </c>
      <c r="K443" s="84">
        <v>79</v>
      </c>
      <c r="L443" s="84">
        <v>72</v>
      </c>
      <c r="M443" s="84">
        <v>70</v>
      </c>
      <c r="N443" s="84">
        <v>39</v>
      </c>
      <c r="O443" s="5">
        <f t="shared" si="25"/>
        <v>442</v>
      </c>
      <c r="P443" s="6">
        <f t="shared" si="28"/>
        <v>33</v>
      </c>
      <c r="Q443" s="5">
        <f t="shared" si="26"/>
        <v>561</v>
      </c>
      <c r="R443" s="5">
        <v>481</v>
      </c>
      <c r="S443" s="5">
        <v>304</v>
      </c>
      <c r="T443" s="5">
        <f t="shared" si="27"/>
        <v>-257</v>
      </c>
    </row>
    <row r="444" spans="1:20">
      <c r="A444" s="1" t="s">
        <v>1516</v>
      </c>
      <c r="B444" s="1" t="s">
        <v>3198</v>
      </c>
      <c r="C444" s="4" t="s">
        <v>56</v>
      </c>
      <c r="D444" s="1" t="s">
        <v>1517</v>
      </c>
      <c r="E444" s="4" t="s">
        <v>1518</v>
      </c>
      <c r="F444" s="84">
        <v>104</v>
      </c>
      <c r="G444" s="84">
        <v>44</v>
      </c>
      <c r="H444" s="84">
        <v>73.5</v>
      </c>
      <c r="I444" s="84">
        <v>37</v>
      </c>
      <c r="J444" s="84">
        <v>21</v>
      </c>
      <c r="K444" s="84">
        <v>59</v>
      </c>
      <c r="L444" s="84">
        <v>67</v>
      </c>
      <c r="M444" s="84">
        <v>68</v>
      </c>
      <c r="N444" s="84">
        <v>53</v>
      </c>
      <c r="O444" s="5">
        <f t="shared" si="25"/>
        <v>338.5</v>
      </c>
      <c r="P444" s="6">
        <f t="shared" si="28"/>
        <v>53</v>
      </c>
      <c r="Q444" s="5">
        <f t="shared" si="26"/>
        <v>908</v>
      </c>
      <c r="R444" s="5">
        <v>309.5</v>
      </c>
      <c r="S444" s="5">
        <v>922</v>
      </c>
      <c r="T444" s="5">
        <f t="shared" si="27"/>
        <v>14</v>
      </c>
    </row>
    <row r="445" spans="1:20">
      <c r="A445" s="1" t="s">
        <v>1519</v>
      </c>
      <c r="B445" s="1" t="s">
        <v>3198</v>
      </c>
      <c r="C445" s="4" t="s">
        <v>10</v>
      </c>
      <c r="D445" s="1" t="s">
        <v>1520</v>
      </c>
      <c r="E445" s="4" t="s">
        <v>150</v>
      </c>
      <c r="F445" s="84">
        <v>110</v>
      </c>
      <c r="G445" s="84">
        <v>99</v>
      </c>
      <c r="H445" s="84">
        <v>123</v>
      </c>
      <c r="I445" s="84">
        <v>87</v>
      </c>
      <c r="J445" s="84">
        <v>84</v>
      </c>
      <c r="K445" s="84">
        <v>80</v>
      </c>
      <c r="L445" s="84">
        <v>69</v>
      </c>
      <c r="M445" s="84">
        <v>77</v>
      </c>
      <c r="N445" s="84">
        <v>61</v>
      </c>
      <c r="O445" s="5">
        <f t="shared" si="25"/>
        <v>583</v>
      </c>
      <c r="P445" s="6">
        <f>RANK(O445,$O$445:$O$496)</f>
        <v>25</v>
      </c>
      <c r="Q445" s="5">
        <f t="shared" si="26"/>
        <v>31</v>
      </c>
      <c r="R445" s="5">
        <v>536.5</v>
      </c>
      <c r="S445" s="5">
        <v>93</v>
      </c>
      <c r="T445" s="5">
        <f t="shared" si="27"/>
        <v>62</v>
      </c>
    </row>
    <row r="446" spans="1:20">
      <c r="A446" s="1" t="s">
        <v>1938</v>
      </c>
      <c r="B446" s="1" t="s">
        <v>3198</v>
      </c>
      <c r="C446" s="4" t="s">
        <v>10</v>
      </c>
      <c r="D446" s="1" t="s">
        <v>1522</v>
      </c>
      <c r="E446" s="4" t="s">
        <v>1940</v>
      </c>
      <c r="F446" s="84">
        <v>111</v>
      </c>
      <c r="G446" s="84">
        <v>96</v>
      </c>
      <c r="H446" s="84">
        <v>92.5</v>
      </c>
      <c r="I446" s="84">
        <v>97</v>
      </c>
      <c r="J446" s="84">
        <v>83</v>
      </c>
      <c r="K446" s="84">
        <v>89</v>
      </c>
      <c r="L446" s="84">
        <v>85</v>
      </c>
      <c r="M446" s="84">
        <v>69</v>
      </c>
      <c r="N446" s="84">
        <v>70</v>
      </c>
      <c r="O446" s="5">
        <f t="shared" si="25"/>
        <v>568.5</v>
      </c>
      <c r="P446" s="6">
        <f t="shared" ref="P446:P496" si="29">RANK(O446,$O$445:$O$496)</f>
        <v>34</v>
      </c>
      <c r="Q446" s="5">
        <f t="shared" si="26"/>
        <v>46</v>
      </c>
      <c r="R446" s="5">
        <v>544.5</v>
      </c>
      <c r="S446" s="5">
        <v>75</v>
      </c>
      <c r="T446" s="5">
        <f t="shared" si="27"/>
        <v>29</v>
      </c>
    </row>
    <row r="447" spans="1:20">
      <c r="A447" s="1" t="s">
        <v>1521</v>
      </c>
      <c r="B447" s="1" t="s">
        <v>3198</v>
      </c>
      <c r="C447" s="4" t="s">
        <v>10</v>
      </c>
      <c r="D447" s="1" t="s">
        <v>1524</v>
      </c>
      <c r="E447" s="4" t="s">
        <v>42</v>
      </c>
      <c r="F447" s="84">
        <v>110</v>
      </c>
      <c r="G447" s="84">
        <v>82</v>
      </c>
      <c r="H447" s="84">
        <v>117.5</v>
      </c>
      <c r="I447" s="84">
        <v>99</v>
      </c>
      <c r="J447" s="84">
        <v>68</v>
      </c>
      <c r="K447" s="84">
        <v>87</v>
      </c>
      <c r="L447" s="84">
        <v>75</v>
      </c>
      <c r="M447" s="84">
        <v>83</v>
      </c>
      <c r="N447" s="84">
        <v>66</v>
      </c>
      <c r="O447" s="5">
        <f t="shared" si="25"/>
        <v>563.5</v>
      </c>
      <c r="P447" s="6">
        <f t="shared" si="29"/>
        <v>39</v>
      </c>
      <c r="Q447" s="5">
        <f t="shared" si="26"/>
        <v>56</v>
      </c>
      <c r="R447" s="5">
        <v>550.5</v>
      </c>
      <c r="S447" s="5">
        <v>62</v>
      </c>
      <c r="T447" s="5">
        <f t="shared" si="27"/>
        <v>6</v>
      </c>
    </row>
    <row r="448" spans="1:20">
      <c r="A448" s="1" t="s">
        <v>1358</v>
      </c>
      <c r="B448" s="1" t="s">
        <v>3198</v>
      </c>
      <c r="C448" s="4" t="s">
        <v>10</v>
      </c>
      <c r="D448" s="1" t="s">
        <v>1526</v>
      </c>
      <c r="E448" s="4" t="s">
        <v>1359</v>
      </c>
      <c r="F448" s="84">
        <v>114</v>
      </c>
      <c r="G448" s="84">
        <v>76</v>
      </c>
      <c r="H448" s="84">
        <v>112.5</v>
      </c>
      <c r="I448" s="84">
        <v>87</v>
      </c>
      <c r="J448" s="84">
        <v>80</v>
      </c>
      <c r="K448" s="84">
        <v>91</v>
      </c>
      <c r="L448" s="84">
        <v>67</v>
      </c>
      <c r="M448" s="84">
        <v>78</v>
      </c>
      <c r="N448" s="84">
        <v>74</v>
      </c>
      <c r="O448" s="5">
        <f t="shared" si="25"/>
        <v>560.5</v>
      </c>
      <c r="P448" s="6">
        <f t="shared" si="29"/>
        <v>41</v>
      </c>
      <c r="Q448" s="5">
        <f t="shared" si="26"/>
        <v>67</v>
      </c>
      <c r="R448" s="5">
        <v>498</v>
      </c>
      <c r="S448" s="5">
        <v>221</v>
      </c>
      <c r="T448" s="5">
        <f t="shared" si="27"/>
        <v>154</v>
      </c>
    </row>
    <row r="449" spans="1:20">
      <c r="A449" s="1" t="s">
        <v>1523</v>
      </c>
      <c r="B449" s="1" t="s">
        <v>3198</v>
      </c>
      <c r="C449" s="4" t="s">
        <v>10</v>
      </c>
      <c r="D449" s="1" t="s">
        <v>1529</v>
      </c>
      <c r="E449" s="4" t="s">
        <v>108</v>
      </c>
      <c r="F449" s="84">
        <v>106</v>
      </c>
      <c r="G449" s="84">
        <v>114</v>
      </c>
      <c r="H449" s="84">
        <v>115.5</v>
      </c>
      <c r="I449" s="84">
        <v>94</v>
      </c>
      <c r="J449" s="84">
        <v>84</v>
      </c>
      <c r="K449" s="84">
        <v>86</v>
      </c>
      <c r="L449" s="84">
        <v>72</v>
      </c>
      <c r="M449" s="84">
        <v>84</v>
      </c>
      <c r="N449" s="84">
        <v>74</v>
      </c>
      <c r="O449" s="5">
        <f t="shared" si="25"/>
        <v>599.5</v>
      </c>
      <c r="P449" s="6">
        <f t="shared" si="29"/>
        <v>18</v>
      </c>
      <c r="Q449" s="5">
        <f t="shared" si="26"/>
        <v>19</v>
      </c>
      <c r="R449" s="5">
        <v>592</v>
      </c>
      <c r="S449" s="5">
        <v>19</v>
      </c>
      <c r="T449" s="5">
        <f t="shared" si="27"/>
        <v>0</v>
      </c>
    </row>
    <row r="450" spans="1:20">
      <c r="A450" s="1" t="s">
        <v>541</v>
      </c>
      <c r="B450" s="1" t="s">
        <v>3198</v>
      </c>
      <c r="C450" s="4" t="s">
        <v>10</v>
      </c>
      <c r="D450" s="1" t="s">
        <v>1531</v>
      </c>
      <c r="E450" s="4" t="s">
        <v>97</v>
      </c>
      <c r="F450" s="84">
        <v>107</v>
      </c>
      <c r="G450" s="84">
        <v>83</v>
      </c>
      <c r="H450" s="84">
        <v>96</v>
      </c>
      <c r="I450" s="84">
        <v>90</v>
      </c>
      <c r="J450" s="84">
        <v>89</v>
      </c>
      <c r="K450" s="84">
        <v>86</v>
      </c>
      <c r="L450" s="84">
        <v>81</v>
      </c>
      <c r="M450" s="84">
        <v>70</v>
      </c>
      <c r="N450" s="84">
        <v>67</v>
      </c>
      <c r="O450" s="5">
        <f t="shared" si="25"/>
        <v>551</v>
      </c>
      <c r="P450" s="6">
        <f t="shared" si="29"/>
        <v>46</v>
      </c>
      <c r="Q450" s="5">
        <f t="shared" si="26"/>
        <v>82</v>
      </c>
      <c r="R450" s="5">
        <v>546</v>
      </c>
      <c r="S450" s="5">
        <v>71</v>
      </c>
      <c r="T450" s="5">
        <f t="shared" si="27"/>
        <v>-11</v>
      </c>
    </row>
    <row r="451" spans="1:20">
      <c r="A451" s="1" t="s">
        <v>1528</v>
      </c>
      <c r="B451" s="1" t="s">
        <v>3198</v>
      </c>
      <c r="C451" s="4" t="s">
        <v>10</v>
      </c>
      <c r="D451" s="1" t="s">
        <v>1533</v>
      </c>
      <c r="E451" s="4" t="s">
        <v>86</v>
      </c>
      <c r="F451" s="84">
        <v>116</v>
      </c>
      <c r="G451" s="84">
        <v>130</v>
      </c>
      <c r="H451" s="84">
        <v>136</v>
      </c>
      <c r="I451" s="84">
        <v>94</v>
      </c>
      <c r="J451" s="84">
        <v>84</v>
      </c>
      <c r="K451" s="84">
        <v>91</v>
      </c>
      <c r="L451" s="84">
        <v>89</v>
      </c>
      <c r="M451" s="84">
        <v>82</v>
      </c>
      <c r="N451" s="84">
        <v>67</v>
      </c>
      <c r="O451" s="5">
        <f t="shared" ref="O451:O514" si="30">SUM(F451:K451)</f>
        <v>651</v>
      </c>
      <c r="P451" s="6">
        <f t="shared" si="29"/>
        <v>1</v>
      </c>
      <c r="Q451" s="5">
        <f t="shared" si="26"/>
        <v>1</v>
      </c>
      <c r="R451" s="5">
        <v>604</v>
      </c>
      <c r="S451" s="5">
        <v>10</v>
      </c>
      <c r="T451" s="5">
        <f t="shared" si="27"/>
        <v>9</v>
      </c>
    </row>
    <row r="452" spans="1:20">
      <c r="A452" s="1" t="s">
        <v>1639</v>
      </c>
      <c r="B452" s="1" t="s">
        <v>3198</v>
      </c>
      <c r="C452" s="4" t="s">
        <v>10</v>
      </c>
      <c r="D452" s="1" t="s">
        <v>1535</v>
      </c>
      <c r="E452" s="4" t="s">
        <v>160</v>
      </c>
      <c r="F452" s="84">
        <v>101</v>
      </c>
      <c r="G452" s="84">
        <v>88</v>
      </c>
      <c r="H452" s="84">
        <v>86</v>
      </c>
      <c r="I452" s="84">
        <v>99</v>
      </c>
      <c r="J452" s="84">
        <v>82</v>
      </c>
      <c r="K452" s="84">
        <v>89</v>
      </c>
      <c r="L452" s="84">
        <v>73</v>
      </c>
      <c r="M452" s="84">
        <v>61</v>
      </c>
      <c r="N452" s="84">
        <v>59</v>
      </c>
      <c r="O452" s="5">
        <f t="shared" si="30"/>
        <v>545</v>
      </c>
      <c r="P452" s="6">
        <f t="shared" si="29"/>
        <v>48</v>
      </c>
      <c r="Q452" s="5">
        <f t="shared" ref="Q452:Q515" si="31">RANK(O452,$O$3:$O$936)</f>
        <v>93</v>
      </c>
      <c r="R452" s="5">
        <v>543</v>
      </c>
      <c r="S452" s="5">
        <v>78</v>
      </c>
      <c r="T452" s="5">
        <f t="shared" ref="T452:T515" si="32">S452-Q452</f>
        <v>-15</v>
      </c>
    </row>
    <row r="453" spans="1:20">
      <c r="A453" s="1" t="s">
        <v>1202</v>
      </c>
      <c r="B453" s="1" t="s">
        <v>3198</v>
      </c>
      <c r="C453" s="4" t="s">
        <v>10</v>
      </c>
      <c r="D453" s="1" t="s">
        <v>1537</v>
      </c>
      <c r="E453" s="4" t="s">
        <v>174</v>
      </c>
      <c r="F453" s="84">
        <v>91</v>
      </c>
      <c r="G453" s="84">
        <v>95</v>
      </c>
      <c r="H453" s="84">
        <v>111.5</v>
      </c>
      <c r="I453" s="84">
        <v>96</v>
      </c>
      <c r="J453" s="84">
        <v>70</v>
      </c>
      <c r="K453" s="84">
        <v>80</v>
      </c>
      <c r="L453" s="84">
        <v>66</v>
      </c>
      <c r="M453" s="84">
        <v>72</v>
      </c>
      <c r="N453" s="84">
        <v>59</v>
      </c>
      <c r="O453" s="5">
        <f t="shared" si="30"/>
        <v>543.5</v>
      </c>
      <c r="P453" s="6">
        <f t="shared" si="29"/>
        <v>49</v>
      </c>
      <c r="Q453" s="5">
        <f t="shared" si="31"/>
        <v>97</v>
      </c>
      <c r="R453" s="5">
        <v>542</v>
      </c>
      <c r="S453" s="5">
        <v>80</v>
      </c>
      <c r="T453" s="5">
        <f t="shared" si="32"/>
        <v>-17</v>
      </c>
    </row>
    <row r="454" spans="1:20">
      <c r="A454" s="1" t="s">
        <v>1530</v>
      </c>
      <c r="B454" s="1" t="s">
        <v>3198</v>
      </c>
      <c r="C454" s="4" t="s">
        <v>10</v>
      </c>
      <c r="D454" s="1" t="s">
        <v>1540</v>
      </c>
      <c r="E454" s="4" t="s">
        <v>106</v>
      </c>
      <c r="F454" s="84">
        <v>99</v>
      </c>
      <c r="G454" s="84">
        <v>121</v>
      </c>
      <c r="H454" s="84">
        <v>109</v>
      </c>
      <c r="I454" s="84">
        <v>102</v>
      </c>
      <c r="J454" s="84">
        <v>68</v>
      </c>
      <c r="K454" s="84">
        <v>89</v>
      </c>
      <c r="L454" s="84">
        <v>71</v>
      </c>
      <c r="M454" s="84">
        <v>77</v>
      </c>
      <c r="N454" s="84">
        <v>66</v>
      </c>
      <c r="O454" s="5">
        <f t="shared" si="30"/>
        <v>588</v>
      </c>
      <c r="P454" s="6">
        <f t="shared" si="29"/>
        <v>23</v>
      </c>
      <c r="Q454" s="5">
        <f t="shared" si="31"/>
        <v>27</v>
      </c>
      <c r="R454" s="5">
        <v>566</v>
      </c>
      <c r="S454" s="5">
        <v>33</v>
      </c>
      <c r="T454" s="5">
        <f t="shared" si="32"/>
        <v>6</v>
      </c>
    </row>
    <row r="455" spans="1:20">
      <c r="A455" s="1" t="s">
        <v>1532</v>
      </c>
      <c r="B455" s="1" t="s">
        <v>3198</v>
      </c>
      <c r="C455" s="4" t="s">
        <v>10</v>
      </c>
      <c r="D455" s="1" t="s">
        <v>1543</v>
      </c>
      <c r="E455" s="4" t="s">
        <v>91</v>
      </c>
      <c r="F455" s="84">
        <v>120</v>
      </c>
      <c r="G455" s="84">
        <v>99</v>
      </c>
      <c r="H455" s="84">
        <v>123</v>
      </c>
      <c r="I455" s="84">
        <v>101</v>
      </c>
      <c r="J455" s="84">
        <v>76</v>
      </c>
      <c r="K455" s="84">
        <v>88</v>
      </c>
      <c r="L455" s="84">
        <v>84</v>
      </c>
      <c r="M455" s="84">
        <v>79</v>
      </c>
      <c r="N455" s="84">
        <v>79</v>
      </c>
      <c r="O455" s="5">
        <f t="shared" si="30"/>
        <v>607</v>
      </c>
      <c r="P455" s="6">
        <f t="shared" si="29"/>
        <v>16</v>
      </c>
      <c r="Q455" s="5">
        <f t="shared" si="31"/>
        <v>16</v>
      </c>
      <c r="R455" s="5">
        <v>592</v>
      </c>
      <c r="S455" s="5">
        <v>19</v>
      </c>
      <c r="T455" s="5">
        <f t="shared" si="32"/>
        <v>3</v>
      </c>
    </row>
    <row r="456" spans="1:20">
      <c r="A456" s="1" t="s">
        <v>1641</v>
      </c>
      <c r="B456" s="1" t="s">
        <v>3198</v>
      </c>
      <c r="C456" s="4" t="s">
        <v>10</v>
      </c>
      <c r="D456" s="1" t="s">
        <v>1545</v>
      </c>
      <c r="E456" s="4" t="s">
        <v>137</v>
      </c>
      <c r="F456" s="84">
        <v>108</v>
      </c>
      <c r="G456" s="84">
        <v>100</v>
      </c>
      <c r="H456" s="84">
        <v>112</v>
      </c>
      <c r="I456" s="84">
        <v>99</v>
      </c>
      <c r="J456" s="84">
        <v>75</v>
      </c>
      <c r="K456" s="84">
        <v>83</v>
      </c>
      <c r="L456" s="84">
        <v>64</v>
      </c>
      <c r="M456" s="84">
        <v>76</v>
      </c>
      <c r="N456" s="84">
        <v>64</v>
      </c>
      <c r="O456" s="5">
        <f t="shared" si="30"/>
        <v>577</v>
      </c>
      <c r="P456" s="6">
        <f t="shared" si="29"/>
        <v>28</v>
      </c>
      <c r="Q456" s="5">
        <f t="shared" si="31"/>
        <v>37</v>
      </c>
      <c r="R456" s="5">
        <v>536</v>
      </c>
      <c r="S456" s="5">
        <v>94</v>
      </c>
      <c r="T456" s="5">
        <f t="shared" si="32"/>
        <v>57</v>
      </c>
    </row>
    <row r="457" spans="1:20">
      <c r="A457" s="1" t="s">
        <v>2295</v>
      </c>
      <c r="B457" s="1" t="s">
        <v>3198</v>
      </c>
      <c r="C457" s="4" t="s">
        <v>10</v>
      </c>
      <c r="D457" s="1" t="s">
        <v>1547</v>
      </c>
      <c r="E457" s="4" t="s">
        <v>8</v>
      </c>
      <c r="F457" s="84">
        <v>116</v>
      </c>
      <c r="G457" s="84">
        <v>81</v>
      </c>
      <c r="H457" s="84">
        <v>120</v>
      </c>
      <c r="I457" s="84">
        <v>81</v>
      </c>
      <c r="J457" s="84">
        <v>72</v>
      </c>
      <c r="K457" s="84">
        <v>87</v>
      </c>
      <c r="L457" s="84">
        <v>68</v>
      </c>
      <c r="M457" s="84">
        <v>82</v>
      </c>
      <c r="N457" s="84">
        <v>59</v>
      </c>
      <c r="O457" s="5">
        <f t="shared" si="30"/>
        <v>557</v>
      </c>
      <c r="P457" s="6">
        <f t="shared" si="29"/>
        <v>44</v>
      </c>
      <c r="Q457" s="5">
        <f t="shared" si="31"/>
        <v>73</v>
      </c>
      <c r="R457" s="5">
        <v>528.5</v>
      </c>
      <c r="S457" s="5">
        <v>110</v>
      </c>
      <c r="T457" s="5">
        <f t="shared" si="32"/>
        <v>37</v>
      </c>
    </row>
    <row r="458" spans="1:20">
      <c r="A458" s="1" t="s">
        <v>387</v>
      </c>
      <c r="B458" s="1" t="s">
        <v>3198</v>
      </c>
      <c r="C458" s="4" t="s">
        <v>10</v>
      </c>
      <c r="D458" s="1" t="s">
        <v>1549</v>
      </c>
      <c r="E458" s="4" t="s">
        <v>111</v>
      </c>
      <c r="F458" s="84">
        <v>96</v>
      </c>
      <c r="G458" s="84">
        <v>98</v>
      </c>
      <c r="H458" s="84">
        <v>112.5</v>
      </c>
      <c r="I458" s="84">
        <v>94</v>
      </c>
      <c r="J458" s="84">
        <v>79</v>
      </c>
      <c r="K458" s="84">
        <v>96</v>
      </c>
      <c r="L458" s="84">
        <v>73</v>
      </c>
      <c r="M458" s="84">
        <v>83</v>
      </c>
      <c r="N458" s="84">
        <v>59</v>
      </c>
      <c r="O458" s="5">
        <f t="shared" si="30"/>
        <v>575.5</v>
      </c>
      <c r="P458" s="6">
        <f t="shared" si="29"/>
        <v>29</v>
      </c>
      <c r="Q458" s="5">
        <f t="shared" si="31"/>
        <v>39</v>
      </c>
      <c r="R458" s="5">
        <v>583</v>
      </c>
      <c r="S458" s="5">
        <v>22</v>
      </c>
      <c r="T458" s="5">
        <f t="shared" si="32"/>
        <v>-17</v>
      </c>
    </row>
    <row r="459" spans="1:20">
      <c r="A459" s="1" t="s">
        <v>891</v>
      </c>
      <c r="B459" s="1" t="s">
        <v>3198</v>
      </c>
      <c r="C459" s="4" t="s">
        <v>10</v>
      </c>
      <c r="D459" s="1" t="s">
        <v>1551</v>
      </c>
      <c r="E459" s="4" t="s">
        <v>61</v>
      </c>
      <c r="F459" s="84">
        <v>107</v>
      </c>
      <c r="G459" s="84">
        <v>115</v>
      </c>
      <c r="H459" s="84">
        <v>108.5</v>
      </c>
      <c r="I459" s="84">
        <v>109</v>
      </c>
      <c r="J459" s="84">
        <v>89</v>
      </c>
      <c r="K459" s="84">
        <v>90</v>
      </c>
      <c r="L459" s="84">
        <v>69</v>
      </c>
      <c r="M459" s="84">
        <v>88</v>
      </c>
      <c r="N459" s="84">
        <v>69</v>
      </c>
      <c r="O459" s="5">
        <f t="shared" si="30"/>
        <v>618.5</v>
      </c>
      <c r="P459" s="6">
        <f t="shared" si="29"/>
        <v>8</v>
      </c>
      <c r="Q459" s="5">
        <f t="shared" si="31"/>
        <v>8</v>
      </c>
      <c r="R459" s="5">
        <v>577</v>
      </c>
      <c r="S459" s="5">
        <v>25</v>
      </c>
      <c r="T459" s="5">
        <f t="shared" si="32"/>
        <v>17</v>
      </c>
    </row>
    <row r="460" spans="1:20">
      <c r="A460" s="1" t="s">
        <v>1383</v>
      </c>
      <c r="B460" s="1" t="s">
        <v>3198</v>
      </c>
      <c r="C460" s="4" t="s">
        <v>10</v>
      </c>
      <c r="D460" s="1" t="s">
        <v>1554</v>
      </c>
      <c r="E460" s="4" t="s">
        <v>57</v>
      </c>
      <c r="F460" s="84">
        <v>107</v>
      </c>
      <c r="G460" s="84">
        <v>118</v>
      </c>
      <c r="H460" s="84">
        <v>102.5</v>
      </c>
      <c r="I460" s="84">
        <v>97</v>
      </c>
      <c r="J460" s="84">
        <v>78</v>
      </c>
      <c r="K460" s="84">
        <v>87</v>
      </c>
      <c r="L460" s="84">
        <v>77</v>
      </c>
      <c r="M460" s="84">
        <v>74</v>
      </c>
      <c r="N460" s="84">
        <v>72</v>
      </c>
      <c r="O460" s="5">
        <f t="shared" si="30"/>
        <v>589.5</v>
      </c>
      <c r="P460" s="6">
        <f t="shared" si="29"/>
        <v>22</v>
      </c>
      <c r="Q460" s="5">
        <f t="shared" si="31"/>
        <v>26</v>
      </c>
      <c r="R460" s="5">
        <v>562</v>
      </c>
      <c r="S460" s="5">
        <v>40</v>
      </c>
      <c r="T460" s="5">
        <f t="shared" si="32"/>
        <v>14</v>
      </c>
    </row>
    <row r="461" spans="1:20">
      <c r="A461" s="1" t="s">
        <v>1544</v>
      </c>
      <c r="B461" s="1" t="s">
        <v>3198</v>
      </c>
      <c r="C461" s="4" t="s">
        <v>10</v>
      </c>
      <c r="D461" s="1" t="s">
        <v>1556</v>
      </c>
      <c r="E461" s="4" t="s">
        <v>22</v>
      </c>
      <c r="F461" s="84">
        <v>102</v>
      </c>
      <c r="G461" s="84">
        <v>91</v>
      </c>
      <c r="H461" s="84">
        <v>106</v>
      </c>
      <c r="I461" s="84">
        <v>86</v>
      </c>
      <c r="J461" s="84">
        <v>79</v>
      </c>
      <c r="K461" s="84">
        <v>91</v>
      </c>
      <c r="L461" s="84">
        <v>81</v>
      </c>
      <c r="M461" s="84">
        <v>72</v>
      </c>
      <c r="N461" s="84">
        <v>67</v>
      </c>
      <c r="O461" s="5">
        <f t="shared" si="30"/>
        <v>555</v>
      </c>
      <c r="P461" s="6">
        <f t="shared" si="29"/>
        <v>45</v>
      </c>
      <c r="Q461" s="5">
        <f t="shared" si="31"/>
        <v>74</v>
      </c>
      <c r="R461" s="5">
        <v>562.5</v>
      </c>
      <c r="S461" s="5">
        <v>39</v>
      </c>
      <c r="T461" s="5">
        <f t="shared" si="32"/>
        <v>-35</v>
      </c>
    </row>
    <row r="462" spans="1:20">
      <c r="A462" s="1" t="s">
        <v>1546</v>
      </c>
      <c r="B462" s="1" t="s">
        <v>3198</v>
      </c>
      <c r="C462" s="4" t="s">
        <v>10</v>
      </c>
      <c r="D462" s="1" t="s">
        <v>1558</v>
      </c>
      <c r="E462" s="4" t="s">
        <v>152</v>
      </c>
      <c r="F462" s="84">
        <v>114</v>
      </c>
      <c r="G462" s="84">
        <v>83</v>
      </c>
      <c r="H462" s="84">
        <v>120.5</v>
      </c>
      <c r="I462" s="84">
        <v>75</v>
      </c>
      <c r="J462" s="84">
        <v>65</v>
      </c>
      <c r="K462" s="84">
        <v>90</v>
      </c>
      <c r="L462" s="84">
        <v>88</v>
      </c>
      <c r="M462" s="84">
        <v>85</v>
      </c>
      <c r="N462" s="84">
        <v>62</v>
      </c>
      <c r="O462" s="5">
        <f t="shared" si="30"/>
        <v>547.5</v>
      </c>
      <c r="P462" s="6">
        <f t="shared" si="29"/>
        <v>47</v>
      </c>
      <c r="Q462" s="5">
        <f t="shared" si="31"/>
        <v>90</v>
      </c>
      <c r="R462" s="5">
        <v>542</v>
      </c>
      <c r="S462" s="5">
        <v>80</v>
      </c>
      <c r="T462" s="5">
        <f t="shared" si="32"/>
        <v>-10</v>
      </c>
    </row>
    <row r="463" spans="1:20">
      <c r="A463" s="1" t="s">
        <v>1959</v>
      </c>
      <c r="B463" s="1" t="s">
        <v>3198</v>
      </c>
      <c r="C463" s="4" t="s">
        <v>10</v>
      </c>
      <c r="D463" s="1" t="s">
        <v>1561</v>
      </c>
      <c r="E463" s="4" t="s">
        <v>165</v>
      </c>
      <c r="F463" s="84">
        <v>114</v>
      </c>
      <c r="G463" s="84">
        <v>91</v>
      </c>
      <c r="H463" s="84">
        <v>123</v>
      </c>
      <c r="I463" s="84">
        <v>92</v>
      </c>
      <c r="J463" s="84">
        <v>62</v>
      </c>
      <c r="K463" s="84">
        <v>85</v>
      </c>
      <c r="L463" s="84">
        <v>68</v>
      </c>
      <c r="M463" s="84">
        <v>66</v>
      </c>
      <c r="N463" s="84">
        <v>56</v>
      </c>
      <c r="O463" s="5">
        <f t="shared" si="30"/>
        <v>567</v>
      </c>
      <c r="P463" s="6">
        <f t="shared" si="29"/>
        <v>35</v>
      </c>
      <c r="Q463" s="5">
        <f t="shared" si="31"/>
        <v>47</v>
      </c>
      <c r="R463" s="5">
        <v>533.5</v>
      </c>
      <c r="S463" s="5">
        <v>99</v>
      </c>
      <c r="T463" s="5">
        <f t="shared" si="32"/>
        <v>52</v>
      </c>
    </row>
    <row r="464" spans="1:20">
      <c r="A464" s="1" t="s">
        <v>2155</v>
      </c>
      <c r="B464" s="1" t="s">
        <v>3198</v>
      </c>
      <c r="C464" s="4" t="s">
        <v>10</v>
      </c>
      <c r="D464" s="1" t="s">
        <v>1564</v>
      </c>
      <c r="E464" s="4" t="s">
        <v>169</v>
      </c>
      <c r="F464" s="84">
        <v>113</v>
      </c>
      <c r="G464" s="84">
        <v>89</v>
      </c>
      <c r="H464" s="84">
        <v>118.5</v>
      </c>
      <c r="I464" s="84">
        <v>95</v>
      </c>
      <c r="J464" s="84">
        <v>79</v>
      </c>
      <c r="K464" s="84">
        <v>91</v>
      </c>
      <c r="L464" s="84">
        <v>66</v>
      </c>
      <c r="M464" s="84">
        <v>73</v>
      </c>
      <c r="N464" s="84">
        <v>59</v>
      </c>
      <c r="O464" s="5">
        <f t="shared" si="30"/>
        <v>585.5</v>
      </c>
      <c r="P464" s="6">
        <f t="shared" si="29"/>
        <v>24</v>
      </c>
      <c r="Q464" s="5">
        <f t="shared" si="31"/>
        <v>28</v>
      </c>
      <c r="R464" s="5">
        <v>542</v>
      </c>
      <c r="S464" s="5">
        <v>80</v>
      </c>
      <c r="T464" s="5">
        <f t="shared" si="32"/>
        <v>52</v>
      </c>
    </row>
    <row r="465" spans="1:20">
      <c r="A465" s="1" t="s">
        <v>1553</v>
      </c>
      <c r="B465" s="1" t="s">
        <v>3198</v>
      </c>
      <c r="C465" s="4" t="s">
        <v>10</v>
      </c>
      <c r="D465" s="1" t="s">
        <v>1566</v>
      </c>
      <c r="E465" s="4" t="s">
        <v>47</v>
      </c>
      <c r="F465" s="84">
        <v>107</v>
      </c>
      <c r="G465" s="84">
        <v>117</v>
      </c>
      <c r="H465" s="84">
        <v>125</v>
      </c>
      <c r="I465" s="84">
        <v>93</v>
      </c>
      <c r="J465" s="84">
        <v>81</v>
      </c>
      <c r="K465" s="84">
        <v>86</v>
      </c>
      <c r="L465" s="84">
        <v>66</v>
      </c>
      <c r="M465" s="84">
        <v>62</v>
      </c>
      <c r="N465" s="84">
        <v>62</v>
      </c>
      <c r="O465" s="5">
        <f t="shared" si="30"/>
        <v>609</v>
      </c>
      <c r="P465" s="6">
        <f t="shared" si="29"/>
        <v>12</v>
      </c>
      <c r="Q465" s="5">
        <f t="shared" si="31"/>
        <v>12</v>
      </c>
      <c r="R465" s="5">
        <v>593</v>
      </c>
      <c r="S465" s="5">
        <v>17</v>
      </c>
      <c r="T465" s="5">
        <f t="shared" si="32"/>
        <v>5</v>
      </c>
    </row>
    <row r="466" spans="1:20">
      <c r="A466" s="1" t="s">
        <v>1674</v>
      </c>
      <c r="B466" s="1" t="s">
        <v>3198</v>
      </c>
      <c r="C466" s="4" t="s">
        <v>10</v>
      </c>
      <c r="D466" s="1" t="s">
        <v>1568</v>
      </c>
      <c r="E466" s="4" t="s">
        <v>85</v>
      </c>
      <c r="F466" s="84">
        <v>99</v>
      </c>
      <c r="G466" s="84">
        <v>88</v>
      </c>
      <c r="H466" s="84">
        <v>104</v>
      </c>
      <c r="I466" s="84">
        <v>108</v>
      </c>
      <c r="J466" s="84">
        <v>86</v>
      </c>
      <c r="K466" s="84">
        <v>86</v>
      </c>
      <c r="L466" s="84">
        <v>56</v>
      </c>
      <c r="M466" s="84">
        <v>46</v>
      </c>
      <c r="N466" s="84">
        <v>73</v>
      </c>
      <c r="O466" s="5">
        <f t="shared" si="30"/>
        <v>571</v>
      </c>
      <c r="P466" s="6">
        <f t="shared" si="29"/>
        <v>33</v>
      </c>
      <c r="Q466" s="5">
        <f t="shared" si="31"/>
        <v>45</v>
      </c>
      <c r="R466" s="5">
        <v>545.5</v>
      </c>
      <c r="S466" s="5">
        <v>72</v>
      </c>
      <c r="T466" s="5">
        <f t="shared" si="32"/>
        <v>27</v>
      </c>
    </row>
    <row r="467" spans="1:20">
      <c r="A467" s="1" t="s">
        <v>1555</v>
      </c>
      <c r="B467" s="1" t="s">
        <v>3198</v>
      </c>
      <c r="C467" s="4" t="s">
        <v>10</v>
      </c>
      <c r="D467" s="1" t="s">
        <v>1570</v>
      </c>
      <c r="E467" s="4" t="s">
        <v>82</v>
      </c>
      <c r="F467" s="84">
        <v>109</v>
      </c>
      <c r="G467" s="84">
        <v>98</v>
      </c>
      <c r="H467" s="84">
        <v>108</v>
      </c>
      <c r="I467" s="84">
        <v>94</v>
      </c>
      <c r="J467" s="84">
        <v>92</v>
      </c>
      <c r="K467" s="84">
        <v>73</v>
      </c>
      <c r="L467" s="84">
        <v>85</v>
      </c>
      <c r="M467" s="84">
        <v>80</v>
      </c>
      <c r="N467" s="84">
        <v>76</v>
      </c>
      <c r="O467" s="5">
        <f t="shared" si="30"/>
        <v>574</v>
      </c>
      <c r="P467" s="6">
        <f t="shared" si="29"/>
        <v>30</v>
      </c>
      <c r="Q467" s="5">
        <f t="shared" si="31"/>
        <v>40</v>
      </c>
      <c r="R467" s="5">
        <v>563</v>
      </c>
      <c r="S467" s="5">
        <v>38</v>
      </c>
      <c r="T467" s="5">
        <f t="shared" si="32"/>
        <v>-2</v>
      </c>
    </row>
    <row r="468" spans="1:20">
      <c r="A468" s="1" t="s">
        <v>412</v>
      </c>
      <c r="B468" s="1" t="s">
        <v>3198</v>
      </c>
      <c r="C468" s="4" t="s">
        <v>10</v>
      </c>
      <c r="D468" s="1" t="s">
        <v>1572</v>
      </c>
      <c r="E468" s="4" t="s">
        <v>20</v>
      </c>
      <c r="F468" s="84">
        <v>111</v>
      </c>
      <c r="G468" s="84">
        <v>119</v>
      </c>
      <c r="H468" s="84">
        <v>106</v>
      </c>
      <c r="I468" s="84">
        <v>108</v>
      </c>
      <c r="J468" s="84">
        <v>83</v>
      </c>
      <c r="K468" s="84">
        <v>91</v>
      </c>
      <c r="L468" s="84">
        <v>73</v>
      </c>
      <c r="M468" s="84">
        <v>61</v>
      </c>
      <c r="N468" s="84">
        <v>71</v>
      </c>
      <c r="O468" s="5">
        <f t="shared" si="30"/>
        <v>618</v>
      </c>
      <c r="P468" s="6">
        <f t="shared" si="29"/>
        <v>9</v>
      </c>
      <c r="Q468" s="5">
        <f t="shared" si="31"/>
        <v>9</v>
      </c>
      <c r="R468" s="5">
        <v>584.5</v>
      </c>
      <c r="S468" s="5">
        <v>21</v>
      </c>
      <c r="T468" s="5">
        <f t="shared" si="32"/>
        <v>12</v>
      </c>
    </row>
    <row r="469" spans="1:20">
      <c r="A469" s="1" t="s">
        <v>1984</v>
      </c>
      <c r="B469" s="1" t="s">
        <v>3198</v>
      </c>
      <c r="C469" s="4" t="s">
        <v>10</v>
      </c>
      <c r="D469" s="1" t="s">
        <v>3326</v>
      </c>
      <c r="E469" s="4" t="s">
        <v>172</v>
      </c>
      <c r="F469" s="84">
        <v>118</v>
      </c>
      <c r="G469" s="84">
        <v>97</v>
      </c>
      <c r="H469" s="84">
        <v>115</v>
      </c>
      <c r="I469" s="84">
        <v>92</v>
      </c>
      <c r="J469" s="84">
        <v>68</v>
      </c>
      <c r="K469" s="84">
        <v>84</v>
      </c>
      <c r="L469" s="84">
        <v>87</v>
      </c>
      <c r="M469" s="84">
        <v>65</v>
      </c>
      <c r="N469" s="84">
        <v>60</v>
      </c>
      <c r="O469" s="5">
        <f t="shared" si="30"/>
        <v>574</v>
      </c>
      <c r="P469" s="6">
        <f t="shared" si="29"/>
        <v>30</v>
      </c>
      <c r="Q469" s="5">
        <f t="shared" si="31"/>
        <v>40</v>
      </c>
      <c r="R469" s="5">
        <v>549</v>
      </c>
      <c r="S469" s="5">
        <v>63</v>
      </c>
      <c r="T469" s="5">
        <f t="shared" si="32"/>
        <v>23</v>
      </c>
    </row>
    <row r="470" spans="1:20">
      <c r="A470" s="1" t="s">
        <v>2328</v>
      </c>
      <c r="B470" s="1" t="s">
        <v>3198</v>
      </c>
      <c r="C470" s="4" t="s">
        <v>10</v>
      </c>
      <c r="D470" s="1" t="s">
        <v>1575</v>
      </c>
      <c r="E470" s="4" t="s">
        <v>115</v>
      </c>
      <c r="F470" s="84">
        <v>111</v>
      </c>
      <c r="G470" s="84">
        <v>114</v>
      </c>
      <c r="H470" s="84">
        <v>106</v>
      </c>
      <c r="I470" s="84">
        <v>88</v>
      </c>
      <c r="J470" s="84">
        <v>77</v>
      </c>
      <c r="K470" s="84">
        <v>97</v>
      </c>
      <c r="L470" s="84">
        <v>70</v>
      </c>
      <c r="M470" s="84">
        <v>73</v>
      </c>
      <c r="N470" s="84">
        <v>69</v>
      </c>
      <c r="O470" s="5">
        <f t="shared" si="30"/>
        <v>593</v>
      </c>
      <c r="P470" s="6">
        <f t="shared" si="29"/>
        <v>20</v>
      </c>
      <c r="Q470" s="5">
        <f t="shared" si="31"/>
        <v>21</v>
      </c>
      <c r="R470" s="5">
        <v>631</v>
      </c>
      <c r="S470" s="5">
        <v>3</v>
      </c>
      <c r="T470" s="5">
        <f t="shared" si="32"/>
        <v>-18</v>
      </c>
    </row>
    <row r="471" spans="1:20">
      <c r="A471" s="1" t="s">
        <v>1567</v>
      </c>
      <c r="B471" s="1" t="s">
        <v>3198</v>
      </c>
      <c r="C471" s="4" t="s">
        <v>10</v>
      </c>
      <c r="D471" s="1" t="s">
        <v>1577</v>
      </c>
      <c r="E471" s="4" t="s">
        <v>80</v>
      </c>
      <c r="F471" s="84">
        <v>127</v>
      </c>
      <c r="G471" s="84">
        <v>78</v>
      </c>
      <c r="H471" s="84">
        <v>112.5</v>
      </c>
      <c r="I471" s="84">
        <v>92</v>
      </c>
      <c r="J471" s="84">
        <v>75</v>
      </c>
      <c r="K471" s="84">
        <v>80</v>
      </c>
      <c r="L471" s="84">
        <v>90</v>
      </c>
      <c r="M471" s="84">
        <v>69</v>
      </c>
      <c r="N471" s="84">
        <v>58</v>
      </c>
      <c r="O471" s="5">
        <f t="shared" si="30"/>
        <v>564.5</v>
      </c>
      <c r="P471" s="6">
        <f t="shared" si="29"/>
        <v>36</v>
      </c>
      <c r="Q471" s="5">
        <f t="shared" si="31"/>
        <v>51</v>
      </c>
      <c r="R471" s="5">
        <v>567.5</v>
      </c>
      <c r="S471" s="5">
        <v>30</v>
      </c>
      <c r="T471" s="5">
        <f t="shared" si="32"/>
        <v>-21</v>
      </c>
    </row>
    <row r="472" spans="1:20">
      <c r="A472" s="1" t="s">
        <v>293</v>
      </c>
      <c r="B472" s="1" t="s">
        <v>3198</v>
      </c>
      <c r="C472" s="4" t="s">
        <v>10</v>
      </c>
      <c r="D472" s="1" t="s">
        <v>1580</v>
      </c>
      <c r="E472" s="4" t="s">
        <v>29</v>
      </c>
      <c r="F472" s="84">
        <v>97</v>
      </c>
      <c r="G472" s="84">
        <v>126</v>
      </c>
      <c r="H472" s="84">
        <v>117.5</v>
      </c>
      <c r="I472" s="84">
        <v>97</v>
      </c>
      <c r="J472" s="84">
        <v>85</v>
      </c>
      <c r="K472" s="84">
        <v>89</v>
      </c>
      <c r="L472" s="84">
        <v>80</v>
      </c>
      <c r="M472" s="84">
        <v>87</v>
      </c>
      <c r="N472" s="84">
        <v>72</v>
      </c>
      <c r="O472" s="5">
        <f t="shared" si="30"/>
        <v>611.5</v>
      </c>
      <c r="P472" s="6">
        <f t="shared" si="29"/>
        <v>11</v>
      </c>
      <c r="Q472" s="5">
        <f t="shared" si="31"/>
        <v>11</v>
      </c>
      <c r="R472" s="5">
        <v>610.5</v>
      </c>
      <c r="S472" s="5">
        <v>6</v>
      </c>
      <c r="T472" s="5">
        <f t="shared" si="32"/>
        <v>-5</v>
      </c>
    </row>
    <row r="473" spans="1:20">
      <c r="A473" s="1" t="s">
        <v>1569</v>
      </c>
      <c r="B473" s="1" t="s">
        <v>3198</v>
      </c>
      <c r="C473" s="1" t="s">
        <v>10</v>
      </c>
      <c r="D473" s="1" t="s">
        <v>1582</v>
      </c>
      <c r="E473" s="1" t="s">
        <v>23</v>
      </c>
      <c r="F473" s="84">
        <v>104</v>
      </c>
      <c r="G473" s="84">
        <v>144</v>
      </c>
      <c r="H473" s="84">
        <v>108.5</v>
      </c>
      <c r="I473" s="84">
        <v>100</v>
      </c>
      <c r="J473" s="84">
        <v>86</v>
      </c>
      <c r="K473" s="84">
        <v>90</v>
      </c>
      <c r="L473" s="84">
        <v>85</v>
      </c>
      <c r="M473" s="84">
        <v>76</v>
      </c>
      <c r="N473" s="84">
        <v>69</v>
      </c>
      <c r="O473" s="5">
        <f t="shared" si="30"/>
        <v>632.5</v>
      </c>
      <c r="P473" s="6">
        <f t="shared" si="29"/>
        <v>5</v>
      </c>
      <c r="Q473" s="5">
        <f t="shared" si="31"/>
        <v>5</v>
      </c>
      <c r="R473" s="5">
        <v>636.5</v>
      </c>
      <c r="S473" s="5">
        <v>2</v>
      </c>
      <c r="T473" s="5">
        <f t="shared" si="32"/>
        <v>-3</v>
      </c>
    </row>
    <row r="474" spans="1:20">
      <c r="A474" s="1" t="s">
        <v>780</v>
      </c>
      <c r="B474" s="1" t="s">
        <v>3198</v>
      </c>
      <c r="C474" s="4" t="s">
        <v>10</v>
      </c>
      <c r="D474" s="1" t="s">
        <v>1584</v>
      </c>
      <c r="E474" s="4" t="s">
        <v>178</v>
      </c>
      <c r="F474" s="84">
        <v>121</v>
      </c>
      <c r="G474" s="84">
        <v>107</v>
      </c>
      <c r="H474" s="84">
        <v>118</v>
      </c>
      <c r="I474" s="84">
        <v>99</v>
      </c>
      <c r="J474" s="84">
        <v>75</v>
      </c>
      <c r="K474" s="84">
        <v>88</v>
      </c>
      <c r="L474" s="84">
        <v>87</v>
      </c>
      <c r="M474" s="84">
        <v>79</v>
      </c>
      <c r="N474" s="84">
        <v>74</v>
      </c>
      <c r="O474" s="5">
        <f t="shared" si="30"/>
        <v>608</v>
      </c>
      <c r="P474" s="6">
        <f t="shared" si="29"/>
        <v>14</v>
      </c>
      <c r="Q474" s="5">
        <f t="shared" si="31"/>
        <v>14</v>
      </c>
      <c r="R474" s="5">
        <v>564</v>
      </c>
      <c r="S474" s="5">
        <v>35</v>
      </c>
      <c r="T474" s="5">
        <f t="shared" si="32"/>
        <v>21</v>
      </c>
    </row>
    <row r="475" spans="1:20">
      <c r="A475" s="1" t="s">
        <v>1581</v>
      </c>
      <c r="B475" s="1" t="s">
        <v>3198</v>
      </c>
      <c r="C475" s="4" t="s">
        <v>10</v>
      </c>
      <c r="D475" s="1" t="s">
        <v>1586</v>
      </c>
      <c r="E475" s="4" t="s">
        <v>175</v>
      </c>
      <c r="F475" s="84">
        <v>107</v>
      </c>
      <c r="G475" s="84">
        <v>103</v>
      </c>
      <c r="H475" s="84">
        <v>97.5</v>
      </c>
      <c r="I475" s="84">
        <v>92</v>
      </c>
      <c r="J475" s="84">
        <v>69</v>
      </c>
      <c r="K475" s="84">
        <v>90</v>
      </c>
      <c r="L475" s="84">
        <v>79</v>
      </c>
      <c r="M475" s="84">
        <v>80</v>
      </c>
      <c r="N475" s="84">
        <v>68</v>
      </c>
      <c r="O475" s="5">
        <f t="shared" si="30"/>
        <v>558.5</v>
      </c>
      <c r="P475" s="6">
        <f t="shared" si="29"/>
        <v>42</v>
      </c>
      <c r="Q475" s="5">
        <f t="shared" si="31"/>
        <v>70</v>
      </c>
      <c r="R475" s="5">
        <v>552.5</v>
      </c>
      <c r="S475" s="5">
        <v>58</v>
      </c>
      <c r="T475" s="5">
        <f t="shared" si="32"/>
        <v>-12</v>
      </c>
    </row>
    <row r="476" spans="1:20">
      <c r="A476" s="1" t="s">
        <v>2027</v>
      </c>
      <c r="B476" s="1" t="s">
        <v>3198</v>
      </c>
      <c r="C476" s="4" t="s">
        <v>10</v>
      </c>
      <c r="D476" s="1" t="s">
        <v>1588</v>
      </c>
      <c r="E476" s="4" t="s">
        <v>144</v>
      </c>
      <c r="F476" s="84">
        <v>120</v>
      </c>
      <c r="G476" s="84">
        <v>98</v>
      </c>
      <c r="H476" s="84">
        <v>108</v>
      </c>
      <c r="I476" s="84">
        <v>88</v>
      </c>
      <c r="J476" s="84">
        <v>80</v>
      </c>
      <c r="K476" s="84">
        <v>85</v>
      </c>
      <c r="L476" s="84">
        <v>88</v>
      </c>
      <c r="M476" s="84">
        <v>80</v>
      </c>
      <c r="N476" s="84">
        <v>61</v>
      </c>
      <c r="O476" s="5">
        <f t="shared" si="30"/>
        <v>579</v>
      </c>
      <c r="P476" s="6">
        <f t="shared" si="29"/>
        <v>27</v>
      </c>
      <c r="Q476" s="5">
        <f t="shared" si="31"/>
        <v>36</v>
      </c>
      <c r="R476" s="5">
        <v>577</v>
      </c>
      <c r="S476" s="5">
        <v>25</v>
      </c>
      <c r="T476" s="5">
        <f t="shared" si="32"/>
        <v>-11</v>
      </c>
    </row>
    <row r="477" spans="1:20">
      <c r="A477" s="1" t="s">
        <v>1583</v>
      </c>
      <c r="B477" s="1" t="s">
        <v>3198</v>
      </c>
      <c r="C477" s="4" t="s">
        <v>10</v>
      </c>
      <c r="D477" s="1" t="s">
        <v>1590</v>
      </c>
      <c r="E477" s="4" t="s">
        <v>72</v>
      </c>
      <c r="F477" s="84">
        <v>120</v>
      </c>
      <c r="G477" s="84">
        <v>93</v>
      </c>
      <c r="H477" s="84">
        <v>124</v>
      </c>
      <c r="I477" s="84">
        <v>95</v>
      </c>
      <c r="J477" s="84">
        <v>89</v>
      </c>
      <c r="K477" s="84">
        <v>88</v>
      </c>
      <c r="L477" s="84">
        <v>62</v>
      </c>
      <c r="M477" s="84">
        <v>78</v>
      </c>
      <c r="N477" s="84">
        <v>62</v>
      </c>
      <c r="O477" s="5">
        <f t="shared" si="30"/>
        <v>609</v>
      </c>
      <c r="P477" s="6">
        <f t="shared" si="29"/>
        <v>12</v>
      </c>
      <c r="Q477" s="5">
        <f t="shared" si="31"/>
        <v>12</v>
      </c>
      <c r="R477" s="5">
        <v>593.5</v>
      </c>
      <c r="S477" s="5">
        <v>16</v>
      </c>
      <c r="T477" s="5">
        <f t="shared" si="32"/>
        <v>4</v>
      </c>
    </row>
    <row r="478" spans="1:20">
      <c r="A478" s="1" t="s">
        <v>1587</v>
      </c>
      <c r="B478" s="1" t="s">
        <v>3198</v>
      </c>
      <c r="C478" s="4" t="s">
        <v>10</v>
      </c>
      <c r="D478" s="1" t="s">
        <v>1592</v>
      </c>
      <c r="E478" s="4" t="s">
        <v>195</v>
      </c>
      <c r="F478" s="84">
        <v>101</v>
      </c>
      <c r="G478" s="84">
        <v>111</v>
      </c>
      <c r="H478" s="84">
        <v>101</v>
      </c>
      <c r="I478" s="84">
        <v>94</v>
      </c>
      <c r="J478" s="84">
        <v>66</v>
      </c>
      <c r="K478" s="84">
        <v>89</v>
      </c>
      <c r="L478" s="84">
        <v>88</v>
      </c>
      <c r="M478" s="84">
        <v>64</v>
      </c>
      <c r="N478" s="84">
        <v>60</v>
      </c>
      <c r="O478" s="5">
        <f t="shared" si="30"/>
        <v>562</v>
      </c>
      <c r="P478" s="6">
        <f t="shared" si="29"/>
        <v>40</v>
      </c>
      <c r="Q478" s="5">
        <f t="shared" si="31"/>
        <v>62</v>
      </c>
      <c r="R478" s="5">
        <v>525</v>
      </c>
      <c r="S478" s="5">
        <v>120</v>
      </c>
      <c r="T478" s="5">
        <f t="shared" si="32"/>
        <v>58</v>
      </c>
    </row>
    <row r="479" spans="1:20">
      <c r="A479" s="1" t="s">
        <v>325</v>
      </c>
      <c r="B479" s="1" t="s">
        <v>3198</v>
      </c>
      <c r="C479" s="4" t="s">
        <v>10</v>
      </c>
      <c r="D479" s="1" t="s">
        <v>1594</v>
      </c>
      <c r="E479" s="4" t="s">
        <v>78</v>
      </c>
      <c r="F479" s="84">
        <v>106</v>
      </c>
      <c r="G479" s="84">
        <v>131</v>
      </c>
      <c r="H479" s="84">
        <v>90</v>
      </c>
      <c r="I479" s="84">
        <v>89</v>
      </c>
      <c r="J479" s="84">
        <v>70</v>
      </c>
      <c r="K479" s="84">
        <v>78</v>
      </c>
      <c r="L479" s="84">
        <v>81</v>
      </c>
      <c r="M479" s="84">
        <v>74</v>
      </c>
      <c r="N479" s="84">
        <v>60</v>
      </c>
      <c r="O479" s="5">
        <f t="shared" si="30"/>
        <v>564</v>
      </c>
      <c r="P479" s="6">
        <f t="shared" si="29"/>
        <v>37</v>
      </c>
      <c r="Q479" s="5">
        <f t="shared" si="31"/>
        <v>53</v>
      </c>
      <c r="R479" s="5">
        <v>541.5</v>
      </c>
      <c r="S479" s="5">
        <v>84</v>
      </c>
      <c r="T479" s="5">
        <f t="shared" si="32"/>
        <v>31</v>
      </c>
    </row>
    <row r="480" spans="1:20">
      <c r="A480" s="1" t="s">
        <v>1693</v>
      </c>
      <c r="B480" s="1" t="s">
        <v>3198</v>
      </c>
      <c r="C480" s="4" t="s">
        <v>10</v>
      </c>
      <c r="D480" s="1" t="s">
        <v>1596</v>
      </c>
      <c r="E480" s="4" t="s">
        <v>159</v>
      </c>
      <c r="F480" s="84">
        <v>118</v>
      </c>
      <c r="G480" s="84">
        <v>132</v>
      </c>
      <c r="H480" s="84">
        <v>104.5</v>
      </c>
      <c r="I480" s="84">
        <v>85</v>
      </c>
      <c r="J480" s="84">
        <v>81</v>
      </c>
      <c r="K480" s="84">
        <v>87</v>
      </c>
      <c r="L480" s="84">
        <v>90</v>
      </c>
      <c r="M480" s="84">
        <v>78</v>
      </c>
      <c r="N480" s="84">
        <v>65</v>
      </c>
      <c r="O480" s="5">
        <f t="shared" si="30"/>
        <v>607.5</v>
      </c>
      <c r="P480" s="6">
        <f t="shared" si="29"/>
        <v>15</v>
      </c>
      <c r="Q480" s="5">
        <f t="shared" si="31"/>
        <v>15</v>
      </c>
      <c r="R480" s="5">
        <v>606.5</v>
      </c>
      <c r="S480" s="5">
        <v>8</v>
      </c>
      <c r="T480" s="5">
        <f t="shared" si="32"/>
        <v>-7</v>
      </c>
    </row>
    <row r="481" spans="1:20">
      <c r="A481" s="1" t="s">
        <v>1589</v>
      </c>
      <c r="B481" s="1" t="s">
        <v>3198</v>
      </c>
      <c r="C481" s="4" t="s">
        <v>10</v>
      </c>
      <c r="D481" s="1" t="s">
        <v>1599</v>
      </c>
      <c r="E481" s="4" t="s">
        <v>3229</v>
      </c>
      <c r="F481" s="84">
        <v>103</v>
      </c>
      <c r="G481" s="84">
        <v>98</v>
      </c>
      <c r="H481" s="84">
        <v>102</v>
      </c>
      <c r="I481" s="84">
        <v>95</v>
      </c>
      <c r="J481" s="84">
        <v>72</v>
      </c>
      <c r="K481" s="84">
        <v>88</v>
      </c>
      <c r="L481" s="84">
        <v>76</v>
      </c>
      <c r="M481" s="84">
        <v>77</v>
      </c>
      <c r="N481" s="84">
        <v>84</v>
      </c>
      <c r="O481" s="5">
        <f t="shared" si="30"/>
        <v>558</v>
      </c>
      <c r="P481" s="6">
        <f t="shared" si="29"/>
        <v>43</v>
      </c>
      <c r="Q481" s="5">
        <f t="shared" si="31"/>
        <v>71</v>
      </c>
      <c r="R481" s="5">
        <v>574.5</v>
      </c>
      <c r="S481" s="5">
        <v>28</v>
      </c>
      <c r="T481" s="5">
        <f t="shared" si="32"/>
        <v>-43</v>
      </c>
    </row>
    <row r="482" spans="1:20">
      <c r="A482" s="1" t="s">
        <v>1591</v>
      </c>
      <c r="B482" s="1" t="s">
        <v>3198</v>
      </c>
      <c r="C482" s="4" t="s">
        <v>10</v>
      </c>
      <c r="D482" s="1" t="s">
        <v>1602</v>
      </c>
      <c r="E482" s="4" t="s">
        <v>16</v>
      </c>
      <c r="F482" s="84">
        <v>109</v>
      </c>
      <c r="G482" s="84">
        <v>118</v>
      </c>
      <c r="H482" s="84">
        <v>124</v>
      </c>
      <c r="I482" s="84">
        <v>94</v>
      </c>
      <c r="J482" s="84">
        <v>91</v>
      </c>
      <c r="K482" s="84">
        <v>90</v>
      </c>
      <c r="L482" s="84">
        <v>81</v>
      </c>
      <c r="M482" s="84">
        <v>82</v>
      </c>
      <c r="N482" s="84">
        <v>79</v>
      </c>
      <c r="O482" s="5">
        <f t="shared" si="30"/>
        <v>626</v>
      </c>
      <c r="P482" s="6">
        <f t="shared" si="29"/>
        <v>6</v>
      </c>
      <c r="Q482" s="5">
        <f t="shared" si="31"/>
        <v>6</v>
      </c>
      <c r="R482" s="5">
        <v>629.5</v>
      </c>
      <c r="S482" s="5">
        <v>4</v>
      </c>
      <c r="T482" s="5">
        <f t="shared" si="32"/>
        <v>-2</v>
      </c>
    </row>
    <row r="483" spans="1:20">
      <c r="A483" s="1" t="s">
        <v>1593</v>
      </c>
      <c r="B483" s="1" t="s">
        <v>3198</v>
      </c>
      <c r="C483" s="4" t="s">
        <v>10</v>
      </c>
      <c r="D483" s="1" t="s">
        <v>1604</v>
      </c>
      <c r="E483" s="4" t="s">
        <v>67</v>
      </c>
      <c r="F483" s="84">
        <v>107</v>
      </c>
      <c r="G483" s="84">
        <v>119</v>
      </c>
      <c r="H483" s="84">
        <v>113.5</v>
      </c>
      <c r="I483" s="84">
        <v>101</v>
      </c>
      <c r="J483" s="84">
        <v>89</v>
      </c>
      <c r="K483" s="84">
        <v>84</v>
      </c>
      <c r="L483" s="84">
        <v>80</v>
      </c>
      <c r="M483" s="84">
        <v>84</v>
      </c>
      <c r="N483" s="84">
        <v>63</v>
      </c>
      <c r="O483" s="5">
        <f t="shared" si="30"/>
        <v>613.5</v>
      </c>
      <c r="P483" s="6">
        <f t="shared" si="29"/>
        <v>10</v>
      </c>
      <c r="Q483" s="5">
        <f t="shared" si="31"/>
        <v>10</v>
      </c>
      <c r="R483" s="5">
        <v>576</v>
      </c>
      <c r="S483" s="5">
        <v>27</v>
      </c>
      <c r="T483" s="5">
        <f t="shared" si="32"/>
        <v>17</v>
      </c>
    </row>
    <row r="484" spans="1:20">
      <c r="A484" s="1" t="s">
        <v>484</v>
      </c>
      <c r="B484" s="1" t="s">
        <v>3198</v>
      </c>
      <c r="C484" s="4" t="s">
        <v>10</v>
      </c>
      <c r="D484" s="1" t="s">
        <v>1607</v>
      </c>
      <c r="E484" s="4" t="s">
        <v>77</v>
      </c>
      <c r="F484" s="84">
        <v>112</v>
      </c>
      <c r="G484" s="84">
        <v>88</v>
      </c>
      <c r="H484" s="84">
        <v>126</v>
      </c>
      <c r="I484" s="84">
        <v>109</v>
      </c>
      <c r="J484" s="84">
        <v>76</v>
      </c>
      <c r="K484" s="84">
        <v>90</v>
      </c>
      <c r="L484" s="84">
        <v>83</v>
      </c>
      <c r="M484" s="84">
        <v>73</v>
      </c>
      <c r="N484" s="84">
        <v>65</v>
      </c>
      <c r="O484" s="5">
        <f t="shared" si="30"/>
        <v>601</v>
      </c>
      <c r="P484" s="6">
        <f t="shared" si="29"/>
        <v>17</v>
      </c>
      <c r="Q484" s="5">
        <f t="shared" si="31"/>
        <v>17</v>
      </c>
      <c r="R484" s="5">
        <v>609</v>
      </c>
      <c r="S484" s="5">
        <v>7</v>
      </c>
      <c r="T484" s="5">
        <f t="shared" si="32"/>
        <v>-10</v>
      </c>
    </row>
    <row r="485" spans="1:20">
      <c r="A485" s="1" t="s">
        <v>1735</v>
      </c>
      <c r="B485" s="1" t="s">
        <v>3198</v>
      </c>
      <c r="C485" s="4" t="s">
        <v>10</v>
      </c>
      <c r="D485" s="1" t="s">
        <v>1610</v>
      </c>
      <c r="E485" s="4" t="s">
        <v>1737</v>
      </c>
      <c r="F485" s="84">
        <v>103</v>
      </c>
      <c r="G485" s="84">
        <v>118</v>
      </c>
      <c r="H485" s="84">
        <v>83.5</v>
      </c>
      <c r="I485" s="84">
        <v>96</v>
      </c>
      <c r="J485" s="84">
        <v>60</v>
      </c>
      <c r="K485" s="84">
        <v>77</v>
      </c>
      <c r="L485" s="84">
        <v>66</v>
      </c>
      <c r="M485" s="84">
        <v>66</v>
      </c>
      <c r="N485" s="84">
        <v>60</v>
      </c>
      <c r="O485" s="5">
        <f t="shared" si="30"/>
        <v>537.5</v>
      </c>
      <c r="P485" s="6">
        <f t="shared" si="29"/>
        <v>50</v>
      </c>
      <c r="Q485" s="5">
        <f t="shared" si="31"/>
        <v>112</v>
      </c>
      <c r="R485" s="5">
        <v>519</v>
      </c>
      <c r="S485" s="5">
        <v>139</v>
      </c>
      <c r="T485" s="5">
        <f t="shared" si="32"/>
        <v>27</v>
      </c>
    </row>
    <row r="486" spans="1:20">
      <c r="A486" s="1" t="s">
        <v>2234</v>
      </c>
      <c r="B486" s="1" t="s">
        <v>3198</v>
      </c>
      <c r="C486" s="4" t="s">
        <v>10</v>
      </c>
      <c r="D486" s="1" t="s">
        <v>1613</v>
      </c>
      <c r="E486" s="4" t="s">
        <v>74</v>
      </c>
      <c r="F486" s="84">
        <v>107</v>
      </c>
      <c r="G486" s="84">
        <v>136</v>
      </c>
      <c r="H486" s="84">
        <v>114.5</v>
      </c>
      <c r="I486" s="84">
        <v>108</v>
      </c>
      <c r="J486" s="84">
        <v>75</v>
      </c>
      <c r="K486" s="84">
        <v>94</v>
      </c>
      <c r="L486" s="84">
        <v>74</v>
      </c>
      <c r="M486" s="84">
        <v>80</v>
      </c>
      <c r="N486" s="84">
        <v>73</v>
      </c>
      <c r="O486" s="5">
        <f t="shared" si="30"/>
        <v>634.5</v>
      </c>
      <c r="P486" s="6">
        <f t="shared" si="29"/>
        <v>4</v>
      </c>
      <c r="Q486" s="5">
        <f t="shared" si="31"/>
        <v>4</v>
      </c>
      <c r="R486" s="5">
        <v>668.5</v>
      </c>
      <c r="S486" s="5">
        <v>1</v>
      </c>
      <c r="T486" s="5">
        <f t="shared" si="32"/>
        <v>-3</v>
      </c>
    </row>
    <row r="487" spans="1:20">
      <c r="A487" s="1" t="s">
        <v>1744</v>
      </c>
      <c r="B487" s="1" t="s">
        <v>3198</v>
      </c>
      <c r="C487" s="4" t="s">
        <v>10</v>
      </c>
      <c r="D487" s="1" t="s">
        <v>1615</v>
      </c>
      <c r="E487" s="4" t="s">
        <v>48</v>
      </c>
      <c r="F487" s="84">
        <v>102</v>
      </c>
      <c r="G487" s="84">
        <v>108</v>
      </c>
      <c r="H487" s="84">
        <v>126</v>
      </c>
      <c r="I487" s="84">
        <v>89</v>
      </c>
      <c r="J487" s="84">
        <v>80</v>
      </c>
      <c r="K487" s="84">
        <v>86</v>
      </c>
      <c r="L487" s="84">
        <v>74</v>
      </c>
      <c r="M487" s="84">
        <v>83</v>
      </c>
      <c r="N487" s="84">
        <v>56</v>
      </c>
      <c r="O487" s="5">
        <f t="shared" si="30"/>
        <v>591</v>
      </c>
      <c r="P487" s="6">
        <f t="shared" si="29"/>
        <v>21</v>
      </c>
      <c r="Q487" s="5">
        <f t="shared" si="31"/>
        <v>22</v>
      </c>
      <c r="R487" s="5">
        <v>603</v>
      </c>
      <c r="S487" s="5">
        <v>11</v>
      </c>
      <c r="T487" s="5">
        <f t="shared" si="32"/>
        <v>-11</v>
      </c>
    </row>
    <row r="488" spans="1:20">
      <c r="A488" s="1" t="s">
        <v>1612</v>
      </c>
      <c r="B488" s="1" t="s">
        <v>3198</v>
      </c>
      <c r="C488" s="4" t="s">
        <v>10</v>
      </c>
      <c r="D488" s="1" t="s">
        <v>1617</v>
      </c>
      <c r="E488" s="4" t="s">
        <v>204</v>
      </c>
      <c r="F488" s="84">
        <v>106</v>
      </c>
      <c r="G488" s="84">
        <v>82</v>
      </c>
      <c r="H488" s="84">
        <v>120.5</v>
      </c>
      <c r="I488" s="84">
        <v>70</v>
      </c>
      <c r="J488" s="84">
        <v>78</v>
      </c>
      <c r="K488" s="84">
        <v>74</v>
      </c>
      <c r="L488" s="84">
        <v>72</v>
      </c>
      <c r="M488" s="84">
        <v>76</v>
      </c>
      <c r="N488" s="84">
        <v>60</v>
      </c>
      <c r="O488" s="5">
        <f t="shared" si="30"/>
        <v>530.5</v>
      </c>
      <c r="P488" s="6">
        <f t="shared" si="29"/>
        <v>51</v>
      </c>
      <c r="Q488" s="5">
        <f t="shared" si="31"/>
        <v>134</v>
      </c>
      <c r="R488" s="5">
        <v>558</v>
      </c>
      <c r="S488" s="5">
        <v>47</v>
      </c>
      <c r="T488" s="5">
        <f t="shared" si="32"/>
        <v>-87</v>
      </c>
    </row>
    <row r="489" spans="1:20">
      <c r="A489" s="1" t="s">
        <v>1614</v>
      </c>
      <c r="B489" s="1" t="s">
        <v>3198</v>
      </c>
      <c r="C489" s="4" t="s">
        <v>10</v>
      </c>
      <c r="D489" s="1" t="s">
        <v>1620</v>
      </c>
      <c r="E489" s="4" t="s">
        <v>113</v>
      </c>
      <c r="F489" s="84">
        <v>110</v>
      </c>
      <c r="G489" s="84">
        <v>110</v>
      </c>
      <c r="H489" s="84">
        <v>100.5</v>
      </c>
      <c r="I489" s="84">
        <v>96</v>
      </c>
      <c r="J489" s="84">
        <v>91</v>
      </c>
      <c r="K489" s="84">
        <v>89</v>
      </c>
      <c r="L489" s="84">
        <v>76</v>
      </c>
      <c r="M489" s="84">
        <v>79</v>
      </c>
      <c r="N489" s="84">
        <v>88</v>
      </c>
      <c r="O489" s="5">
        <f t="shared" si="30"/>
        <v>596.5</v>
      </c>
      <c r="P489" s="6">
        <f t="shared" si="29"/>
        <v>19</v>
      </c>
      <c r="Q489" s="5">
        <f t="shared" si="31"/>
        <v>20</v>
      </c>
      <c r="R489" s="5">
        <v>599.5</v>
      </c>
      <c r="S489" s="5">
        <v>14</v>
      </c>
      <c r="T489" s="5">
        <f t="shared" si="32"/>
        <v>-6</v>
      </c>
    </row>
    <row r="490" spans="1:20">
      <c r="A490" s="1" t="s">
        <v>1619</v>
      </c>
      <c r="B490" s="1" t="s">
        <v>3198</v>
      </c>
      <c r="C490" s="4" t="s">
        <v>10</v>
      </c>
      <c r="D490" s="1" t="s">
        <v>1622</v>
      </c>
      <c r="E490" s="4" t="s">
        <v>30</v>
      </c>
      <c r="F490" s="84">
        <v>113</v>
      </c>
      <c r="G490" s="84">
        <v>88</v>
      </c>
      <c r="H490" s="84">
        <v>109</v>
      </c>
      <c r="I490" s="84">
        <v>95</v>
      </c>
      <c r="J490" s="84">
        <v>74</v>
      </c>
      <c r="K490" s="84">
        <v>85</v>
      </c>
      <c r="L490" s="84">
        <v>87</v>
      </c>
      <c r="M490" s="84">
        <v>85</v>
      </c>
      <c r="N490" s="84">
        <v>74</v>
      </c>
      <c r="O490" s="5">
        <f t="shared" si="30"/>
        <v>564</v>
      </c>
      <c r="P490" s="6">
        <f t="shared" si="29"/>
        <v>37</v>
      </c>
      <c r="Q490" s="5">
        <f t="shared" si="31"/>
        <v>53</v>
      </c>
      <c r="R490" s="5">
        <v>568</v>
      </c>
      <c r="S490" s="5">
        <v>29</v>
      </c>
      <c r="T490" s="5">
        <f t="shared" si="32"/>
        <v>-24</v>
      </c>
    </row>
    <row r="491" spans="1:20">
      <c r="A491" s="1" t="s">
        <v>1621</v>
      </c>
      <c r="B491" s="1" t="s">
        <v>3198</v>
      </c>
      <c r="C491" s="4" t="s">
        <v>10</v>
      </c>
      <c r="D491" s="1" t="s">
        <v>1624</v>
      </c>
      <c r="E491" s="4" t="s">
        <v>121</v>
      </c>
      <c r="F491" s="84">
        <v>106</v>
      </c>
      <c r="G491" s="84">
        <v>104</v>
      </c>
      <c r="H491" s="84">
        <v>110.5</v>
      </c>
      <c r="I491" s="84">
        <v>84</v>
      </c>
      <c r="J491" s="84">
        <v>88</v>
      </c>
      <c r="K491" s="84">
        <v>89</v>
      </c>
      <c r="L491" s="84">
        <v>84</v>
      </c>
      <c r="M491" s="84">
        <v>84</v>
      </c>
      <c r="N491" s="84">
        <v>75</v>
      </c>
      <c r="O491" s="5">
        <f t="shared" si="30"/>
        <v>581.5</v>
      </c>
      <c r="P491" s="6">
        <f t="shared" si="29"/>
        <v>26</v>
      </c>
      <c r="Q491" s="5">
        <f t="shared" si="31"/>
        <v>32</v>
      </c>
      <c r="R491" s="5">
        <v>594.5</v>
      </c>
      <c r="S491" s="5">
        <v>15</v>
      </c>
      <c r="T491" s="5">
        <f t="shared" si="32"/>
        <v>-17</v>
      </c>
    </row>
    <row r="492" spans="1:20">
      <c r="A492" s="1" t="s">
        <v>2085</v>
      </c>
      <c r="B492" s="1" t="s">
        <v>3198</v>
      </c>
      <c r="C492" s="4" t="s">
        <v>10</v>
      </c>
      <c r="D492" s="1" t="s">
        <v>1627</v>
      </c>
      <c r="E492" s="4" t="s">
        <v>2087</v>
      </c>
      <c r="F492" s="84">
        <v>114</v>
      </c>
      <c r="G492" s="84">
        <v>93</v>
      </c>
      <c r="H492" s="84">
        <v>97.5</v>
      </c>
      <c r="I492" s="84">
        <v>68</v>
      </c>
      <c r="J492" s="84">
        <v>64</v>
      </c>
      <c r="K492" s="84">
        <v>88</v>
      </c>
      <c r="L492" s="84">
        <v>86</v>
      </c>
      <c r="M492" s="84">
        <v>74</v>
      </c>
      <c r="N492" s="84">
        <v>57</v>
      </c>
      <c r="O492" s="5">
        <f t="shared" si="30"/>
        <v>524.5</v>
      </c>
      <c r="P492" s="6">
        <f t="shared" si="29"/>
        <v>52</v>
      </c>
      <c r="Q492" s="5">
        <f t="shared" si="31"/>
        <v>153</v>
      </c>
      <c r="R492" s="5">
        <v>553</v>
      </c>
      <c r="S492" s="5">
        <v>57</v>
      </c>
      <c r="T492" s="5">
        <f t="shared" si="32"/>
        <v>-96</v>
      </c>
    </row>
    <row r="493" spans="1:20">
      <c r="A493" s="1" t="s">
        <v>1761</v>
      </c>
      <c r="B493" s="1" t="s">
        <v>3198</v>
      </c>
      <c r="C493" s="4" t="s">
        <v>10</v>
      </c>
      <c r="D493" s="1" t="s">
        <v>1629</v>
      </c>
      <c r="E493" s="4" t="s">
        <v>181</v>
      </c>
      <c r="F493" s="84">
        <v>112</v>
      </c>
      <c r="G493" s="84">
        <v>139</v>
      </c>
      <c r="H493" s="84">
        <v>110.5</v>
      </c>
      <c r="I493" s="84">
        <v>100</v>
      </c>
      <c r="J493" s="84">
        <v>81</v>
      </c>
      <c r="K493" s="84">
        <v>95</v>
      </c>
      <c r="L493" s="84">
        <v>83</v>
      </c>
      <c r="M493" s="84">
        <v>82</v>
      </c>
      <c r="N493" s="84">
        <v>75</v>
      </c>
      <c r="O493" s="5">
        <f t="shared" si="30"/>
        <v>637.5</v>
      </c>
      <c r="P493" s="6">
        <f t="shared" si="29"/>
        <v>3</v>
      </c>
      <c r="Q493" s="5">
        <f t="shared" si="31"/>
        <v>3</v>
      </c>
      <c r="R493" s="5">
        <v>603</v>
      </c>
      <c r="S493" s="5">
        <v>11</v>
      </c>
      <c r="T493" s="5">
        <f t="shared" si="32"/>
        <v>8</v>
      </c>
    </row>
    <row r="494" spans="1:20">
      <c r="A494" s="1" t="s">
        <v>1923</v>
      </c>
      <c r="B494" s="1" t="s">
        <v>3198</v>
      </c>
      <c r="C494" s="4" t="s">
        <v>10</v>
      </c>
      <c r="D494" s="1" t="s">
        <v>1632</v>
      </c>
      <c r="E494" s="4" t="s">
        <v>87</v>
      </c>
      <c r="F494" s="84">
        <v>105</v>
      </c>
      <c r="G494" s="84">
        <v>144</v>
      </c>
      <c r="H494" s="84">
        <v>90.5</v>
      </c>
      <c r="I494" s="84">
        <v>110</v>
      </c>
      <c r="J494" s="84">
        <v>81</v>
      </c>
      <c r="K494" s="84">
        <v>89</v>
      </c>
      <c r="L494" s="84">
        <v>83</v>
      </c>
      <c r="M494" s="84">
        <v>72</v>
      </c>
      <c r="N494" s="84">
        <v>56</v>
      </c>
      <c r="O494" s="5">
        <f t="shared" si="30"/>
        <v>619.5</v>
      </c>
      <c r="P494" s="6">
        <f t="shared" si="29"/>
        <v>7</v>
      </c>
      <c r="Q494" s="5">
        <f t="shared" si="31"/>
        <v>7</v>
      </c>
      <c r="R494" s="5">
        <v>606.5</v>
      </c>
      <c r="S494" s="5">
        <v>8</v>
      </c>
      <c r="T494" s="5">
        <f t="shared" si="32"/>
        <v>1</v>
      </c>
    </row>
    <row r="495" spans="1:20">
      <c r="A495" s="1" t="s">
        <v>1626</v>
      </c>
      <c r="B495" s="1" t="s">
        <v>3198</v>
      </c>
      <c r="C495" s="4" t="s">
        <v>10</v>
      </c>
      <c r="D495" s="1" t="s">
        <v>3265</v>
      </c>
      <c r="E495" s="4" t="s">
        <v>3264</v>
      </c>
      <c r="F495" s="84">
        <v>108</v>
      </c>
      <c r="G495" s="84">
        <v>96</v>
      </c>
      <c r="H495" s="84">
        <v>107.5</v>
      </c>
      <c r="I495" s="84">
        <v>103</v>
      </c>
      <c r="J495" s="84">
        <v>71</v>
      </c>
      <c r="K495" s="84">
        <v>86</v>
      </c>
      <c r="L495" s="84">
        <v>89</v>
      </c>
      <c r="M495" s="84">
        <v>76</v>
      </c>
      <c r="N495" s="84">
        <v>64</v>
      </c>
      <c r="O495" s="5">
        <f t="shared" si="30"/>
        <v>571.5</v>
      </c>
      <c r="P495" s="6">
        <f t="shared" si="29"/>
        <v>32</v>
      </c>
      <c r="Q495" s="5">
        <f t="shared" si="31"/>
        <v>44</v>
      </c>
      <c r="R495" s="5">
        <v>580.5</v>
      </c>
      <c r="S495" s="5">
        <v>23</v>
      </c>
      <c r="T495" s="5">
        <f t="shared" si="32"/>
        <v>-21</v>
      </c>
    </row>
    <row r="496" spans="1:20">
      <c r="A496" s="1" t="s">
        <v>1631</v>
      </c>
      <c r="B496" s="1" t="s">
        <v>3198</v>
      </c>
      <c r="C496" s="4" t="s">
        <v>10</v>
      </c>
      <c r="D496" s="1" t="s">
        <v>3263</v>
      </c>
      <c r="E496" s="4" t="s">
        <v>11</v>
      </c>
      <c r="F496" s="84">
        <v>114</v>
      </c>
      <c r="G496" s="84">
        <v>115</v>
      </c>
      <c r="H496" s="84">
        <v>125</v>
      </c>
      <c r="I496" s="84">
        <v>102</v>
      </c>
      <c r="J496" s="84">
        <v>96</v>
      </c>
      <c r="K496" s="84">
        <v>90</v>
      </c>
      <c r="L496" s="84">
        <v>79</v>
      </c>
      <c r="M496" s="84">
        <v>75</v>
      </c>
      <c r="N496" s="84">
        <v>76</v>
      </c>
      <c r="O496" s="5">
        <f t="shared" si="30"/>
        <v>642</v>
      </c>
      <c r="P496" s="6">
        <f t="shared" si="29"/>
        <v>2</v>
      </c>
      <c r="Q496" s="5">
        <f t="shared" si="31"/>
        <v>2</v>
      </c>
      <c r="R496" s="5">
        <v>626.5</v>
      </c>
      <c r="S496" s="5">
        <v>5</v>
      </c>
      <c r="T496" s="5">
        <f t="shared" si="32"/>
        <v>3</v>
      </c>
    </row>
    <row r="497" spans="1:20">
      <c r="A497" s="1" t="s">
        <v>2263</v>
      </c>
      <c r="B497" s="1" t="s">
        <v>3198</v>
      </c>
      <c r="C497" s="4" t="s">
        <v>9</v>
      </c>
      <c r="D497" s="1" t="s">
        <v>1634</v>
      </c>
      <c r="E497" s="4" t="s">
        <v>2265</v>
      </c>
      <c r="F497" s="84">
        <v>99</v>
      </c>
      <c r="G497" s="84">
        <v>82</v>
      </c>
      <c r="H497" s="84">
        <v>108.5</v>
      </c>
      <c r="I497" s="84">
        <v>99</v>
      </c>
      <c r="J497" s="84">
        <v>77</v>
      </c>
      <c r="K497" s="84">
        <v>83</v>
      </c>
      <c r="L497" s="84">
        <v>84</v>
      </c>
      <c r="M497" s="84">
        <v>75</v>
      </c>
      <c r="N497" s="84">
        <v>73</v>
      </c>
      <c r="O497" s="5">
        <f t="shared" si="30"/>
        <v>548.5</v>
      </c>
      <c r="P497" s="6">
        <f t="shared" ref="P497:P546" si="33">RANK(O497,$O$497:$O$546)</f>
        <v>24</v>
      </c>
      <c r="Q497" s="5">
        <f t="shared" si="31"/>
        <v>89</v>
      </c>
      <c r="R497" s="5">
        <v>513</v>
      </c>
      <c r="S497" s="5">
        <v>161</v>
      </c>
      <c r="T497" s="5">
        <f t="shared" si="32"/>
        <v>72</v>
      </c>
    </row>
    <row r="498" spans="1:20">
      <c r="A498" s="1" t="s">
        <v>2100</v>
      </c>
      <c r="B498" s="1" t="s">
        <v>3198</v>
      </c>
      <c r="C498" s="4" t="s">
        <v>9</v>
      </c>
      <c r="D498" s="1" t="s">
        <v>1637</v>
      </c>
      <c r="E498" s="4" t="s">
        <v>184</v>
      </c>
      <c r="F498" s="84">
        <v>113</v>
      </c>
      <c r="G498" s="84">
        <v>89</v>
      </c>
      <c r="H498" s="84">
        <v>133.5</v>
      </c>
      <c r="I498" s="84">
        <v>82</v>
      </c>
      <c r="J498" s="84">
        <v>63</v>
      </c>
      <c r="K498" s="84">
        <v>74</v>
      </c>
      <c r="L498" s="84">
        <v>73</v>
      </c>
      <c r="M498" s="84">
        <v>68</v>
      </c>
      <c r="N498" s="84">
        <v>62</v>
      </c>
      <c r="O498" s="5">
        <f t="shared" si="30"/>
        <v>554.5</v>
      </c>
      <c r="P498" s="6">
        <f t="shared" si="33"/>
        <v>17</v>
      </c>
      <c r="Q498" s="5">
        <f t="shared" si="31"/>
        <v>75</v>
      </c>
      <c r="R498" s="5">
        <v>534.5</v>
      </c>
      <c r="S498" s="5">
        <v>98</v>
      </c>
      <c r="T498" s="5">
        <f t="shared" si="32"/>
        <v>23</v>
      </c>
    </row>
    <row r="499" spans="1:20">
      <c r="A499" s="1" t="s">
        <v>1525</v>
      </c>
      <c r="B499" s="1" t="s">
        <v>3198</v>
      </c>
      <c r="C499" s="4" t="s">
        <v>9</v>
      </c>
      <c r="D499" s="1" t="s">
        <v>1640</v>
      </c>
      <c r="E499" s="4" t="s">
        <v>1527</v>
      </c>
      <c r="F499" s="84">
        <v>105</v>
      </c>
      <c r="G499" s="84">
        <v>80</v>
      </c>
      <c r="H499" s="84">
        <v>112.5</v>
      </c>
      <c r="I499" s="84">
        <v>79</v>
      </c>
      <c r="J499" s="84">
        <v>66</v>
      </c>
      <c r="K499" s="84">
        <v>85</v>
      </c>
      <c r="L499" s="84">
        <v>74</v>
      </c>
      <c r="M499" s="84">
        <v>76</v>
      </c>
      <c r="N499" s="84">
        <v>53</v>
      </c>
      <c r="O499" s="5">
        <f t="shared" si="30"/>
        <v>527.5</v>
      </c>
      <c r="P499" s="6">
        <f t="shared" si="33"/>
        <v>38</v>
      </c>
      <c r="Q499" s="5">
        <f t="shared" si="31"/>
        <v>139</v>
      </c>
      <c r="R499" s="5">
        <v>530</v>
      </c>
      <c r="S499" s="5">
        <v>103</v>
      </c>
      <c r="T499" s="5">
        <f t="shared" si="32"/>
        <v>-36</v>
      </c>
    </row>
    <row r="500" spans="1:20">
      <c r="A500" s="1" t="s">
        <v>1044</v>
      </c>
      <c r="B500" s="1" t="s">
        <v>3198</v>
      </c>
      <c r="C500" s="4" t="s">
        <v>9</v>
      </c>
      <c r="D500" s="1" t="s">
        <v>1642</v>
      </c>
      <c r="E500" s="4" t="s">
        <v>1046</v>
      </c>
      <c r="F500" s="84">
        <v>114</v>
      </c>
      <c r="G500" s="84">
        <v>89</v>
      </c>
      <c r="H500" s="84">
        <v>116.5</v>
      </c>
      <c r="I500" s="84">
        <v>65</v>
      </c>
      <c r="J500" s="84">
        <v>64</v>
      </c>
      <c r="K500" s="84">
        <v>86</v>
      </c>
      <c r="L500" s="84">
        <v>81</v>
      </c>
      <c r="M500" s="84">
        <v>69</v>
      </c>
      <c r="N500" s="84">
        <v>72</v>
      </c>
      <c r="O500" s="5">
        <f t="shared" si="30"/>
        <v>534.5</v>
      </c>
      <c r="P500" s="6">
        <f t="shared" si="33"/>
        <v>31</v>
      </c>
      <c r="Q500" s="5">
        <f t="shared" si="31"/>
        <v>122</v>
      </c>
      <c r="R500" s="5">
        <v>499</v>
      </c>
      <c r="S500" s="5">
        <v>216</v>
      </c>
      <c r="T500" s="5">
        <f t="shared" si="32"/>
        <v>94</v>
      </c>
    </row>
    <row r="501" spans="1:20">
      <c r="A501" s="1" t="s">
        <v>1643</v>
      </c>
      <c r="B501" s="1" t="s">
        <v>3198</v>
      </c>
      <c r="C501" s="4" t="s">
        <v>9</v>
      </c>
      <c r="D501" s="1" t="s">
        <v>1644</v>
      </c>
      <c r="E501" s="4" t="s">
        <v>1645</v>
      </c>
      <c r="F501" s="84">
        <v>110</v>
      </c>
      <c r="G501" s="84">
        <v>104</v>
      </c>
      <c r="H501" s="84">
        <v>103</v>
      </c>
      <c r="I501" s="84">
        <v>75</v>
      </c>
      <c r="J501" s="84">
        <v>71</v>
      </c>
      <c r="K501" s="84">
        <v>80</v>
      </c>
      <c r="L501" s="84">
        <v>66</v>
      </c>
      <c r="M501" s="84">
        <v>56</v>
      </c>
      <c r="N501" s="84">
        <v>60</v>
      </c>
      <c r="O501" s="5">
        <f t="shared" si="30"/>
        <v>543</v>
      </c>
      <c r="P501" s="6">
        <f t="shared" si="33"/>
        <v>26</v>
      </c>
      <c r="Q501" s="5">
        <f t="shared" si="31"/>
        <v>98</v>
      </c>
      <c r="R501" s="5">
        <v>510</v>
      </c>
      <c r="S501" s="5">
        <v>167</v>
      </c>
      <c r="T501" s="5">
        <f t="shared" si="32"/>
        <v>69</v>
      </c>
    </row>
    <row r="502" spans="1:20">
      <c r="A502" s="1" t="s">
        <v>545</v>
      </c>
      <c r="B502" s="1" t="s">
        <v>3198</v>
      </c>
      <c r="C502" s="4" t="s">
        <v>9</v>
      </c>
      <c r="D502" s="1" t="s">
        <v>1647</v>
      </c>
      <c r="E502" s="4" t="s">
        <v>194</v>
      </c>
      <c r="F502" s="84">
        <v>110</v>
      </c>
      <c r="G502" s="84">
        <v>96</v>
      </c>
      <c r="H502" s="84">
        <v>100</v>
      </c>
      <c r="I502" s="84">
        <v>78</v>
      </c>
      <c r="J502" s="84">
        <v>61</v>
      </c>
      <c r="K502" s="84">
        <v>81</v>
      </c>
      <c r="L502" s="84">
        <v>85</v>
      </c>
      <c r="M502" s="84">
        <v>69</v>
      </c>
      <c r="N502" s="84">
        <v>55</v>
      </c>
      <c r="O502" s="5">
        <f t="shared" si="30"/>
        <v>526</v>
      </c>
      <c r="P502" s="6">
        <f t="shared" si="33"/>
        <v>39</v>
      </c>
      <c r="Q502" s="5">
        <f t="shared" si="31"/>
        <v>146</v>
      </c>
      <c r="R502" s="5">
        <v>521</v>
      </c>
      <c r="S502" s="5">
        <v>132</v>
      </c>
      <c r="T502" s="5">
        <f t="shared" si="32"/>
        <v>-14</v>
      </c>
    </row>
    <row r="503" spans="1:20">
      <c r="A503" s="1" t="s">
        <v>882</v>
      </c>
      <c r="B503" s="1" t="s">
        <v>3198</v>
      </c>
      <c r="C503" s="4" t="s">
        <v>9</v>
      </c>
      <c r="D503" s="1" t="s">
        <v>1650</v>
      </c>
      <c r="E503" s="4" t="s">
        <v>884</v>
      </c>
      <c r="F503" s="84">
        <v>112</v>
      </c>
      <c r="G503" s="84">
        <v>119</v>
      </c>
      <c r="H503" s="84">
        <v>120</v>
      </c>
      <c r="I503" s="84">
        <v>80</v>
      </c>
      <c r="J503" s="84">
        <v>76</v>
      </c>
      <c r="K503" s="84">
        <v>84</v>
      </c>
      <c r="L503" s="84">
        <v>84</v>
      </c>
      <c r="M503" s="84">
        <v>74</v>
      </c>
      <c r="N503" s="84">
        <v>62</v>
      </c>
      <c r="O503" s="5">
        <f t="shared" si="30"/>
        <v>591</v>
      </c>
      <c r="P503" s="6">
        <f t="shared" si="33"/>
        <v>2</v>
      </c>
      <c r="Q503" s="5">
        <f t="shared" si="31"/>
        <v>22</v>
      </c>
      <c r="R503" s="5">
        <v>542.5</v>
      </c>
      <c r="S503" s="5">
        <v>79</v>
      </c>
      <c r="T503" s="5">
        <f t="shared" si="32"/>
        <v>57</v>
      </c>
    </row>
    <row r="504" spans="1:20">
      <c r="A504" s="1" t="s">
        <v>1534</v>
      </c>
      <c r="B504" s="1" t="s">
        <v>3198</v>
      </c>
      <c r="C504" s="4" t="s">
        <v>9</v>
      </c>
      <c r="D504" s="1" t="s">
        <v>3256</v>
      </c>
      <c r="E504" s="4" t="s">
        <v>205</v>
      </c>
      <c r="F504" s="84">
        <v>112</v>
      </c>
      <c r="G504" s="84">
        <v>95</v>
      </c>
      <c r="H504" s="84">
        <v>109</v>
      </c>
      <c r="I504" s="84">
        <v>79</v>
      </c>
      <c r="J504" s="84">
        <v>74</v>
      </c>
      <c r="K504" s="84">
        <v>80</v>
      </c>
      <c r="L504" s="84">
        <v>77</v>
      </c>
      <c r="M504" s="84">
        <v>64</v>
      </c>
      <c r="N504" s="84">
        <v>52</v>
      </c>
      <c r="O504" s="5">
        <f t="shared" si="30"/>
        <v>549</v>
      </c>
      <c r="P504" s="6">
        <f t="shared" si="33"/>
        <v>22</v>
      </c>
      <c r="Q504" s="5">
        <f t="shared" si="31"/>
        <v>86</v>
      </c>
      <c r="R504" s="5">
        <v>538</v>
      </c>
      <c r="S504" s="5">
        <v>91</v>
      </c>
      <c r="T504" s="5">
        <f t="shared" si="32"/>
        <v>5</v>
      </c>
    </row>
    <row r="505" spans="1:20">
      <c r="A505" s="1" t="s">
        <v>1536</v>
      </c>
      <c r="B505" s="1" t="s">
        <v>3198</v>
      </c>
      <c r="C505" s="4" t="s">
        <v>9</v>
      </c>
      <c r="D505" s="1" t="s">
        <v>1655</v>
      </c>
      <c r="E505" s="4" t="s">
        <v>1538</v>
      </c>
      <c r="F505" s="84">
        <v>107</v>
      </c>
      <c r="G505" s="84">
        <v>93</v>
      </c>
      <c r="H505" s="84">
        <v>112.5</v>
      </c>
      <c r="I505" s="84">
        <v>83</v>
      </c>
      <c r="J505" s="84">
        <v>78</v>
      </c>
      <c r="K505" s="84">
        <v>87</v>
      </c>
      <c r="L505" s="84">
        <v>84</v>
      </c>
      <c r="M505" s="84">
        <v>79</v>
      </c>
      <c r="N505" s="84">
        <v>63</v>
      </c>
      <c r="O505" s="5">
        <f t="shared" si="30"/>
        <v>560.5</v>
      </c>
      <c r="P505" s="6">
        <f t="shared" si="33"/>
        <v>16</v>
      </c>
      <c r="Q505" s="5">
        <f t="shared" si="31"/>
        <v>67</v>
      </c>
      <c r="R505" s="5">
        <v>518.5</v>
      </c>
      <c r="S505" s="5">
        <v>141</v>
      </c>
      <c r="T505" s="5">
        <f t="shared" si="32"/>
        <v>74</v>
      </c>
    </row>
    <row r="506" spans="1:20">
      <c r="A506" s="1" t="s">
        <v>2297</v>
      </c>
      <c r="B506" s="1" t="s">
        <v>3198</v>
      </c>
      <c r="C506" s="4" t="s">
        <v>9</v>
      </c>
      <c r="D506" s="1" t="s">
        <v>1658</v>
      </c>
      <c r="E506" s="4" t="s">
        <v>33</v>
      </c>
      <c r="F506" s="84">
        <v>118</v>
      </c>
      <c r="G506" s="84">
        <v>99</v>
      </c>
      <c r="H506" s="84">
        <v>114.5</v>
      </c>
      <c r="I506" s="84">
        <v>91</v>
      </c>
      <c r="J506" s="84">
        <v>81</v>
      </c>
      <c r="K506" s="84">
        <v>82</v>
      </c>
      <c r="L506" s="84">
        <v>81</v>
      </c>
      <c r="M506" s="84">
        <v>82</v>
      </c>
      <c r="N506" s="84">
        <v>71</v>
      </c>
      <c r="O506" s="5">
        <f t="shared" si="30"/>
        <v>585.5</v>
      </c>
      <c r="P506" s="6">
        <f t="shared" si="33"/>
        <v>4</v>
      </c>
      <c r="Q506" s="5">
        <f t="shared" si="31"/>
        <v>28</v>
      </c>
      <c r="R506" s="5">
        <v>559</v>
      </c>
      <c r="S506" s="5">
        <v>45</v>
      </c>
      <c r="T506" s="5">
        <f t="shared" si="32"/>
        <v>17</v>
      </c>
    </row>
    <row r="507" spans="1:20">
      <c r="A507" s="1" t="s">
        <v>2129</v>
      </c>
      <c r="B507" s="1" t="s">
        <v>3198</v>
      </c>
      <c r="C507" s="4" t="s">
        <v>9</v>
      </c>
      <c r="D507" s="1" t="s">
        <v>1661</v>
      </c>
      <c r="E507" s="4" t="s">
        <v>207</v>
      </c>
      <c r="F507" s="84">
        <v>111</v>
      </c>
      <c r="G507" s="84">
        <v>98</v>
      </c>
      <c r="H507" s="84">
        <v>95.5</v>
      </c>
      <c r="I507" s="84">
        <v>88</v>
      </c>
      <c r="J507" s="84">
        <v>81</v>
      </c>
      <c r="K507" s="84">
        <v>88</v>
      </c>
      <c r="L507" s="84">
        <v>78</v>
      </c>
      <c r="M507" s="84">
        <v>89</v>
      </c>
      <c r="N507" s="84">
        <v>72</v>
      </c>
      <c r="O507" s="5">
        <f t="shared" si="30"/>
        <v>561.5</v>
      </c>
      <c r="P507" s="6">
        <f t="shared" si="33"/>
        <v>15</v>
      </c>
      <c r="Q507" s="5">
        <f t="shared" si="31"/>
        <v>65</v>
      </c>
      <c r="R507" s="5">
        <v>553.5</v>
      </c>
      <c r="S507" s="5">
        <v>55</v>
      </c>
      <c r="T507" s="5">
        <f t="shared" si="32"/>
        <v>-10</v>
      </c>
    </row>
    <row r="508" spans="1:20">
      <c r="A508" s="1" t="s">
        <v>1055</v>
      </c>
      <c r="B508" s="1" t="s">
        <v>3198</v>
      </c>
      <c r="C508" s="4" t="s">
        <v>9</v>
      </c>
      <c r="D508" s="1" t="s">
        <v>3327</v>
      </c>
      <c r="E508" s="4" t="s">
        <v>1057</v>
      </c>
      <c r="F508" s="84">
        <v>130</v>
      </c>
      <c r="G508" s="84">
        <v>110</v>
      </c>
      <c r="H508" s="84">
        <v>114</v>
      </c>
      <c r="I508" s="84">
        <v>91</v>
      </c>
      <c r="J508" s="84">
        <v>68</v>
      </c>
      <c r="K508" s="84">
        <v>78</v>
      </c>
      <c r="L508" s="84">
        <v>72</v>
      </c>
      <c r="M508" s="84">
        <v>73</v>
      </c>
      <c r="N508" s="84">
        <v>62</v>
      </c>
      <c r="O508" s="5">
        <f t="shared" si="30"/>
        <v>591</v>
      </c>
      <c r="P508" s="6">
        <f t="shared" si="33"/>
        <v>2</v>
      </c>
      <c r="Q508" s="5">
        <f t="shared" si="31"/>
        <v>22</v>
      </c>
      <c r="R508" s="5">
        <v>548</v>
      </c>
      <c r="S508" s="5">
        <v>67</v>
      </c>
      <c r="T508" s="5">
        <f t="shared" si="32"/>
        <v>45</v>
      </c>
    </row>
    <row r="509" spans="1:20">
      <c r="A509" s="1" t="s">
        <v>1221</v>
      </c>
      <c r="B509" s="1" t="s">
        <v>3198</v>
      </c>
      <c r="C509" s="4" t="s">
        <v>9</v>
      </c>
      <c r="D509" s="1" t="s">
        <v>1666</v>
      </c>
      <c r="E509" s="4" t="s">
        <v>1223</v>
      </c>
      <c r="F509" s="84">
        <v>101</v>
      </c>
      <c r="G509" s="84">
        <v>109</v>
      </c>
      <c r="H509" s="84">
        <v>98</v>
      </c>
      <c r="I509" s="84">
        <v>87</v>
      </c>
      <c r="J509" s="84">
        <v>79</v>
      </c>
      <c r="K509" s="84">
        <v>80</v>
      </c>
      <c r="L509" s="84">
        <v>78</v>
      </c>
      <c r="M509" s="84">
        <v>51</v>
      </c>
      <c r="N509" s="84">
        <v>48</v>
      </c>
      <c r="O509" s="5">
        <f t="shared" si="30"/>
        <v>554</v>
      </c>
      <c r="P509" s="6">
        <f t="shared" si="33"/>
        <v>18</v>
      </c>
      <c r="Q509" s="5">
        <f t="shared" si="31"/>
        <v>77</v>
      </c>
      <c r="R509" s="5">
        <v>528</v>
      </c>
      <c r="S509" s="5">
        <v>114</v>
      </c>
      <c r="T509" s="5">
        <f t="shared" si="32"/>
        <v>37</v>
      </c>
    </row>
    <row r="510" spans="1:20">
      <c r="A510" s="1" t="s">
        <v>1663</v>
      </c>
      <c r="B510" s="1" t="s">
        <v>3198</v>
      </c>
      <c r="C510" s="4" t="s">
        <v>9</v>
      </c>
      <c r="D510" s="1" t="s">
        <v>1669</v>
      </c>
      <c r="E510" s="4" t="s">
        <v>1664</v>
      </c>
      <c r="F510" s="84">
        <v>104</v>
      </c>
      <c r="G510" s="84">
        <v>93</v>
      </c>
      <c r="H510" s="84">
        <v>102</v>
      </c>
      <c r="I510" s="84">
        <v>75</v>
      </c>
      <c r="J510" s="84">
        <v>89</v>
      </c>
      <c r="K510" s="84">
        <v>75</v>
      </c>
      <c r="L510" s="84">
        <v>64</v>
      </c>
      <c r="M510" s="84">
        <v>71</v>
      </c>
      <c r="N510" s="84">
        <v>63</v>
      </c>
      <c r="O510" s="5">
        <f t="shared" si="30"/>
        <v>538</v>
      </c>
      <c r="P510" s="6">
        <f t="shared" si="33"/>
        <v>27</v>
      </c>
      <c r="Q510" s="5">
        <f t="shared" si="31"/>
        <v>111</v>
      </c>
      <c r="R510" s="5"/>
      <c r="S510" s="5"/>
      <c r="T510" s="5"/>
    </row>
    <row r="511" spans="1:20">
      <c r="A511" s="1" t="s">
        <v>904</v>
      </c>
      <c r="B511" s="1" t="s">
        <v>3198</v>
      </c>
      <c r="C511" s="4" t="s">
        <v>9</v>
      </c>
      <c r="D511" s="1" t="s">
        <v>1672</v>
      </c>
      <c r="E511" s="4" t="s">
        <v>906</v>
      </c>
      <c r="F511" s="84">
        <v>110</v>
      </c>
      <c r="G511" s="84">
        <v>109</v>
      </c>
      <c r="H511" s="84">
        <v>92</v>
      </c>
      <c r="I511" s="84">
        <v>82</v>
      </c>
      <c r="J511" s="84">
        <v>65</v>
      </c>
      <c r="K511" s="84">
        <v>73</v>
      </c>
      <c r="L511" s="84">
        <v>64</v>
      </c>
      <c r="M511" s="84">
        <v>55</v>
      </c>
      <c r="N511" s="84">
        <v>53</v>
      </c>
      <c r="O511" s="5">
        <f t="shared" si="30"/>
        <v>531</v>
      </c>
      <c r="P511" s="6">
        <f t="shared" si="33"/>
        <v>36</v>
      </c>
      <c r="Q511" s="5">
        <f t="shared" si="31"/>
        <v>132</v>
      </c>
      <c r="R511" s="5">
        <v>514.5</v>
      </c>
      <c r="S511" s="5">
        <v>155</v>
      </c>
      <c r="T511" s="5">
        <f t="shared" si="32"/>
        <v>23</v>
      </c>
    </row>
    <row r="512" spans="1:20">
      <c r="A512" s="1" t="s">
        <v>1665</v>
      </c>
      <c r="B512" s="1" t="s">
        <v>3198</v>
      </c>
      <c r="C512" s="4" t="s">
        <v>9</v>
      </c>
      <c r="D512" s="1" t="s">
        <v>1675</v>
      </c>
      <c r="E512" s="4" t="s">
        <v>1667</v>
      </c>
      <c r="F512" s="84">
        <v>96</v>
      </c>
      <c r="G512" s="84">
        <v>83</v>
      </c>
      <c r="H512" s="84">
        <v>101</v>
      </c>
      <c r="I512" s="84">
        <v>95</v>
      </c>
      <c r="J512" s="84">
        <v>67</v>
      </c>
      <c r="K512" s="84">
        <v>73</v>
      </c>
      <c r="L512" s="84">
        <v>81</v>
      </c>
      <c r="M512" s="84">
        <v>80</v>
      </c>
      <c r="N512" s="84">
        <v>73</v>
      </c>
      <c r="O512" s="5">
        <f t="shared" si="30"/>
        <v>515</v>
      </c>
      <c r="P512" s="6">
        <f t="shared" si="33"/>
        <v>46</v>
      </c>
      <c r="Q512" s="5">
        <f t="shared" si="31"/>
        <v>187</v>
      </c>
      <c r="R512" s="5">
        <v>513.5</v>
      </c>
      <c r="S512" s="5">
        <v>158</v>
      </c>
      <c r="T512" s="5">
        <f t="shared" si="32"/>
        <v>-29</v>
      </c>
    </row>
    <row r="513" spans="1:20">
      <c r="A513" s="1" t="s">
        <v>1961</v>
      </c>
      <c r="B513" s="1" t="s">
        <v>3198</v>
      </c>
      <c r="C513" s="4" t="s">
        <v>9</v>
      </c>
      <c r="D513" s="1" t="s">
        <v>3257</v>
      </c>
      <c r="E513" s="4" t="s">
        <v>146</v>
      </c>
      <c r="F513" s="84">
        <v>92</v>
      </c>
      <c r="G513" s="84">
        <v>88</v>
      </c>
      <c r="H513" s="84">
        <v>101.5</v>
      </c>
      <c r="I513" s="84">
        <v>93</v>
      </c>
      <c r="J513" s="84">
        <v>65</v>
      </c>
      <c r="K513" s="84">
        <v>76</v>
      </c>
      <c r="L513" s="84">
        <v>78</v>
      </c>
      <c r="M513" s="84">
        <v>73</v>
      </c>
      <c r="N513" s="84">
        <v>66</v>
      </c>
      <c r="O513" s="5">
        <f t="shared" si="30"/>
        <v>515.5</v>
      </c>
      <c r="P513" s="6">
        <f t="shared" si="33"/>
        <v>44</v>
      </c>
      <c r="Q513" s="5">
        <f t="shared" si="31"/>
        <v>185</v>
      </c>
      <c r="R513" s="5">
        <v>542</v>
      </c>
      <c r="S513" s="5">
        <v>80</v>
      </c>
      <c r="T513" s="5">
        <f t="shared" si="32"/>
        <v>-105</v>
      </c>
    </row>
    <row r="514" spans="1:20">
      <c r="A514" s="1" t="s">
        <v>1387</v>
      </c>
      <c r="B514" s="1" t="s">
        <v>3198</v>
      </c>
      <c r="C514" s="4" t="s">
        <v>9</v>
      </c>
      <c r="D514" s="1" t="s">
        <v>1679</v>
      </c>
      <c r="E514" s="4" t="s">
        <v>1389</v>
      </c>
      <c r="F514" s="84">
        <v>104</v>
      </c>
      <c r="G514" s="84">
        <v>87</v>
      </c>
      <c r="H514" s="84">
        <v>92</v>
      </c>
      <c r="I514" s="84">
        <v>78</v>
      </c>
      <c r="J514" s="84">
        <v>78</v>
      </c>
      <c r="K514" s="84">
        <v>91</v>
      </c>
      <c r="L514" s="84">
        <v>72</v>
      </c>
      <c r="M514" s="84">
        <v>71</v>
      </c>
      <c r="N514" s="84">
        <v>54</v>
      </c>
      <c r="O514" s="5">
        <f t="shared" si="30"/>
        <v>530</v>
      </c>
      <c r="P514" s="6">
        <f t="shared" si="33"/>
        <v>37</v>
      </c>
      <c r="Q514" s="5">
        <f t="shared" si="31"/>
        <v>136</v>
      </c>
      <c r="R514" s="5">
        <v>538.5</v>
      </c>
      <c r="S514" s="5">
        <v>90</v>
      </c>
      <c r="T514" s="5">
        <f t="shared" si="32"/>
        <v>-46</v>
      </c>
    </row>
    <row r="515" spans="1:20">
      <c r="A515" s="1" t="s">
        <v>2313</v>
      </c>
      <c r="B515" s="1" t="s">
        <v>3198</v>
      </c>
      <c r="C515" s="4" t="s">
        <v>9</v>
      </c>
      <c r="D515" s="1" t="s">
        <v>1682</v>
      </c>
      <c r="E515" s="4" t="s">
        <v>2315</v>
      </c>
      <c r="F515" s="84">
        <v>106</v>
      </c>
      <c r="G515" s="84">
        <v>76</v>
      </c>
      <c r="H515" s="84">
        <v>111</v>
      </c>
      <c r="I515" s="84">
        <v>82</v>
      </c>
      <c r="J515" s="84">
        <v>73</v>
      </c>
      <c r="K515" s="84">
        <v>75</v>
      </c>
      <c r="L515" s="84">
        <v>89</v>
      </c>
      <c r="M515" s="84">
        <v>82</v>
      </c>
      <c r="N515" s="84">
        <v>67</v>
      </c>
      <c r="O515" s="5">
        <f t="shared" ref="O515:O578" si="34">SUM(F515:K515)</f>
        <v>523</v>
      </c>
      <c r="P515" s="6">
        <f t="shared" si="33"/>
        <v>40</v>
      </c>
      <c r="Q515" s="5">
        <f t="shared" si="31"/>
        <v>159</v>
      </c>
      <c r="R515" s="5">
        <v>555.5</v>
      </c>
      <c r="S515" s="5">
        <v>51</v>
      </c>
      <c r="T515" s="5">
        <f t="shared" si="32"/>
        <v>-108</v>
      </c>
    </row>
    <row r="516" spans="1:20">
      <c r="A516" s="1" t="s">
        <v>2152</v>
      </c>
      <c r="B516" s="1" t="s">
        <v>3198</v>
      </c>
      <c r="C516" s="4" t="s">
        <v>9</v>
      </c>
      <c r="D516" s="1" t="s">
        <v>1685</v>
      </c>
      <c r="E516" s="4" t="s">
        <v>2154</v>
      </c>
      <c r="F516" s="84">
        <v>91</v>
      </c>
      <c r="G516" s="84">
        <v>92</v>
      </c>
      <c r="H516" s="84">
        <v>100.5</v>
      </c>
      <c r="I516" s="84">
        <v>100</v>
      </c>
      <c r="J516" s="84">
        <v>76</v>
      </c>
      <c r="K516" s="84">
        <v>75</v>
      </c>
      <c r="L516" s="84">
        <v>73</v>
      </c>
      <c r="M516" s="84">
        <v>71</v>
      </c>
      <c r="N516" s="84">
        <v>54</v>
      </c>
      <c r="O516" s="5">
        <f t="shared" si="34"/>
        <v>534.5</v>
      </c>
      <c r="P516" s="6">
        <f t="shared" si="33"/>
        <v>31</v>
      </c>
      <c r="Q516" s="5">
        <f t="shared" ref="Q516:Q579" si="35">RANK(O516,$O$3:$O$936)</f>
        <v>122</v>
      </c>
      <c r="R516" s="5">
        <v>514</v>
      </c>
      <c r="S516" s="5">
        <v>157</v>
      </c>
      <c r="T516" s="5">
        <f t="shared" ref="T516:T579" si="36">S516-Q516</f>
        <v>35</v>
      </c>
    </row>
    <row r="517" spans="1:20">
      <c r="A517" s="1" t="s">
        <v>424</v>
      </c>
      <c r="B517" s="1" t="s">
        <v>3198</v>
      </c>
      <c r="C517" s="4" t="s">
        <v>9</v>
      </c>
      <c r="D517" s="1" t="s">
        <v>1691</v>
      </c>
      <c r="E517" s="4" t="s">
        <v>185</v>
      </c>
      <c r="F517" s="84">
        <v>108</v>
      </c>
      <c r="G517" s="84">
        <v>116</v>
      </c>
      <c r="H517" s="84">
        <v>107</v>
      </c>
      <c r="I517" s="84">
        <v>89</v>
      </c>
      <c r="J517" s="84">
        <v>79</v>
      </c>
      <c r="K517" s="84">
        <v>85</v>
      </c>
      <c r="L517" s="84">
        <v>72</v>
      </c>
      <c r="M517" s="84">
        <v>62</v>
      </c>
      <c r="N517" s="84">
        <v>63</v>
      </c>
      <c r="O517" s="5">
        <f t="shared" si="34"/>
        <v>584</v>
      </c>
      <c r="P517" s="6">
        <f t="shared" si="33"/>
        <v>5</v>
      </c>
      <c r="Q517" s="5">
        <f t="shared" si="35"/>
        <v>30</v>
      </c>
      <c r="R517" s="5">
        <v>553.5</v>
      </c>
      <c r="S517" s="5">
        <v>55</v>
      </c>
      <c r="T517" s="5">
        <f t="shared" si="36"/>
        <v>25</v>
      </c>
    </row>
    <row r="518" spans="1:20">
      <c r="A518" s="1" t="s">
        <v>1573</v>
      </c>
      <c r="B518" s="1" t="s">
        <v>3198</v>
      </c>
      <c r="C518" s="4" t="s">
        <v>9</v>
      </c>
      <c r="D518" s="1" t="s">
        <v>1694</v>
      </c>
      <c r="E518" s="4" t="s">
        <v>31</v>
      </c>
      <c r="F518" s="84">
        <v>104</v>
      </c>
      <c r="G518" s="84">
        <v>84</v>
      </c>
      <c r="H518" s="84">
        <v>108</v>
      </c>
      <c r="I518" s="84">
        <v>84</v>
      </c>
      <c r="J518" s="84">
        <v>70</v>
      </c>
      <c r="K518" s="84">
        <v>82</v>
      </c>
      <c r="L518" s="84">
        <v>77</v>
      </c>
      <c r="M518" s="84">
        <v>67</v>
      </c>
      <c r="N518" s="84">
        <v>64</v>
      </c>
      <c r="O518" s="5">
        <f t="shared" si="34"/>
        <v>532</v>
      </c>
      <c r="P518" s="6">
        <f t="shared" si="33"/>
        <v>34</v>
      </c>
      <c r="Q518" s="5">
        <f t="shared" si="35"/>
        <v>127</v>
      </c>
      <c r="R518" s="5">
        <v>552.5</v>
      </c>
      <c r="S518" s="5">
        <v>58</v>
      </c>
      <c r="T518" s="5">
        <f t="shared" si="36"/>
        <v>-69</v>
      </c>
    </row>
    <row r="519" spans="1:20">
      <c r="A519" s="1" t="s">
        <v>609</v>
      </c>
      <c r="B519" s="1" t="s">
        <v>3198</v>
      </c>
      <c r="C519" s="4" t="s">
        <v>9</v>
      </c>
      <c r="D519" s="1" t="s">
        <v>1696</v>
      </c>
      <c r="E519" s="4" t="s">
        <v>611</v>
      </c>
      <c r="F519" s="84">
        <v>96</v>
      </c>
      <c r="G519" s="84">
        <v>102</v>
      </c>
      <c r="H519" s="84">
        <v>110</v>
      </c>
      <c r="I519" s="84">
        <v>93</v>
      </c>
      <c r="J519" s="84">
        <v>77</v>
      </c>
      <c r="K519" s="84">
        <v>85</v>
      </c>
      <c r="L519" s="84">
        <v>66</v>
      </c>
      <c r="M519" s="84">
        <v>75</v>
      </c>
      <c r="N519" s="84">
        <v>55</v>
      </c>
      <c r="O519" s="5">
        <f t="shared" si="34"/>
        <v>563</v>
      </c>
      <c r="P519" s="6">
        <f t="shared" si="33"/>
        <v>12</v>
      </c>
      <c r="Q519" s="5">
        <f t="shared" si="35"/>
        <v>58</v>
      </c>
      <c r="R519" s="5">
        <v>554</v>
      </c>
      <c r="S519" s="5">
        <v>53</v>
      </c>
      <c r="T519" s="5">
        <f t="shared" si="36"/>
        <v>-5</v>
      </c>
    </row>
    <row r="520" spans="1:20">
      <c r="A520" s="1" t="s">
        <v>1574</v>
      </c>
      <c r="B520" s="1" t="s">
        <v>3198</v>
      </c>
      <c r="C520" s="4" t="s">
        <v>9</v>
      </c>
      <c r="D520" s="1" t="s">
        <v>1699</v>
      </c>
      <c r="E520" s="1" t="s">
        <v>119</v>
      </c>
      <c r="F520" s="84">
        <v>101</v>
      </c>
      <c r="G520" s="84">
        <v>71</v>
      </c>
      <c r="H520" s="84">
        <v>105.5</v>
      </c>
      <c r="I520" s="84">
        <v>55</v>
      </c>
      <c r="J520" s="84">
        <v>65</v>
      </c>
      <c r="K520" s="84">
        <v>81</v>
      </c>
      <c r="L520" s="84">
        <v>83</v>
      </c>
      <c r="M520" s="84">
        <v>71</v>
      </c>
      <c r="N520" s="84">
        <v>61</v>
      </c>
      <c r="O520" s="5">
        <f t="shared" si="34"/>
        <v>478.5</v>
      </c>
      <c r="P520" s="6">
        <f t="shared" si="33"/>
        <v>50</v>
      </c>
      <c r="Q520" s="5">
        <f t="shared" si="35"/>
        <v>348</v>
      </c>
      <c r="R520" s="5">
        <v>539.5</v>
      </c>
      <c r="S520" s="5">
        <v>88</v>
      </c>
      <c r="T520" s="5">
        <f t="shared" si="36"/>
        <v>-260</v>
      </c>
    </row>
    <row r="521" spans="1:20">
      <c r="A521" s="1" t="s">
        <v>1576</v>
      </c>
      <c r="B521" s="1" t="s">
        <v>3198</v>
      </c>
      <c r="C521" s="4" t="s">
        <v>9</v>
      </c>
      <c r="D521" s="1" t="s">
        <v>1702</v>
      </c>
      <c r="E521" s="4" t="s">
        <v>1578</v>
      </c>
      <c r="F521" s="84">
        <v>107</v>
      </c>
      <c r="G521" s="84">
        <v>106</v>
      </c>
      <c r="H521" s="84">
        <v>104</v>
      </c>
      <c r="I521" s="84">
        <v>98</v>
      </c>
      <c r="J521" s="84">
        <v>89</v>
      </c>
      <c r="K521" s="84">
        <v>97</v>
      </c>
      <c r="L521" s="84">
        <v>82</v>
      </c>
      <c r="M521" s="84">
        <v>56</v>
      </c>
      <c r="N521" s="84">
        <v>57</v>
      </c>
      <c r="O521" s="5">
        <f t="shared" si="34"/>
        <v>601</v>
      </c>
      <c r="P521" s="6">
        <f t="shared" si="33"/>
        <v>1</v>
      </c>
      <c r="Q521" s="5">
        <f t="shared" si="35"/>
        <v>17</v>
      </c>
      <c r="R521" s="5">
        <v>529</v>
      </c>
      <c r="S521" s="5">
        <v>109</v>
      </c>
      <c r="T521" s="5">
        <f t="shared" si="36"/>
        <v>92</v>
      </c>
    </row>
    <row r="522" spans="1:20">
      <c r="A522" s="1" t="s">
        <v>449</v>
      </c>
      <c r="B522" s="1" t="s">
        <v>3198</v>
      </c>
      <c r="C522" s="4" t="s">
        <v>9</v>
      </c>
      <c r="D522" s="1" t="s">
        <v>1704</v>
      </c>
      <c r="E522" s="4" t="s">
        <v>197</v>
      </c>
      <c r="F522" s="84">
        <v>97</v>
      </c>
      <c r="G522" s="84">
        <v>88</v>
      </c>
      <c r="H522" s="84">
        <v>105</v>
      </c>
      <c r="I522" s="84">
        <v>89</v>
      </c>
      <c r="J522" s="84">
        <v>78</v>
      </c>
      <c r="K522" s="84">
        <v>79</v>
      </c>
      <c r="L522" s="84">
        <v>76</v>
      </c>
      <c r="M522" s="84">
        <v>71</v>
      </c>
      <c r="N522" s="84">
        <v>76</v>
      </c>
      <c r="O522" s="5">
        <f t="shared" si="34"/>
        <v>536</v>
      </c>
      <c r="P522" s="6">
        <f t="shared" si="33"/>
        <v>29</v>
      </c>
      <c r="Q522" s="5">
        <f t="shared" si="35"/>
        <v>120</v>
      </c>
      <c r="R522" s="5">
        <v>567</v>
      </c>
      <c r="S522" s="5">
        <v>31</v>
      </c>
      <c r="T522" s="5">
        <f t="shared" si="36"/>
        <v>-89</v>
      </c>
    </row>
    <row r="523" spans="1:20">
      <c r="A523" s="1" t="s">
        <v>2848</v>
      </c>
      <c r="B523" s="1" t="s">
        <v>3198</v>
      </c>
      <c r="C523" s="4" t="s">
        <v>9</v>
      </c>
      <c r="D523" s="1" t="s">
        <v>1710</v>
      </c>
      <c r="E523" s="4" t="s">
        <v>191</v>
      </c>
      <c r="F523" s="84">
        <v>99</v>
      </c>
      <c r="G523" s="84">
        <v>95</v>
      </c>
      <c r="H523" s="84">
        <v>109</v>
      </c>
      <c r="I523" s="84">
        <v>79</v>
      </c>
      <c r="J523" s="84">
        <v>90</v>
      </c>
      <c r="K523" s="84">
        <v>81</v>
      </c>
      <c r="L523" s="84">
        <v>82</v>
      </c>
      <c r="M523" s="84">
        <v>75</v>
      </c>
      <c r="N523" s="84">
        <v>58</v>
      </c>
      <c r="O523" s="5">
        <f t="shared" si="34"/>
        <v>553</v>
      </c>
      <c r="P523" s="6">
        <f t="shared" si="33"/>
        <v>19</v>
      </c>
      <c r="Q523" s="5">
        <f t="shared" si="35"/>
        <v>79</v>
      </c>
      <c r="R523" s="5">
        <v>521</v>
      </c>
      <c r="S523" s="5">
        <v>132</v>
      </c>
      <c r="T523" s="5">
        <f t="shared" si="36"/>
        <v>53</v>
      </c>
    </row>
    <row r="524" spans="1:20">
      <c r="A524" s="1" t="s">
        <v>1872</v>
      </c>
      <c r="B524" s="1" t="s">
        <v>3198</v>
      </c>
      <c r="C524" s="4" t="s">
        <v>9</v>
      </c>
      <c r="D524" s="1" t="s">
        <v>1713</v>
      </c>
      <c r="E524" s="4" t="s">
        <v>35</v>
      </c>
      <c r="F524" s="84">
        <v>90</v>
      </c>
      <c r="G524" s="84">
        <v>99</v>
      </c>
      <c r="H524" s="84">
        <v>111</v>
      </c>
      <c r="I524" s="84">
        <v>90</v>
      </c>
      <c r="J524" s="84">
        <v>86</v>
      </c>
      <c r="K524" s="84">
        <v>87</v>
      </c>
      <c r="L524" s="84">
        <v>47</v>
      </c>
      <c r="M524" s="84">
        <v>74</v>
      </c>
      <c r="N524" s="84">
        <v>63</v>
      </c>
      <c r="O524" s="5">
        <f t="shared" si="34"/>
        <v>563</v>
      </c>
      <c r="P524" s="6">
        <f t="shared" si="33"/>
        <v>12</v>
      </c>
      <c r="Q524" s="5">
        <f t="shared" si="35"/>
        <v>58</v>
      </c>
      <c r="R524" s="5">
        <v>562</v>
      </c>
      <c r="S524" s="5">
        <v>40</v>
      </c>
      <c r="T524" s="5">
        <f t="shared" si="36"/>
        <v>-18</v>
      </c>
    </row>
    <row r="525" spans="1:20">
      <c r="A525" s="1" t="s">
        <v>960</v>
      </c>
      <c r="B525" s="1" t="s">
        <v>3198</v>
      </c>
      <c r="C525" s="4" t="s">
        <v>9</v>
      </c>
      <c r="D525" s="1" t="s">
        <v>1716</v>
      </c>
      <c r="E525" s="4" t="s">
        <v>170</v>
      </c>
      <c r="F525" s="84">
        <v>107</v>
      </c>
      <c r="G525" s="84">
        <v>115</v>
      </c>
      <c r="H525" s="84">
        <v>121</v>
      </c>
      <c r="I525" s="84">
        <v>74</v>
      </c>
      <c r="J525" s="84">
        <v>74</v>
      </c>
      <c r="K525" s="84">
        <v>85</v>
      </c>
      <c r="L525" s="84">
        <v>79</v>
      </c>
      <c r="M525" s="84">
        <v>66</v>
      </c>
      <c r="N525" s="84">
        <v>62</v>
      </c>
      <c r="O525" s="5">
        <f t="shared" si="34"/>
        <v>576</v>
      </c>
      <c r="P525" s="6">
        <f t="shared" si="33"/>
        <v>7</v>
      </c>
      <c r="Q525" s="5">
        <f t="shared" si="35"/>
        <v>38</v>
      </c>
      <c r="R525" s="5">
        <v>601.5</v>
      </c>
      <c r="S525" s="5">
        <v>13</v>
      </c>
      <c r="T525" s="5">
        <f t="shared" si="36"/>
        <v>-25</v>
      </c>
    </row>
    <row r="526" spans="1:20">
      <c r="A526" s="1" t="s">
        <v>1109</v>
      </c>
      <c r="B526" s="1" t="s">
        <v>3198</v>
      </c>
      <c r="C526" s="4" t="s">
        <v>9</v>
      </c>
      <c r="D526" s="1" t="s">
        <v>1719</v>
      </c>
      <c r="E526" s="4" t="s">
        <v>114</v>
      </c>
      <c r="F526" s="84">
        <v>113</v>
      </c>
      <c r="G526" s="84">
        <v>94</v>
      </c>
      <c r="H526" s="84">
        <v>128</v>
      </c>
      <c r="I526" s="84">
        <v>84</v>
      </c>
      <c r="J526" s="84">
        <v>58</v>
      </c>
      <c r="K526" s="84">
        <v>73</v>
      </c>
      <c r="L526" s="84">
        <v>89</v>
      </c>
      <c r="M526" s="84">
        <v>64</v>
      </c>
      <c r="N526" s="84">
        <v>64</v>
      </c>
      <c r="O526" s="5">
        <f t="shared" si="34"/>
        <v>550</v>
      </c>
      <c r="P526" s="6">
        <f t="shared" si="33"/>
        <v>21</v>
      </c>
      <c r="Q526" s="5">
        <f t="shared" si="35"/>
        <v>83</v>
      </c>
      <c r="R526" s="5">
        <v>555</v>
      </c>
      <c r="S526" s="5">
        <v>52</v>
      </c>
      <c r="T526" s="5">
        <f t="shared" si="36"/>
        <v>-31</v>
      </c>
    </row>
    <row r="527" spans="1:20">
      <c r="A527" s="1" t="s">
        <v>2853</v>
      </c>
      <c r="B527" s="1" t="s">
        <v>3198</v>
      </c>
      <c r="C527" s="4" t="s">
        <v>9</v>
      </c>
      <c r="D527" s="1" t="s">
        <v>1722</v>
      </c>
      <c r="E527" s="4" t="s">
        <v>39</v>
      </c>
      <c r="F527" s="84">
        <v>117</v>
      </c>
      <c r="G527" s="84">
        <v>76</v>
      </c>
      <c r="H527" s="84">
        <v>118.5</v>
      </c>
      <c r="I527" s="84">
        <v>66</v>
      </c>
      <c r="J527" s="84">
        <v>66</v>
      </c>
      <c r="K527" s="84">
        <v>69</v>
      </c>
      <c r="L527" s="84">
        <v>79</v>
      </c>
      <c r="M527" s="84">
        <v>67</v>
      </c>
      <c r="N527" s="84">
        <v>64</v>
      </c>
      <c r="O527" s="5">
        <f t="shared" si="34"/>
        <v>512.5</v>
      </c>
      <c r="P527" s="6">
        <f t="shared" si="33"/>
        <v>47</v>
      </c>
      <c r="Q527" s="5">
        <f t="shared" si="35"/>
        <v>197</v>
      </c>
      <c r="R527" s="5">
        <v>492.5</v>
      </c>
      <c r="S527" s="5">
        <v>250</v>
      </c>
      <c r="T527" s="5">
        <f t="shared" si="36"/>
        <v>53</v>
      </c>
    </row>
    <row r="528" spans="1:20">
      <c r="A528" s="1" t="s">
        <v>1114</v>
      </c>
      <c r="B528" s="1" t="s">
        <v>3198</v>
      </c>
      <c r="C528" s="4" t="s">
        <v>9</v>
      </c>
      <c r="D528" s="1" t="s">
        <v>1725</v>
      </c>
      <c r="E528" s="4" t="s">
        <v>202</v>
      </c>
      <c r="F528" s="84">
        <v>103</v>
      </c>
      <c r="G528" s="84">
        <v>105</v>
      </c>
      <c r="H528" s="84">
        <v>128.5</v>
      </c>
      <c r="I528" s="84">
        <v>81</v>
      </c>
      <c r="J528" s="84">
        <v>67</v>
      </c>
      <c r="K528" s="84">
        <v>89</v>
      </c>
      <c r="L528" s="84">
        <v>86</v>
      </c>
      <c r="M528" s="84">
        <v>80</v>
      </c>
      <c r="N528" s="84">
        <v>69</v>
      </c>
      <c r="O528" s="5">
        <f t="shared" si="34"/>
        <v>573.5</v>
      </c>
      <c r="P528" s="6">
        <f t="shared" si="33"/>
        <v>8</v>
      </c>
      <c r="Q528" s="5">
        <f t="shared" si="35"/>
        <v>42</v>
      </c>
      <c r="R528" s="5">
        <v>549</v>
      </c>
      <c r="S528" s="5">
        <v>63</v>
      </c>
      <c r="T528" s="5">
        <f t="shared" si="36"/>
        <v>21</v>
      </c>
    </row>
    <row r="529" spans="1:20">
      <c r="A529" s="1" t="s">
        <v>1724</v>
      </c>
      <c r="B529" s="1" t="s">
        <v>3198</v>
      </c>
      <c r="C529" s="4" t="s">
        <v>9</v>
      </c>
      <c r="D529" s="1" t="s">
        <v>1727</v>
      </c>
      <c r="E529" s="4" t="s">
        <v>182</v>
      </c>
      <c r="F529" s="84">
        <v>109</v>
      </c>
      <c r="G529" s="84">
        <v>92</v>
      </c>
      <c r="H529" s="84">
        <v>103.5</v>
      </c>
      <c r="I529" s="84">
        <v>73</v>
      </c>
      <c r="J529" s="84">
        <v>58</v>
      </c>
      <c r="K529" s="84">
        <v>85</v>
      </c>
      <c r="L529" s="84">
        <v>83</v>
      </c>
      <c r="M529" s="84">
        <v>81</v>
      </c>
      <c r="N529" s="84">
        <v>68</v>
      </c>
      <c r="O529" s="5">
        <f t="shared" si="34"/>
        <v>520.5</v>
      </c>
      <c r="P529" s="6">
        <f t="shared" si="33"/>
        <v>42</v>
      </c>
      <c r="Q529" s="5">
        <f t="shared" si="35"/>
        <v>163</v>
      </c>
      <c r="R529" s="5">
        <v>520</v>
      </c>
      <c r="S529" s="5">
        <v>136</v>
      </c>
      <c r="T529" s="5">
        <f t="shared" si="36"/>
        <v>-27</v>
      </c>
    </row>
    <row r="530" spans="1:20">
      <c r="A530" s="1" t="s">
        <v>2521</v>
      </c>
      <c r="B530" s="1" t="s">
        <v>3198</v>
      </c>
      <c r="C530" s="4" t="s">
        <v>9</v>
      </c>
      <c r="D530" s="1" t="s">
        <v>1730</v>
      </c>
      <c r="E530" s="4" t="s">
        <v>2523</v>
      </c>
      <c r="F530" s="84">
        <v>108</v>
      </c>
      <c r="G530" s="84">
        <v>63</v>
      </c>
      <c r="H530" s="84">
        <v>91.5</v>
      </c>
      <c r="I530" s="84">
        <v>83</v>
      </c>
      <c r="J530" s="84">
        <v>76</v>
      </c>
      <c r="K530" s="84">
        <v>94</v>
      </c>
      <c r="L530" s="84">
        <v>59</v>
      </c>
      <c r="M530" s="84">
        <v>73</v>
      </c>
      <c r="N530" s="84">
        <v>51</v>
      </c>
      <c r="O530" s="5">
        <f t="shared" si="34"/>
        <v>515.5</v>
      </c>
      <c r="P530" s="6">
        <f t="shared" si="33"/>
        <v>44</v>
      </c>
      <c r="Q530" s="5">
        <f t="shared" si="35"/>
        <v>185</v>
      </c>
      <c r="R530" s="5">
        <v>503</v>
      </c>
      <c r="S530" s="5">
        <v>196</v>
      </c>
      <c r="T530" s="5">
        <f t="shared" si="36"/>
        <v>11</v>
      </c>
    </row>
    <row r="531" spans="1:20">
      <c r="A531" s="1" t="s">
        <v>2524</v>
      </c>
      <c r="B531" s="1" t="s">
        <v>3198</v>
      </c>
      <c r="C531" s="4" t="s">
        <v>9</v>
      </c>
      <c r="D531" s="1" t="s">
        <v>1733</v>
      </c>
      <c r="E531" s="4" t="s">
        <v>171</v>
      </c>
      <c r="F531" s="84">
        <v>89</v>
      </c>
      <c r="G531" s="84">
        <v>68</v>
      </c>
      <c r="H531" s="84">
        <v>117</v>
      </c>
      <c r="I531" s="84">
        <v>69</v>
      </c>
      <c r="J531" s="84">
        <v>72</v>
      </c>
      <c r="K531" s="84">
        <v>90</v>
      </c>
      <c r="L531" s="84">
        <v>80</v>
      </c>
      <c r="M531" s="84">
        <v>74</v>
      </c>
      <c r="N531" s="84">
        <v>59</v>
      </c>
      <c r="O531" s="5">
        <f t="shared" si="34"/>
        <v>505</v>
      </c>
      <c r="P531" s="6">
        <f t="shared" si="33"/>
        <v>48</v>
      </c>
      <c r="Q531" s="5">
        <f t="shared" si="35"/>
        <v>223</v>
      </c>
      <c r="R531" s="5">
        <v>514.5</v>
      </c>
      <c r="S531" s="5">
        <v>155</v>
      </c>
      <c r="T531" s="5">
        <f t="shared" si="36"/>
        <v>-68</v>
      </c>
    </row>
    <row r="532" spans="1:20">
      <c r="A532" s="1" t="s">
        <v>1892</v>
      </c>
      <c r="B532" s="1" t="s">
        <v>3198</v>
      </c>
      <c r="C532" s="4" t="s">
        <v>9</v>
      </c>
      <c r="D532" s="1" t="s">
        <v>1736</v>
      </c>
      <c r="E532" s="4" t="s">
        <v>188</v>
      </c>
      <c r="F532" s="84">
        <v>105</v>
      </c>
      <c r="G532" s="84">
        <v>80</v>
      </c>
      <c r="H532" s="84">
        <v>100.5</v>
      </c>
      <c r="I532" s="84">
        <v>82</v>
      </c>
      <c r="J532" s="84">
        <v>84</v>
      </c>
      <c r="K532" s="84">
        <v>84</v>
      </c>
      <c r="L532" s="84">
        <v>75</v>
      </c>
      <c r="M532" s="84">
        <v>83</v>
      </c>
      <c r="N532" s="84">
        <v>74</v>
      </c>
      <c r="O532" s="5">
        <f t="shared" si="34"/>
        <v>535.5</v>
      </c>
      <c r="P532" s="6">
        <f t="shared" si="33"/>
        <v>30</v>
      </c>
      <c r="Q532" s="5">
        <f t="shared" si="35"/>
        <v>121</v>
      </c>
      <c r="R532" s="5">
        <v>547</v>
      </c>
      <c r="S532" s="5">
        <v>69</v>
      </c>
      <c r="T532" s="5">
        <f t="shared" si="36"/>
        <v>-52</v>
      </c>
    </row>
    <row r="533" spans="1:20">
      <c r="A533" s="1" t="s">
        <v>1601</v>
      </c>
      <c r="B533" s="1" t="s">
        <v>3198</v>
      </c>
      <c r="C533" s="4" t="s">
        <v>9</v>
      </c>
      <c r="D533" s="1" t="s">
        <v>1739</v>
      </c>
      <c r="E533" s="4" t="s">
        <v>192</v>
      </c>
      <c r="F533" s="84">
        <v>94</v>
      </c>
      <c r="G533" s="84">
        <v>93</v>
      </c>
      <c r="H533" s="84">
        <v>121</v>
      </c>
      <c r="I533" s="84">
        <v>92</v>
      </c>
      <c r="J533" s="84">
        <v>87</v>
      </c>
      <c r="K533" s="84">
        <v>77</v>
      </c>
      <c r="L533" s="84">
        <v>81</v>
      </c>
      <c r="M533" s="84">
        <v>66</v>
      </c>
      <c r="N533" s="84">
        <v>53</v>
      </c>
      <c r="O533" s="5">
        <f t="shared" si="34"/>
        <v>564</v>
      </c>
      <c r="P533" s="6">
        <f t="shared" si="33"/>
        <v>11</v>
      </c>
      <c r="Q533" s="5">
        <f t="shared" si="35"/>
        <v>53</v>
      </c>
      <c r="R533" s="5">
        <v>539</v>
      </c>
      <c r="S533" s="5">
        <v>89</v>
      </c>
      <c r="T533" s="5">
        <f t="shared" si="36"/>
        <v>36</v>
      </c>
    </row>
    <row r="534" spans="1:20">
      <c r="A534" s="1" t="s">
        <v>1606</v>
      </c>
      <c r="B534" s="1" t="s">
        <v>3198</v>
      </c>
      <c r="C534" s="4" t="s">
        <v>9</v>
      </c>
      <c r="D534" s="1" t="s">
        <v>1742</v>
      </c>
      <c r="E534" s="4" t="s">
        <v>1608</v>
      </c>
      <c r="F534" s="84">
        <v>106</v>
      </c>
      <c r="G534" s="84">
        <v>102</v>
      </c>
      <c r="H534" s="84">
        <v>104</v>
      </c>
      <c r="I534" s="84">
        <v>87</v>
      </c>
      <c r="J534" s="84">
        <v>70</v>
      </c>
      <c r="K534" s="84">
        <v>93</v>
      </c>
      <c r="L534" s="84">
        <v>74</v>
      </c>
      <c r="M534" s="84">
        <v>70</v>
      </c>
      <c r="N534" s="84">
        <v>49</v>
      </c>
      <c r="O534" s="5">
        <f t="shared" si="34"/>
        <v>562</v>
      </c>
      <c r="P534" s="6">
        <f t="shared" si="33"/>
        <v>14</v>
      </c>
      <c r="Q534" s="5">
        <f t="shared" si="35"/>
        <v>62</v>
      </c>
      <c r="R534" s="5">
        <v>560.5</v>
      </c>
      <c r="S534" s="5">
        <v>44</v>
      </c>
      <c r="T534" s="5">
        <f t="shared" si="36"/>
        <v>-18</v>
      </c>
    </row>
    <row r="535" spans="1:20">
      <c r="A535" s="1" t="s">
        <v>1741</v>
      </c>
      <c r="B535" s="1" t="s">
        <v>3198</v>
      </c>
      <c r="C535" s="4" t="s">
        <v>9</v>
      </c>
      <c r="D535" s="1" t="s">
        <v>1745</v>
      </c>
      <c r="E535" s="4" t="s">
        <v>1743</v>
      </c>
      <c r="F535" s="84">
        <v>97</v>
      </c>
      <c r="G535" s="84">
        <v>90</v>
      </c>
      <c r="H535" s="84">
        <v>97</v>
      </c>
      <c r="I535" s="84">
        <v>85</v>
      </c>
      <c r="J535" s="84">
        <v>75</v>
      </c>
      <c r="K535" s="84">
        <v>77</v>
      </c>
      <c r="L535" s="84">
        <v>72</v>
      </c>
      <c r="M535" s="84">
        <v>78</v>
      </c>
      <c r="N535" s="84">
        <v>55</v>
      </c>
      <c r="O535" s="5">
        <f t="shared" si="34"/>
        <v>521</v>
      </c>
      <c r="P535" s="6">
        <f t="shared" si="33"/>
        <v>41</v>
      </c>
      <c r="Q535" s="5">
        <f t="shared" si="35"/>
        <v>161</v>
      </c>
      <c r="R535" s="5">
        <v>513.5</v>
      </c>
      <c r="S535" s="5">
        <v>158</v>
      </c>
      <c r="T535" s="5">
        <f t="shared" si="36"/>
        <v>-3</v>
      </c>
    </row>
    <row r="536" spans="1:20">
      <c r="A536" s="1" t="s">
        <v>1609</v>
      </c>
      <c r="B536" s="1" t="s">
        <v>3198</v>
      </c>
      <c r="C536" s="4" t="s">
        <v>9</v>
      </c>
      <c r="D536" s="1" t="s">
        <v>1747</v>
      </c>
      <c r="E536" s="4" t="s">
        <v>1611</v>
      </c>
      <c r="F536" s="84">
        <v>111</v>
      </c>
      <c r="G536" s="84">
        <v>77</v>
      </c>
      <c r="H536" s="84">
        <v>123.5</v>
      </c>
      <c r="I536" s="84">
        <v>80</v>
      </c>
      <c r="J536" s="84">
        <v>90</v>
      </c>
      <c r="K536" s="84">
        <v>85</v>
      </c>
      <c r="L536" s="84">
        <v>86</v>
      </c>
      <c r="M536" s="84">
        <v>80</v>
      </c>
      <c r="N536" s="84">
        <v>76</v>
      </c>
      <c r="O536" s="5">
        <f t="shared" si="34"/>
        <v>566.5</v>
      </c>
      <c r="P536" s="6">
        <f t="shared" si="33"/>
        <v>9</v>
      </c>
      <c r="Q536" s="5">
        <f t="shared" si="35"/>
        <v>48</v>
      </c>
      <c r="R536" s="5">
        <v>561</v>
      </c>
      <c r="S536" s="5">
        <v>42</v>
      </c>
      <c r="T536" s="5">
        <f t="shared" si="36"/>
        <v>-6</v>
      </c>
    </row>
    <row r="537" spans="1:20">
      <c r="A537" s="1" t="s">
        <v>1616</v>
      </c>
      <c r="B537" s="1" t="s">
        <v>3198</v>
      </c>
      <c r="C537" s="4" t="s">
        <v>9</v>
      </c>
      <c r="D537" s="1" t="s">
        <v>1750</v>
      </c>
      <c r="E537" s="4" t="s">
        <v>1618</v>
      </c>
      <c r="F537" s="84">
        <v>120</v>
      </c>
      <c r="G537" s="84">
        <v>100</v>
      </c>
      <c r="H537" s="84">
        <v>109</v>
      </c>
      <c r="I537" s="84">
        <v>82</v>
      </c>
      <c r="J537" s="84">
        <v>85</v>
      </c>
      <c r="K537" s="84">
        <v>85</v>
      </c>
      <c r="L537" s="84">
        <v>80</v>
      </c>
      <c r="M537" s="84">
        <v>75</v>
      </c>
      <c r="N537" s="84">
        <v>50</v>
      </c>
      <c r="O537" s="5">
        <f t="shared" si="34"/>
        <v>581</v>
      </c>
      <c r="P537" s="6">
        <f t="shared" si="33"/>
        <v>6</v>
      </c>
      <c r="Q537" s="5">
        <f t="shared" si="35"/>
        <v>33</v>
      </c>
      <c r="R537" s="5">
        <v>566.5</v>
      </c>
      <c r="S537" s="5">
        <v>32</v>
      </c>
      <c r="T537" s="5">
        <f t="shared" si="36"/>
        <v>-1</v>
      </c>
    </row>
    <row r="538" spans="1:20">
      <c r="A538" s="1" t="s">
        <v>2540</v>
      </c>
      <c r="B538" s="1" t="s">
        <v>3198</v>
      </c>
      <c r="C538" s="4" t="s">
        <v>9</v>
      </c>
      <c r="D538" s="1" t="s">
        <v>1753</v>
      </c>
      <c r="E538" s="4" t="s">
        <v>183</v>
      </c>
      <c r="F538" s="84">
        <v>102</v>
      </c>
      <c r="G538" s="84">
        <v>74</v>
      </c>
      <c r="H538" s="84">
        <v>109</v>
      </c>
      <c r="I538" s="84">
        <v>82</v>
      </c>
      <c r="J538" s="84">
        <v>67</v>
      </c>
      <c r="K538" s="84">
        <v>85</v>
      </c>
      <c r="L538" s="84">
        <v>91</v>
      </c>
      <c r="M538" s="84">
        <v>82</v>
      </c>
      <c r="N538" s="84">
        <v>65</v>
      </c>
      <c r="O538" s="5">
        <f t="shared" si="34"/>
        <v>519</v>
      </c>
      <c r="P538" s="6">
        <f t="shared" si="33"/>
        <v>43</v>
      </c>
      <c r="Q538" s="5">
        <f t="shared" si="35"/>
        <v>169</v>
      </c>
      <c r="R538" s="5">
        <v>529.5</v>
      </c>
      <c r="S538" s="5">
        <v>106</v>
      </c>
      <c r="T538" s="5">
        <f t="shared" si="36"/>
        <v>-63</v>
      </c>
    </row>
    <row r="539" spans="1:20">
      <c r="A539" s="1" t="s">
        <v>1143</v>
      </c>
      <c r="B539" s="1" t="s">
        <v>3198</v>
      </c>
      <c r="C539" s="4" t="s">
        <v>9</v>
      </c>
      <c r="D539" s="1" t="s">
        <v>1755</v>
      </c>
      <c r="E539" s="4" t="s">
        <v>199</v>
      </c>
      <c r="F539" s="84">
        <v>99</v>
      </c>
      <c r="G539" s="84">
        <v>71</v>
      </c>
      <c r="H539" s="84">
        <v>105.5</v>
      </c>
      <c r="I539" s="84">
        <v>62</v>
      </c>
      <c r="J539" s="84">
        <v>73</v>
      </c>
      <c r="K539" s="84">
        <v>78</v>
      </c>
      <c r="L539" s="84">
        <v>79</v>
      </c>
      <c r="M539" s="84">
        <v>75</v>
      </c>
      <c r="N539" s="84">
        <v>75</v>
      </c>
      <c r="O539" s="5">
        <f t="shared" si="34"/>
        <v>488.5</v>
      </c>
      <c r="P539" s="6">
        <f t="shared" si="33"/>
        <v>49</v>
      </c>
      <c r="Q539" s="5">
        <f t="shared" si="35"/>
        <v>297</v>
      </c>
      <c r="R539" s="5">
        <v>498.5</v>
      </c>
      <c r="S539" s="5">
        <v>217</v>
      </c>
      <c r="T539" s="5">
        <f t="shared" si="36"/>
        <v>-80</v>
      </c>
    </row>
    <row r="540" spans="1:20">
      <c r="A540" s="1" t="s">
        <v>1756</v>
      </c>
      <c r="B540" s="1" t="s">
        <v>3198</v>
      </c>
      <c r="C540" s="4" t="s">
        <v>9</v>
      </c>
      <c r="D540" s="1" t="s">
        <v>1757</v>
      </c>
      <c r="E540" s="4" t="s">
        <v>98</v>
      </c>
      <c r="F540" s="84">
        <v>107</v>
      </c>
      <c r="G540" s="84">
        <v>94</v>
      </c>
      <c r="H540" s="84">
        <v>108</v>
      </c>
      <c r="I540" s="84">
        <v>71</v>
      </c>
      <c r="J540" s="84">
        <v>75</v>
      </c>
      <c r="K540" s="84">
        <v>77</v>
      </c>
      <c r="L540" s="84">
        <v>82</v>
      </c>
      <c r="M540" s="84">
        <v>68</v>
      </c>
      <c r="N540" s="84">
        <v>54</v>
      </c>
      <c r="O540" s="5">
        <f t="shared" si="34"/>
        <v>532</v>
      </c>
      <c r="P540" s="6">
        <f t="shared" si="33"/>
        <v>34</v>
      </c>
      <c r="Q540" s="5">
        <f t="shared" si="35"/>
        <v>127</v>
      </c>
      <c r="R540" s="5">
        <v>544</v>
      </c>
      <c r="S540" s="5">
        <v>76</v>
      </c>
      <c r="T540" s="5">
        <f t="shared" si="36"/>
        <v>-51</v>
      </c>
    </row>
    <row r="541" spans="1:20">
      <c r="A541" s="1" t="s">
        <v>1758</v>
      </c>
      <c r="B541" s="1" t="s">
        <v>3198</v>
      </c>
      <c r="C541" s="4" t="s">
        <v>9</v>
      </c>
      <c r="D541" s="1" t="s">
        <v>1759</v>
      </c>
      <c r="E541" s="4" t="s">
        <v>1760</v>
      </c>
      <c r="F541" s="84">
        <v>116</v>
      </c>
      <c r="G541" s="84">
        <v>105</v>
      </c>
      <c r="H541" s="84">
        <v>83.5</v>
      </c>
      <c r="I541" s="84">
        <v>100</v>
      </c>
      <c r="J541" s="84">
        <v>79</v>
      </c>
      <c r="K541" s="84">
        <v>81</v>
      </c>
      <c r="L541" s="84">
        <v>73</v>
      </c>
      <c r="M541" s="84">
        <v>74</v>
      </c>
      <c r="N541" s="84">
        <v>38</v>
      </c>
      <c r="O541" s="5">
        <f t="shared" si="34"/>
        <v>564.5</v>
      </c>
      <c r="P541" s="6">
        <f t="shared" si="33"/>
        <v>10</v>
      </c>
      <c r="Q541" s="5">
        <f t="shared" si="35"/>
        <v>51</v>
      </c>
      <c r="R541" s="5">
        <v>551</v>
      </c>
      <c r="S541" s="5">
        <v>61</v>
      </c>
      <c r="T541" s="5">
        <f t="shared" si="36"/>
        <v>10</v>
      </c>
    </row>
    <row r="542" spans="1:20">
      <c r="A542" s="1" t="s">
        <v>2548</v>
      </c>
      <c r="B542" s="1" t="s">
        <v>3198</v>
      </c>
      <c r="C542" s="4" t="s">
        <v>9</v>
      </c>
      <c r="D542" s="1" t="s">
        <v>1762</v>
      </c>
      <c r="E542" s="4" t="s">
        <v>2550</v>
      </c>
      <c r="F542" s="84">
        <v>111</v>
      </c>
      <c r="G542" s="84">
        <v>89</v>
      </c>
      <c r="H542" s="84">
        <v>96.5</v>
      </c>
      <c r="I542" s="84">
        <v>80</v>
      </c>
      <c r="J542" s="84">
        <v>73</v>
      </c>
      <c r="K542" s="84">
        <v>88</v>
      </c>
      <c r="L542" s="84">
        <v>79</v>
      </c>
      <c r="M542" s="84">
        <v>67</v>
      </c>
      <c r="N542" s="84">
        <v>73</v>
      </c>
      <c r="O542" s="5">
        <f t="shared" si="34"/>
        <v>537.5</v>
      </c>
      <c r="P542" s="6">
        <f t="shared" si="33"/>
        <v>28</v>
      </c>
      <c r="Q542" s="5">
        <f t="shared" si="35"/>
        <v>112</v>
      </c>
      <c r="R542" s="5">
        <v>528</v>
      </c>
      <c r="S542" s="5">
        <v>114</v>
      </c>
      <c r="T542" s="5">
        <f t="shared" si="36"/>
        <v>2</v>
      </c>
    </row>
    <row r="543" spans="1:20">
      <c r="A543" s="1" t="s">
        <v>2724</v>
      </c>
      <c r="B543" s="1" t="s">
        <v>3198</v>
      </c>
      <c r="C543" s="4" t="s">
        <v>9</v>
      </c>
      <c r="D543" s="1" t="s">
        <v>1764</v>
      </c>
      <c r="E543" s="4" t="s">
        <v>2726</v>
      </c>
      <c r="F543" s="84">
        <v>103</v>
      </c>
      <c r="G543" s="84">
        <v>101</v>
      </c>
      <c r="H543" s="84">
        <v>101</v>
      </c>
      <c r="I543" s="84">
        <v>79</v>
      </c>
      <c r="J543" s="84">
        <v>82</v>
      </c>
      <c r="K543" s="84">
        <v>83</v>
      </c>
      <c r="L543" s="84">
        <v>83</v>
      </c>
      <c r="M543" s="84">
        <v>85</v>
      </c>
      <c r="N543" s="84">
        <v>54</v>
      </c>
      <c r="O543" s="5">
        <f t="shared" si="34"/>
        <v>549</v>
      </c>
      <c r="P543" s="6">
        <f t="shared" si="33"/>
        <v>22</v>
      </c>
      <c r="Q543" s="5">
        <f t="shared" si="35"/>
        <v>86</v>
      </c>
      <c r="R543" s="5">
        <v>535.5</v>
      </c>
      <c r="S543" s="5">
        <v>96</v>
      </c>
      <c r="T543" s="5">
        <f t="shared" si="36"/>
        <v>10</v>
      </c>
    </row>
    <row r="544" spans="1:20">
      <c r="A544" s="1" t="s">
        <v>2091</v>
      </c>
      <c r="B544" s="1" t="s">
        <v>3198</v>
      </c>
      <c r="C544" s="4" t="s">
        <v>9</v>
      </c>
      <c r="D544" s="1" t="s">
        <v>1767</v>
      </c>
      <c r="E544" s="4" t="s">
        <v>2093</v>
      </c>
      <c r="F544" s="84">
        <v>107</v>
      </c>
      <c r="G544" s="84">
        <v>91</v>
      </c>
      <c r="H544" s="84">
        <v>122</v>
      </c>
      <c r="I544" s="84">
        <v>75</v>
      </c>
      <c r="J544" s="84">
        <v>70</v>
      </c>
      <c r="K544" s="84">
        <v>87</v>
      </c>
      <c r="L544" s="84">
        <v>88</v>
      </c>
      <c r="M544" s="84">
        <v>78</v>
      </c>
      <c r="N544" s="84">
        <v>72</v>
      </c>
      <c r="O544" s="5">
        <f t="shared" si="34"/>
        <v>552</v>
      </c>
      <c r="P544" s="6">
        <f t="shared" si="33"/>
        <v>20</v>
      </c>
      <c r="Q544" s="5">
        <f t="shared" si="35"/>
        <v>81</v>
      </c>
      <c r="R544" s="5">
        <v>557</v>
      </c>
      <c r="S544" s="5">
        <v>48</v>
      </c>
      <c r="T544" s="5">
        <f t="shared" si="36"/>
        <v>-33</v>
      </c>
    </row>
    <row r="545" spans="1:20">
      <c r="A545" s="1" t="s">
        <v>1933</v>
      </c>
      <c r="B545" s="1" t="s">
        <v>3198</v>
      </c>
      <c r="C545" s="4" t="s">
        <v>9</v>
      </c>
      <c r="D545" s="1" t="s">
        <v>1770</v>
      </c>
      <c r="E545" s="4" t="s">
        <v>1935</v>
      </c>
      <c r="F545" s="84">
        <v>104</v>
      </c>
      <c r="G545" s="84">
        <v>101</v>
      </c>
      <c r="H545" s="84">
        <v>87.5</v>
      </c>
      <c r="I545" s="84">
        <v>80</v>
      </c>
      <c r="J545" s="84">
        <v>71</v>
      </c>
      <c r="K545" s="84">
        <v>90</v>
      </c>
      <c r="L545" s="84">
        <v>72</v>
      </c>
      <c r="M545" s="84">
        <v>75</v>
      </c>
      <c r="N545" s="84">
        <v>71</v>
      </c>
      <c r="O545" s="5">
        <f t="shared" si="34"/>
        <v>533.5</v>
      </c>
      <c r="P545" s="6">
        <f t="shared" si="33"/>
        <v>33</v>
      </c>
      <c r="Q545" s="5">
        <f t="shared" si="35"/>
        <v>125</v>
      </c>
      <c r="R545" s="5">
        <v>548.5</v>
      </c>
      <c r="S545" s="5">
        <v>66</v>
      </c>
      <c r="T545" s="5">
        <f t="shared" si="36"/>
        <v>-59</v>
      </c>
    </row>
    <row r="546" spans="1:20">
      <c r="A546" s="1" t="s">
        <v>1769</v>
      </c>
      <c r="B546" s="1" t="s">
        <v>3198</v>
      </c>
      <c r="C546" s="4" t="s">
        <v>9</v>
      </c>
      <c r="D546" s="1" t="s">
        <v>3433</v>
      </c>
      <c r="E546" s="4" t="s">
        <v>1771</v>
      </c>
      <c r="F546" s="84">
        <v>120</v>
      </c>
      <c r="G546" s="84">
        <v>84</v>
      </c>
      <c r="H546" s="84">
        <v>98.5</v>
      </c>
      <c r="I546" s="84">
        <v>75</v>
      </c>
      <c r="J546" s="84">
        <v>83</v>
      </c>
      <c r="K546" s="84">
        <v>87</v>
      </c>
      <c r="L546" s="84">
        <v>70</v>
      </c>
      <c r="M546" s="84">
        <v>65</v>
      </c>
      <c r="N546" s="84">
        <v>63</v>
      </c>
      <c r="O546" s="5">
        <f t="shared" si="34"/>
        <v>547.5</v>
      </c>
      <c r="P546" s="6">
        <f t="shared" si="33"/>
        <v>25</v>
      </c>
      <c r="Q546" s="5">
        <f t="shared" si="35"/>
        <v>90</v>
      </c>
      <c r="R546" s="5">
        <v>517</v>
      </c>
      <c r="S546" s="5">
        <v>146</v>
      </c>
      <c r="T546" s="5">
        <f t="shared" si="36"/>
        <v>56</v>
      </c>
    </row>
    <row r="547" spans="1:20">
      <c r="A547" s="1" t="s">
        <v>1774</v>
      </c>
      <c r="B547" s="1" t="s">
        <v>3198</v>
      </c>
      <c r="C547" s="4" t="s">
        <v>34</v>
      </c>
      <c r="D547" s="1" t="s">
        <v>1775</v>
      </c>
      <c r="E547" s="4" t="s">
        <v>1776</v>
      </c>
      <c r="F547" s="84">
        <v>94</v>
      </c>
      <c r="G547" s="84">
        <v>102</v>
      </c>
      <c r="H547" s="84">
        <v>69</v>
      </c>
      <c r="I547" s="84">
        <v>68</v>
      </c>
      <c r="J547" s="84">
        <v>54</v>
      </c>
      <c r="K547" s="84">
        <v>73</v>
      </c>
      <c r="L547" s="84">
        <v>56</v>
      </c>
      <c r="M547" s="84">
        <v>61</v>
      </c>
      <c r="N547" s="84">
        <v>46</v>
      </c>
      <c r="O547" s="5">
        <f t="shared" si="34"/>
        <v>460</v>
      </c>
      <c r="P547" s="6">
        <f>RANK(O547,$O$547:$O$601)</f>
        <v>24</v>
      </c>
      <c r="Q547" s="5">
        <f t="shared" si="35"/>
        <v>457</v>
      </c>
      <c r="R547" s="5">
        <v>443</v>
      </c>
      <c r="S547" s="5">
        <v>513</v>
      </c>
      <c r="T547" s="5">
        <f t="shared" si="36"/>
        <v>56</v>
      </c>
    </row>
    <row r="548" spans="1:20">
      <c r="A548" s="1" t="s">
        <v>1777</v>
      </c>
      <c r="B548" s="1" t="s">
        <v>3198</v>
      </c>
      <c r="C548" s="4" t="s">
        <v>34</v>
      </c>
      <c r="D548" s="1" t="s">
        <v>1778</v>
      </c>
      <c r="E548" s="4" t="s">
        <v>1779</v>
      </c>
      <c r="F548" s="84">
        <v>95</v>
      </c>
      <c r="G548" s="84">
        <v>79</v>
      </c>
      <c r="H548" s="84">
        <v>87</v>
      </c>
      <c r="I548" s="84">
        <v>70</v>
      </c>
      <c r="J548" s="84">
        <v>40</v>
      </c>
      <c r="K548" s="84">
        <v>60</v>
      </c>
      <c r="L548" s="84">
        <v>74</v>
      </c>
      <c r="M548" s="84">
        <v>58</v>
      </c>
      <c r="N548" s="84">
        <v>52</v>
      </c>
      <c r="O548" s="5">
        <f t="shared" si="34"/>
        <v>431</v>
      </c>
      <c r="P548" s="6">
        <f t="shared" ref="P548:P601" si="37">RANK(O548,$O$547:$O$601)</f>
        <v>34</v>
      </c>
      <c r="Q548" s="5">
        <f t="shared" si="35"/>
        <v>616</v>
      </c>
      <c r="R548" s="5">
        <v>386</v>
      </c>
      <c r="S548" s="5">
        <v>782</v>
      </c>
      <c r="T548" s="5">
        <f t="shared" si="36"/>
        <v>166</v>
      </c>
    </row>
    <row r="549" spans="1:20">
      <c r="A549" s="1" t="s">
        <v>1780</v>
      </c>
      <c r="B549" s="1" t="s">
        <v>3198</v>
      </c>
      <c r="C549" s="4" t="s">
        <v>34</v>
      </c>
      <c r="D549" s="1" t="s">
        <v>1781</v>
      </c>
      <c r="E549" s="4" t="s">
        <v>201</v>
      </c>
      <c r="F549" s="84">
        <v>115</v>
      </c>
      <c r="G549" s="84">
        <v>78</v>
      </c>
      <c r="H549" s="84">
        <v>93.5</v>
      </c>
      <c r="I549" s="84">
        <v>76</v>
      </c>
      <c r="J549" s="84">
        <v>63</v>
      </c>
      <c r="K549" s="84">
        <v>86</v>
      </c>
      <c r="L549" s="84">
        <v>64</v>
      </c>
      <c r="M549" s="84">
        <v>75</v>
      </c>
      <c r="N549" s="84">
        <v>64</v>
      </c>
      <c r="O549" s="5">
        <f t="shared" si="34"/>
        <v>511.5</v>
      </c>
      <c r="P549" s="6">
        <f t="shared" si="37"/>
        <v>6</v>
      </c>
      <c r="Q549" s="5">
        <f t="shared" si="35"/>
        <v>201</v>
      </c>
      <c r="R549" s="5">
        <v>471</v>
      </c>
      <c r="S549" s="5">
        <v>359</v>
      </c>
      <c r="T549" s="5">
        <f t="shared" si="36"/>
        <v>158</v>
      </c>
    </row>
    <row r="550" spans="1:20">
      <c r="A550" s="1" t="s">
        <v>1782</v>
      </c>
      <c r="B550" s="1" t="s">
        <v>3198</v>
      </c>
      <c r="C550" s="4" t="s">
        <v>34</v>
      </c>
      <c r="D550" s="1" t="s">
        <v>1783</v>
      </c>
      <c r="E550" s="4" t="s">
        <v>1784</v>
      </c>
      <c r="F550" s="84">
        <v>99</v>
      </c>
      <c r="G550" s="84">
        <v>63</v>
      </c>
      <c r="H550" s="84">
        <v>102.5</v>
      </c>
      <c r="I550" s="84">
        <v>75</v>
      </c>
      <c r="J550" s="84">
        <v>67</v>
      </c>
      <c r="K550" s="84">
        <v>75</v>
      </c>
      <c r="L550" s="84">
        <v>67</v>
      </c>
      <c r="M550" s="84">
        <v>64</v>
      </c>
      <c r="N550" s="84">
        <v>55</v>
      </c>
      <c r="O550" s="5">
        <f t="shared" si="34"/>
        <v>481.5</v>
      </c>
      <c r="P550" s="6">
        <f t="shared" si="37"/>
        <v>14</v>
      </c>
      <c r="Q550" s="5">
        <f t="shared" si="35"/>
        <v>329</v>
      </c>
      <c r="R550" s="5">
        <v>509</v>
      </c>
      <c r="S550" s="5">
        <v>172</v>
      </c>
      <c r="T550" s="5">
        <f t="shared" si="36"/>
        <v>-157</v>
      </c>
    </row>
    <row r="551" spans="1:20">
      <c r="A551" s="1" t="s">
        <v>1785</v>
      </c>
      <c r="B551" s="1" t="s">
        <v>3198</v>
      </c>
      <c r="C551" s="4" t="s">
        <v>34</v>
      </c>
      <c r="D551" s="1" t="s">
        <v>1786</v>
      </c>
      <c r="E551" s="4" t="s">
        <v>1787</v>
      </c>
      <c r="F551" s="84">
        <v>99</v>
      </c>
      <c r="G551" s="84">
        <v>60</v>
      </c>
      <c r="H551" s="84">
        <v>58</v>
      </c>
      <c r="I551" s="84">
        <v>51</v>
      </c>
      <c r="J551" s="84">
        <v>49</v>
      </c>
      <c r="K551" s="84">
        <v>57</v>
      </c>
      <c r="L551" s="84">
        <v>71</v>
      </c>
      <c r="M551" s="84">
        <v>74</v>
      </c>
      <c r="N551" s="84">
        <v>49</v>
      </c>
      <c r="O551" s="5">
        <f t="shared" si="34"/>
        <v>374</v>
      </c>
      <c r="P551" s="6">
        <f t="shared" si="37"/>
        <v>52</v>
      </c>
      <c r="Q551" s="5">
        <f t="shared" si="35"/>
        <v>850</v>
      </c>
      <c r="R551" s="5">
        <v>391.5</v>
      </c>
      <c r="S551" s="5">
        <v>763</v>
      </c>
      <c r="T551" s="5">
        <f t="shared" si="36"/>
        <v>-87</v>
      </c>
    </row>
    <row r="552" spans="1:20">
      <c r="A552" s="1" t="s">
        <v>1788</v>
      </c>
      <c r="B552" s="1" t="s">
        <v>3198</v>
      </c>
      <c r="C552" s="4" t="s">
        <v>34</v>
      </c>
      <c r="D552" s="1" t="s">
        <v>1789</v>
      </c>
      <c r="E552" s="4" t="s">
        <v>1790</v>
      </c>
      <c r="F552" s="84">
        <v>103</v>
      </c>
      <c r="G552" s="84">
        <v>87</v>
      </c>
      <c r="H552" s="84">
        <v>110</v>
      </c>
      <c r="I552" s="84">
        <v>78</v>
      </c>
      <c r="J552" s="84">
        <v>70</v>
      </c>
      <c r="K552" s="84">
        <v>70</v>
      </c>
      <c r="L552" s="84">
        <v>69</v>
      </c>
      <c r="M552" s="84">
        <v>54</v>
      </c>
      <c r="N552" s="84">
        <v>46</v>
      </c>
      <c r="O552" s="5">
        <f t="shared" si="34"/>
        <v>518</v>
      </c>
      <c r="P552" s="6">
        <f t="shared" si="37"/>
        <v>4</v>
      </c>
      <c r="Q552" s="5">
        <f t="shared" si="35"/>
        <v>174</v>
      </c>
      <c r="R552" s="5">
        <v>504.5</v>
      </c>
      <c r="S552" s="5">
        <v>189</v>
      </c>
      <c r="T552" s="5">
        <f t="shared" si="36"/>
        <v>15</v>
      </c>
    </row>
    <row r="553" spans="1:20">
      <c r="A553" s="1" t="s">
        <v>1791</v>
      </c>
      <c r="B553" s="1" t="s">
        <v>3198</v>
      </c>
      <c r="C553" s="4" t="s">
        <v>34</v>
      </c>
      <c r="D553" s="1" t="s">
        <v>1792</v>
      </c>
      <c r="E553" s="4" t="s">
        <v>1793</v>
      </c>
      <c r="F553" s="84">
        <v>114</v>
      </c>
      <c r="G553" s="84">
        <v>89</v>
      </c>
      <c r="H553" s="84">
        <v>115.5</v>
      </c>
      <c r="I553" s="84">
        <v>80</v>
      </c>
      <c r="J553" s="84">
        <v>63</v>
      </c>
      <c r="K553" s="84">
        <v>79</v>
      </c>
      <c r="L553" s="84">
        <v>75</v>
      </c>
      <c r="M553" s="84">
        <v>69</v>
      </c>
      <c r="N553" s="84">
        <v>56</v>
      </c>
      <c r="O553" s="5">
        <f t="shared" si="34"/>
        <v>540.5</v>
      </c>
      <c r="P553" s="6">
        <f t="shared" si="37"/>
        <v>1</v>
      </c>
      <c r="Q553" s="5">
        <f t="shared" si="35"/>
        <v>101</v>
      </c>
      <c r="R553" s="5">
        <v>523.5</v>
      </c>
      <c r="S553" s="5">
        <v>126</v>
      </c>
      <c r="T553" s="5">
        <f t="shared" si="36"/>
        <v>25</v>
      </c>
    </row>
    <row r="554" spans="1:20">
      <c r="A554" s="1" t="s">
        <v>1794</v>
      </c>
      <c r="B554" s="1" t="s">
        <v>3198</v>
      </c>
      <c r="C554" s="4" t="s">
        <v>34</v>
      </c>
      <c r="D554" s="1" t="s">
        <v>1795</v>
      </c>
      <c r="E554" s="4" t="s">
        <v>1796</v>
      </c>
      <c r="F554" s="84">
        <v>111</v>
      </c>
      <c r="G554" s="84">
        <v>75</v>
      </c>
      <c r="H554" s="84">
        <v>91</v>
      </c>
      <c r="I554" s="84">
        <v>56</v>
      </c>
      <c r="J554" s="84">
        <v>48</v>
      </c>
      <c r="K554" s="84">
        <v>74</v>
      </c>
      <c r="L554" s="84">
        <v>68</v>
      </c>
      <c r="M554" s="84">
        <v>65</v>
      </c>
      <c r="N554" s="84">
        <v>48</v>
      </c>
      <c r="O554" s="5">
        <f t="shared" si="34"/>
        <v>455</v>
      </c>
      <c r="P554" s="6">
        <f t="shared" si="37"/>
        <v>25</v>
      </c>
      <c r="Q554" s="5">
        <f t="shared" si="35"/>
        <v>483</v>
      </c>
      <c r="R554" s="5">
        <v>417.5</v>
      </c>
      <c r="S554" s="5">
        <v>653</v>
      </c>
      <c r="T554" s="5">
        <f t="shared" si="36"/>
        <v>170</v>
      </c>
    </row>
    <row r="555" spans="1:20">
      <c r="A555" s="1" t="s">
        <v>1797</v>
      </c>
      <c r="B555" s="1" t="s">
        <v>3198</v>
      </c>
      <c r="C555" s="4" t="s">
        <v>34</v>
      </c>
      <c r="D555" s="1" t="s">
        <v>1798</v>
      </c>
      <c r="E555" s="4" t="s">
        <v>1799</v>
      </c>
      <c r="F555" s="84">
        <v>88</v>
      </c>
      <c r="G555" s="84">
        <v>64</v>
      </c>
      <c r="H555" s="84">
        <v>70.5</v>
      </c>
      <c r="I555" s="84">
        <v>63</v>
      </c>
      <c r="J555" s="84">
        <v>50</v>
      </c>
      <c r="K555" s="84">
        <v>66</v>
      </c>
      <c r="L555" s="84">
        <v>56</v>
      </c>
      <c r="M555" s="84">
        <v>58</v>
      </c>
      <c r="N555" s="84">
        <v>35</v>
      </c>
      <c r="O555" s="5">
        <f t="shared" si="34"/>
        <v>401.5</v>
      </c>
      <c r="P555" s="6">
        <f t="shared" si="37"/>
        <v>48</v>
      </c>
      <c r="Q555" s="5">
        <f t="shared" si="35"/>
        <v>763</v>
      </c>
      <c r="R555" s="5">
        <v>399</v>
      </c>
      <c r="S555" s="5">
        <v>736</v>
      </c>
      <c r="T555" s="5">
        <f t="shared" si="36"/>
        <v>-27</v>
      </c>
    </row>
    <row r="556" spans="1:20">
      <c r="A556" s="1" t="s">
        <v>1800</v>
      </c>
      <c r="B556" s="1" t="s">
        <v>3198</v>
      </c>
      <c r="C556" s="4" t="s">
        <v>34</v>
      </c>
      <c r="D556" s="1" t="s">
        <v>1801</v>
      </c>
      <c r="E556" s="4" t="s">
        <v>1802</v>
      </c>
      <c r="F556" s="84">
        <v>99</v>
      </c>
      <c r="G556" s="84">
        <v>72</v>
      </c>
      <c r="H556" s="84">
        <v>88.5</v>
      </c>
      <c r="I556" s="84">
        <v>80</v>
      </c>
      <c r="J556" s="84">
        <v>59</v>
      </c>
      <c r="K556" s="84">
        <v>63</v>
      </c>
      <c r="L556" s="84">
        <v>76</v>
      </c>
      <c r="M556" s="84">
        <v>63</v>
      </c>
      <c r="N556" s="84">
        <v>51</v>
      </c>
      <c r="O556" s="5">
        <f t="shared" si="34"/>
        <v>461.5</v>
      </c>
      <c r="P556" s="6">
        <f t="shared" si="37"/>
        <v>22</v>
      </c>
      <c r="Q556" s="5">
        <f t="shared" si="35"/>
        <v>448</v>
      </c>
      <c r="R556" s="5">
        <v>465.5</v>
      </c>
      <c r="S556" s="5">
        <v>388</v>
      </c>
      <c r="T556" s="5">
        <f t="shared" si="36"/>
        <v>-60</v>
      </c>
    </row>
    <row r="557" spans="1:20">
      <c r="A557" s="1" t="s">
        <v>1803</v>
      </c>
      <c r="B557" s="1" t="s">
        <v>3198</v>
      </c>
      <c r="C557" s="4" t="s">
        <v>34</v>
      </c>
      <c r="D557" s="1" t="s">
        <v>1804</v>
      </c>
      <c r="E557" s="4" t="s">
        <v>1805</v>
      </c>
      <c r="F557" s="84">
        <v>92</v>
      </c>
      <c r="G557" s="84">
        <v>81</v>
      </c>
      <c r="H557" s="84">
        <v>86</v>
      </c>
      <c r="I557" s="84">
        <v>59</v>
      </c>
      <c r="J557" s="84">
        <v>44</v>
      </c>
      <c r="K557" s="84">
        <v>55</v>
      </c>
      <c r="L557" s="84">
        <v>67</v>
      </c>
      <c r="M557" s="84">
        <v>66</v>
      </c>
      <c r="N557" s="84">
        <v>42</v>
      </c>
      <c r="O557" s="5">
        <f t="shared" si="34"/>
        <v>417</v>
      </c>
      <c r="P557" s="6">
        <f t="shared" si="37"/>
        <v>40</v>
      </c>
      <c r="Q557" s="5">
        <f t="shared" si="35"/>
        <v>685</v>
      </c>
      <c r="R557" s="5">
        <v>402.5</v>
      </c>
      <c r="S557" s="5">
        <v>720</v>
      </c>
      <c r="T557" s="5">
        <f t="shared" si="36"/>
        <v>35</v>
      </c>
    </row>
    <row r="558" spans="1:20">
      <c r="A558" s="1" t="s">
        <v>1806</v>
      </c>
      <c r="B558" s="1" t="s">
        <v>3198</v>
      </c>
      <c r="C558" s="4" t="s">
        <v>34</v>
      </c>
      <c r="D558" s="1" t="s">
        <v>1807</v>
      </c>
      <c r="E558" s="4" t="s">
        <v>1808</v>
      </c>
      <c r="F558" s="84">
        <v>106</v>
      </c>
      <c r="G558" s="84">
        <v>92</v>
      </c>
      <c r="H558" s="84">
        <v>89</v>
      </c>
      <c r="I558" s="84">
        <v>74</v>
      </c>
      <c r="J558" s="84">
        <v>66</v>
      </c>
      <c r="K558" s="84">
        <v>81</v>
      </c>
      <c r="L558" s="84">
        <v>71</v>
      </c>
      <c r="M558" s="84">
        <v>75</v>
      </c>
      <c r="N558" s="84">
        <v>50</v>
      </c>
      <c r="O558" s="5">
        <f t="shared" si="34"/>
        <v>508</v>
      </c>
      <c r="P558" s="6">
        <f t="shared" si="37"/>
        <v>9</v>
      </c>
      <c r="Q558" s="5">
        <f t="shared" si="35"/>
        <v>213</v>
      </c>
      <c r="R558" s="5">
        <v>502</v>
      </c>
      <c r="S558" s="5">
        <v>199</v>
      </c>
      <c r="T558" s="5">
        <f t="shared" si="36"/>
        <v>-14</v>
      </c>
    </row>
    <row r="559" spans="1:20">
      <c r="A559" s="1" t="s">
        <v>1809</v>
      </c>
      <c r="B559" s="1" t="s">
        <v>3198</v>
      </c>
      <c r="C559" s="4" t="s">
        <v>34</v>
      </c>
      <c r="D559" s="1" t="s">
        <v>1810</v>
      </c>
      <c r="E559" s="4" t="s">
        <v>1811</v>
      </c>
      <c r="F559" s="84">
        <v>103</v>
      </c>
      <c r="G559" s="84">
        <v>76</v>
      </c>
      <c r="H559" s="84">
        <v>65.5</v>
      </c>
      <c r="I559" s="84">
        <v>59</v>
      </c>
      <c r="J559" s="84">
        <v>51</v>
      </c>
      <c r="K559" s="84">
        <v>71</v>
      </c>
      <c r="L559" s="84">
        <v>80</v>
      </c>
      <c r="M559" s="84">
        <v>72</v>
      </c>
      <c r="N559" s="84">
        <v>65</v>
      </c>
      <c r="O559" s="5">
        <f t="shared" si="34"/>
        <v>425.5</v>
      </c>
      <c r="P559" s="6">
        <f t="shared" si="37"/>
        <v>36</v>
      </c>
      <c r="Q559" s="5">
        <f t="shared" si="35"/>
        <v>644</v>
      </c>
      <c r="R559" s="5">
        <v>450.5</v>
      </c>
      <c r="S559" s="5">
        <v>462</v>
      </c>
      <c r="T559" s="5">
        <f t="shared" si="36"/>
        <v>-182</v>
      </c>
    </row>
    <row r="560" spans="1:20">
      <c r="A560" s="1" t="s">
        <v>1812</v>
      </c>
      <c r="B560" s="1" t="s">
        <v>3198</v>
      </c>
      <c r="C560" s="4" t="s">
        <v>34</v>
      </c>
      <c r="D560" s="1" t="s">
        <v>1813</v>
      </c>
      <c r="E560" s="4" t="s">
        <v>1814</v>
      </c>
      <c r="F560" s="84">
        <v>106</v>
      </c>
      <c r="G560" s="84">
        <v>80</v>
      </c>
      <c r="H560" s="84">
        <v>112.5</v>
      </c>
      <c r="I560" s="84">
        <v>71</v>
      </c>
      <c r="J560" s="84">
        <v>66</v>
      </c>
      <c r="K560" s="84">
        <v>75</v>
      </c>
      <c r="L560" s="84">
        <v>84</v>
      </c>
      <c r="M560" s="84">
        <v>64</v>
      </c>
      <c r="N560" s="84">
        <v>43</v>
      </c>
      <c r="O560" s="5">
        <f t="shared" si="34"/>
        <v>510.5</v>
      </c>
      <c r="P560" s="6">
        <f t="shared" si="37"/>
        <v>7</v>
      </c>
      <c r="Q560" s="5">
        <f t="shared" si="35"/>
        <v>203</v>
      </c>
      <c r="R560" s="5">
        <v>452.5</v>
      </c>
      <c r="S560" s="5">
        <v>453</v>
      </c>
      <c r="T560" s="5">
        <f t="shared" si="36"/>
        <v>250</v>
      </c>
    </row>
    <row r="561" spans="1:20">
      <c r="A561" s="1" t="s">
        <v>1815</v>
      </c>
      <c r="B561" s="1" t="s">
        <v>3198</v>
      </c>
      <c r="C561" s="4" t="s">
        <v>34</v>
      </c>
      <c r="D561" s="1" t="s">
        <v>1816</v>
      </c>
      <c r="E561" s="4" t="s">
        <v>1817</v>
      </c>
      <c r="F561" s="84">
        <v>116</v>
      </c>
      <c r="G561" s="84">
        <v>72</v>
      </c>
      <c r="H561" s="84">
        <v>103</v>
      </c>
      <c r="I561" s="84">
        <v>66</v>
      </c>
      <c r="J561" s="84">
        <v>58</v>
      </c>
      <c r="K561" s="84">
        <v>63</v>
      </c>
      <c r="L561" s="84">
        <v>79</v>
      </c>
      <c r="M561" s="84">
        <v>68</v>
      </c>
      <c r="N561" s="84">
        <v>53</v>
      </c>
      <c r="O561" s="5">
        <f t="shared" si="34"/>
        <v>478</v>
      </c>
      <c r="P561" s="6">
        <f t="shared" si="37"/>
        <v>16</v>
      </c>
      <c r="Q561" s="5">
        <f t="shared" si="35"/>
        <v>351</v>
      </c>
      <c r="R561" s="5">
        <v>517</v>
      </c>
      <c r="S561" s="5">
        <v>146</v>
      </c>
      <c r="T561" s="5">
        <f t="shared" si="36"/>
        <v>-205</v>
      </c>
    </row>
    <row r="562" spans="1:20">
      <c r="A562" s="1" t="s">
        <v>1818</v>
      </c>
      <c r="B562" s="1" t="s">
        <v>3198</v>
      </c>
      <c r="C562" s="4" t="s">
        <v>34</v>
      </c>
      <c r="D562" s="1" t="s">
        <v>1819</v>
      </c>
      <c r="E562" s="4" t="s">
        <v>1820</v>
      </c>
      <c r="F562" s="84">
        <v>101</v>
      </c>
      <c r="G562" s="84">
        <v>87</v>
      </c>
      <c r="H562" s="84">
        <v>89</v>
      </c>
      <c r="I562" s="84">
        <v>74</v>
      </c>
      <c r="J562" s="84">
        <v>61</v>
      </c>
      <c r="K562" s="84">
        <v>53</v>
      </c>
      <c r="L562" s="84">
        <v>69</v>
      </c>
      <c r="M562" s="84">
        <v>57</v>
      </c>
      <c r="N562" s="84">
        <v>48</v>
      </c>
      <c r="O562" s="5">
        <f t="shared" si="34"/>
        <v>465</v>
      </c>
      <c r="P562" s="6">
        <f t="shared" si="37"/>
        <v>20</v>
      </c>
      <c r="Q562" s="5">
        <f t="shared" si="35"/>
        <v>422</v>
      </c>
      <c r="R562" s="5">
        <v>422</v>
      </c>
      <c r="S562" s="5">
        <v>625</v>
      </c>
      <c r="T562" s="5">
        <f t="shared" si="36"/>
        <v>203</v>
      </c>
    </row>
    <row r="563" spans="1:20">
      <c r="A563" s="1" t="s">
        <v>1821</v>
      </c>
      <c r="B563" s="1" t="s">
        <v>3198</v>
      </c>
      <c r="C563" s="4" t="s">
        <v>34</v>
      </c>
      <c r="D563" s="1" t="s">
        <v>1822</v>
      </c>
      <c r="E563" s="4" t="s">
        <v>1823</v>
      </c>
      <c r="F563" s="84">
        <v>110</v>
      </c>
      <c r="G563" s="84">
        <v>55</v>
      </c>
      <c r="H563" s="84">
        <v>94</v>
      </c>
      <c r="I563" s="84">
        <v>77</v>
      </c>
      <c r="J563" s="84">
        <v>59</v>
      </c>
      <c r="K563" s="84">
        <v>74</v>
      </c>
      <c r="L563" s="84">
        <v>83</v>
      </c>
      <c r="M563" s="84">
        <v>76</v>
      </c>
      <c r="N563" s="84">
        <v>50</v>
      </c>
      <c r="O563" s="5">
        <f t="shared" si="34"/>
        <v>469</v>
      </c>
      <c r="P563" s="6">
        <f t="shared" si="37"/>
        <v>19</v>
      </c>
      <c r="Q563" s="5">
        <f t="shared" si="35"/>
        <v>397</v>
      </c>
      <c r="R563" s="5">
        <v>425</v>
      </c>
      <c r="S563" s="5">
        <v>607</v>
      </c>
      <c r="T563" s="5">
        <f t="shared" si="36"/>
        <v>210</v>
      </c>
    </row>
    <row r="564" spans="1:20">
      <c r="A564" s="1" t="s">
        <v>1824</v>
      </c>
      <c r="B564" s="1" t="s">
        <v>3198</v>
      </c>
      <c r="C564" s="4" t="s">
        <v>34</v>
      </c>
      <c r="D564" s="1" t="s">
        <v>1825</v>
      </c>
      <c r="E564" s="4" t="s">
        <v>1826</v>
      </c>
      <c r="F564" s="84">
        <v>86</v>
      </c>
      <c r="G564" s="84">
        <v>61</v>
      </c>
      <c r="H564" s="84">
        <v>46</v>
      </c>
      <c r="I564" s="84">
        <v>42</v>
      </c>
      <c r="J564" s="84">
        <v>32</v>
      </c>
      <c r="K564" s="84">
        <v>52</v>
      </c>
      <c r="L564" s="84">
        <v>66</v>
      </c>
      <c r="M564" s="84">
        <v>63</v>
      </c>
      <c r="N564" s="84">
        <v>59</v>
      </c>
      <c r="O564" s="5">
        <f t="shared" si="34"/>
        <v>319</v>
      </c>
      <c r="P564" s="6">
        <f t="shared" si="37"/>
        <v>55</v>
      </c>
      <c r="Q564" s="5">
        <f t="shared" si="35"/>
        <v>919</v>
      </c>
      <c r="R564" s="5">
        <v>313</v>
      </c>
      <c r="S564" s="5">
        <v>920</v>
      </c>
      <c r="T564" s="5">
        <f t="shared" si="36"/>
        <v>1</v>
      </c>
    </row>
    <row r="565" spans="1:20">
      <c r="A565" s="1" t="s">
        <v>1827</v>
      </c>
      <c r="B565" s="1" t="s">
        <v>3198</v>
      </c>
      <c r="C565" s="4" t="s">
        <v>34</v>
      </c>
      <c r="D565" s="1" t="s">
        <v>1828</v>
      </c>
      <c r="E565" s="4" t="s">
        <v>1829</v>
      </c>
      <c r="F565" s="84">
        <v>102</v>
      </c>
      <c r="G565" s="84">
        <v>69</v>
      </c>
      <c r="H565" s="84">
        <v>77.5</v>
      </c>
      <c r="I565" s="84">
        <v>68</v>
      </c>
      <c r="J565" s="84">
        <v>53</v>
      </c>
      <c r="K565" s="84">
        <v>91</v>
      </c>
      <c r="L565" s="84">
        <v>84</v>
      </c>
      <c r="M565" s="84">
        <v>74</v>
      </c>
      <c r="N565" s="84">
        <v>60</v>
      </c>
      <c r="O565" s="5">
        <f t="shared" si="34"/>
        <v>460.5</v>
      </c>
      <c r="P565" s="6">
        <f t="shared" si="37"/>
        <v>23</v>
      </c>
      <c r="Q565" s="5">
        <f t="shared" si="35"/>
        <v>453</v>
      </c>
      <c r="R565" s="5">
        <v>469.5</v>
      </c>
      <c r="S565" s="5">
        <v>368</v>
      </c>
      <c r="T565" s="5">
        <f t="shared" si="36"/>
        <v>-85</v>
      </c>
    </row>
    <row r="566" spans="1:20">
      <c r="A566" s="1" t="s">
        <v>1830</v>
      </c>
      <c r="B566" s="1" t="s">
        <v>3198</v>
      </c>
      <c r="C566" s="4" t="s">
        <v>34</v>
      </c>
      <c r="D566" s="1" t="s">
        <v>1831</v>
      </c>
      <c r="E566" s="4" t="s">
        <v>1832</v>
      </c>
      <c r="F566" s="84">
        <v>105</v>
      </c>
      <c r="G566" s="84">
        <v>52</v>
      </c>
      <c r="H566" s="84">
        <v>90</v>
      </c>
      <c r="I566" s="84">
        <v>65</v>
      </c>
      <c r="J566" s="84">
        <v>54</v>
      </c>
      <c r="K566" s="84">
        <v>72</v>
      </c>
      <c r="L566" s="84">
        <v>58</v>
      </c>
      <c r="M566" s="84">
        <v>77</v>
      </c>
      <c r="N566" s="84">
        <v>48</v>
      </c>
      <c r="O566" s="5">
        <f t="shared" si="34"/>
        <v>438</v>
      </c>
      <c r="P566" s="6">
        <f t="shared" si="37"/>
        <v>33</v>
      </c>
      <c r="Q566" s="5">
        <f t="shared" si="35"/>
        <v>579</v>
      </c>
      <c r="R566" s="5">
        <v>407</v>
      </c>
      <c r="S566" s="5">
        <v>695</v>
      </c>
      <c r="T566" s="5">
        <f t="shared" si="36"/>
        <v>116</v>
      </c>
    </row>
    <row r="567" spans="1:20">
      <c r="A567" s="1" t="s">
        <v>1833</v>
      </c>
      <c r="B567" s="1" t="s">
        <v>3198</v>
      </c>
      <c r="C567" s="4" t="s">
        <v>34</v>
      </c>
      <c r="D567" s="1" t="s">
        <v>1834</v>
      </c>
      <c r="E567" s="4" t="s">
        <v>1835</v>
      </c>
      <c r="F567" s="84">
        <v>97</v>
      </c>
      <c r="G567" s="84">
        <v>62</v>
      </c>
      <c r="H567" s="84">
        <v>101.5</v>
      </c>
      <c r="I567" s="84">
        <v>68</v>
      </c>
      <c r="J567" s="84">
        <v>42</v>
      </c>
      <c r="K567" s="84">
        <v>69</v>
      </c>
      <c r="L567" s="84">
        <v>83</v>
      </c>
      <c r="M567" s="84">
        <v>77</v>
      </c>
      <c r="N567" s="84">
        <v>70</v>
      </c>
      <c r="O567" s="5">
        <f t="shared" si="34"/>
        <v>439.5</v>
      </c>
      <c r="P567" s="6">
        <f t="shared" si="37"/>
        <v>32</v>
      </c>
      <c r="Q567" s="5">
        <f t="shared" si="35"/>
        <v>572</v>
      </c>
      <c r="R567" s="5">
        <v>445</v>
      </c>
      <c r="S567" s="5">
        <v>498</v>
      </c>
      <c r="T567" s="5">
        <f t="shared" si="36"/>
        <v>-74</v>
      </c>
    </row>
    <row r="568" spans="1:20">
      <c r="A568" s="1" t="s">
        <v>1836</v>
      </c>
      <c r="B568" s="1" t="s">
        <v>3198</v>
      </c>
      <c r="C568" s="4" t="s">
        <v>34</v>
      </c>
      <c r="D568" s="1" t="s">
        <v>1837</v>
      </c>
      <c r="E568" s="4" t="s">
        <v>1838</v>
      </c>
      <c r="F568" s="84">
        <v>93</v>
      </c>
      <c r="G568" s="84">
        <v>77</v>
      </c>
      <c r="H568" s="84">
        <v>82</v>
      </c>
      <c r="I568" s="84">
        <v>42</v>
      </c>
      <c r="J568" s="84">
        <v>50</v>
      </c>
      <c r="K568" s="84">
        <v>58</v>
      </c>
      <c r="L568" s="84">
        <v>66</v>
      </c>
      <c r="M568" s="84">
        <v>74</v>
      </c>
      <c r="N568" s="84">
        <v>47</v>
      </c>
      <c r="O568" s="5">
        <f t="shared" si="34"/>
        <v>402</v>
      </c>
      <c r="P568" s="6">
        <f t="shared" si="37"/>
        <v>47</v>
      </c>
      <c r="Q568" s="5">
        <f t="shared" si="35"/>
        <v>760</v>
      </c>
      <c r="R568" s="5">
        <v>421</v>
      </c>
      <c r="S568" s="5">
        <v>635</v>
      </c>
      <c r="T568" s="5">
        <f t="shared" si="36"/>
        <v>-125</v>
      </c>
    </row>
    <row r="569" spans="1:20">
      <c r="A569" s="1" t="s">
        <v>1839</v>
      </c>
      <c r="B569" s="1" t="s">
        <v>3198</v>
      </c>
      <c r="C569" s="4" t="s">
        <v>34</v>
      </c>
      <c r="D569" s="1" t="s">
        <v>1840</v>
      </c>
      <c r="E569" s="4" t="s">
        <v>1841</v>
      </c>
      <c r="F569" s="84">
        <v>96</v>
      </c>
      <c r="G569" s="84">
        <v>62</v>
      </c>
      <c r="H569" s="84">
        <v>91</v>
      </c>
      <c r="I569" s="84">
        <v>49</v>
      </c>
      <c r="J569" s="84">
        <v>29</v>
      </c>
      <c r="K569" s="84">
        <v>64</v>
      </c>
      <c r="L569" s="84">
        <v>71</v>
      </c>
      <c r="M569" s="84">
        <v>68</v>
      </c>
      <c r="N569" s="84">
        <v>39</v>
      </c>
      <c r="O569" s="5">
        <f t="shared" si="34"/>
        <v>391</v>
      </c>
      <c r="P569" s="6">
        <f t="shared" si="37"/>
        <v>50</v>
      </c>
      <c r="Q569" s="5">
        <f t="shared" si="35"/>
        <v>797</v>
      </c>
      <c r="R569" s="5">
        <v>384.5</v>
      </c>
      <c r="S569" s="5">
        <v>790</v>
      </c>
      <c r="T569" s="5">
        <f t="shared" si="36"/>
        <v>-7</v>
      </c>
    </row>
    <row r="570" spans="1:20">
      <c r="A570" s="1" t="s">
        <v>1842</v>
      </c>
      <c r="B570" s="1" t="s">
        <v>3198</v>
      </c>
      <c r="C570" s="4" t="s">
        <v>34</v>
      </c>
      <c r="D570" s="1" t="s">
        <v>1843</v>
      </c>
      <c r="E570" s="4" t="s">
        <v>1844</v>
      </c>
      <c r="F570" s="84">
        <v>100</v>
      </c>
      <c r="G570" s="84">
        <v>104</v>
      </c>
      <c r="H570" s="84">
        <v>83</v>
      </c>
      <c r="I570" s="84">
        <v>81</v>
      </c>
      <c r="J570" s="84">
        <v>71</v>
      </c>
      <c r="K570" s="84">
        <v>77</v>
      </c>
      <c r="L570" s="84">
        <v>70</v>
      </c>
      <c r="M570" s="84">
        <v>64</v>
      </c>
      <c r="N570" s="84">
        <v>46</v>
      </c>
      <c r="O570" s="5">
        <f t="shared" si="34"/>
        <v>516</v>
      </c>
      <c r="P570" s="6">
        <f t="shared" si="37"/>
        <v>5</v>
      </c>
      <c r="Q570" s="5">
        <f t="shared" si="35"/>
        <v>180</v>
      </c>
      <c r="R570" s="5">
        <v>464.5</v>
      </c>
      <c r="S570" s="5">
        <v>392</v>
      </c>
      <c r="T570" s="5">
        <f t="shared" si="36"/>
        <v>212</v>
      </c>
    </row>
    <row r="571" spans="1:20">
      <c r="A571" s="1" t="s">
        <v>1845</v>
      </c>
      <c r="B571" s="1" t="s">
        <v>3198</v>
      </c>
      <c r="C571" s="4" t="s">
        <v>34</v>
      </c>
      <c r="D571" s="1" t="s">
        <v>1846</v>
      </c>
      <c r="E571" s="4" t="s">
        <v>1847</v>
      </c>
      <c r="F571" s="84">
        <v>88</v>
      </c>
      <c r="G571" s="84">
        <v>53</v>
      </c>
      <c r="H571" s="84">
        <v>69</v>
      </c>
      <c r="I571" s="84">
        <v>61</v>
      </c>
      <c r="J571" s="84">
        <v>39</v>
      </c>
      <c r="K571" s="84">
        <v>42</v>
      </c>
      <c r="L571" s="84">
        <v>82</v>
      </c>
      <c r="M571" s="84">
        <v>63</v>
      </c>
      <c r="N571" s="84">
        <v>61</v>
      </c>
      <c r="O571" s="5">
        <f t="shared" si="34"/>
        <v>352</v>
      </c>
      <c r="P571" s="6">
        <f t="shared" si="37"/>
        <v>54</v>
      </c>
      <c r="Q571" s="5">
        <f t="shared" si="35"/>
        <v>891</v>
      </c>
      <c r="R571" s="5">
        <v>385.5</v>
      </c>
      <c r="S571" s="5">
        <v>786</v>
      </c>
      <c r="T571" s="5">
        <f t="shared" si="36"/>
        <v>-105</v>
      </c>
    </row>
    <row r="572" spans="1:20">
      <c r="A572" s="1" t="s">
        <v>1848</v>
      </c>
      <c r="B572" s="1" t="s">
        <v>3198</v>
      </c>
      <c r="C572" s="4" t="s">
        <v>34</v>
      </c>
      <c r="D572" s="1" t="s">
        <v>1849</v>
      </c>
      <c r="E572" s="4" t="s">
        <v>1850</v>
      </c>
      <c r="F572" s="84">
        <v>123</v>
      </c>
      <c r="G572" s="84">
        <v>68</v>
      </c>
      <c r="H572" s="84">
        <v>85</v>
      </c>
      <c r="I572" s="84">
        <v>66</v>
      </c>
      <c r="J572" s="84">
        <v>52</v>
      </c>
      <c r="K572" s="84">
        <v>76</v>
      </c>
      <c r="L572" s="84">
        <v>76</v>
      </c>
      <c r="M572" s="84">
        <v>67</v>
      </c>
      <c r="N572" s="84">
        <v>50</v>
      </c>
      <c r="O572" s="5">
        <f t="shared" si="34"/>
        <v>470</v>
      </c>
      <c r="P572" s="6">
        <f t="shared" si="37"/>
        <v>18</v>
      </c>
      <c r="Q572" s="5">
        <f t="shared" si="35"/>
        <v>393</v>
      </c>
      <c r="R572" s="5">
        <v>410.5</v>
      </c>
      <c r="S572" s="5">
        <v>681</v>
      </c>
      <c r="T572" s="5">
        <f t="shared" si="36"/>
        <v>288</v>
      </c>
    </row>
    <row r="573" spans="1:20">
      <c r="A573" s="1" t="s">
        <v>1851</v>
      </c>
      <c r="B573" s="1" t="s">
        <v>3198</v>
      </c>
      <c r="C573" s="4" t="s">
        <v>34</v>
      </c>
      <c r="D573" s="1" t="s">
        <v>1852</v>
      </c>
      <c r="E573" s="4" t="s">
        <v>1853</v>
      </c>
      <c r="F573" s="84">
        <v>102</v>
      </c>
      <c r="G573" s="84">
        <v>75</v>
      </c>
      <c r="H573" s="84">
        <v>93.5</v>
      </c>
      <c r="I573" s="84">
        <v>44</v>
      </c>
      <c r="J573" s="84">
        <v>62</v>
      </c>
      <c r="K573" s="84">
        <v>77</v>
      </c>
      <c r="L573" s="84">
        <v>76</v>
      </c>
      <c r="M573" s="84">
        <v>70</v>
      </c>
      <c r="N573" s="84">
        <v>52</v>
      </c>
      <c r="O573" s="5">
        <f t="shared" si="34"/>
        <v>453.5</v>
      </c>
      <c r="P573" s="6">
        <f t="shared" si="37"/>
        <v>27</v>
      </c>
      <c r="Q573" s="5">
        <f t="shared" si="35"/>
        <v>491</v>
      </c>
      <c r="R573" s="5">
        <v>452.5</v>
      </c>
      <c r="S573" s="5">
        <v>453</v>
      </c>
      <c r="T573" s="5">
        <f t="shared" si="36"/>
        <v>-38</v>
      </c>
    </row>
    <row r="574" spans="1:20">
      <c r="A574" s="1" t="s">
        <v>1854</v>
      </c>
      <c r="B574" s="1" t="s">
        <v>3198</v>
      </c>
      <c r="C574" s="4" t="s">
        <v>34</v>
      </c>
      <c r="D574" s="1" t="s">
        <v>1855</v>
      </c>
      <c r="E574" s="4" t="s">
        <v>1856</v>
      </c>
      <c r="F574" s="84">
        <v>109</v>
      </c>
      <c r="G574" s="84">
        <v>76</v>
      </c>
      <c r="H574" s="84">
        <v>102.5</v>
      </c>
      <c r="I574" s="84">
        <v>85</v>
      </c>
      <c r="J574" s="84">
        <v>79</v>
      </c>
      <c r="K574" s="84">
        <v>88</v>
      </c>
      <c r="L574" s="84">
        <v>58</v>
      </c>
      <c r="M574" s="84">
        <v>66</v>
      </c>
      <c r="N574" s="84">
        <v>70</v>
      </c>
      <c r="O574" s="5">
        <f t="shared" si="34"/>
        <v>539.5</v>
      </c>
      <c r="P574" s="6">
        <f t="shared" si="37"/>
        <v>3</v>
      </c>
      <c r="Q574" s="5">
        <f t="shared" si="35"/>
        <v>107</v>
      </c>
      <c r="R574" s="5">
        <v>490.5</v>
      </c>
      <c r="S574" s="5">
        <v>256</v>
      </c>
      <c r="T574" s="5">
        <f t="shared" si="36"/>
        <v>149</v>
      </c>
    </row>
    <row r="575" spans="1:20">
      <c r="A575" s="1" t="s">
        <v>1857</v>
      </c>
      <c r="B575" s="1" t="s">
        <v>3198</v>
      </c>
      <c r="C575" s="4" t="s">
        <v>34</v>
      </c>
      <c r="D575" s="1" t="s">
        <v>1858</v>
      </c>
      <c r="E575" s="4" t="s">
        <v>1859</v>
      </c>
      <c r="F575" s="84">
        <v>104</v>
      </c>
      <c r="G575" s="84">
        <v>63</v>
      </c>
      <c r="H575" s="84">
        <v>87</v>
      </c>
      <c r="I575" s="84">
        <v>62</v>
      </c>
      <c r="J575" s="84">
        <v>41</v>
      </c>
      <c r="K575" s="84">
        <v>46</v>
      </c>
      <c r="L575" s="84">
        <v>59</v>
      </c>
      <c r="M575" s="84">
        <v>58</v>
      </c>
      <c r="N575" s="84">
        <v>43</v>
      </c>
      <c r="O575" s="5">
        <f t="shared" si="34"/>
        <v>403</v>
      </c>
      <c r="P575" s="6">
        <f t="shared" si="37"/>
        <v>46</v>
      </c>
      <c r="Q575" s="5">
        <f t="shared" si="35"/>
        <v>751</v>
      </c>
      <c r="R575" s="5">
        <v>391</v>
      </c>
      <c r="S575" s="5">
        <v>767</v>
      </c>
      <c r="T575" s="5">
        <f t="shared" si="36"/>
        <v>16</v>
      </c>
    </row>
    <row r="576" spans="1:20">
      <c r="A576" s="1" t="s">
        <v>1860</v>
      </c>
      <c r="B576" s="1" t="s">
        <v>3198</v>
      </c>
      <c r="C576" s="4" t="s">
        <v>34</v>
      </c>
      <c r="D576" s="1" t="s">
        <v>1861</v>
      </c>
      <c r="E576" s="4" t="s">
        <v>1862</v>
      </c>
      <c r="F576" s="84">
        <v>108</v>
      </c>
      <c r="G576" s="84">
        <v>95</v>
      </c>
      <c r="H576" s="84">
        <v>96.5</v>
      </c>
      <c r="I576" s="84">
        <v>70</v>
      </c>
      <c r="J576" s="84">
        <v>69</v>
      </c>
      <c r="K576" s="84">
        <v>70</v>
      </c>
      <c r="L576" s="84">
        <v>87</v>
      </c>
      <c r="M576" s="84">
        <v>51</v>
      </c>
      <c r="N576" s="84">
        <v>60</v>
      </c>
      <c r="O576" s="5">
        <f t="shared" si="34"/>
        <v>508.5</v>
      </c>
      <c r="P576" s="6">
        <f t="shared" si="37"/>
        <v>8</v>
      </c>
      <c r="Q576" s="5">
        <f t="shared" si="35"/>
        <v>211</v>
      </c>
      <c r="R576" s="5">
        <v>453.5</v>
      </c>
      <c r="S576" s="5">
        <v>446</v>
      </c>
      <c r="T576" s="5">
        <f t="shared" si="36"/>
        <v>235</v>
      </c>
    </row>
    <row r="577" spans="1:20">
      <c r="A577" s="1" t="s">
        <v>1863</v>
      </c>
      <c r="B577" s="1" t="s">
        <v>3198</v>
      </c>
      <c r="C577" s="4" t="s">
        <v>34</v>
      </c>
      <c r="D577" s="1" t="s">
        <v>1864</v>
      </c>
      <c r="E577" s="4" t="s">
        <v>1865</v>
      </c>
      <c r="F577" s="84">
        <v>111</v>
      </c>
      <c r="G577" s="84">
        <v>78</v>
      </c>
      <c r="H577" s="84">
        <v>103.5</v>
      </c>
      <c r="I577" s="84">
        <v>61</v>
      </c>
      <c r="J577" s="84">
        <v>57</v>
      </c>
      <c r="K577" s="84">
        <v>69</v>
      </c>
      <c r="L577" s="84">
        <v>80</v>
      </c>
      <c r="M577" s="84">
        <v>69</v>
      </c>
      <c r="N577" s="84">
        <v>51</v>
      </c>
      <c r="O577" s="5">
        <f t="shared" si="34"/>
        <v>479.5</v>
      </c>
      <c r="P577" s="6">
        <f t="shared" si="37"/>
        <v>15</v>
      </c>
      <c r="Q577" s="5">
        <f t="shared" si="35"/>
        <v>340</v>
      </c>
      <c r="R577" s="5">
        <v>500</v>
      </c>
      <c r="S577" s="5">
        <v>211</v>
      </c>
      <c r="T577" s="5">
        <f t="shared" si="36"/>
        <v>-129</v>
      </c>
    </row>
    <row r="578" spans="1:20">
      <c r="A578" s="1" t="s">
        <v>1866</v>
      </c>
      <c r="B578" s="1" t="s">
        <v>3198</v>
      </c>
      <c r="C578" s="4" t="s">
        <v>34</v>
      </c>
      <c r="D578" s="1" t="s">
        <v>1867</v>
      </c>
      <c r="E578" s="4" t="s">
        <v>1868</v>
      </c>
      <c r="F578" s="84">
        <v>91</v>
      </c>
      <c r="G578" s="84">
        <v>80</v>
      </c>
      <c r="H578" s="84">
        <v>73</v>
      </c>
      <c r="I578" s="84">
        <v>49</v>
      </c>
      <c r="J578" s="84">
        <v>42</v>
      </c>
      <c r="K578" s="84">
        <v>59</v>
      </c>
      <c r="L578" s="84">
        <v>87</v>
      </c>
      <c r="M578" s="84">
        <v>56</v>
      </c>
      <c r="N578" s="84">
        <v>57</v>
      </c>
      <c r="O578" s="5">
        <f t="shared" si="34"/>
        <v>394</v>
      </c>
      <c r="P578" s="6">
        <f t="shared" si="37"/>
        <v>49</v>
      </c>
      <c r="Q578" s="5">
        <f t="shared" si="35"/>
        <v>791</v>
      </c>
      <c r="R578" s="5">
        <v>335.5</v>
      </c>
      <c r="S578" s="5">
        <v>900</v>
      </c>
      <c r="T578" s="5">
        <f t="shared" si="36"/>
        <v>109</v>
      </c>
    </row>
    <row r="579" spans="1:20">
      <c r="A579" s="1" t="s">
        <v>1678</v>
      </c>
      <c r="B579" s="1" t="s">
        <v>3198</v>
      </c>
      <c r="C579" s="4" t="s">
        <v>34</v>
      </c>
      <c r="D579" s="1" t="s">
        <v>1870</v>
      </c>
      <c r="E579" s="4" t="s">
        <v>1680</v>
      </c>
      <c r="F579" s="84">
        <v>110</v>
      </c>
      <c r="G579" s="84">
        <v>72</v>
      </c>
      <c r="H579" s="84">
        <v>75.5</v>
      </c>
      <c r="I579" s="84">
        <v>54</v>
      </c>
      <c r="J579" s="84">
        <v>50</v>
      </c>
      <c r="K579" s="84">
        <v>53</v>
      </c>
      <c r="L579" s="84">
        <v>86</v>
      </c>
      <c r="M579" s="84">
        <v>68</v>
      </c>
      <c r="N579" s="84">
        <v>61</v>
      </c>
      <c r="O579" s="5">
        <f t="shared" ref="O579:O642" si="38">SUM(F579:K579)</f>
        <v>414.5</v>
      </c>
      <c r="P579" s="6">
        <f t="shared" si="37"/>
        <v>41</v>
      </c>
      <c r="Q579" s="5">
        <f t="shared" si="35"/>
        <v>694</v>
      </c>
      <c r="R579" s="5">
        <v>397.5</v>
      </c>
      <c r="S579" s="5">
        <v>743</v>
      </c>
      <c r="T579" s="5">
        <f t="shared" si="36"/>
        <v>49</v>
      </c>
    </row>
    <row r="580" spans="1:20">
      <c r="A580" s="1" t="s">
        <v>1565</v>
      </c>
      <c r="B580" s="1" t="s">
        <v>3198</v>
      </c>
      <c r="C580" s="4" t="s">
        <v>34</v>
      </c>
      <c r="D580" s="1" t="s">
        <v>1873</v>
      </c>
      <c r="E580" s="4" t="s">
        <v>185</v>
      </c>
      <c r="F580" s="84">
        <v>100</v>
      </c>
      <c r="G580" s="84">
        <v>82</v>
      </c>
      <c r="H580" s="84">
        <v>99</v>
      </c>
      <c r="I580" s="84">
        <v>70</v>
      </c>
      <c r="J580" s="84">
        <v>58</v>
      </c>
      <c r="K580" s="84">
        <v>68</v>
      </c>
      <c r="L580" s="84">
        <v>84</v>
      </c>
      <c r="M580" s="84">
        <v>67</v>
      </c>
      <c r="N580" s="84">
        <v>59</v>
      </c>
      <c r="O580" s="5">
        <f t="shared" si="38"/>
        <v>477</v>
      </c>
      <c r="P580" s="6">
        <f t="shared" si="37"/>
        <v>17</v>
      </c>
      <c r="Q580" s="5">
        <f t="shared" ref="Q580:Q643" si="39">RANK(O580,$O$3:$O$936)</f>
        <v>357</v>
      </c>
      <c r="R580" s="5">
        <v>507</v>
      </c>
      <c r="S580" s="5">
        <v>181</v>
      </c>
      <c r="T580" s="5">
        <f t="shared" ref="T580:T643" si="40">S580-Q580</f>
        <v>-176</v>
      </c>
    </row>
    <row r="581" spans="1:20">
      <c r="A581" s="1" t="s">
        <v>1874</v>
      </c>
      <c r="B581" s="1" t="s">
        <v>3198</v>
      </c>
      <c r="C581" s="4" t="s">
        <v>34</v>
      </c>
      <c r="D581" s="1" t="s">
        <v>1875</v>
      </c>
      <c r="E581" s="4" t="s">
        <v>1876</v>
      </c>
      <c r="F581" s="84">
        <v>110</v>
      </c>
      <c r="G581" s="84">
        <v>62</v>
      </c>
      <c r="H581" s="84">
        <v>88.5</v>
      </c>
      <c r="I581" s="84">
        <v>62</v>
      </c>
      <c r="J581" s="84">
        <v>43</v>
      </c>
      <c r="K581" s="84">
        <v>52</v>
      </c>
      <c r="L581" s="84">
        <v>80</v>
      </c>
      <c r="M581" s="84">
        <v>54</v>
      </c>
      <c r="N581" s="84">
        <v>55</v>
      </c>
      <c r="O581" s="5">
        <f t="shared" si="38"/>
        <v>417.5</v>
      </c>
      <c r="P581" s="6">
        <f t="shared" si="37"/>
        <v>38</v>
      </c>
      <c r="Q581" s="5">
        <f t="shared" si="39"/>
        <v>680</v>
      </c>
      <c r="R581" s="5">
        <v>375</v>
      </c>
      <c r="S581" s="5">
        <v>824</v>
      </c>
      <c r="T581" s="5">
        <f t="shared" si="40"/>
        <v>144</v>
      </c>
    </row>
    <row r="582" spans="1:20">
      <c r="A582" s="1" t="s">
        <v>1877</v>
      </c>
      <c r="B582" s="1" t="s">
        <v>3198</v>
      </c>
      <c r="C582" s="4" t="s">
        <v>34</v>
      </c>
      <c r="D582" s="1" t="s">
        <v>1878</v>
      </c>
      <c r="E582" s="4" t="s">
        <v>1879</v>
      </c>
      <c r="F582" s="84">
        <v>99</v>
      </c>
      <c r="G582" s="84">
        <v>70</v>
      </c>
      <c r="H582" s="84">
        <v>93.5</v>
      </c>
      <c r="I582" s="84">
        <v>52</v>
      </c>
      <c r="J582" s="84">
        <v>48</v>
      </c>
      <c r="K582" s="84">
        <v>66</v>
      </c>
      <c r="L582" s="84">
        <v>76</v>
      </c>
      <c r="M582" s="84">
        <v>63</v>
      </c>
      <c r="N582" s="84">
        <v>53</v>
      </c>
      <c r="O582" s="5">
        <f t="shared" si="38"/>
        <v>428.5</v>
      </c>
      <c r="P582" s="6">
        <f t="shared" si="37"/>
        <v>35</v>
      </c>
      <c r="Q582" s="5">
        <f t="shared" si="39"/>
        <v>636</v>
      </c>
      <c r="R582" s="5">
        <v>438.5</v>
      </c>
      <c r="S582" s="5">
        <v>531</v>
      </c>
      <c r="T582" s="5">
        <f t="shared" si="40"/>
        <v>-105</v>
      </c>
    </row>
    <row r="583" spans="1:20">
      <c r="A583" s="1" t="s">
        <v>1880</v>
      </c>
      <c r="B583" s="1" t="s">
        <v>3198</v>
      </c>
      <c r="C583" s="4" t="s">
        <v>34</v>
      </c>
      <c r="D583" s="1" t="s">
        <v>1881</v>
      </c>
      <c r="E583" s="4" t="s">
        <v>1882</v>
      </c>
      <c r="F583" s="84">
        <v>102</v>
      </c>
      <c r="G583" s="84">
        <v>35</v>
      </c>
      <c r="H583" s="84">
        <v>83</v>
      </c>
      <c r="I583" s="84">
        <v>72</v>
      </c>
      <c r="J583" s="84">
        <v>61</v>
      </c>
      <c r="K583" s="84">
        <v>59</v>
      </c>
      <c r="L583" s="84">
        <v>56</v>
      </c>
      <c r="M583" s="84">
        <v>66</v>
      </c>
      <c r="N583" s="84">
        <v>37</v>
      </c>
      <c r="O583" s="5">
        <f t="shared" si="38"/>
        <v>412</v>
      </c>
      <c r="P583" s="6">
        <f t="shared" si="37"/>
        <v>42</v>
      </c>
      <c r="Q583" s="5">
        <f t="shared" si="39"/>
        <v>710</v>
      </c>
      <c r="R583" s="5">
        <v>413</v>
      </c>
      <c r="S583" s="5">
        <v>665</v>
      </c>
      <c r="T583" s="5">
        <f t="shared" si="40"/>
        <v>-45</v>
      </c>
    </row>
    <row r="584" spans="1:20">
      <c r="A584" s="1" t="s">
        <v>1883</v>
      </c>
      <c r="B584" s="1" t="s">
        <v>3198</v>
      </c>
      <c r="C584" s="4" t="s">
        <v>34</v>
      </c>
      <c r="D584" s="1" t="s">
        <v>1884</v>
      </c>
      <c r="E584" s="4" t="s">
        <v>1885</v>
      </c>
      <c r="F584" s="84">
        <v>101</v>
      </c>
      <c r="G584" s="84">
        <v>26</v>
      </c>
      <c r="H584" s="84">
        <v>93</v>
      </c>
      <c r="I584" s="84">
        <v>58</v>
      </c>
      <c r="J584" s="84">
        <v>40</v>
      </c>
      <c r="K584" s="84">
        <v>54</v>
      </c>
      <c r="L584" s="84">
        <v>67</v>
      </c>
      <c r="M584" s="84">
        <v>73</v>
      </c>
      <c r="N584" s="84">
        <v>48</v>
      </c>
      <c r="O584" s="5">
        <f t="shared" si="38"/>
        <v>372</v>
      </c>
      <c r="P584" s="6">
        <f t="shared" si="37"/>
        <v>53</v>
      </c>
      <c r="Q584" s="5">
        <f t="shared" si="39"/>
        <v>855</v>
      </c>
      <c r="R584" s="5">
        <v>388.5</v>
      </c>
      <c r="S584" s="5">
        <v>770</v>
      </c>
      <c r="T584" s="5">
        <f t="shared" si="40"/>
        <v>-85</v>
      </c>
    </row>
    <row r="585" spans="1:20">
      <c r="A585" s="1" t="s">
        <v>1886</v>
      </c>
      <c r="B585" s="1" t="s">
        <v>3198</v>
      </c>
      <c r="C585" s="4" t="s">
        <v>34</v>
      </c>
      <c r="D585" s="1" t="s">
        <v>1887</v>
      </c>
      <c r="E585" s="4" t="s">
        <v>1888</v>
      </c>
      <c r="F585" s="84">
        <v>96</v>
      </c>
      <c r="G585" s="84">
        <v>89</v>
      </c>
      <c r="H585" s="84">
        <v>74.5</v>
      </c>
      <c r="I585" s="84">
        <v>73</v>
      </c>
      <c r="J585" s="84">
        <v>74</v>
      </c>
      <c r="K585" s="84">
        <v>86</v>
      </c>
      <c r="L585" s="84">
        <v>67</v>
      </c>
      <c r="M585" s="84">
        <v>62</v>
      </c>
      <c r="N585" s="84">
        <v>58</v>
      </c>
      <c r="O585" s="5">
        <f t="shared" si="38"/>
        <v>492.5</v>
      </c>
      <c r="P585" s="6">
        <f t="shared" si="37"/>
        <v>11</v>
      </c>
      <c r="Q585" s="5">
        <f t="shared" si="39"/>
        <v>277</v>
      </c>
      <c r="R585" s="5">
        <v>524</v>
      </c>
      <c r="S585" s="5">
        <v>124</v>
      </c>
      <c r="T585" s="5">
        <f t="shared" si="40"/>
        <v>-153</v>
      </c>
    </row>
    <row r="586" spans="1:20">
      <c r="A586" s="1" t="s">
        <v>1889</v>
      </c>
      <c r="B586" s="1" t="s">
        <v>3198</v>
      </c>
      <c r="C586" s="4" t="s">
        <v>34</v>
      </c>
      <c r="D586" s="1" t="s">
        <v>1890</v>
      </c>
      <c r="E586" s="4" t="s">
        <v>1891</v>
      </c>
      <c r="F586" s="84">
        <v>101</v>
      </c>
      <c r="G586" s="84">
        <v>54</v>
      </c>
      <c r="H586" s="84">
        <v>114.5</v>
      </c>
      <c r="I586" s="84">
        <v>68</v>
      </c>
      <c r="J586" s="84">
        <v>57</v>
      </c>
      <c r="K586" s="84">
        <v>70</v>
      </c>
      <c r="L586" s="84">
        <v>78</v>
      </c>
      <c r="M586" s="84">
        <v>64</v>
      </c>
      <c r="N586" s="84">
        <v>60</v>
      </c>
      <c r="O586" s="5">
        <f t="shared" si="38"/>
        <v>464.5</v>
      </c>
      <c r="P586" s="6">
        <f t="shared" si="37"/>
        <v>21</v>
      </c>
      <c r="Q586" s="5">
        <f t="shared" si="39"/>
        <v>424</v>
      </c>
      <c r="R586" s="5">
        <v>465.5</v>
      </c>
      <c r="S586" s="5">
        <v>388</v>
      </c>
      <c r="T586" s="5">
        <f t="shared" si="40"/>
        <v>-36</v>
      </c>
    </row>
    <row r="587" spans="1:20">
      <c r="A587" s="1" t="s">
        <v>1729</v>
      </c>
      <c r="B587" s="1" t="s">
        <v>3198</v>
      </c>
      <c r="C587" s="4" t="s">
        <v>34</v>
      </c>
      <c r="D587" s="1" t="s">
        <v>1893</v>
      </c>
      <c r="E587" s="4" t="s">
        <v>1731</v>
      </c>
      <c r="F587" s="84">
        <v>115</v>
      </c>
      <c r="G587" s="84">
        <v>82</v>
      </c>
      <c r="H587" s="84">
        <v>89.5</v>
      </c>
      <c r="I587" s="84">
        <v>71</v>
      </c>
      <c r="J587" s="84">
        <v>59</v>
      </c>
      <c r="K587" s="84">
        <v>66</v>
      </c>
      <c r="L587" s="84">
        <v>87</v>
      </c>
      <c r="M587" s="84">
        <v>67</v>
      </c>
      <c r="N587" s="84">
        <v>54</v>
      </c>
      <c r="O587" s="5">
        <f t="shared" si="38"/>
        <v>482.5</v>
      </c>
      <c r="P587" s="6">
        <f t="shared" si="37"/>
        <v>13</v>
      </c>
      <c r="Q587" s="5">
        <f t="shared" si="39"/>
        <v>323</v>
      </c>
      <c r="R587" s="5">
        <v>450.5</v>
      </c>
      <c r="S587" s="5">
        <v>462</v>
      </c>
      <c r="T587" s="5">
        <f t="shared" si="40"/>
        <v>139</v>
      </c>
    </row>
    <row r="588" spans="1:20">
      <c r="A588" s="1" t="s">
        <v>1894</v>
      </c>
      <c r="B588" s="1" t="s">
        <v>3198</v>
      </c>
      <c r="C588" s="4" t="s">
        <v>34</v>
      </c>
      <c r="D588" s="1" t="s">
        <v>1895</v>
      </c>
      <c r="E588" s="4" t="s">
        <v>1896</v>
      </c>
      <c r="F588" s="84">
        <v>101</v>
      </c>
      <c r="G588" s="84">
        <v>65</v>
      </c>
      <c r="H588" s="84">
        <v>88</v>
      </c>
      <c r="I588" s="84">
        <v>44</v>
      </c>
      <c r="J588" s="84">
        <v>46</v>
      </c>
      <c r="K588" s="84">
        <v>61</v>
      </c>
      <c r="L588" s="84">
        <v>78</v>
      </c>
      <c r="M588" s="84">
        <v>62</v>
      </c>
      <c r="N588" s="84">
        <v>52</v>
      </c>
      <c r="O588" s="5">
        <f t="shared" si="38"/>
        <v>405</v>
      </c>
      <c r="P588" s="6">
        <f t="shared" si="37"/>
        <v>45</v>
      </c>
      <c r="Q588" s="5">
        <f t="shared" si="39"/>
        <v>747</v>
      </c>
      <c r="R588" s="5">
        <v>418.5</v>
      </c>
      <c r="S588" s="5">
        <v>649</v>
      </c>
      <c r="T588" s="5">
        <f t="shared" si="40"/>
        <v>-98</v>
      </c>
    </row>
    <row r="589" spans="1:20">
      <c r="A589" s="1" t="s">
        <v>1897</v>
      </c>
      <c r="B589" s="1" t="s">
        <v>3198</v>
      </c>
      <c r="C589" s="4" t="s">
        <v>34</v>
      </c>
      <c r="D589" s="1" t="s">
        <v>1898</v>
      </c>
      <c r="E589" s="4" t="s">
        <v>1899</v>
      </c>
      <c r="F589" s="84">
        <v>99</v>
      </c>
      <c r="G589" s="84">
        <v>55</v>
      </c>
      <c r="H589" s="84">
        <v>100.5</v>
      </c>
      <c r="I589" s="84">
        <v>48</v>
      </c>
      <c r="J589" s="84">
        <v>52</v>
      </c>
      <c r="K589" s="84">
        <v>68</v>
      </c>
      <c r="L589" s="84">
        <v>59</v>
      </c>
      <c r="M589" s="84">
        <v>57</v>
      </c>
      <c r="N589" s="84">
        <v>62</v>
      </c>
      <c r="O589" s="5">
        <f t="shared" si="38"/>
        <v>422.5</v>
      </c>
      <c r="P589" s="6">
        <f t="shared" si="37"/>
        <v>37</v>
      </c>
      <c r="Q589" s="5">
        <f t="shared" si="39"/>
        <v>663</v>
      </c>
      <c r="R589" s="5">
        <v>386.5</v>
      </c>
      <c r="S589" s="5">
        <v>778</v>
      </c>
      <c r="T589" s="5">
        <f t="shared" si="40"/>
        <v>115</v>
      </c>
    </row>
    <row r="590" spans="1:20">
      <c r="A590" s="1" t="s">
        <v>1900</v>
      </c>
      <c r="B590" s="1" t="s">
        <v>3198</v>
      </c>
      <c r="C590" s="4" t="s">
        <v>34</v>
      </c>
      <c r="D590" s="1" t="s">
        <v>1901</v>
      </c>
      <c r="E590" s="4" t="s">
        <v>1902</v>
      </c>
      <c r="F590" s="84">
        <v>99</v>
      </c>
      <c r="G590" s="84">
        <v>51</v>
      </c>
      <c r="H590" s="84">
        <v>118.5</v>
      </c>
      <c r="I590" s="84">
        <v>41</v>
      </c>
      <c r="J590" s="84">
        <v>48</v>
      </c>
      <c r="K590" s="84">
        <v>48</v>
      </c>
      <c r="L590" s="84">
        <v>80</v>
      </c>
      <c r="M590" s="84">
        <v>58</v>
      </c>
      <c r="N590" s="84">
        <v>46</v>
      </c>
      <c r="O590" s="5">
        <f t="shared" si="38"/>
        <v>405.5</v>
      </c>
      <c r="P590" s="6">
        <f t="shared" si="37"/>
        <v>44</v>
      </c>
      <c r="Q590" s="5">
        <f t="shared" si="39"/>
        <v>744</v>
      </c>
      <c r="R590" s="5">
        <v>410.5</v>
      </c>
      <c r="S590" s="5">
        <v>681</v>
      </c>
      <c r="T590" s="5">
        <f t="shared" si="40"/>
        <v>-63</v>
      </c>
    </row>
    <row r="591" spans="1:20">
      <c r="A591" s="1" t="s">
        <v>1903</v>
      </c>
      <c r="B591" s="1" t="s">
        <v>3198</v>
      </c>
      <c r="C591" s="4" t="s">
        <v>34</v>
      </c>
      <c r="D591" s="1" t="s">
        <v>1904</v>
      </c>
      <c r="E591" s="4" t="s">
        <v>1905</v>
      </c>
      <c r="F591" s="84">
        <v>106</v>
      </c>
      <c r="G591" s="84">
        <v>47</v>
      </c>
      <c r="H591" s="84">
        <v>84.5</v>
      </c>
      <c r="I591" s="84">
        <v>55</v>
      </c>
      <c r="J591" s="84">
        <v>47</v>
      </c>
      <c r="K591" s="84">
        <v>49</v>
      </c>
      <c r="L591" s="84">
        <v>72</v>
      </c>
      <c r="M591" s="84">
        <v>67</v>
      </c>
      <c r="N591" s="84">
        <v>46</v>
      </c>
      <c r="O591" s="5">
        <f t="shared" si="38"/>
        <v>388.5</v>
      </c>
      <c r="P591" s="6">
        <f t="shared" si="37"/>
        <v>51</v>
      </c>
      <c r="Q591" s="5">
        <f t="shared" si="39"/>
        <v>807</v>
      </c>
      <c r="R591" s="5">
        <v>393</v>
      </c>
      <c r="S591" s="5">
        <v>755</v>
      </c>
      <c r="T591" s="5">
        <f t="shared" si="40"/>
        <v>-52</v>
      </c>
    </row>
    <row r="592" spans="1:20">
      <c r="A592" s="1" t="s">
        <v>1906</v>
      </c>
      <c r="B592" s="1" t="s">
        <v>3198</v>
      </c>
      <c r="C592" s="4" t="s">
        <v>34</v>
      </c>
      <c r="D592" s="1" t="s">
        <v>1907</v>
      </c>
      <c r="E592" s="4" t="s">
        <v>1908</v>
      </c>
      <c r="F592" s="84">
        <v>94</v>
      </c>
      <c r="G592" s="84">
        <v>78</v>
      </c>
      <c r="H592" s="84">
        <v>95</v>
      </c>
      <c r="I592" s="84">
        <v>56</v>
      </c>
      <c r="J592" s="84">
        <v>51</v>
      </c>
      <c r="K592" s="84">
        <v>72</v>
      </c>
      <c r="L592" s="84">
        <v>68</v>
      </c>
      <c r="M592" s="84">
        <v>61</v>
      </c>
      <c r="N592" s="84">
        <v>48</v>
      </c>
      <c r="O592" s="5">
        <f t="shared" si="38"/>
        <v>446</v>
      </c>
      <c r="P592" s="6">
        <f t="shared" si="37"/>
        <v>28</v>
      </c>
      <c r="Q592" s="5">
        <f t="shared" si="39"/>
        <v>538</v>
      </c>
      <c r="R592" s="5">
        <v>440</v>
      </c>
      <c r="S592" s="5">
        <v>524</v>
      </c>
      <c r="T592" s="5">
        <f t="shared" si="40"/>
        <v>-14</v>
      </c>
    </row>
    <row r="593" spans="1:20">
      <c r="A593" s="1" t="s">
        <v>1909</v>
      </c>
      <c r="B593" s="1" t="s">
        <v>3198</v>
      </c>
      <c r="C593" s="4" t="s">
        <v>34</v>
      </c>
      <c r="D593" s="1" t="s">
        <v>1910</v>
      </c>
      <c r="E593" s="4" t="s">
        <v>1911</v>
      </c>
      <c r="F593" s="84">
        <v>111</v>
      </c>
      <c r="G593" s="84">
        <v>65</v>
      </c>
      <c r="H593" s="84">
        <v>113</v>
      </c>
      <c r="I593" s="84">
        <v>58</v>
      </c>
      <c r="J593" s="84">
        <v>34</v>
      </c>
      <c r="K593" s="84">
        <v>73</v>
      </c>
      <c r="L593" s="84">
        <v>84</v>
      </c>
      <c r="M593" s="84">
        <v>69</v>
      </c>
      <c r="N593" s="84">
        <v>57</v>
      </c>
      <c r="O593" s="5">
        <f t="shared" si="38"/>
        <v>454</v>
      </c>
      <c r="P593" s="6">
        <f t="shared" si="37"/>
        <v>26</v>
      </c>
      <c r="Q593" s="5">
        <f t="shared" si="39"/>
        <v>488</v>
      </c>
      <c r="R593" s="5">
        <v>468</v>
      </c>
      <c r="S593" s="5">
        <v>380</v>
      </c>
      <c r="T593" s="5">
        <f t="shared" si="40"/>
        <v>-108</v>
      </c>
    </row>
    <row r="594" spans="1:20">
      <c r="A594" s="1" t="s">
        <v>1912</v>
      </c>
      <c r="B594" s="1" t="s">
        <v>3198</v>
      </c>
      <c r="C594" s="4" t="s">
        <v>34</v>
      </c>
      <c r="D594" s="1" t="s">
        <v>1913</v>
      </c>
      <c r="E594" s="4" t="s">
        <v>1914</v>
      </c>
      <c r="F594" s="84">
        <v>104</v>
      </c>
      <c r="G594" s="84">
        <v>63</v>
      </c>
      <c r="H594" s="84">
        <v>103.5</v>
      </c>
      <c r="I594" s="84">
        <v>50</v>
      </c>
      <c r="J594" s="84">
        <v>29</v>
      </c>
      <c r="K594" s="84">
        <v>57</v>
      </c>
      <c r="L594" s="84">
        <v>67</v>
      </c>
      <c r="M594" s="84">
        <v>65</v>
      </c>
      <c r="N594" s="84">
        <v>45</v>
      </c>
      <c r="O594" s="5">
        <f t="shared" si="38"/>
        <v>406.5</v>
      </c>
      <c r="P594" s="6">
        <f t="shared" si="37"/>
        <v>43</v>
      </c>
      <c r="Q594" s="5">
        <f t="shared" si="39"/>
        <v>740</v>
      </c>
      <c r="R594" s="5">
        <v>323.5</v>
      </c>
      <c r="S594" s="5">
        <v>911</v>
      </c>
      <c r="T594" s="5">
        <f t="shared" si="40"/>
        <v>171</v>
      </c>
    </row>
    <row r="595" spans="1:20">
      <c r="A595" s="1" t="s">
        <v>1915</v>
      </c>
      <c r="B595" s="1" t="s">
        <v>3198</v>
      </c>
      <c r="C595" s="4" t="s">
        <v>34</v>
      </c>
      <c r="D595" s="1" t="s">
        <v>1916</v>
      </c>
      <c r="E595" s="4" t="s">
        <v>1917</v>
      </c>
      <c r="F595" s="84">
        <v>100</v>
      </c>
      <c r="G595" s="84">
        <v>102</v>
      </c>
      <c r="H595" s="84">
        <v>93</v>
      </c>
      <c r="I595" s="84">
        <v>59</v>
      </c>
      <c r="J595" s="84">
        <v>71</v>
      </c>
      <c r="K595" s="84">
        <v>74</v>
      </c>
      <c r="L595" s="84">
        <v>62</v>
      </c>
      <c r="M595" s="84">
        <v>65</v>
      </c>
      <c r="N595" s="84">
        <v>43</v>
      </c>
      <c r="O595" s="5">
        <f t="shared" si="38"/>
        <v>499</v>
      </c>
      <c r="P595" s="6">
        <f t="shared" si="37"/>
        <v>10</v>
      </c>
      <c r="Q595" s="5">
        <f t="shared" si="39"/>
        <v>251</v>
      </c>
      <c r="R595" s="5">
        <v>523.5</v>
      </c>
      <c r="S595" s="5">
        <v>126</v>
      </c>
      <c r="T595" s="5">
        <f t="shared" si="40"/>
        <v>-125</v>
      </c>
    </row>
    <row r="596" spans="1:20">
      <c r="A596" s="1" t="s">
        <v>1918</v>
      </c>
      <c r="B596" s="1" t="s">
        <v>3198</v>
      </c>
      <c r="C596" s="4" t="s">
        <v>34</v>
      </c>
      <c r="D596" s="1" t="s">
        <v>1919</v>
      </c>
      <c r="E596" s="4" t="s">
        <v>196</v>
      </c>
      <c r="F596" s="84">
        <v>111</v>
      </c>
      <c r="G596" s="84">
        <v>102</v>
      </c>
      <c r="H596" s="84">
        <v>114</v>
      </c>
      <c r="I596" s="84">
        <v>79</v>
      </c>
      <c r="J596" s="84">
        <v>61</v>
      </c>
      <c r="K596" s="84">
        <v>73</v>
      </c>
      <c r="L596" s="84">
        <v>71</v>
      </c>
      <c r="M596" s="84">
        <v>74</v>
      </c>
      <c r="N596" s="84">
        <v>60</v>
      </c>
      <c r="O596" s="5">
        <f t="shared" si="38"/>
        <v>540</v>
      </c>
      <c r="P596" s="6">
        <f t="shared" si="37"/>
        <v>2</v>
      </c>
      <c r="Q596" s="5">
        <f t="shared" si="39"/>
        <v>104</v>
      </c>
      <c r="R596" s="5">
        <v>494</v>
      </c>
      <c r="S596" s="5">
        <v>242</v>
      </c>
      <c r="T596" s="5">
        <f t="shared" si="40"/>
        <v>138</v>
      </c>
    </row>
    <row r="597" spans="1:20">
      <c r="A597" s="1" t="s">
        <v>1920</v>
      </c>
      <c r="B597" s="1" t="s">
        <v>3198</v>
      </c>
      <c r="C597" s="4" t="s">
        <v>34</v>
      </c>
      <c r="D597" s="1" t="s">
        <v>1921</v>
      </c>
      <c r="E597" s="4" t="s">
        <v>1922</v>
      </c>
      <c r="F597" s="84">
        <v>99</v>
      </c>
      <c r="G597" s="84">
        <v>77</v>
      </c>
      <c r="H597" s="84">
        <v>81</v>
      </c>
      <c r="I597" s="84">
        <v>69</v>
      </c>
      <c r="J597" s="84">
        <v>56</v>
      </c>
      <c r="K597" s="84">
        <v>62</v>
      </c>
      <c r="L597" s="84">
        <v>68</v>
      </c>
      <c r="M597" s="84">
        <v>65</v>
      </c>
      <c r="N597" s="84">
        <v>52</v>
      </c>
      <c r="O597" s="5">
        <f t="shared" si="38"/>
        <v>444</v>
      </c>
      <c r="P597" s="6">
        <f t="shared" si="37"/>
        <v>30</v>
      </c>
      <c r="Q597" s="5">
        <f t="shared" si="39"/>
        <v>551</v>
      </c>
      <c r="R597" s="5">
        <v>460.5</v>
      </c>
      <c r="S597" s="5">
        <v>412</v>
      </c>
      <c r="T597" s="5">
        <f t="shared" si="40"/>
        <v>-139</v>
      </c>
    </row>
    <row r="598" spans="1:20">
      <c r="A598" s="1" t="s">
        <v>1924</v>
      </c>
      <c r="B598" s="1" t="s">
        <v>3198</v>
      </c>
      <c r="C598" s="4" t="s">
        <v>34</v>
      </c>
      <c r="D598" s="1" t="s">
        <v>1925</v>
      </c>
      <c r="E598" s="4" t="s">
        <v>1926</v>
      </c>
      <c r="F598" s="84">
        <v>113</v>
      </c>
      <c r="G598" s="84">
        <v>75</v>
      </c>
      <c r="H598" s="84">
        <v>95</v>
      </c>
      <c r="I598" s="84">
        <v>72</v>
      </c>
      <c r="J598" s="84">
        <v>62</v>
      </c>
      <c r="K598" s="84">
        <v>69</v>
      </c>
      <c r="L598" s="84">
        <v>88</v>
      </c>
      <c r="M598" s="84">
        <v>74</v>
      </c>
      <c r="N598" s="84">
        <v>64</v>
      </c>
      <c r="O598" s="5">
        <f t="shared" si="38"/>
        <v>486</v>
      </c>
      <c r="P598" s="6">
        <f t="shared" si="37"/>
        <v>12</v>
      </c>
      <c r="Q598" s="5">
        <f t="shared" si="39"/>
        <v>305</v>
      </c>
      <c r="R598" s="5">
        <v>490.5</v>
      </c>
      <c r="S598" s="5">
        <v>256</v>
      </c>
      <c r="T598" s="5">
        <f t="shared" si="40"/>
        <v>-49</v>
      </c>
    </row>
    <row r="599" spans="1:20">
      <c r="A599" s="1" t="s">
        <v>1927</v>
      </c>
      <c r="B599" s="1" t="s">
        <v>3198</v>
      </c>
      <c r="C599" s="4" t="s">
        <v>34</v>
      </c>
      <c r="D599" s="1" t="s">
        <v>1928</v>
      </c>
      <c r="E599" s="4" t="s">
        <v>1929</v>
      </c>
      <c r="F599" s="84">
        <v>109</v>
      </c>
      <c r="G599" s="84">
        <v>63</v>
      </c>
      <c r="H599" s="84">
        <v>72.5</v>
      </c>
      <c r="I599" s="84">
        <v>65</v>
      </c>
      <c r="J599" s="84">
        <v>31</v>
      </c>
      <c r="K599" s="84">
        <v>77</v>
      </c>
      <c r="L599" s="84">
        <v>72</v>
      </c>
      <c r="M599" s="84">
        <v>70</v>
      </c>
      <c r="N599" s="84">
        <v>51</v>
      </c>
      <c r="O599" s="5">
        <f t="shared" si="38"/>
        <v>417.5</v>
      </c>
      <c r="P599" s="6">
        <f t="shared" si="37"/>
        <v>38</v>
      </c>
      <c r="Q599" s="5">
        <f t="shared" si="39"/>
        <v>680</v>
      </c>
      <c r="R599" s="5">
        <v>434.5</v>
      </c>
      <c r="S599" s="5">
        <v>547</v>
      </c>
      <c r="T599" s="5">
        <f t="shared" si="40"/>
        <v>-133</v>
      </c>
    </row>
    <row r="600" spans="1:20">
      <c r="A600" s="1" t="s">
        <v>1930</v>
      </c>
      <c r="B600" s="1" t="s">
        <v>3198</v>
      </c>
      <c r="C600" s="4" t="s">
        <v>34</v>
      </c>
      <c r="D600" s="1" t="s">
        <v>1931</v>
      </c>
      <c r="E600" s="4" t="s">
        <v>1932</v>
      </c>
      <c r="F600" s="84">
        <v>107</v>
      </c>
      <c r="G600" s="84">
        <v>74</v>
      </c>
      <c r="H600" s="84">
        <v>85.5</v>
      </c>
      <c r="I600" s="84">
        <v>57</v>
      </c>
      <c r="J600" s="84">
        <v>55</v>
      </c>
      <c r="K600" s="84">
        <v>67</v>
      </c>
      <c r="L600" s="84">
        <v>78</v>
      </c>
      <c r="M600" s="84">
        <v>70</v>
      </c>
      <c r="N600" s="84">
        <v>47</v>
      </c>
      <c r="O600" s="5">
        <f t="shared" si="38"/>
        <v>445.5</v>
      </c>
      <c r="P600" s="6">
        <f t="shared" si="37"/>
        <v>29</v>
      </c>
      <c r="Q600" s="5">
        <f t="shared" si="39"/>
        <v>541</v>
      </c>
      <c r="R600" s="5">
        <v>471</v>
      </c>
      <c r="S600" s="5">
        <v>359</v>
      </c>
      <c r="T600" s="5">
        <f t="shared" si="40"/>
        <v>-182</v>
      </c>
    </row>
    <row r="601" spans="1:20">
      <c r="A601" s="1" t="s">
        <v>1936</v>
      </c>
      <c r="B601" s="1" t="s">
        <v>3198</v>
      </c>
      <c r="C601" s="4" t="s">
        <v>34</v>
      </c>
      <c r="D601" s="1" t="s">
        <v>1937</v>
      </c>
      <c r="E601" s="4" t="s">
        <v>62</v>
      </c>
      <c r="F601" s="84">
        <v>112</v>
      </c>
      <c r="G601" s="84">
        <v>66</v>
      </c>
      <c r="H601" s="84">
        <v>69</v>
      </c>
      <c r="I601" s="84">
        <v>76</v>
      </c>
      <c r="J601" s="84">
        <v>56</v>
      </c>
      <c r="K601" s="84">
        <v>63</v>
      </c>
      <c r="L601" s="84">
        <v>78</v>
      </c>
      <c r="M601" s="84">
        <v>65</v>
      </c>
      <c r="N601" s="84">
        <v>57</v>
      </c>
      <c r="O601" s="5">
        <f t="shared" si="38"/>
        <v>442</v>
      </c>
      <c r="P601" s="6">
        <f t="shared" si="37"/>
        <v>31</v>
      </c>
      <c r="Q601" s="5">
        <f t="shared" si="39"/>
        <v>561</v>
      </c>
      <c r="R601" s="5">
        <v>455.5</v>
      </c>
      <c r="S601" s="5">
        <v>436</v>
      </c>
      <c r="T601" s="5">
        <f t="shared" si="40"/>
        <v>-125</v>
      </c>
    </row>
    <row r="602" spans="1:20">
      <c r="A602" s="1" t="s">
        <v>1305</v>
      </c>
      <c r="B602" s="1" t="s">
        <v>3198</v>
      </c>
      <c r="C602" s="4" t="s">
        <v>109</v>
      </c>
      <c r="D602" s="1" t="s">
        <v>1939</v>
      </c>
      <c r="E602" s="4" t="s">
        <v>190</v>
      </c>
      <c r="F602" s="84">
        <v>102</v>
      </c>
      <c r="G602" s="84">
        <v>86</v>
      </c>
      <c r="H602" s="84">
        <v>103</v>
      </c>
      <c r="I602" s="84">
        <v>87</v>
      </c>
      <c r="J602" s="84">
        <v>75</v>
      </c>
      <c r="K602" s="84">
        <v>77</v>
      </c>
      <c r="L602" s="84">
        <v>58</v>
      </c>
      <c r="M602" s="84">
        <v>74</v>
      </c>
      <c r="N602" s="84">
        <v>50</v>
      </c>
      <c r="O602" s="5">
        <f t="shared" si="38"/>
        <v>530</v>
      </c>
      <c r="P602" s="6">
        <f>RANK(O602,$O$602:$O$658)</f>
        <v>7</v>
      </c>
      <c r="Q602" s="5">
        <f t="shared" si="39"/>
        <v>136</v>
      </c>
      <c r="R602" s="5">
        <v>512</v>
      </c>
      <c r="S602" s="5">
        <v>162</v>
      </c>
      <c r="T602" s="5">
        <f t="shared" si="40"/>
        <v>26</v>
      </c>
    </row>
    <row r="603" spans="1:20">
      <c r="A603" s="1" t="s">
        <v>1941</v>
      </c>
      <c r="B603" s="1" t="s">
        <v>3198</v>
      </c>
      <c r="C603" s="4" t="s">
        <v>109</v>
      </c>
      <c r="D603" s="1" t="s">
        <v>1942</v>
      </c>
      <c r="E603" s="4" t="s">
        <v>1943</v>
      </c>
      <c r="F603" s="84">
        <v>99</v>
      </c>
      <c r="G603" s="84">
        <v>68</v>
      </c>
      <c r="H603" s="84">
        <v>83</v>
      </c>
      <c r="I603" s="84">
        <v>46</v>
      </c>
      <c r="J603" s="84">
        <v>44</v>
      </c>
      <c r="K603" s="84">
        <v>71</v>
      </c>
      <c r="L603" s="84">
        <v>77</v>
      </c>
      <c r="M603" s="84">
        <v>78</v>
      </c>
      <c r="N603" s="84">
        <v>53</v>
      </c>
      <c r="O603" s="5">
        <f t="shared" si="38"/>
        <v>411</v>
      </c>
      <c r="P603" s="6">
        <f t="shared" ref="P603:P658" si="41">RANK(O603,$O$602:$O$658)</f>
        <v>41</v>
      </c>
      <c r="Q603" s="5">
        <f t="shared" si="39"/>
        <v>715</v>
      </c>
      <c r="R603" s="5">
        <v>466.5</v>
      </c>
      <c r="S603" s="5">
        <v>384</v>
      </c>
      <c r="T603" s="5">
        <f t="shared" si="40"/>
        <v>-331</v>
      </c>
    </row>
    <row r="604" spans="1:20">
      <c r="A604" s="1" t="s">
        <v>1944</v>
      </c>
      <c r="B604" s="1" t="s">
        <v>3198</v>
      </c>
      <c r="C604" s="4" t="s">
        <v>109</v>
      </c>
      <c r="D604" s="1" t="s">
        <v>1945</v>
      </c>
      <c r="E604" s="4" t="s">
        <v>1946</v>
      </c>
      <c r="F604" s="84">
        <v>98</v>
      </c>
      <c r="G604" s="84">
        <v>64</v>
      </c>
      <c r="H604" s="84">
        <v>84</v>
      </c>
      <c r="I604" s="84">
        <v>35</v>
      </c>
      <c r="J604" s="84">
        <v>44</v>
      </c>
      <c r="K604" s="84">
        <v>56</v>
      </c>
      <c r="L604" s="84">
        <v>82</v>
      </c>
      <c r="M604" s="84">
        <v>62</v>
      </c>
      <c r="N604" s="84">
        <v>50</v>
      </c>
      <c r="O604" s="5">
        <f t="shared" si="38"/>
        <v>381</v>
      </c>
      <c r="P604" s="6">
        <f t="shared" si="41"/>
        <v>51</v>
      </c>
      <c r="Q604" s="5">
        <f t="shared" si="39"/>
        <v>827</v>
      </c>
      <c r="R604" s="5">
        <v>392.5</v>
      </c>
      <c r="S604" s="5">
        <v>757</v>
      </c>
      <c r="T604" s="5">
        <f t="shared" si="40"/>
        <v>-70</v>
      </c>
    </row>
    <row r="605" spans="1:20">
      <c r="A605" s="1" t="s">
        <v>1947</v>
      </c>
      <c r="B605" s="1" t="s">
        <v>3198</v>
      </c>
      <c r="C605" s="4" t="s">
        <v>109</v>
      </c>
      <c r="D605" s="1" t="s">
        <v>1948</v>
      </c>
      <c r="E605" s="4" t="s">
        <v>1949</v>
      </c>
      <c r="F605" s="84">
        <v>100</v>
      </c>
      <c r="G605" s="84">
        <v>72</v>
      </c>
      <c r="H605" s="84">
        <v>107</v>
      </c>
      <c r="I605" s="84">
        <v>40</v>
      </c>
      <c r="J605" s="84">
        <v>22</v>
      </c>
      <c r="K605" s="84">
        <v>54</v>
      </c>
      <c r="L605" s="84">
        <v>65</v>
      </c>
      <c r="M605" s="84">
        <v>64</v>
      </c>
      <c r="N605" s="84">
        <v>47</v>
      </c>
      <c r="O605" s="5">
        <f t="shared" si="38"/>
        <v>395</v>
      </c>
      <c r="P605" s="6">
        <f t="shared" si="41"/>
        <v>46</v>
      </c>
      <c r="Q605" s="5">
        <f t="shared" si="39"/>
        <v>789</v>
      </c>
      <c r="R605" s="5">
        <v>371.5</v>
      </c>
      <c r="S605" s="5">
        <v>834</v>
      </c>
      <c r="T605" s="5">
        <f t="shared" si="40"/>
        <v>45</v>
      </c>
    </row>
    <row r="606" spans="1:20">
      <c r="A606" s="1" t="s">
        <v>1950</v>
      </c>
      <c r="B606" s="1" t="s">
        <v>3198</v>
      </c>
      <c r="C606" s="4" t="s">
        <v>109</v>
      </c>
      <c r="D606" s="1" t="s">
        <v>1951</v>
      </c>
      <c r="E606" s="4" t="s">
        <v>1952</v>
      </c>
      <c r="F606" s="84">
        <v>96</v>
      </c>
      <c r="G606" s="84">
        <v>59</v>
      </c>
      <c r="H606" s="84">
        <v>84</v>
      </c>
      <c r="I606" s="84">
        <v>53</v>
      </c>
      <c r="J606" s="84">
        <v>34</v>
      </c>
      <c r="K606" s="84">
        <v>61</v>
      </c>
      <c r="L606" s="84">
        <v>64</v>
      </c>
      <c r="M606" s="84">
        <v>52</v>
      </c>
      <c r="N606" s="84">
        <v>54</v>
      </c>
      <c r="O606" s="5">
        <f t="shared" si="38"/>
        <v>387</v>
      </c>
      <c r="P606" s="6">
        <f t="shared" si="41"/>
        <v>50</v>
      </c>
      <c r="Q606" s="5">
        <f t="shared" si="39"/>
        <v>813</v>
      </c>
      <c r="R606" s="5">
        <v>388</v>
      </c>
      <c r="S606" s="5">
        <v>774</v>
      </c>
      <c r="T606" s="5">
        <f t="shared" si="40"/>
        <v>-39</v>
      </c>
    </row>
    <row r="607" spans="1:20">
      <c r="A607" s="1" t="s">
        <v>1953</v>
      </c>
      <c r="B607" s="1" t="s">
        <v>3198</v>
      </c>
      <c r="C607" s="4" t="s">
        <v>109</v>
      </c>
      <c r="D607" s="1" t="s">
        <v>1954</v>
      </c>
      <c r="E607" s="4" t="s">
        <v>1955</v>
      </c>
      <c r="F607" s="84">
        <v>96</v>
      </c>
      <c r="G607" s="84">
        <v>69</v>
      </c>
      <c r="H607" s="84">
        <v>94</v>
      </c>
      <c r="I607" s="84">
        <v>50</v>
      </c>
      <c r="J607" s="84">
        <v>55</v>
      </c>
      <c r="K607" s="84">
        <v>63</v>
      </c>
      <c r="L607" s="84">
        <v>80</v>
      </c>
      <c r="M607" s="84">
        <v>58</v>
      </c>
      <c r="N607" s="84">
        <v>45</v>
      </c>
      <c r="O607" s="5">
        <f t="shared" si="38"/>
        <v>427</v>
      </c>
      <c r="P607" s="6">
        <f t="shared" si="41"/>
        <v>35</v>
      </c>
      <c r="Q607" s="5">
        <f t="shared" si="39"/>
        <v>641</v>
      </c>
      <c r="R607" s="5">
        <v>470.5</v>
      </c>
      <c r="S607" s="5">
        <v>362</v>
      </c>
      <c r="T607" s="5">
        <f t="shared" si="40"/>
        <v>-279</v>
      </c>
    </row>
    <row r="608" spans="1:20">
      <c r="A608" s="1" t="s">
        <v>1956</v>
      </c>
      <c r="B608" s="1" t="s">
        <v>3198</v>
      </c>
      <c r="C608" s="4" t="s">
        <v>109</v>
      </c>
      <c r="D608" s="1" t="s">
        <v>1957</v>
      </c>
      <c r="E608" s="4" t="s">
        <v>1958</v>
      </c>
      <c r="F608" s="84">
        <v>97</v>
      </c>
      <c r="G608" s="84">
        <v>61</v>
      </c>
      <c r="H608" s="84">
        <v>87</v>
      </c>
      <c r="I608" s="84">
        <v>36</v>
      </c>
      <c r="J608" s="84">
        <v>59</v>
      </c>
      <c r="K608" s="84">
        <v>66</v>
      </c>
      <c r="L608" s="84">
        <v>54</v>
      </c>
      <c r="M608" s="84">
        <v>57</v>
      </c>
      <c r="N608" s="84">
        <v>48</v>
      </c>
      <c r="O608" s="5">
        <f t="shared" si="38"/>
        <v>406</v>
      </c>
      <c r="P608" s="6">
        <f t="shared" si="41"/>
        <v>42</v>
      </c>
      <c r="Q608" s="5">
        <f t="shared" si="39"/>
        <v>743</v>
      </c>
      <c r="R608" s="5">
        <v>397.5</v>
      </c>
      <c r="S608" s="5">
        <v>743</v>
      </c>
      <c r="T608" s="5">
        <f t="shared" si="40"/>
        <v>0</v>
      </c>
    </row>
    <row r="609" spans="1:20">
      <c r="A609" s="1" t="s">
        <v>1721</v>
      </c>
      <c r="B609" s="1" t="s">
        <v>3198</v>
      </c>
      <c r="C609" s="4" t="s">
        <v>109</v>
      </c>
      <c r="D609" s="1" t="s">
        <v>1960</v>
      </c>
      <c r="E609" s="4" t="s">
        <v>1723</v>
      </c>
      <c r="F609" s="84">
        <v>106</v>
      </c>
      <c r="G609" s="84">
        <v>86</v>
      </c>
      <c r="H609" s="84">
        <v>94.5</v>
      </c>
      <c r="I609" s="84">
        <v>85</v>
      </c>
      <c r="J609" s="84">
        <v>75</v>
      </c>
      <c r="K609" s="84">
        <v>90</v>
      </c>
      <c r="L609" s="84">
        <v>57</v>
      </c>
      <c r="M609" s="84">
        <v>78</v>
      </c>
      <c r="N609" s="84">
        <v>54</v>
      </c>
      <c r="O609" s="5">
        <f t="shared" si="38"/>
        <v>536.5</v>
      </c>
      <c r="P609" s="6">
        <f t="shared" si="41"/>
        <v>5</v>
      </c>
      <c r="Q609" s="5">
        <f t="shared" si="39"/>
        <v>116</v>
      </c>
      <c r="R609" s="5">
        <v>505.5</v>
      </c>
      <c r="S609" s="5">
        <v>186</v>
      </c>
      <c r="T609" s="5">
        <f t="shared" si="40"/>
        <v>70</v>
      </c>
    </row>
    <row r="610" spans="1:20">
      <c r="A610" s="1" t="s">
        <v>1995</v>
      </c>
      <c r="B610" s="1" t="s">
        <v>3198</v>
      </c>
      <c r="C610" s="4" t="s">
        <v>109</v>
      </c>
      <c r="D610" s="1" t="s">
        <v>1962</v>
      </c>
      <c r="E610" s="4" t="s">
        <v>187</v>
      </c>
      <c r="F610" s="84">
        <v>116</v>
      </c>
      <c r="G610" s="84">
        <v>83</v>
      </c>
      <c r="H610" s="84">
        <v>103</v>
      </c>
      <c r="I610" s="84">
        <v>74</v>
      </c>
      <c r="J610" s="84">
        <v>64</v>
      </c>
      <c r="K610" s="84">
        <v>85</v>
      </c>
      <c r="L610" s="84">
        <v>67</v>
      </c>
      <c r="M610" s="84">
        <v>65</v>
      </c>
      <c r="N610" s="84">
        <v>41</v>
      </c>
      <c r="O610" s="5">
        <f t="shared" si="38"/>
        <v>525</v>
      </c>
      <c r="P610" s="6">
        <f t="shared" si="41"/>
        <v>9</v>
      </c>
      <c r="Q610" s="5">
        <f t="shared" si="39"/>
        <v>151</v>
      </c>
      <c r="R610" s="5">
        <v>488.5</v>
      </c>
      <c r="S610" s="5">
        <v>267</v>
      </c>
      <c r="T610" s="5">
        <f t="shared" si="40"/>
        <v>116</v>
      </c>
    </row>
    <row r="611" spans="1:20">
      <c r="A611" s="1" t="s">
        <v>1963</v>
      </c>
      <c r="B611" s="1" t="s">
        <v>3198</v>
      </c>
      <c r="C611" s="4" t="s">
        <v>109</v>
      </c>
      <c r="D611" s="1" t="s">
        <v>1964</v>
      </c>
      <c r="E611" s="4" t="s">
        <v>1965</v>
      </c>
      <c r="F611" s="84">
        <v>107</v>
      </c>
      <c r="G611" s="84">
        <v>82</v>
      </c>
      <c r="H611" s="84">
        <v>84.5</v>
      </c>
      <c r="I611" s="84">
        <v>63</v>
      </c>
      <c r="J611" s="84">
        <v>52</v>
      </c>
      <c r="K611" s="84">
        <v>70</v>
      </c>
      <c r="L611" s="84">
        <v>74</v>
      </c>
      <c r="M611" s="84">
        <v>83</v>
      </c>
      <c r="N611" s="84">
        <v>54</v>
      </c>
      <c r="O611" s="5">
        <f t="shared" si="38"/>
        <v>458.5</v>
      </c>
      <c r="P611" s="6">
        <f t="shared" si="41"/>
        <v>28</v>
      </c>
      <c r="Q611" s="5">
        <f t="shared" si="39"/>
        <v>463</v>
      </c>
      <c r="R611" s="5">
        <v>473.5</v>
      </c>
      <c r="S611" s="5">
        <v>342</v>
      </c>
      <c r="T611" s="5">
        <f t="shared" si="40"/>
        <v>-121</v>
      </c>
    </row>
    <row r="612" spans="1:20">
      <c r="A612" s="1" t="s">
        <v>1966</v>
      </c>
      <c r="B612" s="1" t="s">
        <v>3198</v>
      </c>
      <c r="C612" s="4" t="s">
        <v>109</v>
      </c>
      <c r="D612" s="1" t="s">
        <v>1967</v>
      </c>
      <c r="E612" s="4" t="s">
        <v>1968</v>
      </c>
      <c r="F612" s="84">
        <v>92</v>
      </c>
      <c r="G612" s="84">
        <v>42</v>
      </c>
      <c r="H612" s="84">
        <v>65</v>
      </c>
      <c r="I612" s="84">
        <v>60</v>
      </c>
      <c r="J612" s="84">
        <v>28</v>
      </c>
      <c r="K612" s="84">
        <v>51</v>
      </c>
      <c r="L612" s="84">
        <v>45</v>
      </c>
      <c r="M612" s="84">
        <v>54</v>
      </c>
      <c r="N612" s="84">
        <v>49</v>
      </c>
      <c r="O612" s="5">
        <f t="shared" si="38"/>
        <v>338</v>
      </c>
      <c r="P612" s="6">
        <f t="shared" si="41"/>
        <v>56</v>
      </c>
      <c r="Q612" s="5">
        <f t="shared" si="39"/>
        <v>909</v>
      </c>
      <c r="R612" s="5">
        <v>330.5</v>
      </c>
      <c r="S612" s="5">
        <v>904</v>
      </c>
      <c r="T612" s="5">
        <f t="shared" si="40"/>
        <v>-5</v>
      </c>
    </row>
    <row r="613" spans="1:20">
      <c r="A613" s="1" t="s">
        <v>1969</v>
      </c>
      <c r="B613" s="1" t="s">
        <v>3198</v>
      </c>
      <c r="C613" s="4" t="s">
        <v>109</v>
      </c>
      <c r="D613" s="1" t="s">
        <v>1970</v>
      </c>
      <c r="E613" s="4" t="s">
        <v>1971</v>
      </c>
      <c r="F613" s="84">
        <v>114</v>
      </c>
      <c r="G613" s="84">
        <v>88</v>
      </c>
      <c r="H613" s="84">
        <v>100.5</v>
      </c>
      <c r="I613" s="84">
        <v>70</v>
      </c>
      <c r="J613" s="84">
        <v>45</v>
      </c>
      <c r="K613" s="84">
        <v>72</v>
      </c>
      <c r="L613" s="84">
        <v>75</v>
      </c>
      <c r="M613" s="84">
        <v>68</v>
      </c>
      <c r="N613" s="84">
        <v>43</v>
      </c>
      <c r="O613" s="5">
        <f t="shared" si="38"/>
        <v>489.5</v>
      </c>
      <c r="P613" s="6">
        <f t="shared" si="41"/>
        <v>18</v>
      </c>
      <c r="Q613" s="5">
        <f t="shared" si="39"/>
        <v>295</v>
      </c>
      <c r="R613" s="5">
        <v>434</v>
      </c>
      <c r="S613" s="5">
        <v>551</v>
      </c>
      <c r="T613" s="5">
        <f t="shared" si="40"/>
        <v>256</v>
      </c>
    </row>
    <row r="614" spans="1:20">
      <c r="A614" s="1" t="s">
        <v>1972</v>
      </c>
      <c r="B614" s="1" t="s">
        <v>3198</v>
      </c>
      <c r="C614" s="4" t="s">
        <v>109</v>
      </c>
      <c r="D614" s="1" t="s">
        <v>1973</v>
      </c>
      <c r="E614" s="4" t="s">
        <v>1974</v>
      </c>
      <c r="F614" s="84">
        <v>110</v>
      </c>
      <c r="G614" s="84">
        <v>92</v>
      </c>
      <c r="H614" s="84">
        <v>95</v>
      </c>
      <c r="I614" s="84">
        <v>90</v>
      </c>
      <c r="J614" s="84">
        <v>70</v>
      </c>
      <c r="K614" s="84">
        <v>93</v>
      </c>
      <c r="L614" s="84">
        <v>58</v>
      </c>
      <c r="M614" s="84">
        <v>49</v>
      </c>
      <c r="N614" s="84">
        <v>47</v>
      </c>
      <c r="O614" s="5">
        <f t="shared" si="38"/>
        <v>550</v>
      </c>
      <c r="P614" s="6">
        <f t="shared" si="41"/>
        <v>1</v>
      </c>
      <c r="Q614" s="5">
        <f t="shared" si="39"/>
        <v>83</v>
      </c>
      <c r="R614" s="5">
        <v>526.5</v>
      </c>
      <c r="S614" s="5">
        <v>119</v>
      </c>
      <c r="T614" s="5">
        <f t="shared" si="40"/>
        <v>36</v>
      </c>
    </row>
    <row r="615" spans="1:20">
      <c r="A615" s="1" t="s">
        <v>1975</v>
      </c>
      <c r="B615" s="1" t="s">
        <v>3198</v>
      </c>
      <c r="C615" s="4" t="s">
        <v>109</v>
      </c>
      <c r="D615" s="1" t="s">
        <v>1976</v>
      </c>
      <c r="E615" s="4" t="s">
        <v>1977</v>
      </c>
      <c r="F615" s="84">
        <v>96</v>
      </c>
      <c r="G615" s="84">
        <v>54</v>
      </c>
      <c r="H615" s="84">
        <v>104</v>
      </c>
      <c r="I615" s="84">
        <v>57</v>
      </c>
      <c r="J615" s="84">
        <v>48</v>
      </c>
      <c r="K615" s="84">
        <v>61</v>
      </c>
      <c r="L615" s="84">
        <v>69</v>
      </c>
      <c r="M615" s="84">
        <v>71</v>
      </c>
      <c r="N615" s="84">
        <v>55</v>
      </c>
      <c r="O615" s="5">
        <f t="shared" si="38"/>
        <v>420</v>
      </c>
      <c r="P615" s="6">
        <f t="shared" si="41"/>
        <v>38</v>
      </c>
      <c r="Q615" s="5">
        <f t="shared" si="39"/>
        <v>671</v>
      </c>
      <c r="R615" s="5">
        <v>421.5</v>
      </c>
      <c r="S615" s="5">
        <v>627</v>
      </c>
      <c r="T615" s="5">
        <f t="shared" si="40"/>
        <v>-44</v>
      </c>
    </row>
    <row r="616" spans="1:20">
      <c r="A616" s="1" t="s">
        <v>1978</v>
      </c>
      <c r="B616" s="1" t="s">
        <v>3198</v>
      </c>
      <c r="C616" s="4" t="s">
        <v>109</v>
      </c>
      <c r="D616" s="1" t="s">
        <v>1979</v>
      </c>
      <c r="E616" s="4" t="s">
        <v>1980</v>
      </c>
      <c r="F616" s="84">
        <v>105</v>
      </c>
      <c r="G616" s="84">
        <v>66</v>
      </c>
      <c r="H616" s="84">
        <v>69</v>
      </c>
      <c r="I616" s="84">
        <v>49</v>
      </c>
      <c r="J616" s="84">
        <v>52</v>
      </c>
      <c r="K616" s="84">
        <v>61</v>
      </c>
      <c r="L616" s="84">
        <v>71</v>
      </c>
      <c r="M616" s="84">
        <v>69</v>
      </c>
      <c r="N616" s="84">
        <v>57</v>
      </c>
      <c r="O616" s="5">
        <f t="shared" si="38"/>
        <v>402</v>
      </c>
      <c r="P616" s="6">
        <f t="shared" si="41"/>
        <v>44</v>
      </c>
      <c r="Q616" s="5">
        <f t="shared" si="39"/>
        <v>760</v>
      </c>
      <c r="R616" s="5">
        <v>338</v>
      </c>
      <c r="S616" s="5">
        <v>898</v>
      </c>
      <c r="T616" s="5">
        <f t="shared" si="40"/>
        <v>138</v>
      </c>
    </row>
    <row r="617" spans="1:20">
      <c r="A617" s="1" t="s">
        <v>1981</v>
      </c>
      <c r="B617" s="1" t="s">
        <v>3198</v>
      </c>
      <c r="C617" s="4" t="s">
        <v>109</v>
      </c>
      <c r="D617" s="1" t="s">
        <v>1982</v>
      </c>
      <c r="E617" s="4" t="s">
        <v>1983</v>
      </c>
      <c r="F617" s="84">
        <v>97</v>
      </c>
      <c r="G617" s="84">
        <v>57</v>
      </c>
      <c r="H617" s="84">
        <v>62.5</v>
      </c>
      <c r="I617" s="84">
        <v>45</v>
      </c>
      <c r="J617" s="84">
        <v>48</v>
      </c>
      <c r="K617" s="84">
        <v>47</v>
      </c>
      <c r="L617" s="84">
        <v>64</v>
      </c>
      <c r="M617" s="84">
        <v>55</v>
      </c>
      <c r="N617" s="84">
        <v>44</v>
      </c>
      <c r="O617" s="5">
        <f t="shared" si="38"/>
        <v>356.5</v>
      </c>
      <c r="P617" s="6">
        <f t="shared" si="41"/>
        <v>52</v>
      </c>
      <c r="Q617" s="5">
        <f t="shared" si="39"/>
        <v>884</v>
      </c>
      <c r="R617" s="5">
        <v>349</v>
      </c>
      <c r="S617" s="5">
        <v>881</v>
      </c>
      <c r="T617" s="5">
        <f t="shared" si="40"/>
        <v>-3</v>
      </c>
    </row>
    <row r="618" spans="1:20">
      <c r="A618" s="1" t="s">
        <v>1668</v>
      </c>
      <c r="B618" s="1" t="s">
        <v>3198</v>
      </c>
      <c r="C618" s="4" t="s">
        <v>109</v>
      </c>
      <c r="D618" s="1" t="s">
        <v>1985</v>
      </c>
      <c r="E618" s="4" t="s">
        <v>1670</v>
      </c>
      <c r="F618" s="84">
        <v>106</v>
      </c>
      <c r="G618" s="84">
        <v>79</v>
      </c>
      <c r="H618" s="84">
        <v>97.5</v>
      </c>
      <c r="I618" s="84">
        <v>81</v>
      </c>
      <c r="J618" s="84">
        <v>59</v>
      </c>
      <c r="K618" s="84">
        <v>70</v>
      </c>
      <c r="L618" s="84">
        <v>83</v>
      </c>
      <c r="M618" s="84">
        <v>47</v>
      </c>
      <c r="N618" s="84">
        <v>42</v>
      </c>
      <c r="O618" s="5">
        <f t="shared" si="38"/>
        <v>492.5</v>
      </c>
      <c r="P618" s="6">
        <f t="shared" si="41"/>
        <v>17</v>
      </c>
      <c r="Q618" s="5">
        <f t="shared" si="39"/>
        <v>277</v>
      </c>
      <c r="R618" s="5">
        <v>529.5</v>
      </c>
      <c r="S618" s="5">
        <v>106</v>
      </c>
      <c r="T618" s="5">
        <f t="shared" si="40"/>
        <v>-171</v>
      </c>
    </row>
    <row r="619" spans="1:20">
      <c r="A619" s="1" t="s">
        <v>1986</v>
      </c>
      <c r="B619" s="1" t="s">
        <v>3198</v>
      </c>
      <c r="C619" s="4" t="s">
        <v>109</v>
      </c>
      <c r="D619" s="1" t="s">
        <v>1987</v>
      </c>
      <c r="E619" s="4" t="s">
        <v>1988</v>
      </c>
      <c r="F619" s="84">
        <v>95</v>
      </c>
      <c r="G619" s="84">
        <v>34</v>
      </c>
      <c r="H619" s="84">
        <v>70</v>
      </c>
      <c r="I619" s="84">
        <v>22</v>
      </c>
      <c r="J619" s="84">
        <v>51</v>
      </c>
      <c r="K619" s="84">
        <v>35</v>
      </c>
      <c r="L619" s="84">
        <v>71</v>
      </c>
      <c r="M619" s="84">
        <v>80</v>
      </c>
      <c r="N619" s="84">
        <v>39</v>
      </c>
      <c r="O619" s="5">
        <f t="shared" si="38"/>
        <v>307</v>
      </c>
      <c r="P619" s="6">
        <f t="shared" si="41"/>
        <v>57</v>
      </c>
      <c r="Q619" s="5">
        <f t="shared" si="39"/>
        <v>924</v>
      </c>
      <c r="R619" s="5">
        <v>298</v>
      </c>
      <c r="S619" s="5">
        <v>927</v>
      </c>
      <c r="T619" s="5">
        <f t="shared" si="40"/>
        <v>3</v>
      </c>
    </row>
    <row r="620" spans="1:20">
      <c r="A620" s="1" t="s">
        <v>1989</v>
      </c>
      <c r="B620" s="1" t="s">
        <v>3198</v>
      </c>
      <c r="C620" s="4" t="s">
        <v>109</v>
      </c>
      <c r="D620" s="1" t="s">
        <v>1990</v>
      </c>
      <c r="E620" s="4" t="s">
        <v>1991</v>
      </c>
      <c r="F620" s="84">
        <v>103</v>
      </c>
      <c r="G620" s="84">
        <v>57</v>
      </c>
      <c r="H620" s="84">
        <v>61.5</v>
      </c>
      <c r="I620" s="84">
        <v>51</v>
      </c>
      <c r="J620" s="84">
        <v>45</v>
      </c>
      <c r="K620" s="84">
        <v>70</v>
      </c>
      <c r="L620" s="84">
        <v>73</v>
      </c>
      <c r="M620" s="84">
        <v>59</v>
      </c>
      <c r="N620" s="84">
        <v>47</v>
      </c>
      <c r="O620" s="5">
        <f t="shared" si="38"/>
        <v>387.5</v>
      </c>
      <c r="P620" s="6">
        <f t="shared" si="41"/>
        <v>49</v>
      </c>
      <c r="Q620" s="5">
        <f t="shared" si="39"/>
        <v>811</v>
      </c>
      <c r="R620" s="5">
        <v>379.5</v>
      </c>
      <c r="S620" s="5">
        <v>807</v>
      </c>
      <c r="T620" s="5">
        <f t="shared" si="40"/>
        <v>-4</v>
      </c>
    </row>
    <row r="621" spans="1:20">
      <c r="A621" s="1" t="s">
        <v>1992</v>
      </c>
      <c r="B621" s="1" t="s">
        <v>3198</v>
      </c>
      <c r="C621" s="4" t="s">
        <v>109</v>
      </c>
      <c r="D621" s="1" t="s">
        <v>1993</v>
      </c>
      <c r="E621" s="4" t="s">
        <v>1994</v>
      </c>
      <c r="F621" s="84">
        <v>97</v>
      </c>
      <c r="G621" s="84">
        <v>41</v>
      </c>
      <c r="H621" s="84">
        <v>84.5</v>
      </c>
      <c r="I621" s="84">
        <v>55</v>
      </c>
      <c r="J621" s="84">
        <v>46</v>
      </c>
      <c r="K621" s="84">
        <v>76</v>
      </c>
      <c r="L621" s="84">
        <v>55</v>
      </c>
      <c r="M621" s="84">
        <v>78</v>
      </c>
      <c r="N621" s="84">
        <v>43</v>
      </c>
      <c r="O621" s="5">
        <f t="shared" si="38"/>
        <v>399.5</v>
      </c>
      <c r="P621" s="6">
        <f t="shared" si="41"/>
        <v>45</v>
      </c>
      <c r="Q621" s="5">
        <f t="shared" si="39"/>
        <v>775</v>
      </c>
      <c r="R621" s="5">
        <v>402</v>
      </c>
      <c r="S621" s="5">
        <v>721</v>
      </c>
      <c r="T621" s="5">
        <f t="shared" si="40"/>
        <v>-54</v>
      </c>
    </row>
    <row r="622" spans="1:20">
      <c r="A622" s="1" t="s">
        <v>1560</v>
      </c>
      <c r="B622" s="1" t="s">
        <v>3198</v>
      </c>
      <c r="C622" s="4" t="s">
        <v>109</v>
      </c>
      <c r="D622" s="1" t="s">
        <v>1996</v>
      </c>
      <c r="E622" s="4" t="s">
        <v>1562</v>
      </c>
      <c r="F622" s="84">
        <v>104</v>
      </c>
      <c r="G622" s="84">
        <v>72</v>
      </c>
      <c r="H622" s="84">
        <v>100.5</v>
      </c>
      <c r="I622" s="84">
        <v>78</v>
      </c>
      <c r="J622" s="84">
        <v>69</v>
      </c>
      <c r="K622" s="84">
        <v>75</v>
      </c>
      <c r="L622" s="84">
        <v>64</v>
      </c>
      <c r="M622" s="84">
        <v>69</v>
      </c>
      <c r="N622" s="84">
        <v>56</v>
      </c>
      <c r="O622" s="5">
        <f t="shared" si="38"/>
        <v>498.5</v>
      </c>
      <c r="P622" s="6">
        <f t="shared" si="41"/>
        <v>15</v>
      </c>
      <c r="Q622" s="5">
        <f t="shared" si="39"/>
        <v>253</v>
      </c>
      <c r="R622" s="5">
        <v>554</v>
      </c>
      <c r="S622" s="5">
        <v>53</v>
      </c>
      <c r="T622" s="5">
        <f t="shared" si="40"/>
        <v>-200</v>
      </c>
    </row>
    <row r="623" spans="1:20">
      <c r="A623" s="1" t="s">
        <v>1997</v>
      </c>
      <c r="B623" s="1" t="s">
        <v>3198</v>
      </c>
      <c r="C623" s="4" t="s">
        <v>109</v>
      </c>
      <c r="D623" s="1" t="s">
        <v>1998</v>
      </c>
      <c r="E623" s="4" t="s">
        <v>1999</v>
      </c>
      <c r="F623" s="84">
        <v>93</v>
      </c>
      <c r="G623" s="84">
        <v>69</v>
      </c>
      <c r="H623" s="84">
        <v>94.5</v>
      </c>
      <c r="I623" s="84">
        <v>87</v>
      </c>
      <c r="J623" s="84">
        <v>54</v>
      </c>
      <c r="K623" s="84">
        <v>83</v>
      </c>
      <c r="L623" s="84">
        <v>67</v>
      </c>
      <c r="M623" s="84">
        <v>66</v>
      </c>
      <c r="N623" s="84">
        <v>48</v>
      </c>
      <c r="O623" s="5">
        <f t="shared" si="38"/>
        <v>480.5</v>
      </c>
      <c r="P623" s="6">
        <f t="shared" si="41"/>
        <v>21</v>
      </c>
      <c r="Q623" s="5">
        <f t="shared" si="39"/>
        <v>336</v>
      </c>
      <c r="R623" s="5">
        <v>482</v>
      </c>
      <c r="S623" s="5">
        <v>296</v>
      </c>
      <c r="T623" s="5">
        <f t="shared" si="40"/>
        <v>-40</v>
      </c>
    </row>
    <row r="624" spans="1:20">
      <c r="A624" s="1" t="s">
        <v>2000</v>
      </c>
      <c r="B624" s="1" t="s">
        <v>3198</v>
      </c>
      <c r="C624" s="4" t="s">
        <v>109</v>
      </c>
      <c r="D624" s="1" t="s">
        <v>2001</v>
      </c>
      <c r="E624" s="4" t="s">
        <v>2002</v>
      </c>
      <c r="F624" s="84">
        <v>110</v>
      </c>
      <c r="G624" s="84">
        <v>49</v>
      </c>
      <c r="H624" s="84">
        <v>63</v>
      </c>
      <c r="I624" s="84">
        <v>63</v>
      </c>
      <c r="J624" s="84">
        <v>35</v>
      </c>
      <c r="K624" s="84">
        <v>69</v>
      </c>
      <c r="L624" s="84">
        <v>61</v>
      </c>
      <c r="M624" s="84">
        <v>70</v>
      </c>
      <c r="N624" s="84">
        <v>48</v>
      </c>
      <c r="O624" s="5">
        <f t="shared" si="38"/>
        <v>389</v>
      </c>
      <c r="P624" s="6">
        <f t="shared" si="41"/>
        <v>48</v>
      </c>
      <c r="Q624" s="5">
        <f t="shared" si="39"/>
        <v>805</v>
      </c>
      <c r="R624" s="5">
        <v>373</v>
      </c>
      <c r="S624" s="5">
        <v>829</v>
      </c>
      <c r="T624" s="5">
        <f t="shared" si="40"/>
        <v>24</v>
      </c>
    </row>
    <row r="625" spans="1:20">
      <c r="A625" s="1" t="s">
        <v>2003</v>
      </c>
      <c r="B625" s="1" t="s">
        <v>3198</v>
      </c>
      <c r="C625" s="4" t="s">
        <v>109</v>
      </c>
      <c r="D625" s="1" t="s">
        <v>2004</v>
      </c>
      <c r="E625" s="4" t="s">
        <v>2005</v>
      </c>
      <c r="F625" s="84">
        <v>96</v>
      </c>
      <c r="G625" s="84">
        <v>70</v>
      </c>
      <c r="H625" s="84">
        <v>82.5</v>
      </c>
      <c r="I625" s="84">
        <v>60</v>
      </c>
      <c r="J625" s="84">
        <v>56</v>
      </c>
      <c r="K625" s="84">
        <v>56</v>
      </c>
      <c r="L625" s="84">
        <v>69</v>
      </c>
      <c r="M625" s="84">
        <v>58</v>
      </c>
      <c r="N625" s="84">
        <v>47</v>
      </c>
      <c r="O625" s="5">
        <f t="shared" si="38"/>
        <v>420.5</v>
      </c>
      <c r="P625" s="6">
        <f t="shared" si="41"/>
        <v>37</v>
      </c>
      <c r="Q625" s="5">
        <f t="shared" si="39"/>
        <v>669</v>
      </c>
      <c r="R625" s="5">
        <v>449</v>
      </c>
      <c r="S625" s="5">
        <v>473</v>
      </c>
      <c r="T625" s="5">
        <f t="shared" si="40"/>
        <v>-196</v>
      </c>
    </row>
    <row r="626" spans="1:20">
      <c r="A626" s="1" t="s">
        <v>2006</v>
      </c>
      <c r="B626" s="1" t="s">
        <v>3198</v>
      </c>
      <c r="C626" s="4" t="s">
        <v>109</v>
      </c>
      <c r="D626" s="1" t="s">
        <v>2007</v>
      </c>
      <c r="E626" s="4" t="s">
        <v>2008</v>
      </c>
      <c r="F626" s="84">
        <v>84</v>
      </c>
      <c r="G626" s="84">
        <v>34</v>
      </c>
      <c r="H626" s="84">
        <v>55.5</v>
      </c>
      <c r="I626" s="84">
        <v>83</v>
      </c>
      <c r="J626" s="84">
        <v>49</v>
      </c>
      <c r="K626" s="84">
        <v>50</v>
      </c>
      <c r="L626" s="84">
        <v>59</v>
      </c>
      <c r="M626" s="84">
        <v>53</v>
      </c>
      <c r="N626" s="84">
        <v>51</v>
      </c>
      <c r="O626" s="5">
        <f t="shared" si="38"/>
        <v>355.5</v>
      </c>
      <c r="P626" s="6">
        <f t="shared" si="41"/>
        <v>53</v>
      </c>
      <c r="Q626" s="5">
        <f t="shared" si="39"/>
        <v>885</v>
      </c>
      <c r="R626" s="5">
        <v>358.5</v>
      </c>
      <c r="S626" s="5">
        <v>861</v>
      </c>
      <c r="T626" s="5">
        <f t="shared" si="40"/>
        <v>-24</v>
      </c>
    </row>
    <row r="627" spans="1:20">
      <c r="A627" s="1" t="s">
        <v>2009</v>
      </c>
      <c r="B627" s="1" t="s">
        <v>3198</v>
      </c>
      <c r="C627" s="4" t="s">
        <v>109</v>
      </c>
      <c r="D627" s="1" t="s">
        <v>2010</v>
      </c>
      <c r="E627" s="4" t="s">
        <v>2011</v>
      </c>
      <c r="F627" s="84">
        <v>100</v>
      </c>
      <c r="G627" s="84">
        <v>87</v>
      </c>
      <c r="H627" s="84">
        <v>97</v>
      </c>
      <c r="I627" s="84">
        <v>69</v>
      </c>
      <c r="J627" s="84">
        <v>73</v>
      </c>
      <c r="K627" s="84">
        <v>83</v>
      </c>
      <c r="L627" s="84">
        <v>74</v>
      </c>
      <c r="M627" s="84">
        <v>64</v>
      </c>
      <c r="N627" s="84">
        <v>55</v>
      </c>
      <c r="O627" s="5">
        <f t="shared" si="38"/>
        <v>509</v>
      </c>
      <c r="P627" s="6">
        <f t="shared" si="41"/>
        <v>11</v>
      </c>
      <c r="Q627" s="5">
        <f t="shared" si="39"/>
        <v>209</v>
      </c>
      <c r="R627" s="5">
        <v>501.5</v>
      </c>
      <c r="S627" s="5">
        <v>204</v>
      </c>
      <c r="T627" s="5">
        <f t="shared" si="40"/>
        <v>-5</v>
      </c>
    </row>
    <row r="628" spans="1:20">
      <c r="A628" s="1" t="s">
        <v>2012</v>
      </c>
      <c r="B628" s="1" t="s">
        <v>3198</v>
      </c>
      <c r="C628" s="4" t="s">
        <v>109</v>
      </c>
      <c r="D628" s="1" t="s">
        <v>2013</v>
      </c>
      <c r="E628" s="4" t="s">
        <v>2014</v>
      </c>
      <c r="F628" s="84">
        <v>115</v>
      </c>
      <c r="G628" s="84">
        <v>67</v>
      </c>
      <c r="H628" s="84">
        <v>121.5</v>
      </c>
      <c r="I628" s="84">
        <v>83</v>
      </c>
      <c r="J628" s="84">
        <v>55</v>
      </c>
      <c r="K628" s="84">
        <v>84</v>
      </c>
      <c r="L628" s="84">
        <v>85</v>
      </c>
      <c r="M628" s="84">
        <v>63</v>
      </c>
      <c r="N628" s="84">
        <v>53</v>
      </c>
      <c r="O628" s="5">
        <f t="shared" si="38"/>
        <v>525.5</v>
      </c>
      <c r="P628" s="6">
        <f t="shared" si="41"/>
        <v>8</v>
      </c>
      <c r="Q628" s="5">
        <f t="shared" si="39"/>
        <v>149</v>
      </c>
      <c r="R628" s="5">
        <v>527.5</v>
      </c>
      <c r="S628" s="5">
        <v>118</v>
      </c>
      <c r="T628" s="5">
        <f t="shared" si="40"/>
        <v>-31</v>
      </c>
    </row>
    <row r="629" spans="1:20">
      <c r="A629" s="1" t="s">
        <v>2015</v>
      </c>
      <c r="B629" s="1" t="s">
        <v>3198</v>
      </c>
      <c r="C629" s="4" t="s">
        <v>109</v>
      </c>
      <c r="D629" s="1" t="s">
        <v>2016</v>
      </c>
      <c r="E629" s="4" t="s">
        <v>2017</v>
      </c>
      <c r="F629" s="84">
        <v>86</v>
      </c>
      <c r="G629" s="84">
        <v>88</v>
      </c>
      <c r="H629" s="84">
        <v>75.5</v>
      </c>
      <c r="I629" s="84">
        <v>82</v>
      </c>
      <c r="J629" s="84">
        <v>76</v>
      </c>
      <c r="K629" s="84">
        <v>87</v>
      </c>
      <c r="L629" s="84">
        <v>49</v>
      </c>
      <c r="M629" s="84">
        <v>61</v>
      </c>
      <c r="N629" s="84">
        <v>56</v>
      </c>
      <c r="O629" s="5">
        <f t="shared" si="38"/>
        <v>494.5</v>
      </c>
      <c r="P629" s="6">
        <f t="shared" si="41"/>
        <v>16</v>
      </c>
      <c r="Q629" s="5">
        <f t="shared" si="39"/>
        <v>269</v>
      </c>
      <c r="R629" s="5">
        <v>462.5</v>
      </c>
      <c r="S629" s="5">
        <v>403</v>
      </c>
      <c r="T629" s="5">
        <f t="shared" si="40"/>
        <v>134</v>
      </c>
    </row>
    <row r="630" spans="1:20">
      <c r="A630" s="1" t="s">
        <v>2018</v>
      </c>
      <c r="B630" s="1" t="s">
        <v>3198</v>
      </c>
      <c r="C630" s="4" t="s">
        <v>109</v>
      </c>
      <c r="D630" s="1" t="s">
        <v>2019</v>
      </c>
      <c r="E630" s="4" t="s">
        <v>2020</v>
      </c>
      <c r="F630" s="84">
        <v>108</v>
      </c>
      <c r="G630" s="84">
        <v>66</v>
      </c>
      <c r="H630" s="84">
        <v>82.5</v>
      </c>
      <c r="I630" s="84">
        <v>74</v>
      </c>
      <c r="J630" s="84">
        <v>47</v>
      </c>
      <c r="K630" s="84">
        <v>75</v>
      </c>
      <c r="L630" s="84">
        <v>55</v>
      </c>
      <c r="M630" s="84">
        <v>65</v>
      </c>
      <c r="N630" s="84">
        <v>59</v>
      </c>
      <c r="O630" s="5">
        <f t="shared" si="38"/>
        <v>452.5</v>
      </c>
      <c r="P630" s="6">
        <f t="shared" si="41"/>
        <v>29</v>
      </c>
      <c r="Q630" s="5">
        <f t="shared" si="39"/>
        <v>500</v>
      </c>
      <c r="R630" s="5">
        <v>448.5</v>
      </c>
      <c r="S630" s="5">
        <v>477</v>
      </c>
      <c r="T630" s="5">
        <f t="shared" si="40"/>
        <v>-23</v>
      </c>
    </row>
    <row r="631" spans="1:20">
      <c r="A631" s="1" t="s">
        <v>2021</v>
      </c>
      <c r="B631" s="1" t="s">
        <v>3198</v>
      </c>
      <c r="C631" s="4" t="s">
        <v>109</v>
      </c>
      <c r="D631" s="1" t="s">
        <v>2022</v>
      </c>
      <c r="E631" s="4" t="s">
        <v>2023</v>
      </c>
      <c r="F631" s="84">
        <v>108</v>
      </c>
      <c r="G631" s="84">
        <v>69</v>
      </c>
      <c r="H631" s="84">
        <v>78</v>
      </c>
      <c r="I631" s="84">
        <v>52</v>
      </c>
      <c r="J631" s="84">
        <v>36</v>
      </c>
      <c r="K631" s="84">
        <v>47</v>
      </c>
      <c r="L631" s="84">
        <v>70</v>
      </c>
      <c r="M631" s="84">
        <v>62</v>
      </c>
      <c r="N631" s="84">
        <v>43</v>
      </c>
      <c r="O631" s="5">
        <f t="shared" si="38"/>
        <v>390</v>
      </c>
      <c r="P631" s="6">
        <f t="shared" si="41"/>
        <v>47</v>
      </c>
      <c r="Q631" s="5">
        <f t="shared" si="39"/>
        <v>802</v>
      </c>
      <c r="R631" s="5">
        <v>364</v>
      </c>
      <c r="S631" s="5">
        <v>851</v>
      </c>
      <c r="T631" s="5">
        <f t="shared" si="40"/>
        <v>49</v>
      </c>
    </row>
    <row r="632" spans="1:20">
      <c r="A632" s="1" t="s">
        <v>2024</v>
      </c>
      <c r="B632" s="1" t="s">
        <v>3198</v>
      </c>
      <c r="C632" s="4" t="s">
        <v>109</v>
      </c>
      <c r="D632" s="1" t="s">
        <v>2025</v>
      </c>
      <c r="E632" s="1" t="s">
        <v>2026</v>
      </c>
      <c r="F632" s="84">
        <v>112</v>
      </c>
      <c r="G632" s="84">
        <v>102</v>
      </c>
      <c r="H632" s="84">
        <v>110.5</v>
      </c>
      <c r="I632" s="84">
        <v>81</v>
      </c>
      <c r="J632" s="84">
        <v>67</v>
      </c>
      <c r="K632" s="84">
        <v>64</v>
      </c>
      <c r="L632" s="84">
        <v>76</v>
      </c>
      <c r="M632" s="84">
        <v>58</v>
      </c>
      <c r="N632" s="84">
        <v>46</v>
      </c>
      <c r="O632" s="5">
        <f t="shared" si="38"/>
        <v>536.5</v>
      </c>
      <c r="P632" s="6">
        <f t="shared" si="41"/>
        <v>5</v>
      </c>
      <c r="Q632" s="5">
        <f t="shared" si="39"/>
        <v>116</v>
      </c>
      <c r="R632" s="5">
        <v>496.5</v>
      </c>
      <c r="S632" s="5">
        <v>227</v>
      </c>
      <c r="T632" s="5">
        <f t="shared" si="40"/>
        <v>111</v>
      </c>
    </row>
    <row r="633" spans="1:20">
      <c r="A633" s="1" t="s">
        <v>1763</v>
      </c>
      <c r="B633" s="1" t="s">
        <v>3198</v>
      </c>
      <c r="C633" s="4" t="s">
        <v>109</v>
      </c>
      <c r="D633" s="1" t="s">
        <v>2028</v>
      </c>
      <c r="E633" s="4" t="s">
        <v>1765</v>
      </c>
      <c r="F633" s="84">
        <v>121</v>
      </c>
      <c r="G633" s="84">
        <v>83</v>
      </c>
      <c r="H633" s="84">
        <v>86.5</v>
      </c>
      <c r="I633" s="84">
        <v>72</v>
      </c>
      <c r="J633" s="84">
        <v>47</v>
      </c>
      <c r="K633" s="84">
        <v>73</v>
      </c>
      <c r="L633" s="84">
        <v>78</v>
      </c>
      <c r="M633" s="84">
        <v>68</v>
      </c>
      <c r="N633" s="84">
        <v>36</v>
      </c>
      <c r="O633" s="5">
        <f t="shared" si="38"/>
        <v>482.5</v>
      </c>
      <c r="P633" s="6">
        <f t="shared" si="41"/>
        <v>19</v>
      </c>
      <c r="Q633" s="5">
        <f t="shared" si="39"/>
        <v>323</v>
      </c>
      <c r="R633" s="5">
        <v>438.5</v>
      </c>
      <c r="S633" s="5">
        <v>531</v>
      </c>
      <c r="T633" s="5">
        <f t="shared" si="40"/>
        <v>208</v>
      </c>
    </row>
    <row r="634" spans="1:20">
      <c r="A634" s="1" t="s">
        <v>2029</v>
      </c>
      <c r="B634" s="1" t="s">
        <v>3198</v>
      </c>
      <c r="C634" s="4" t="s">
        <v>109</v>
      </c>
      <c r="D634" s="1" t="s">
        <v>2030</v>
      </c>
      <c r="E634" s="4" t="s">
        <v>2031</v>
      </c>
      <c r="F634" s="84">
        <v>106</v>
      </c>
      <c r="G634" s="84">
        <v>48</v>
      </c>
      <c r="H634" s="84">
        <v>112.5</v>
      </c>
      <c r="I634" s="84">
        <v>56</v>
      </c>
      <c r="J634" s="84">
        <v>56</v>
      </c>
      <c r="K634" s="84">
        <v>69</v>
      </c>
      <c r="L634" s="84">
        <v>55</v>
      </c>
      <c r="M634" s="84">
        <v>52</v>
      </c>
      <c r="N634" s="84">
        <v>42</v>
      </c>
      <c r="O634" s="5">
        <f t="shared" si="38"/>
        <v>447.5</v>
      </c>
      <c r="P634" s="6">
        <f t="shared" si="41"/>
        <v>30</v>
      </c>
      <c r="Q634" s="5">
        <f t="shared" si="39"/>
        <v>530</v>
      </c>
      <c r="R634" s="5">
        <v>379.5</v>
      </c>
      <c r="S634" s="5">
        <v>807</v>
      </c>
      <c r="T634" s="5">
        <f t="shared" si="40"/>
        <v>277</v>
      </c>
    </row>
    <row r="635" spans="1:20">
      <c r="A635" s="1" t="s">
        <v>2032</v>
      </c>
      <c r="B635" s="1" t="s">
        <v>3198</v>
      </c>
      <c r="C635" s="4" t="s">
        <v>109</v>
      </c>
      <c r="D635" s="1" t="s">
        <v>2033</v>
      </c>
      <c r="E635" s="4" t="s">
        <v>2034</v>
      </c>
      <c r="F635" s="84">
        <v>98</v>
      </c>
      <c r="G635" s="84">
        <v>68</v>
      </c>
      <c r="H635" s="84">
        <v>91</v>
      </c>
      <c r="I635" s="84">
        <v>50</v>
      </c>
      <c r="J635" s="84">
        <v>64</v>
      </c>
      <c r="K635" s="84">
        <v>66</v>
      </c>
      <c r="L635" s="84">
        <v>67</v>
      </c>
      <c r="M635" s="84">
        <v>67</v>
      </c>
      <c r="N635" s="84">
        <v>60</v>
      </c>
      <c r="O635" s="5">
        <f t="shared" si="38"/>
        <v>437</v>
      </c>
      <c r="P635" s="6">
        <f t="shared" si="41"/>
        <v>32</v>
      </c>
      <c r="Q635" s="5">
        <f t="shared" si="39"/>
        <v>588</v>
      </c>
      <c r="R635" s="5">
        <v>403.5</v>
      </c>
      <c r="S635" s="5">
        <v>715</v>
      </c>
      <c r="T635" s="5">
        <f t="shared" si="40"/>
        <v>127</v>
      </c>
    </row>
    <row r="636" spans="1:20">
      <c r="A636" s="1" t="s">
        <v>2035</v>
      </c>
      <c r="B636" s="1" t="s">
        <v>3198</v>
      </c>
      <c r="C636" s="4" t="s">
        <v>109</v>
      </c>
      <c r="D636" s="1" t="s">
        <v>2036</v>
      </c>
      <c r="E636" s="4" t="s">
        <v>2037</v>
      </c>
      <c r="F636" s="84">
        <v>87</v>
      </c>
      <c r="G636" s="84">
        <v>65</v>
      </c>
      <c r="H636" s="84">
        <v>98</v>
      </c>
      <c r="I636" s="84">
        <v>63</v>
      </c>
      <c r="J636" s="84">
        <v>55</v>
      </c>
      <c r="K636" s="84">
        <v>66</v>
      </c>
      <c r="L636" s="84">
        <v>55</v>
      </c>
      <c r="M636" s="84">
        <v>50</v>
      </c>
      <c r="N636" s="84">
        <v>26</v>
      </c>
      <c r="O636" s="5">
        <f t="shared" si="38"/>
        <v>434</v>
      </c>
      <c r="P636" s="6">
        <f t="shared" si="41"/>
        <v>33</v>
      </c>
      <c r="Q636" s="5">
        <f t="shared" si="39"/>
        <v>604</v>
      </c>
      <c r="R636" s="5">
        <v>450.5</v>
      </c>
      <c r="S636" s="5">
        <v>462</v>
      </c>
      <c r="T636" s="5">
        <f t="shared" si="40"/>
        <v>-142</v>
      </c>
    </row>
    <row r="637" spans="1:20">
      <c r="A637" s="1" t="s">
        <v>2038</v>
      </c>
      <c r="B637" s="1" t="s">
        <v>3198</v>
      </c>
      <c r="C637" s="4" t="s">
        <v>109</v>
      </c>
      <c r="D637" s="1" t="s">
        <v>2039</v>
      </c>
      <c r="E637" s="4" t="s">
        <v>2040</v>
      </c>
      <c r="F637" s="84">
        <v>107</v>
      </c>
      <c r="G637" s="84">
        <v>104</v>
      </c>
      <c r="H637" s="84">
        <v>97.5</v>
      </c>
      <c r="I637" s="84">
        <v>86</v>
      </c>
      <c r="J637" s="84">
        <v>56</v>
      </c>
      <c r="K637" s="84">
        <v>90</v>
      </c>
      <c r="L637" s="84">
        <v>62</v>
      </c>
      <c r="M637" s="84">
        <v>54</v>
      </c>
      <c r="N637" s="84">
        <v>44</v>
      </c>
      <c r="O637" s="5">
        <f t="shared" si="38"/>
        <v>540.5</v>
      </c>
      <c r="P637" s="6">
        <f t="shared" si="41"/>
        <v>4</v>
      </c>
      <c r="Q637" s="5">
        <f t="shared" si="39"/>
        <v>101</v>
      </c>
      <c r="R637" s="5">
        <v>473</v>
      </c>
      <c r="S637" s="5">
        <v>346</v>
      </c>
      <c r="T637" s="5">
        <f t="shared" si="40"/>
        <v>245</v>
      </c>
    </row>
    <row r="638" spans="1:20">
      <c r="A638" s="1" t="s">
        <v>2041</v>
      </c>
      <c r="B638" s="1" t="s">
        <v>3198</v>
      </c>
      <c r="C638" s="4" t="s">
        <v>109</v>
      </c>
      <c r="D638" s="1" t="s">
        <v>2042</v>
      </c>
      <c r="E638" s="4" t="s">
        <v>2043</v>
      </c>
      <c r="F638" s="84">
        <v>106</v>
      </c>
      <c r="G638" s="84">
        <v>71</v>
      </c>
      <c r="H638" s="84">
        <v>92</v>
      </c>
      <c r="I638" s="84">
        <v>79</v>
      </c>
      <c r="J638" s="84">
        <v>71</v>
      </c>
      <c r="K638" s="84">
        <v>89</v>
      </c>
      <c r="L638" s="84">
        <v>67</v>
      </c>
      <c r="M638" s="84">
        <v>77</v>
      </c>
      <c r="N638" s="84">
        <v>72</v>
      </c>
      <c r="O638" s="5">
        <f t="shared" si="38"/>
        <v>508</v>
      </c>
      <c r="P638" s="6">
        <f t="shared" si="41"/>
        <v>12</v>
      </c>
      <c r="Q638" s="5">
        <f t="shared" si="39"/>
        <v>213</v>
      </c>
      <c r="R638" s="5">
        <v>518</v>
      </c>
      <c r="S638" s="5">
        <v>142</v>
      </c>
      <c r="T638" s="5">
        <f t="shared" si="40"/>
        <v>-71</v>
      </c>
    </row>
    <row r="639" spans="1:20">
      <c r="A639" s="1" t="s">
        <v>2044</v>
      </c>
      <c r="B639" s="1" t="s">
        <v>3198</v>
      </c>
      <c r="C639" s="4" t="s">
        <v>109</v>
      </c>
      <c r="D639" s="1" t="s">
        <v>2045</v>
      </c>
      <c r="E639" s="4" t="s">
        <v>2046</v>
      </c>
      <c r="F639" s="84">
        <v>107</v>
      </c>
      <c r="G639" s="84">
        <v>68</v>
      </c>
      <c r="H639" s="84">
        <v>94</v>
      </c>
      <c r="I639" s="84">
        <v>75</v>
      </c>
      <c r="J639" s="84">
        <v>61</v>
      </c>
      <c r="K639" s="84">
        <v>76</v>
      </c>
      <c r="L639" s="84">
        <v>79</v>
      </c>
      <c r="M639" s="84">
        <v>70</v>
      </c>
      <c r="N639" s="84">
        <v>55</v>
      </c>
      <c r="O639" s="5">
        <f t="shared" si="38"/>
        <v>481</v>
      </c>
      <c r="P639" s="6">
        <f t="shared" si="41"/>
        <v>20</v>
      </c>
      <c r="Q639" s="5">
        <f t="shared" si="39"/>
        <v>332</v>
      </c>
      <c r="R639" s="5">
        <v>501.5</v>
      </c>
      <c r="S639" s="5">
        <v>204</v>
      </c>
      <c r="T639" s="5">
        <f t="shared" si="40"/>
        <v>-128</v>
      </c>
    </row>
    <row r="640" spans="1:20">
      <c r="A640" s="1" t="s">
        <v>2047</v>
      </c>
      <c r="B640" s="1" t="s">
        <v>3198</v>
      </c>
      <c r="C640" s="4" t="s">
        <v>109</v>
      </c>
      <c r="D640" s="1" t="s">
        <v>2048</v>
      </c>
      <c r="E640" s="4" t="s">
        <v>2049</v>
      </c>
      <c r="F640" s="84">
        <v>110</v>
      </c>
      <c r="G640" s="84">
        <v>93</v>
      </c>
      <c r="H640" s="84">
        <v>119</v>
      </c>
      <c r="I640" s="84">
        <v>84</v>
      </c>
      <c r="J640" s="84">
        <v>59</v>
      </c>
      <c r="K640" s="84">
        <v>80</v>
      </c>
      <c r="L640" s="84">
        <v>79</v>
      </c>
      <c r="M640" s="84">
        <v>72</v>
      </c>
      <c r="N640" s="84">
        <v>66</v>
      </c>
      <c r="O640" s="5">
        <f t="shared" si="38"/>
        <v>545</v>
      </c>
      <c r="P640" s="6">
        <f t="shared" si="41"/>
        <v>3</v>
      </c>
      <c r="Q640" s="5">
        <f t="shared" si="39"/>
        <v>93</v>
      </c>
      <c r="R640" s="5">
        <v>557</v>
      </c>
      <c r="S640" s="5">
        <v>48</v>
      </c>
      <c r="T640" s="5">
        <f t="shared" si="40"/>
        <v>-45</v>
      </c>
    </row>
    <row r="641" spans="1:20">
      <c r="A641" s="1" t="s">
        <v>2050</v>
      </c>
      <c r="B641" s="1" t="s">
        <v>3198</v>
      </c>
      <c r="C641" s="4" t="s">
        <v>109</v>
      </c>
      <c r="D641" s="1" t="s">
        <v>2051</v>
      </c>
      <c r="E641" s="4" t="s">
        <v>2052</v>
      </c>
      <c r="F641" s="84">
        <v>90</v>
      </c>
      <c r="G641" s="84">
        <v>41</v>
      </c>
      <c r="H641" s="84">
        <v>87</v>
      </c>
      <c r="I641" s="84">
        <v>30</v>
      </c>
      <c r="J641" s="84">
        <v>43</v>
      </c>
      <c r="K641" s="84">
        <v>64</v>
      </c>
      <c r="L641" s="84">
        <v>85</v>
      </c>
      <c r="M641" s="84">
        <v>68</v>
      </c>
      <c r="N641" s="84">
        <v>65</v>
      </c>
      <c r="O641" s="5">
        <f t="shared" si="38"/>
        <v>355</v>
      </c>
      <c r="P641" s="6">
        <f t="shared" si="41"/>
        <v>54</v>
      </c>
      <c r="Q641" s="5">
        <f t="shared" si="39"/>
        <v>887</v>
      </c>
      <c r="R641" s="5">
        <v>329</v>
      </c>
      <c r="S641" s="5">
        <v>907</v>
      </c>
      <c r="T641" s="5">
        <f t="shared" si="40"/>
        <v>20</v>
      </c>
    </row>
    <row r="642" spans="1:20">
      <c r="A642" s="1" t="s">
        <v>2053</v>
      </c>
      <c r="B642" s="1" t="s">
        <v>3198</v>
      </c>
      <c r="C642" s="4" t="s">
        <v>109</v>
      </c>
      <c r="D642" s="1" t="s">
        <v>2054</v>
      </c>
      <c r="E642" s="4" t="s">
        <v>2055</v>
      </c>
      <c r="F642" s="84">
        <v>105</v>
      </c>
      <c r="G642" s="84">
        <v>94</v>
      </c>
      <c r="H642" s="84">
        <v>111</v>
      </c>
      <c r="I642" s="84">
        <v>63</v>
      </c>
      <c r="J642" s="84">
        <v>61</v>
      </c>
      <c r="K642" s="84">
        <v>67</v>
      </c>
      <c r="L642" s="84">
        <v>81</v>
      </c>
      <c r="M642" s="84">
        <v>65</v>
      </c>
      <c r="N642" s="84">
        <v>54</v>
      </c>
      <c r="O642" s="5">
        <f t="shared" si="38"/>
        <v>501</v>
      </c>
      <c r="P642" s="6">
        <f t="shared" si="41"/>
        <v>14</v>
      </c>
      <c r="Q642" s="5">
        <f t="shared" si="39"/>
        <v>241</v>
      </c>
      <c r="R642" s="5">
        <v>473</v>
      </c>
      <c r="S642" s="5">
        <v>346</v>
      </c>
      <c r="T642" s="5">
        <f t="shared" si="40"/>
        <v>105</v>
      </c>
    </row>
    <row r="643" spans="1:20">
      <c r="A643" s="1" t="s">
        <v>2056</v>
      </c>
      <c r="B643" s="1" t="s">
        <v>3198</v>
      </c>
      <c r="C643" s="4" t="s">
        <v>109</v>
      </c>
      <c r="D643" s="1" t="s">
        <v>2057</v>
      </c>
      <c r="E643" s="4" t="s">
        <v>2058</v>
      </c>
      <c r="F643" s="84">
        <v>103</v>
      </c>
      <c r="G643" s="84">
        <v>76</v>
      </c>
      <c r="H643" s="84">
        <v>91</v>
      </c>
      <c r="I643" s="84">
        <v>62</v>
      </c>
      <c r="J643" s="84">
        <v>60</v>
      </c>
      <c r="K643" s="84">
        <v>84</v>
      </c>
      <c r="L643" s="84">
        <v>64</v>
      </c>
      <c r="M643" s="84">
        <v>71</v>
      </c>
      <c r="N643" s="84">
        <v>35</v>
      </c>
      <c r="O643" s="5">
        <f t="shared" ref="O643:O706" si="42">SUM(F643:K643)</f>
        <v>476</v>
      </c>
      <c r="P643" s="6">
        <f t="shared" si="41"/>
        <v>25</v>
      </c>
      <c r="Q643" s="5">
        <f t="shared" si="39"/>
        <v>358</v>
      </c>
      <c r="R643" s="5">
        <v>436.5</v>
      </c>
      <c r="S643" s="5">
        <v>538</v>
      </c>
      <c r="T643" s="5">
        <f t="shared" si="40"/>
        <v>180</v>
      </c>
    </row>
    <row r="644" spans="1:20">
      <c r="A644" s="1" t="s">
        <v>2059</v>
      </c>
      <c r="B644" s="1" t="s">
        <v>3198</v>
      </c>
      <c r="C644" s="4" t="s">
        <v>109</v>
      </c>
      <c r="D644" s="1" t="s">
        <v>2060</v>
      </c>
      <c r="E644" s="4" t="s">
        <v>2061</v>
      </c>
      <c r="F644" s="84">
        <v>114</v>
      </c>
      <c r="G644" s="84">
        <v>95</v>
      </c>
      <c r="H644" s="84">
        <v>96</v>
      </c>
      <c r="I644" s="84">
        <v>55</v>
      </c>
      <c r="J644" s="84">
        <v>60</v>
      </c>
      <c r="K644" s="84">
        <v>85</v>
      </c>
      <c r="L644" s="84">
        <v>74</v>
      </c>
      <c r="M644" s="84">
        <v>79</v>
      </c>
      <c r="N644" s="84">
        <v>59</v>
      </c>
      <c r="O644" s="5">
        <f t="shared" si="42"/>
        <v>505</v>
      </c>
      <c r="P644" s="6">
        <f t="shared" si="41"/>
        <v>13</v>
      </c>
      <c r="Q644" s="5">
        <f t="shared" ref="Q644:Q707" si="43">RANK(O644,$O$3:$O$936)</f>
        <v>223</v>
      </c>
      <c r="R644" s="5">
        <v>504</v>
      </c>
      <c r="S644" s="5">
        <v>193</v>
      </c>
      <c r="T644" s="5">
        <f t="shared" ref="T644:T707" si="44">S644-Q644</f>
        <v>-30</v>
      </c>
    </row>
    <row r="645" spans="1:20">
      <c r="A645" s="1" t="s">
        <v>2062</v>
      </c>
      <c r="B645" s="1" t="s">
        <v>3198</v>
      </c>
      <c r="C645" s="4" t="s">
        <v>109</v>
      </c>
      <c r="D645" s="1" t="s">
        <v>2063</v>
      </c>
      <c r="E645" s="4" t="s">
        <v>2064</v>
      </c>
      <c r="F645" s="84">
        <v>100</v>
      </c>
      <c r="G645" s="84">
        <v>46</v>
      </c>
      <c r="H645" s="84">
        <v>78.5</v>
      </c>
      <c r="I645" s="84">
        <v>54</v>
      </c>
      <c r="J645" s="84">
        <v>59</v>
      </c>
      <c r="K645" s="84">
        <v>74</v>
      </c>
      <c r="L645" s="84">
        <v>70</v>
      </c>
      <c r="M645" s="84">
        <v>68</v>
      </c>
      <c r="N645" s="84">
        <v>49</v>
      </c>
      <c r="O645" s="5">
        <f t="shared" si="42"/>
        <v>411.5</v>
      </c>
      <c r="P645" s="6">
        <f t="shared" si="41"/>
        <v>40</v>
      </c>
      <c r="Q645" s="5">
        <f t="shared" si="43"/>
        <v>713</v>
      </c>
      <c r="R645" s="5">
        <v>405</v>
      </c>
      <c r="S645" s="5">
        <v>705</v>
      </c>
      <c r="T645" s="5">
        <f t="shared" si="44"/>
        <v>-8</v>
      </c>
    </row>
    <row r="646" spans="1:20">
      <c r="A646" s="1" t="s">
        <v>2065</v>
      </c>
      <c r="B646" s="1" t="s">
        <v>3198</v>
      </c>
      <c r="C646" s="4" t="s">
        <v>109</v>
      </c>
      <c r="D646" s="1" t="s">
        <v>2066</v>
      </c>
      <c r="E646" s="4" t="s">
        <v>2067</v>
      </c>
      <c r="F646" s="84">
        <v>109</v>
      </c>
      <c r="G646" s="84">
        <v>62</v>
      </c>
      <c r="H646" s="84">
        <v>119.5</v>
      </c>
      <c r="I646" s="84">
        <v>61</v>
      </c>
      <c r="J646" s="84">
        <v>50</v>
      </c>
      <c r="K646" s="84">
        <v>67</v>
      </c>
      <c r="L646" s="84">
        <v>82</v>
      </c>
      <c r="M646" s="84">
        <v>68</v>
      </c>
      <c r="N646" s="84">
        <v>58</v>
      </c>
      <c r="O646" s="5">
        <f t="shared" si="42"/>
        <v>468.5</v>
      </c>
      <c r="P646" s="6">
        <f t="shared" si="41"/>
        <v>26</v>
      </c>
      <c r="Q646" s="5">
        <f t="shared" si="43"/>
        <v>401</v>
      </c>
      <c r="R646" s="5">
        <v>494.5</v>
      </c>
      <c r="S646" s="5">
        <v>237</v>
      </c>
      <c r="T646" s="5">
        <f t="shared" si="44"/>
        <v>-164</v>
      </c>
    </row>
    <row r="647" spans="1:20">
      <c r="A647" s="1" t="s">
        <v>2068</v>
      </c>
      <c r="B647" s="1" t="s">
        <v>3198</v>
      </c>
      <c r="C647" s="4" t="s">
        <v>109</v>
      </c>
      <c r="D647" s="1" t="s">
        <v>2069</v>
      </c>
      <c r="E647" s="4" t="s">
        <v>2070</v>
      </c>
      <c r="F647" s="84">
        <v>101</v>
      </c>
      <c r="G647" s="84">
        <v>97</v>
      </c>
      <c r="H647" s="84">
        <v>73</v>
      </c>
      <c r="I647" s="84">
        <v>72</v>
      </c>
      <c r="J647" s="84">
        <v>62</v>
      </c>
      <c r="K647" s="84">
        <v>74</v>
      </c>
      <c r="L647" s="84">
        <v>58</v>
      </c>
      <c r="M647" s="84">
        <v>55</v>
      </c>
      <c r="N647" s="84">
        <v>44</v>
      </c>
      <c r="O647" s="5">
        <f t="shared" si="42"/>
        <v>479</v>
      </c>
      <c r="P647" s="6">
        <f t="shared" si="41"/>
        <v>23</v>
      </c>
      <c r="Q647" s="5">
        <f t="shared" si="43"/>
        <v>344</v>
      </c>
      <c r="R647" s="5">
        <v>439.5</v>
      </c>
      <c r="S647" s="5">
        <v>526</v>
      </c>
      <c r="T647" s="5">
        <f t="shared" si="44"/>
        <v>182</v>
      </c>
    </row>
    <row r="648" spans="1:20">
      <c r="A648" s="1" t="s">
        <v>2071</v>
      </c>
      <c r="B648" s="1" t="s">
        <v>3198</v>
      </c>
      <c r="C648" s="4" t="s">
        <v>109</v>
      </c>
      <c r="D648" s="1" t="s">
        <v>2072</v>
      </c>
      <c r="E648" s="4" t="s">
        <v>110</v>
      </c>
      <c r="F648" s="84">
        <v>103</v>
      </c>
      <c r="G648" s="84">
        <v>82</v>
      </c>
      <c r="H648" s="84">
        <v>123.5</v>
      </c>
      <c r="I648" s="84">
        <v>82</v>
      </c>
      <c r="J648" s="84">
        <v>69</v>
      </c>
      <c r="K648" s="84">
        <v>86</v>
      </c>
      <c r="L648" s="84">
        <v>54</v>
      </c>
      <c r="M648" s="84">
        <v>80</v>
      </c>
      <c r="N648" s="84">
        <v>48</v>
      </c>
      <c r="O648" s="5">
        <f t="shared" si="42"/>
        <v>545.5</v>
      </c>
      <c r="P648" s="6">
        <f t="shared" si="41"/>
        <v>2</v>
      </c>
      <c r="Q648" s="5">
        <f t="shared" si="43"/>
        <v>92</v>
      </c>
      <c r="R648" s="5">
        <v>518</v>
      </c>
      <c r="S648" s="5">
        <v>142</v>
      </c>
      <c r="T648" s="5">
        <f t="shared" si="44"/>
        <v>50</v>
      </c>
    </row>
    <row r="649" spans="1:20">
      <c r="A649" s="1" t="s">
        <v>2073</v>
      </c>
      <c r="B649" s="1" t="s">
        <v>3198</v>
      </c>
      <c r="C649" s="4" t="s">
        <v>109</v>
      </c>
      <c r="D649" s="1" t="s">
        <v>2074</v>
      </c>
      <c r="E649" s="4" t="s">
        <v>2075</v>
      </c>
      <c r="F649" s="84">
        <v>96</v>
      </c>
      <c r="G649" s="84">
        <v>77</v>
      </c>
      <c r="H649" s="84">
        <v>84.5</v>
      </c>
      <c r="I649" s="84">
        <v>93</v>
      </c>
      <c r="J649" s="84">
        <v>43</v>
      </c>
      <c r="K649" s="84">
        <v>73</v>
      </c>
      <c r="L649" s="84">
        <v>73</v>
      </c>
      <c r="M649" s="84">
        <v>58</v>
      </c>
      <c r="N649" s="84">
        <v>57</v>
      </c>
      <c r="O649" s="5">
        <f t="shared" si="42"/>
        <v>466.5</v>
      </c>
      <c r="P649" s="6">
        <f t="shared" si="41"/>
        <v>27</v>
      </c>
      <c r="Q649" s="5">
        <f t="shared" si="43"/>
        <v>414</v>
      </c>
      <c r="R649" s="5">
        <v>408.5</v>
      </c>
      <c r="S649" s="5">
        <v>690</v>
      </c>
      <c r="T649" s="5">
        <f t="shared" si="44"/>
        <v>276</v>
      </c>
    </row>
    <row r="650" spans="1:20">
      <c r="A650" s="1" t="s">
        <v>2076</v>
      </c>
      <c r="B650" s="1" t="s">
        <v>3198</v>
      </c>
      <c r="C650" s="4" t="s">
        <v>109</v>
      </c>
      <c r="D650" s="1" t="s">
        <v>2077</v>
      </c>
      <c r="E650" s="4" t="s">
        <v>2078</v>
      </c>
      <c r="F650" s="84">
        <v>92</v>
      </c>
      <c r="G650" s="84">
        <v>66</v>
      </c>
      <c r="H650" s="84">
        <v>84.5</v>
      </c>
      <c r="I650" s="84">
        <v>58</v>
      </c>
      <c r="J650" s="84">
        <v>63</v>
      </c>
      <c r="K650" s="84">
        <v>62</v>
      </c>
      <c r="L650" s="84">
        <v>62</v>
      </c>
      <c r="M650" s="84">
        <v>57</v>
      </c>
      <c r="N650" s="84">
        <v>52</v>
      </c>
      <c r="O650" s="5">
        <f t="shared" si="42"/>
        <v>425.5</v>
      </c>
      <c r="P650" s="6">
        <f t="shared" si="41"/>
        <v>36</v>
      </c>
      <c r="Q650" s="5">
        <f t="shared" si="43"/>
        <v>644</v>
      </c>
      <c r="R650" s="5">
        <v>426</v>
      </c>
      <c r="S650" s="5">
        <v>600</v>
      </c>
      <c r="T650" s="5">
        <f t="shared" si="44"/>
        <v>-44</v>
      </c>
    </row>
    <row r="651" spans="1:20">
      <c r="A651" s="1" t="s">
        <v>2079</v>
      </c>
      <c r="B651" s="1" t="s">
        <v>3198</v>
      </c>
      <c r="C651" s="4" t="s">
        <v>109</v>
      </c>
      <c r="D651" s="1" t="s">
        <v>2080</v>
      </c>
      <c r="E651" s="4" t="s">
        <v>2081</v>
      </c>
      <c r="F651" s="84">
        <v>90</v>
      </c>
      <c r="G651" s="84">
        <v>68</v>
      </c>
      <c r="H651" s="84">
        <v>87</v>
      </c>
      <c r="I651" s="84">
        <v>74</v>
      </c>
      <c r="J651" s="84">
        <v>36</v>
      </c>
      <c r="K651" s="84">
        <v>60</v>
      </c>
      <c r="L651" s="84">
        <v>52</v>
      </c>
      <c r="M651" s="84">
        <v>54</v>
      </c>
      <c r="N651" s="84">
        <v>50</v>
      </c>
      <c r="O651" s="5">
        <f t="shared" si="42"/>
        <v>415</v>
      </c>
      <c r="P651" s="6">
        <f t="shared" si="41"/>
        <v>39</v>
      </c>
      <c r="Q651" s="5">
        <f t="shared" si="43"/>
        <v>691</v>
      </c>
      <c r="R651" s="5">
        <v>446.5</v>
      </c>
      <c r="S651" s="5">
        <v>485</v>
      </c>
      <c r="T651" s="5">
        <f t="shared" si="44"/>
        <v>-206</v>
      </c>
    </row>
    <row r="652" spans="1:20">
      <c r="A652" s="1" t="s">
        <v>2082</v>
      </c>
      <c r="B652" s="1" t="s">
        <v>3198</v>
      </c>
      <c r="C652" s="4" t="s">
        <v>109</v>
      </c>
      <c r="D652" s="1" t="s">
        <v>2083</v>
      </c>
      <c r="E652" s="4" t="s">
        <v>2084</v>
      </c>
      <c r="F652" s="84">
        <v>98</v>
      </c>
      <c r="G652" s="84">
        <v>53</v>
      </c>
      <c r="H652" s="84">
        <v>94.5</v>
      </c>
      <c r="I652" s="84">
        <v>60</v>
      </c>
      <c r="J652" s="84">
        <v>55</v>
      </c>
      <c r="K652" s="84">
        <v>69</v>
      </c>
      <c r="L652" s="84">
        <v>73</v>
      </c>
      <c r="M652" s="84">
        <v>57</v>
      </c>
      <c r="N652" s="84">
        <v>47</v>
      </c>
      <c r="O652" s="5">
        <f t="shared" si="42"/>
        <v>429.5</v>
      </c>
      <c r="P652" s="6">
        <f t="shared" si="41"/>
        <v>34</v>
      </c>
      <c r="Q652" s="5">
        <f t="shared" si="43"/>
        <v>626</v>
      </c>
      <c r="R652" s="5">
        <v>451.5</v>
      </c>
      <c r="S652" s="5">
        <v>458</v>
      </c>
      <c r="T652" s="5">
        <f t="shared" si="44"/>
        <v>-168</v>
      </c>
    </row>
    <row r="653" spans="1:20">
      <c r="A653" s="1" t="s">
        <v>1749</v>
      </c>
      <c r="B653" s="1" t="s">
        <v>3198</v>
      </c>
      <c r="C653" s="4" t="s">
        <v>109</v>
      </c>
      <c r="D653" s="1" t="s">
        <v>2086</v>
      </c>
      <c r="E653" s="4" t="s">
        <v>1751</v>
      </c>
      <c r="F653" s="84">
        <v>120</v>
      </c>
      <c r="G653" s="84">
        <v>69</v>
      </c>
      <c r="H653" s="84">
        <v>111.5</v>
      </c>
      <c r="I653" s="84">
        <v>85</v>
      </c>
      <c r="J653" s="84">
        <v>53</v>
      </c>
      <c r="K653" s="84">
        <v>76</v>
      </c>
      <c r="L653" s="84">
        <v>72</v>
      </c>
      <c r="M653" s="84">
        <v>71</v>
      </c>
      <c r="N653" s="84">
        <v>59</v>
      </c>
      <c r="O653" s="5">
        <f t="shared" si="42"/>
        <v>514.5</v>
      </c>
      <c r="P653" s="6">
        <f t="shared" si="41"/>
        <v>10</v>
      </c>
      <c r="Q653" s="5">
        <f t="shared" si="43"/>
        <v>188</v>
      </c>
      <c r="R653" s="5">
        <v>487</v>
      </c>
      <c r="S653" s="5">
        <v>275</v>
      </c>
      <c r="T653" s="5">
        <f t="shared" si="44"/>
        <v>87</v>
      </c>
    </row>
    <row r="654" spans="1:20">
      <c r="A654" s="1" t="s">
        <v>2088</v>
      </c>
      <c r="B654" s="1" t="s">
        <v>3198</v>
      </c>
      <c r="C654" s="4" t="s">
        <v>109</v>
      </c>
      <c r="D654" s="1" t="s">
        <v>2089</v>
      </c>
      <c r="E654" s="4" t="s">
        <v>2090</v>
      </c>
      <c r="F654" s="84">
        <v>123</v>
      </c>
      <c r="G654" s="84">
        <v>61</v>
      </c>
      <c r="H654" s="84">
        <v>106.5</v>
      </c>
      <c r="I654" s="84">
        <v>55</v>
      </c>
      <c r="J654" s="84">
        <v>60</v>
      </c>
      <c r="K654" s="84">
        <v>73</v>
      </c>
      <c r="L654" s="84">
        <v>84</v>
      </c>
      <c r="M654" s="84">
        <v>84</v>
      </c>
      <c r="N654" s="84">
        <v>61</v>
      </c>
      <c r="O654" s="5">
        <f t="shared" si="42"/>
        <v>478.5</v>
      </c>
      <c r="P654" s="6">
        <f t="shared" si="41"/>
        <v>24</v>
      </c>
      <c r="Q654" s="5">
        <f t="shared" si="43"/>
        <v>348</v>
      </c>
      <c r="R654" s="5">
        <v>461.5</v>
      </c>
      <c r="S654" s="5">
        <v>407</v>
      </c>
      <c r="T654" s="5">
        <f t="shared" si="44"/>
        <v>59</v>
      </c>
    </row>
    <row r="655" spans="1:20">
      <c r="A655" s="1" t="s">
        <v>1738</v>
      </c>
      <c r="B655" s="1" t="s">
        <v>3198</v>
      </c>
      <c r="C655" s="4" t="s">
        <v>109</v>
      </c>
      <c r="D655" s="1" t="s">
        <v>2092</v>
      </c>
      <c r="E655" s="4" t="s">
        <v>1740</v>
      </c>
      <c r="F655" s="84">
        <v>107</v>
      </c>
      <c r="G655" s="84">
        <v>79</v>
      </c>
      <c r="H655" s="84">
        <v>91.5</v>
      </c>
      <c r="I655" s="84">
        <v>72</v>
      </c>
      <c r="J655" s="84">
        <v>58</v>
      </c>
      <c r="K655" s="84">
        <v>72</v>
      </c>
      <c r="L655" s="84">
        <v>67</v>
      </c>
      <c r="M655" s="84">
        <v>75</v>
      </c>
      <c r="N655" s="84">
        <v>56</v>
      </c>
      <c r="O655" s="5">
        <f t="shared" si="42"/>
        <v>479.5</v>
      </c>
      <c r="P655" s="6">
        <f t="shared" si="41"/>
        <v>22</v>
      </c>
      <c r="Q655" s="5">
        <f t="shared" si="43"/>
        <v>340</v>
      </c>
      <c r="R655" s="5">
        <v>524</v>
      </c>
      <c r="S655" s="5">
        <v>124</v>
      </c>
      <c r="T655" s="5">
        <f t="shared" si="44"/>
        <v>-216</v>
      </c>
    </row>
    <row r="656" spans="1:20">
      <c r="A656" s="1" t="s">
        <v>2094</v>
      </c>
      <c r="B656" s="1" t="s">
        <v>3198</v>
      </c>
      <c r="C656" s="4" t="s">
        <v>109</v>
      </c>
      <c r="D656" s="1" t="s">
        <v>2095</v>
      </c>
      <c r="E656" s="4" t="s">
        <v>2096</v>
      </c>
      <c r="F656" s="84">
        <v>93</v>
      </c>
      <c r="G656" s="84">
        <v>69</v>
      </c>
      <c r="H656" s="84">
        <v>81.5</v>
      </c>
      <c r="I656" s="84">
        <v>57</v>
      </c>
      <c r="J656" s="84">
        <v>41</v>
      </c>
      <c r="K656" s="84">
        <v>62</v>
      </c>
      <c r="L656" s="84">
        <v>66</v>
      </c>
      <c r="M656" s="84">
        <v>67</v>
      </c>
      <c r="N656" s="84">
        <v>55</v>
      </c>
      <c r="O656" s="5">
        <f t="shared" si="42"/>
        <v>403.5</v>
      </c>
      <c r="P656" s="6">
        <f t="shared" si="41"/>
        <v>43</v>
      </c>
      <c r="Q656" s="5">
        <f t="shared" si="43"/>
        <v>749</v>
      </c>
      <c r="R656" s="5">
        <v>373.5</v>
      </c>
      <c r="S656" s="5">
        <v>827</v>
      </c>
      <c r="T656" s="5">
        <f t="shared" si="44"/>
        <v>78</v>
      </c>
    </row>
    <row r="657" spans="1:20">
      <c r="A657" s="1" t="s">
        <v>2097</v>
      </c>
      <c r="B657" s="1" t="s">
        <v>3198</v>
      </c>
      <c r="C657" s="4" t="s">
        <v>109</v>
      </c>
      <c r="D657" s="1" t="s">
        <v>2098</v>
      </c>
      <c r="E657" s="4" t="s">
        <v>2099</v>
      </c>
      <c r="F657" s="84">
        <v>121</v>
      </c>
      <c r="G657" s="84">
        <v>58</v>
      </c>
      <c r="H657" s="84">
        <v>69.5</v>
      </c>
      <c r="I657" s="84">
        <v>74</v>
      </c>
      <c r="J657" s="84">
        <v>46</v>
      </c>
      <c r="K657" s="84">
        <v>70</v>
      </c>
      <c r="L657" s="84">
        <v>83</v>
      </c>
      <c r="M657" s="84">
        <v>77</v>
      </c>
      <c r="N657" s="84">
        <v>67</v>
      </c>
      <c r="O657" s="5">
        <f t="shared" si="42"/>
        <v>438.5</v>
      </c>
      <c r="P657" s="6">
        <f t="shared" si="41"/>
        <v>31</v>
      </c>
      <c r="Q657" s="5">
        <f t="shared" si="43"/>
        <v>576</v>
      </c>
      <c r="R657" s="5">
        <v>448</v>
      </c>
      <c r="S657" s="5">
        <v>479</v>
      </c>
      <c r="T657" s="5">
        <f t="shared" si="44"/>
        <v>-97</v>
      </c>
    </row>
    <row r="658" spans="1:20">
      <c r="A658" s="1" t="s">
        <v>3196</v>
      </c>
      <c r="B658" s="1" t="s">
        <v>3198</v>
      </c>
      <c r="C658" s="4" t="s">
        <v>109</v>
      </c>
      <c r="D658" s="1" t="s">
        <v>3232</v>
      </c>
      <c r="E658" s="4" t="s">
        <v>3197</v>
      </c>
      <c r="F658" s="84">
        <v>96</v>
      </c>
      <c r="G658" s="84">
        <v>29</v>
      </c>
      <c r="H658" s="84">
        <v>93.5</v>
      </c>
      <c r="I658" s="84">
        <v>47</v>
      </c>
      <c r="J658" s="84">
        <v>39</v>
      </c>
      <c r="K658" s="84">
        <v>46</v>
      </c>
      <c r="L658" s="84">
        <v>64</v>
      </c>
      <c r="M658" s="84">
        <v>65</v>
      </c>
      <c r="N658" s="84">
        <v>51</v>
      </c>
      <c r="O658" s="5">
        <f t="shared" si="42"/>
        <v>350.5</v>
      </c>
      <c r="P658" s="6">
        <f t="shared" si="41"/>
        <v>55</v>
      </c>
      <c r="Q658" s="5">
        <f t="shared" si="43"/>
        <v>893</v>
      </c>
      <c r="R658" s="5">
        <v>353</v>
      </c>
      <c r="S658" s="5">
        <v>873</v>
      </c>
      <c r="T658" s="5">
        <f t="shared" si="44"/>
        <v>-20</v>
      </c>
    </row>
    <row r="659" spans="1:20">
      <c r="A659" s="1" t="s">
        <v>1633</v>
      </c>
      <c r="B659" s="1" t="s">
        <v>3198</v>
      </c>
      <c r="C659" s="4" t="s">
        <v>73</v>
      </c>
      <c r="D659" s="1" t="s">
        <v>2101</v>
      </c>
      <c r="E659" s="4" t="s">
        <v>1635</v>
      </c>
      <c r="F659" s="84">
        <v>100</v>
      </c>
      <c r="G659" s="84">
        <v>77</v>
      </c>
      <c r="H659" s="84">
        <v>99.5</v>
      </c>
      <c r="I659" s="84">
        <v>71</v>
      </c>
      <c r="J659" s="84">
        <v>53</v>
      </c>
      <c r="K659" s="84">
        <v>81</v>
      </c>
      <c r="L659" s="84">
        <v>73</v>
      </c>
      <c r="M659" s="84">
        <v>71</v>
      </c>
      <c r="N659" s="84">
        <v>61</v>
      </c>
      <c r="O659" s="5">
        <f t="shared" si="42"/>
        <v>481.5</v>
      </c>
      <c r="P659" s="6">
        <f>RANK(O659,$O$659:$O$714)</f>
        <v>14</v>
      </c>
      <c r="Q659" s="5">
        <f t="shared" si="43"/>
        <v>329</v>
      </c>
      <c r="R659" s="5">
        <v>511.5</v>
      </c>
      <c r="S659" s="5">
        <v>165</v>
      </c>
      <c r="T659" s="5">
        <f t="shared" si="44"/>
        <v>-164</v>
      </c>
    </row>
    <row r="660" spans="1:20">
      <c r="A660" s="1" t="s">
        <v>2102</v>
      </c>
      <c r="B660" s="1" t="s">
        <v>3198</v>
      </c>
      <c r="C660" s="4" t="s">
        <v>73</v>
      </c>
      <c r="D660" s="1" t="s">
        <v>2103</v>
      </c>
      <c r="E660" s="4" t="s">
        <v>2104</v>
      </c>
      <c r="F660" s="84">
        <v>104</v>
      </c>
      <c r="G660" s="84">
        <v>63</v>
      </c>
      <c r="H660" s="84">
        <v>101</v>
      </c>
      <c r="I660" s="84">
        <v>73</v>
      </c>
      <c r="J660" s="84">
        <v>58</v>
      </c>
      <c r="K660" s="84">
        <v>79</v>
      </c>
      <c r="L660" s="84">
        <v>81</v>
      </c>
      <c r="M660" s="84">
        <v>75</v>
      </c>
      <c r="N660" s="84">
        <v>58</v>
      </c>
      <c r="O660" s="5">
        <f t="shared" si="42"/>
        <v>478</v>
      </c>
      <c r="P660" s="6">
        <f t="shared" ref="P660:P714" si="45">RANK(O660,$O$659:$O$714)</f>
        <v>15</v>
      </c>
      <c r="Q660" s="5">
        <f t="shared" si="43"/>
        <v>351</v>
      </c>
      <c r="R660" s="5">
        <v>492.5</v>
      </c>
      <c r="S660" s="5">
        <v>250</v>
      </c>
      <c r="T660" s="5">
        <f t="shared" si="44"/>
        <v>-101</v>
      </c>
    </row>
    <row r="661" spans="1:20">
      <c r="A661" s="1" t="s">
        <v>2105</v>
      </c>
      <c r="B661" s="1" t="s">
        <v>3198</v>
      </c>
      <c r="C661" s="4" t="s">
        <v>73</v>
      </c>
      <c r="D661" s="1" t="s">
        <v>2106</v>
      </c>
      <c r="E661" s="4" t="s">
        <v>2107</v>
      </c>
      <c r="F661" s="84">
        <v>93</v>
      </c>
      <c r="G661" s="84">
        <v>67</v>
      </c>
      <c r="H661" s="84">
        <v>111</v>
      </c>
      <c r="I661" s="84">
        <v>53</v>
      </c>
      <c r="J661" s="84">
        <v>57</v>
      </c>
      <c r="K661" s="84">
        <v>66</v>
      </c>
      <c r="L661" s="84">
        <v>65</v>
      </c>
      <c r="M661" s="84">
        <v>73</v>
      </c>
      <c r="N661" s="84">
        <v>54</v>
      </c>
      <c r="O661" s="5">
        <f t="shared" si="42"/>
        <v>447</v>
      </c>
      <c r="P661" s="6">
        <f t="shared" si="45"/>
        <v>31</v>
      </c>
      <c r="Q661" s="5">
        <f t="shared" si="43"/>
        <v>531</v>
      </c>
      <c r="R661" s="5">
        <v>504</v>
      </c>
      <c r="S661" s="5">
        <v>193</v>
      </c>
      <c r="T661" s="5">
        <f t="shared" si="44"/>
        <v>-338</v>
      </c>
    </row>
    <row r="662" spans="1:20">
      <c r="A662" s="1" t="s">
        <v>2108</v>
      </c>
      <c r="B662" s="1" t="s">
        <v>3198</v>
      </c>
      <c r="C662" s="4" t="s">
        <v>73</v>
      </c>
      <c r="D662" s="1" t="s">
        <v>2109</v>
      </c>
      <c r="E662" s="4" t="s">
        <v>2110</v>
      </c>
      <c r="F662" s="84">
        <v>107</v>
      </c>
      <c r="G662" s="84">
        <v>59</v>
      </c>
      <c r="H662" s="84">
        <v>104.5</v>
      </c>
      <c r="I662" s="84">
        <v>47</v>
      </c>
      <c r="J662" s="84">
        <v>54</v>
      </c>
      <c r="K662" s="84">
        <v>88</v>
      </c>
      <c r="L662" s="84">
        <v>72</v>
      </c>
      <c r="M662" s="84">
        <v>69</v>
      </c>
      <c r="N662" s="84">
        <v>48</v>
      </c>
      <c r="O662" s="5">
        <f t="shared" si="42"/>
        <v>459.5</v>
      </c>
      <c r="P662" s="6">
        <f t="shared" si="45"/>
        <v>25</v>
      </c>
      <c r="Q662" s="5">
        <f t="shared" si="43"/>
        <v>458</v>
      </c>
      <c r="R662" s="5">
        <v>433.5</v>
      </c>
      <c r="S662" s="5">
        <v>554</v>
      </c>
      <c r="T662" s="5">
        <f t="shared" si="44"/>
        <v>96</v>
      </c>
    </row>
    <row r="663" spans="1:20">
      <c r="A663" s="1" t="s">
        <v>2111</v>
      </c>
      <c r="B663" s="1" t="s">
        <v>3198</v>
      </c>
      <c r="C663" s="4" t="s">
        <v>73</v>
      </c>
      <c r="D663" s="1" t="s">
        <v>2112</v>
      </c>
      <c r="E663" s="4" t="s">
        <v>2113</v>
      </c>
      <c r="F663" s="84">
        <v>79</v>
      </c>
      <c r="G663" s="84">
        <v>38</v>
      </c>
      <c r="H663" s="84">
        <v>78.5</v>
      </c>
      <c r="I663" s="84">
        <v>41</v>
      </c>
      <c r="J663" s="84">
        <v>47</v>
      </c>
      <c r="K663" s="84">
        <v>58</v>
      </c>
      <c r="L663" s="84">
        <v>60</v>
      </c>
      <c r="M663" s="84">
        <v>63</v>
      </c>
      <c r="N663" s="84">
        <v>54</v>
      </c>
      <c r="O663" s="5">
        <f t="shared" si="42"/>
        <v>341.5</v>
      </c>
      <c r="P663" s="6">
        <f t="shared" si="45"/>
        <v>52</v>
      </c>
      <c r="Q663" s="5">
        <f t="shared" si="43"/>
        <v>904</v>
      </c>
      <c r="R663" s="5">
        <v>322</v>
      </c>
      <c r="S663" s="5">
        <v>913</v>
      </c>
      <c r="T663" s="5">
        <f t="shared" si="44"/>
        <v>9</v>
      </c>
    </row>
    <row r="664" spans="1:20">
      <c r="A664" s="1" t="s">
        <v>2114</v>
      </c>
      <c r="B664" s="1" t="s">
        <v>3198</v>
      </c>
      <c r="C664" s="4" t="s">
        <v>73</v>
      </c>
      <c r="D664" s="1" t="s">
        <v>2115</v>
      </c>
      <c r="E664" s="4" t="s">
        <v>2116</v>
      </c>
      <c r="F664" s="84">
        <v>100</v>
      </c>
      <c r="G664" s="84">
        <v>53</v>
      </c>
      <c r="H664" s="84">
        <v>63</v>
      </c>
      <c r="I664" s="84">
        <v>55</v>
      </c>
      <c r="J664" s="84">
        <v>50</v>
      </c>
      <c r="K664" s="84">
        <v>65</v>
      </c>
      <c r="L664" s="84">
        <v>73</v>
      </c>
      <c r="M664" s="84">
        <v>66</v>
      </c>
      <c r="N664" s="84">
        <v>53</v>
      </c>
      <c r="O664" s="5">
        <f t="shared" si="42"/>
        <v>386</v>
      </c>
      <c r="P664" s="6">
        <f t="shared" si="45"/>
        <v>42</v>
      </c>
      <c r="Q664" s="5">
        <f t="shared" si="43"/>
        <v>816</v>
      </c>
      <c r="R664" s="5">
        <v>362</v>
      </c>
      <c r="S664" s="5">
        <v>855</v>
      </c>
      <c r="T664" s="5">
        <f t="shared" si="44"/>
        <v>39</v>
      </c>
    </row>
    <row r="665" spans="1:20">
      <c r="A665" s="1" t="s">
        <v>2117</v>
      </c>
      <c r="B665" s="1" t="s">
        <v>3198</v>
      </c>
      <c r="C665" s="4" t="s">
        <v>73</v>
      </c>
      <c r="D665" s="1" t="s">
        <v>2118</v>
      </c>
      <c r="E665" s="4" t="s">
        <v>2119</v>
      </c>
      <c r="F665" s="84">
        <v>94</v>
      </c>
      <c r="G665" s="84">
        <v>68</v>
      </c>
      <c r="H665" s="84">
        <v>98</v>
      </c>
      <c r="I665" s="84">
        <v>82</v>
      </c>
      <c r="J665" s="84">
        <v>67</v>
      </c>
      <c r="K665" s="84">
        <v>67</v>
      </c>
      <c r="L665" s="84">
        <v>69</v>
      </c>
      <c r="M665" s="84">
        <v>71</v>
      </c>
      <c r="N665" s="84">
        <v>58</v>
      </c>
      <c r="O665" s="5">
        <f t="shared" si="42"/>
        <v>476</v>
      </c>
      <c r="P665" s="6">
        <f t="shared" si="45"/>
        <v>17</v>
      </c>
      <c r="Q665" s="5">
        <f t="shared" si="43"/>
        <v>358</v>
      </c>
      <c r="R665" s="5">
        <v>450</v>
      </c>
      <c r="S665" s="5">
        <v>466</v>
      </c>
      <c r="T665" s="5">
        <f t="shared" si="44"/>
        <v>108</v>
      </c>
    </row>
    <row r="666" spans="1:20">
      <c r="A666" s="1" t="s">
        <v>2120</v>
      </c>
      <c r="B666" s="1" t="s">
        <v>3198</v>
      </c>
      <c r="C666" s="4" t="s">
        <v>73</v>
      </c>
      <c r="D666" s="1" t="s">
        <v>2121</v>
      </c>
      <c r="E666" s="4" t="s">
        <v>2122</v>
      </c>
      <c r="F666" s="84">
        <v>105</v>
      </c>
      <c r="G666" s="84">
        <v>66</v>
      </c>
      <c r="H666" s="84">
        <v>95</v>
      </c>
      <c r="I666" s="84">
        <v>63</v>
      </c>
      <c r="J666" s="84">
        <v>58</v>
      </c>
      <c r="K666" s="84">
        <v>80</v>
      </c>
      <c r="L666" s="84">
        <v>58</v>
      </c>
      <c r="M666" s="84">
        <v>68</v>
      </c>
      <c r="N666" s="84">
        <v>61</v>
      </c>
      <c r="O666" s="5">
        <f t="shared" si="42"/>
        <v>467</v>
      </c>
      <c r="P666" s="6">
        <f t="shared" si="45"/>
        <v>22</v>
      </c>
      <c r="Q666" s="5">
        <f t="shared" si="43"/>
        <v>411</v>
      </c>
      <c r="R666" s="5">
        <v>463.5</v>
      </c>
      <c r="S666" s="5">
        <v>395</v>
      </c>
      <c r="T666" s="5">
        <f t="shared" si="44"/>
        <v>-16</v>
      </c>
    </row>
    <row r="667" spans="1:20">
      <c r="A667" s="1" t="s">
        <v>2123</v>
      </c>
      <c r="B667" s="1" t="s">
        <v>3198</v>
      </c>
      <c r="C667" s="4" t="s">
        <v>73</v>
      </c>
      <c r="D667" s="1" t="s">
        <v>2124</v>
      </c>
      <c r="E667" s="4" t="s">
        <v>2125</v>
      </c>
      <c r="F667" s="84">
        <v>110</v>
      </c>
      <c r="G667" s="84">
        <v>80</v>
      </c>
      <c r="H667" s="84">
        <v>75.5</v>
      </c>
      <c r="I667" s="84">
        <v>99</v>
      </c>
      <c r="J667" s="84">
        <v>47</v>
      </c>
      <c r="K667" s="84">
        <v>66</v>
      </c>
      <c r="L667" s="84">
        <v>57</v>
      </c>
      <c r="M667" s="84">
        <v>62</v>
      </c>
      <c r="N667" s="84">
        <v>44</v>
      </c>
      <c r="O667" s="5">
        <f t="shared" si="42"/>
        <v>477.5</v>
      </c>
      <c r="P667" s="6">
        <f t="shared" si="45"/>
        <v>16</v>
      </c>
      <c r="Q667" s="5">
        <f t="shared" si="43"/>
        <v>356</v>
      </c>
      <c r="R667" s="5">
        <v>425.5</v>
      </c>
      <c r="S667" s="5">
        <v>602</v>
      </c>
      <c r="T667" s="5">
        <f t="shared" si="44"/>
        <v>246</v>
      </c>
    </row>
    <row r="668" spans="1:20">
      <c r="A668" s="1" t="s">
        <v>2126</v>
      </c>
      <c r="B668" s="1" t="s">
        <v>3198</v>
      </c>
      <c r="C668" s="4" t="s">
        <v>73</v>
      </c>
      <c r="D668" s="1" t="s">
        <v>2127</v>
      </c>
      <c r="E668" s="4" t="s">
        <v>2128</v>
      </c>
      <c r="F668" s="84">
        <v>95</v>
      </c>
      <c r="G668" s="84">
        <v>46</v>
      </c>
      <c r="H668" s="84">
        <v>90.5</v>
      </c>
      <c r="I668" s="84">
        <v>52</v>
      </c>
      <c r="J668" s="84">
        <v>37</v>
      </c>
      <c r="K668" s="84">
        <v>46</v>
      </c>
      <c r="L668" s="84">
        <v>62</v>
      </c>
      <c r="M668" s="84">
        <v>77</v>
      </c>
      <c r="N668" s="84">
        <v>50</v>
      </c>
      <c r="O668" s="5">
        <f t="shared" si="42"/>
        <v>366.5</v>
      </c>
      <c r="P668" s="6">
        <f t="shared" si="45"/>
        <v>50</v>
      </c>
      <c r="Q668" s="5">
        <f t="shared" si="43"/>
        <v>867</v>
      </c>
      <c r="R668" s="5">
        <v>356</v>
      </c>
      <c r="S668" s="5">
        <v>866</v>
      </c>
      <c r="T668" s="5">
        <f t="shared" si="44"/>
        <v>-1</v>
      </c>
    </row>
    <row r="669" spans="1:20">
      <c r="A669" s="1" t="s">
        <v>1701</v>
      </c>
      <c r="B669" s="1" t="s">
        <v>3198</v>
      </c>
      <c r="C669" s="4" t="s">
        <v>73</v>
      </c>
      <c r="D669" s="1" t="s">
        <v>2130</v>
      </c>
      <c r="E669" s="4" t="s">
        <v>198</v>
      </c>
      <c r="F669" s="84">
        <v>124</v>
      </c>
      <c r="G669" s="84">
        <v>74</v>
      </c>
      <c r="H669" s="84">
        <v>121.5</v>
      </c>
      <c r="I669" s="84">
        <v>67</v>
      </c>
      <c r="J669" s="84">
        <v>51</v>
      </c>
      <c r="K669" s="84">
        <v>79</v>
      </c>
      <c r="L669" s="84">
        <v>75</v>
      </c>
      <c r="M669" s="84">
        <v>73</v>
      </c>
      <c r="N669" s="84">
        <v>54</v>
      </c>
      <c r="O669" s="5">
        <f t="shared" si="42"/>
        <v>516.5</v>
      </c>
      <c r="P669" s="6">
        <f t="shared" si="45"/>
        <v>4</v>
      </c>
      <c r="Q669" s="5">
        <f t="shared" si="43"/>
        <v>178</v>
      </c>
      <c r="R669" s="5">
        <v>494</v>
      </c>
      <c r="S669" s="5">
        <v>242</v>
      </c>
      <c r="T669" s="5">
        <f t="shared" si="44"/>
        <v>64</v>
      </c>
    </row>
    <row r="670" spans="1:20">
      <c r="A670" s="1" t="s">
        <v>2131</v>
      </c>
      <c r="B670" s="1" t="s">
        <v>3198</v>
      </c>
      <c r="C670" s="4" t="s">
        <v>73</v>
      </c>
      <c r="D670" s="1" t="s">
        <v>2132</v>
      </c>
      <c r="E670" s="4" t="s">
        <v>2133</v>
      </c>
      <c r="F670" s="84">
        <v>99</v>
      </c>
      <c r="G670" s="84">
        <v>83</v>
      </c>
      <c r="H670" s="84">
        <v>72.5</v>
      </c>
      <c r="I670" s="84">
        <v>67</v>
      </c>
      <c r="J670" s="84">
        <v>52</v>
      </c>
      <c r="K670" s="84">
        <v>67</v>
      </c>
      <c r="L670" s="84">
        <v>59</v>
      </c>
      <c r="M670" s="84">
        <v>67</v>
      </c>
      <c r="N670" s="84">
        <v>58</v>
      </c>
      <c r="O670" s="5">
        <f t="shared" si="42"/>
        <v>440.5</v>
      </c>
      <c r="P670" s="6">
        <f t="shared" si="45"/>
        <v>34</v>
      </c>
      <c r="Q670" s="5">
        <f t="shared" si="43"/>
        <v>568</v>
      </c>
      <c r="R670" s="5">
        <v>421.5</v>
      </c>
      <c r="S670" s="5">
        <v>627</v>
      </c>
      <c r="T670" s="5">
        <f t="shared" si="44"/>
        <v>59</v>
      </c>
    </row>
    <row r="671" spans="1:20">
      <c r="A671" s="1" t="s">
        <v>2134</v>
      </c>
      <c r="B671" s="1" t="s">
        <v>3198</v>
      </c>
      <c r="C671" s="4" t="s">
        <v>73</v>
      </c>
      <c r="D671" s="1" t="s">
        <v>2135</v>
      </c>
      <c r="E671" s="4" t="s">
        <v>2136</v>
      </c>
      <c r="F671" s="84">
        <v>95</v>
      </c>
      <c r="G671" s="84">
        <v>112</v>
      </c>
      <c r="H671" s="84">
        <v>78</v>
      </c>
      <c r="I671" s="84">
        <v>103</v>
      </c>
      <c r="J671" s="84">
        <v>77</v>
      </c>
      <c r="K671" s="84">
        <v>88</v>
      </c>
      <c r="L671" s="84">
        <v>75</v>
      </c>
      <c r="M671" s="84">
        <v>64</v>
      </c>
      <c r="N671" s="84">
        <v>62</v>
      </c>
      <c r="O671" s="5">
        <f t="shared" si="42"/>
        <v>553</v>
      </c>
      <c r="P671" s="6">
        <f t="shared" si="45"/>
        <v>1</v>
      </c>
      <c r="Q671" s="5">
        <f t="shared" si="43"/>
        <v>79</v>
      </c>
      <c r="R671" s="5">
        <v>537</v>
      </c>
      <c r="S671" s="5">
        <v>92</v>
      </c>
      <c r="T671" s="5">
        <f t="shared" si="44"/>
        <v>13</v>
      </c>
    </row>
    <row r="672" spans="1:20">
      <c r="A672" s="1" t="s">
        <v>2137</v>
      </c>
      <c r="B672" s="1" t="s">
        <v>3198</v>
      </c>
      <c r="C672" s="4" t="s">
        <v>73</v>
      </c>
      <c r="D672" s="1" t="s">
        <v>2138</v>
      </c>
      <c r="E672" s="4" t="s">
        <v>2139</v>
      </c>
      <c r="F672" s="84">
        <v>106</v>
      </c>
      <c r="G672" s="84">
        <v>75</v>
      </c>
      <c r="H672" s="84">
        <v>106.5</v>
      </c>
      <c r="I672" s="84">
        <v>76</v>
      </c>
      <c r="J672" s="84">
        <v>61</v>
      </c>
      <c r="K672" s="84">
        <v>70</v>
      </c>
      <c r="L672" s="84">
        <v>71</v>
      </c>
      <c r="M672" s="84">
        <v>56</v>
      </c>
      <c r="N672" s="84">
        <v>49</v>
      </c>
      <c r="O672" s="5">
        <f t="shared" si="42"/>
        <v>494.5</v>
      </c>
      <c r="P672" s="6">
        <f t="shared" si="45"/>
        <v>10</v>
      </c>
      <c r="Q672" s="5">
        <f t="shared" si="43"/>
        <v>269</v>
      </c>
      <c r="R672" s="5">
        <v>411.5</v>
      </c>
      <c r="S672" s="5">
        <v>674</v>
      </c>
      <c r="T672" s="5">
        <f t="shared" si="44"/>
        <v>405</v>
      </c>
    </row>
    <row r="673" spans="1:20">
      <c r="A673" s="1" t="s">
        <v>2140</v>
      </c>
      <c r="B673" s="1" t="s">
        <v>3198</v>
      </c>
      <c r="C673" s="4" t="s">
        <v>73</v>
      </c>
      <c r="D673" s="1" t="s">
        <v>2141</v>
      </c>
      <c r="E673" s="4" t="s">
        <v>2142</v>
      </c>
      <c r="F673" s="84">
        <v>99</v>
      </c>
      <c r="G673" s="84">
        <v>49</v>
      </c>
      <c r="H673" s="84">
        <v>57.5</v>
      </c>
      <c r="I673" s="84">
        <v>69</v>
      </c>
      <c r="J673" s="84">
        <v>40</v>
      </c>
      <c r="K673" s="84">
        <v>69</v>
      </c>
      <c r="L673" s="84">
        <v>78</v>
      </c>
      <c r="M673" s="84">
        <v>69</v>
      </c>
      <c r="N673" s="84">
        <v>55</v>
      </c>
      <c r="O673" s="5">
        <f t="shared" si="42"/>
        <v>383.5</v>
      </c>
      <c r="P673" s="6">
        <f t="shared" si="45"/>
        <v>43</v>
      </c>
      <c r="Q673" s="5">
        <f t="shared" si="43"/>
        <v>820</v>
      </c>
      <c r="R673" s="5">
        <v>415</v>
      </c>
      <c r="S673" s="5">
        <v>659</v>
      </c>
      <c r="T673" s="5">
        <f t="shared" si="44"/>
        <v>-161</v>
      </c>
    </row>
    <row r="674" spans="1:20">
      <c r="A674" s="1" t="s">
        <v>2143</v>
      </c>
      <c r="B674" s="1" t="s">
        <v>3198</v>
      </c>
      <c r="C674" s="4" t="s">
        <v>73</v>
      </c>
      <c r="D674" s="1" t="s">
        <v>2144</v>
      </c>
      <c r="E674" s="4" t="s">
        <v>2145</v>
      </c>
      <c r="F674" s="84">
        <v>102</v>
      </c>
      <c r="G674" s="84">
        <v>71</v>
      </c>
      <c r="H674" s="84">
        <v>88.5</v>
      </c>
      <c r="I674" s="84">
        <v>54</v>
      </c>
      <c r="J674" s="84">
        <v>48</v>
      </c>
      <c r="K674" s="84">
        <v>70</v>
      </c>
      <c r="L674" s="84">
        <v>63</v>
      </c>
      <c r="M674" s="84">
        <v>72</v>
      </c>
      <c r="N674" s="84">
        <v>48</v>
      </c>
      <c r="O674" s="5">
        <f t="shared" si="42"/>
        <v>433.5</v>
      </c>
      <c r="P674" s="6">
        <f t="shared" si="45"/>
        <v>36</v>
      </c>
      <c r="Q674" s="5">
        <f t="shared" si="43"/>
        <v>607</v>
      </c>
      <c r="R674" s="5">
        <v>459</v>
      </c>
      <c r="S674" s="5">
        <v>420</v>
      </c>
      <c r="T674" s="5">
        <f t="shared" si="44"/>
        <v>-187</v>
      </c>
    </row>
    <row r="675" spans="1:20">
      <c r="A675" s="1" t="s">
        <v>2146</v>
      </c>
      <c r="B675" s="1" t="s">
        <v>3198</v>
      </c>
      <c r="C675" s="4" t="s">
        <v>73</v>
      </c>
      <c r="D675" s="1" t="s">
        <v>2147</v>
      </c>
      <c r="E675" s="4" t="s">
        <v>2148</v>
      </c>
      <c r="F675" s="84">
        <v>100</v>
      </c>
      <c r="G675" s="84">
        <v>47</v>
      </c>
      <c r="H675" s="84">
        <v>65</v>
      </c>
      <c r="I675" s="84">
        <v>59</v>
      </c>
      <c r="J675" s="84">
        <v>42</v>
      </c>
      <c r="K675" s="84">
        <v>58</v>
      </c>
      <c r="L675" s="84">
        <v>72</v>
      </c>
      <c r="M675" s="84">
        <v>77</v>
      </c>
      <c r="N675" s="84">
        <v>61</v>
      </c>
      <c r="O675" s="5">
        <f t="shared" si="42"/>
        <v>371</v>
      </c>
      <c r="P675" s="6">
        <f t="shared" si="45"/>
        <v>48</v>
      </c>
      <c r="Q675" s="5">
        <f t="shared" si="43"/>
        <v>857</v>
      </c>
      <c r="R675" s="5">
        <v>323</v>
      </c>
      <c r="S675" s="5">
        <v>912</v>
      </c>
      <c r="T675" s="5">
        <f t="shared" si="44"/>
        <v>55</v>
      </c>
    </row>
    <row r="676" spans="1:20">
      <c r="A676" s="1" t="s">
        <v>2149</v>
      </c>
      <c r="B676" s="1" t="s">
        <v>3198</v>
      </c>
      <c r="C676" s="4" t="s">
        <v>73</v>
      </c>
      <c r="D676" s="1" t="s">
        <v>2150</v>
      </c>
      <c r="E676" s="4" t="s">
        <v>2151</v>
      </c>
      <c r="F676" s="84">
        <v>105</v>
      </c>
      <c r="G676" s="84">
        <v>59</v>
      </c>
      <c r="H676" s="84">
        <v>82.5</v>
      </c>
      <c r="I676" s="84">
        <v>42</v>
      </c>
      <c r="J676" s="84">
        <v>51</v>
      </c>
      <c r="K676" s="84">
        <v>42</v>
      </c>
      <c r="L676" s="84">
        <v>75</v>
      </c>
      <c r="M676" s="84">
        <v>67</v>
      </c>
      <c r="N676" s="84">
        <v>45</v>
      </c>
      <c r="O676" s="5">
        <f t="shared" si="42"/>
        <v>381.5</v>
      </c>
      <c r="P676" s="6">
        <f t="shared" si="45"/>
        <v>46</v>
      </c>
      <c r="Q676" s="5">
        <f t="shared" si="43"/>
        <v>825</v>
      </c>
      <c r="R676" s="5">
        <v>364</v>
      </c>
      <c r="S676" s="5">
        <v>851</v>
      </c>
      <c r="T676" s="5">
        <f t="shared" si="44"/>
        <v>26</v>
      </c>
    </row>
    <row r="677" spans="1:20">
      <c r="A677" s="1" t="s">
        <v>1715</v>
      </c>
      <c r="B677" s="1" t="s">
        <v>3198</v>
      </c>
      <c r="C677" s="4" t="s">
        <v>73</v>
      </c>
      <c r="D677" s="1" t="s">
        <v>2156</v>
      </c>
      <c r="E677" s="4" t="s">
        <v>1717</v>
      </c>
      <c r="F677" s="84">
        <v>101</v>
      </c>
      <c r="G677" s="84">
        <v>56</v>
      </c>
      <c r="H677" s="84">
        <v>98.5</v>
      </c>
      <c r="I677" s="84">
        <v>69</v>
      </c>
      <c r="J677" s="84">
        <v>58</v>
      </c>
      <c r="K677" s="84">
        <v>60</v>
      </c>
      <c r="L677" s="84">
        <v>72</v>
      </c>
      <c r="M677" s="84">
        <v>64</v>
      </c>
      <c r="N677" s="84">
        <v>45</v>
      </c>
      <c r="O677" s="5">
        <f t="shared" si="42"/>
        <v>442.5</v>
      </c>
      <c r="P677" s="6">
        <f t="shared" si="45"/>
        <v>33</v>
      </c>
      <c r="Q677" s="5">
        <f t="shared" si="43"/>
        <v>560</v>
      </c>
      <c r="R677" s="5">
        <v>446.5</v>
      </c>
      <c r="S677" s="5">
        <v>485</v>
      </c>
      <c r="T677" s="5">
        <f t="shared" si="44"/>
        <v>-75</v>
      </c>
    </row>
    <row r="678" spans="1:20">
      <c r="A678" s="1" t="s">
        <v>2157</v>
      </c>
      <c r="B678" s="1" t="s">
        <v>3198</v>
      </c>
      <c r="C678" s="4" t="s">
        <v>73</v>
      </c>
      <c r="D678" s="1" t="s">
        <v>2158</v>
      </c>
      <c r="E678" s="4" t="s">
        <v>2159</v>
      </c>
      <c r="F678" s="84">
        <v>98</v>
      </c>
      <c r="G678" s="84">
        <v>48</v>
      </c>
      <c r="H678" s="84">
        <v>81</v>
      </c>
      <c r="I678" s="84">
        <v>38</v>
      </c>
      <c r="J678" s="84">
        <v>43</v>
      </c>
      <c r="K678" s="84">
        <v>60</v>
      </c>
      <c r="L678" s="84">
        <v>62</v>
      </c>
      <c r="M678" s="84">
        <v>69</v>
      </c>
      <c r="N678" s="84">
        <v>57</v>
      </c>
      <c r="O678" s="5">
        <f t="shared" si="42"/>
        <v>368</v>
      </c>
      <c r="P678" s="6">
        <f t="shared" si="45"/>
        <v>49</v>
      </c>
      <c r="Q678" s="5">
        <f t="shared" si="43"/>
        <v>865</v>
      </c>
      <c r="R678" s="5">
        <v>397.5</v>
      </c>
      <c r="S678" s="5">
        <v>743</v>
      </c>
      <c r="T678" s="5">
        <f t="shared" si="44"/>
        <v>-122</v>
      </c>
    </row>
    <row r="679" spans="1:20">
      <c r="A679" s="1">
        <v>20183003</v>
      </c>
      <c r="B679" s="1" t="s">
        <v>3198</v>
      </c>
      <c r="C679" s="4" t="s">
        <v>73</v>
      </c>
      <c r="D679" s="1" t="s">
        <v>2160</v>
      </c>
      <c r="E679" s="4" t="s">
        <v>2161</v>
      </c>
      <c r="F679" s="84">
        <v>89</v>
      </c>
      <c r="G679" s="84">
        <v>27</v>
      </c>
      <c r="H679" s="84">
        <v>50.5</v>
      </c>
      <c r="I679" s="84">
        <v>39</v>
      </c>
      <c r="J679" s="84">
        <v>32</v>
      </c>
      <c r="K679" s="84">
        <v>50</v>
      </c>
      <c r="L679" s="84">
        <v>61</v>
      </c>
      <c r="M679" s="84">
        <v>64</v>
      </c>
      <c r="N679" s="84">
        <v>43</v>
      </c>
      <c r="O679" s="5">
        <f t="shared" si="42"/>
        <v>287.5</v>
      </c>
      <c r="P679" s="6">
        <f t="shared" si="45"/>
        <v>56</v>
      </c>
      <c r="Q679" s="5">
        <f t="shared" si="43"/>
        <v>931</v>
      </c>
      <c r="R679" s="5">
        <v>291.5</v>
      </c>
      <c r="S679" s="5">
        <v>928</v>
      </c>
      <c r="T679" s="5">
        <f t="shared" si="44"/>
        <v>-3</v>
      </c>
    </row>
    <row r="680" spans="1:20">
      <c r="A680" s="1" t="s">
        <v>2162</v>
      </c>
      <c r="B680" s="1" t="s">
        <v>3198</v>
      </c>
      <c r="C680" s="4" t="s">
        <v>73</v>
      </c>
      <c r="D680" s="1" t="s">
        <v>2163</v>
      </c>
      <c r="E680" s="4" t="s">
        <v>123</v>
      </c>
      <c r="F680" s="84">
        <v>116</v>
      </c>
      <c r="G680" s="84">
        <v>70</v>
      </c>
      <c r="H680" s="84">
        <v>99.5</v>
      </c>
      <c r="I680" s="84">
        <v>79</v>
      </c>
      <c r="J680" s="84">
        <v>72</v>
      </c>
      <c r="K680" s="84">
        <v>83</v>
      </c>
      <c r="L680" s="84">
        <v>78</v>
      </c>
      <c r="M680" s="84">
        <v>72</v>
      </c>
      <c r="N680" s="84">
        <v>56</v>
      </c>
      <c r="O680" s="5">
        <f t="shared" si="42"/>
        <v>519.5</v>
      </c>
      <c r="P680" s="6">
        <f t="shared" si="45"/>
        <v>3</v>
      </c>
      <c r="Q680" s="5">
        <f t="shared" si="43"/>
        <v>167</v>
      </c>
      <c r="R680" s="5">
        <v>502</v>
      </c>
      <c r="S680" s="5">
        <v>199</v>
      </c>
      <c r="T680" s="5">
        <f t="shared" si="44"/>
        <v>32</v>
      </c>
    </row>
    <row r="681" spans="1:20">
      <c r="A681" s="1" t="s">
        <v>2164</v>
      </c>
      <c r="B681" s="1" t="s">
        <v>3198</v>
      </c>
      <c r="C681" s="4" t="s">
        <v>73</v>
      </c>
      <c r="D681" s="1" t="s">
        <v>2165</v>
      </c>
      <c r="E681" s="4" t="s">
        <v>2166</v>
      </c>
      <c r="F681" s="84">
        <v>103</v>
      </c>
      <c r="G681" s="84">
        <v>68</v>
      </c>
      <c r="H681" s="84">
        <v>97</v>
      </c>
      <c r="I681" s="84">
        <v>60</v>
      </c>
      <c r="J681" s="84">
        <v>70</v>
      </c>
      <c r="K681" s="84">
        <v>70</v>
      </c>
      <c r="L681" s="84">
        <v>71</v>
      </c>
      <c r="M681" s="84">
        <v>63</v>
      </c>
      <c r="N681" s="84">
        <v>47</v>
      </c>
      <c r="O681" s="5">
        <f t="shared" si="42"/>
        <v>468</v>
      </c>
      <c r="P681" s="6">
        <f t="shared" si="45"/>
        <v>21</v>
      </c>
      <c r="Q681" s="5">
        <f t="shared" si="43"/>
        <v>405</v>
      </c>
      <c r="R681" s="5">
        <v>453.5</v>
      </c>
      <c r="S681" s="5">
        <v>446</v>
      </c>
      <c r="T681" s="5">
        <f t="shared" si="44"/>
        <v>41</v>
      </c>
    </row>
    <row r="682" spans="1:20">
      <c r="A682" s="1" t="s">
        <v>2167</v>
      </c>
      <c r="B682" s="1" t="s">
        <v>3198</v>
      </c>
      <c r="C682" s="4" t="s">
        <v>73</v>
      </c>
      <c r="D682" s="1" t="s">
        <v>2168</v>
      </c>
      <c r="E682" s="4" t="s">
        <v>2169</v>
      </c>
      <c r="F682" s="84">
        <v>124</v>
      </c>
      <c r="G682" s="84">
        <v>67</v>
      </c>
      <c r="H682" s="84">
        <v>88.5</v>
      </c>
      <c r="I682" s="84">
        <v>63</v>
      </c>
      <c r="J682" s="84">
        <v>56</v>
      </c>
      <c r="K682" s="84">
        <v>72</v>
      </c>
      <c r="L682" s="84">
        <v>75</v>
      </c>
      <c r="M682" s="84">
        <v>76</v>
      </c>
      <c r="N682" s="84">
        <v>57</v>
      </c>
      <c r="O682" s="5">
        <f t="shared" si="42"/>
        <v>470.5</v>
      </c>
      <c r="P682" s="6">
        <f t="shared" si="45"/>
        <v>20</v>
      </c>
      <c r="Q682" s="5">
        <f t="shared" si="43"/>
        <v>390</v>
      </c>
      <c r="R682" s="5">
        <v>485</v>
      </c>
      <c r="S682" s="5">
        <v>286</v>
      </c>
      <c r="T682" s="5">
        <f t="shared" si="44"/>
        <v>-104</v>
      </c>
    </row>
    <row r="683" spans="1:20">
      <c r="A683" s="1" t="s">
        <v>2170</v>
      </c>
      <c r="B683" s="1" t="s">
        <v>3198</v>
      </c>
      <c r="C683" s="4" t="s">
        <v>73</v>
      </c>
      <c r="D683" s="1" t="s">
        <v>2171</v>
      </c>
      <c r="E683" s="4" t="s">
        <v>2172</v>
      </c>
      <c r="F683" s="84">
        <v>100</v>
      </c>
      <c r="G683" s="84">
        <v>91</v>
      </c>
      <c r="H683" s="84">
        <v>92.5</v>
      </c>
      <c r="I683" s="84">
        <v>74</v>
      </c>
      <c r="J683" s="84">
        <v>59</v>
      </c>
      <c r="K683" s="84">
        <v>67</v>
      </c>
      <c r="L683" s="84">
        <v>72</v>
      </c>
      <c r="M683" s="84">
        <v>64</v>
      </c>
      <c r="N683" s="84">
        <v>60</v>
      </c>
      <c r="O683" s="5">
        <f t="shared" si="42"/>
        <v>483.5</v>
      </c>
      <c r="P683" s="6">
        <f t="shared" si="45"/>
        <v>13</v>
      </c>
      <c r="Q683" s="5">
        <f t="shared" si="43"/>
        <v>319</v>
      </c>
      <c r="R683" s="5">
        <v>495.5</v>
      </c>
      <c r="S683" s="5">
        <v>231</v>
      </c>
      <c r="T683" s="5">
        <f t="shared" si="44"/>
        <v>-88</v>
      </c>
    </row>
    <row r="684" spans="1:20">
      <c r="A684" s="1" t="s">
        <v>2173</v>
      </c>
      <c r="B684" s="1" t="s">
        <v>3198</v>
      </c>
      <c r="C684" s="4" t="s">
        <v>73</v>
      </c>
      <c r="D684" s="1" t="s">
        <v>2174</v>
      </c>
      <c r="E684" s="4" t="s">
        <v>2175</v>
      </c>
      <c r="F684" s="84">
        <v>98</v>
      </c>
      <c r="G684" s="84">
        <v>59</v>
      </c>
      <c r="H684" s="84">
        <v>75.5</v>
      </c>
      <c r="I684" s="84">
        <v>44</v>
      </c>
      <c r="J684" s="84">
        <v>36</v>
      </c>
      <c r="K684" s="84">
        <v>61</v>
      </c>
      <c r="L684" s="84">
        <v>65</v>
      </c>
      <c r="M684" s="84">
        <v>54</v>
      </c>
      <c r="N684" s="84">
        <v>28</v>
      </c>
      <c r="O684" s="5">
        <f t="shared" si="42"/>
        <v>373.5</v>
      </c>
      <c r="P684" s="6">
        <f t="shared" si="45"/>
        <v>47</v>
      </c>
      <c r="Q684" s="5">
        <f t="shared" si="43"/>
        <v>851</v>
      </c>
      <c r="R684" s="5">
        <v>334.5</v>
      </c>
      <c r="S684" s="5">
        <v>902</v>
      </c>
      <c r="T684" s="5">
        <f t="shared" si="44"/>
        <v>51</v>
      </c>
    </row>
    <row r="685" spans="1:20">
      <c r="A685" s="1" t="s">
        <v>2176</v>
      </c>
      <c r="B685" s="1" t="s">
        <v>3198</v>
      </c>
      <c r="C685" s="4" t="s">
        <v>73</v>
      </c>
      <c r="D685" s="1" t="s">
        <v>2177</v>
      </c>
      <c r="E685" s="4" t="s">
        <v>2178</v>
      </c>
      <c r="F685" s="84">
        <v>97</v>
      </c>
      <c r="G685" s="84">
        <v>48</v>
      </c>
      <c r="H685" s="84">
        <v>89</v>
      </c>
      <c r="I685" s="84">
        <v>32</v>
      </c>
      <c r="J685" s="84">
        <v>37</v>
      </c>
      <c r="K685" s="84">
        <v>59</v>
      </c>
      <c r="L685" s="84">
        <v>79</v>
      </c>
      <c r="M685" s="84">
        <v>68</v>
      </c>
      <c r="N685" s="84">
        <v>36</v>
      </c>
      <c r="O685" s="5">
        <f t="shared" si="42"/>
        <v>362</v>
      </c>
      <c r="P685" s="6">
        <f t="shared" si="45"/>
        <v>51</v>
      </c>
      <c r="Q685" s="5">
        <f t="shared" si="43"/>
        <v>878</v>
      </c>
      <c r="R685" s="5">
        <v>399.5</v>
      </c>
      <c r="S685" s="5">
        <v>732</v>
      </c>
      <c r="T685" s="5">
        <f t="shared" si="44"/>
        <v>-146</v>
      </c>
    </row>
    <row r="686" spans="1:20">
      <c r="A686" s="1" t="s">
        <v>2179</v>
      </c>
      <c r="B686" s="1" t="s">
        <v>3198</v>
      </c>
      <c r="C686" s="4" t="s">
        <v>73</v>
      </c>
      <c r="D686" s="1" t="s">
        <v>2180</v>
      </c>
      <c r="E686" s="4" t="s">
        <v>2181</v>
      </c>
      <c r="F686" s="84">
        <v>104</v>
      </c>
      <c r="G686" s="84">
        <v>72</v>
      </c>
      <c r="H686" s="84">
        <v>92.5</v>
      </c>
      <c r="I686" s="84">
        <v>102</v>
      </c>
      <c r="J686" s="84">
        <v>83</v>
      </c>
      <c r="K686" s="84">
        <v>78</v>
      </c>
      <c r="L686" s="84">
        <v>55</v>
      </c>
      <c r="M686" s="84">
        <v>69</v>
      </c>
      <c r="N686" s="84">
        <v>55</v>
      </c>
      <c r="O686" s="5">
        <f t="shared" si="42"/>
        <v>531.5</v>
      </c>
      <c r="P686" s="6">
        <f t="shared" si="45"/>
        <v>2</v>
      </c>
      <c r="Q686" s="5">
        <f t="shared" si="43"/>
        <v>129</v>
      </c>
      <c r="R686" s="5">
        <v>516</v>
      </c>
      <c r="S686" s="5">
        <v>151</v>
      </c>
      <c r="T686" s="5">
        <f t="shared" si="44"/>
        <v>22</v>
      </c>
    </row>
    <row r="687" spans="1:20">
      <c r="A687" s="1" t="s">
        <v>2182</v>
      </c>
      <c r="B687" s="1" t="s">
        <v>3198</v>
      </c>
      <c r="C687" s="4" t="s">
        <v>73</v>
      </c>
      <c r="D687" s="1" t="s">
        <v>2183</v>
      </c>
      <c r="E687" s="4" t="s">
        <v>2184</v>
      </c>
      <c r="F687" s="84">
        <v>106</v>
      </c>
      <c r="G687" s="84">
        <v>63</v>
      </c>
      <c r="H687" s="84">
        <v>112.5</v>
      </c>
      <c r="I687" s="84">
        <v>75</v>
      </c>
      <c r="J687" s="84">
        <v>76</v>
      </c>
      <c r="K687" s="84">
        <v>80</v>
      </c>
      <c r="L687" s="84">
        <v>79</v>
      </c>
      <c r="M687" s="84">
        <v>70</v>
      </c>
      <c r="N687" s="84">
        <v>56</v>
      </c>
      <c r="O687" s="5">
        <f t="shared" si="42"/>
        <v>512.5</v>
      </c>
      <c r="P687" s="6">
        <f t="shared" si="45"/>
        <v>7</v>
      </c>
      <c r="Q687" s="5">
        <f t="shared" si="43"/>
        <v>197</v>
      </c>
      <c r="R687" s="5">
        <v>489.5</v>
      </c>
      <c r="S687" s="5">
        <v>261</v>
      </c>
      <c r="T687" s="5">
        <f t="shared" si="44"/>
        <v>64</v>
      </c>
    </row>
    <row r="688" spans="1:20">
      <c r="A688" s="1" t="s">
        <v>2185</v>
      </c>
      <c r="B688" s="1" t="s">
        <v>3198</v>
      </c>
      <c r="C688" s="4" t="s">
        <v>73</v>
      </c>
      <c r="D688" s="1" t="s">
        <v>2186</v>
      </c>
      <c r="E688" s="4" t="s">
        <v>138</v>
      </c>
      <c r="F688" s="84">
        <v>103</v>
      </c>
      <c r="G688" s="84">
        <v>61</v>
      </c>
      <c r="H688" s="84">
        <v>108.5</v>
      </c>
      <c r="I688" s="84">
        <v>51</v>
      </c>
      <c r="J688" s="84">
        <v>57</v>
      </c>
      <c r="K688" s="84">
        <v>68</v>
      </c>
      <c r="L688" s="84">
        <v>66</v>
      </c>
      <c r="M688" s="84">
        <v>69</v>
      </c>
      <c r="N688" s="84">
        <v>55</v>
      </c>
      <c r="O688" s="5">
        <f t="shared" si="42"/>
        <v>448.5</v>
      </c>
      <c r="P688" s="6">
        <f t="shared" si="45"/>
        <v>30</v>
      </c>
      <c r="Q688" s="5">
        <f t="shared" si="43"/>
        <v>525</v>
      </c>
      <c r="R688" s="5">
        <v>474.5</v>
      </c>
      <c r="S688" s="5">
        <v>331</v>
      </c>
      <c r="T688" s="5">
        <f t="shared" si="44"/>
        <v>-194</v>
      </c>
    </row>
    <row r="689" spans="1:20">
      <c r="A689" s="1" t="s">
        <v>2187</v>
      </c>
      <c r="B689" s="1" t="s">
        <v>3198</v>
      </c>
      <c r="C689" s="4" t="s">
        <v>73</v>
      </c>
      <c r="D689" s="1" t="s">
        <v>2188</v>
      </c>
      <c r="E689" s="4" t="s">
        <v>2189</v>
      </c>
      <c r="F689" s="84">
        <v>96</v>
      </c>
      <c r="G689" s="84">
        <v>52</v>
      </c>
      <c r="H689" s="84">
        <v>78</v>
      </c>
      <c r="I689" s="84">
        <v>53</v>
      </c>
      <c r="J689" s="84">
        <v>45</v>
      </c>
      <c r="K689" s="84">
        <v>58</v>
      </c>
      <c r="L689" s="84">
        <v>55</v>
      </c>
      <c r="M689" s="84">
        <v>48</v>
      </c>
      <c r="N689" s="84">
        <v>38</v>
      </c>
      <c r="O689" s="5">
        <f t="shared" si="42"/>
        <v>382</v>
      </c>
      <c r="P689" s="6">
        <f t="shared" si="45"/>
        <v>45</v>
      </c>
      <c r="Q689" s="5">
        <f t="shared" si="43"/>
        <v>823</v>
      </c>
      <c r="R689" s="5">
        <v>399.5</v>
      </c>
      <c r="S689" s="5">
        <v>732</v>
      </c>
      <c r="T689" s="5">
        <f t="shared" si="44"/>
        <v>-91</v>
      </c>
    </row>
    <row r="690" spans="1:20">
      <c r="A690" s="1" t="s">
        <v>2190</v>
      </c>
      <c r="B690" s="1" t="s">
        <v>3198</v>
      </c>
      <c r="C690" s="4" t="s">
        <v>73</v>
      </c>
      <c r="D690" s="1" t="s">
        <v>2191</v>
      </c>
      <c r="E690" s="4" t="s">
        <v>2192</v>
      </c>
      <c r="F690" s="84">
        <v>106</v>
      </c>
      <c r="G690" s="84">
        <v>61</v>
      </c>
      <c r="H690" s="84">
        <v>84</v>
      </c>
      <c r="I690" s="84">
        <v>63</v>
      </c>
      <c r="J690" s="84">
        <v>65</v>
      </c>
      <c r="K690" s="84">
        <v>78</v>
      </c>
      <c r="L690" s="84">
        <v>58</v>
      </c>
      <c r="M690" s="84">
        <v>57</v>
      </c>
      <c r="N690" s="84">
        <v>63</v>
      </c>
      <c r="O690" s="5">
        <f t="shared" si="42"/>
        <v>457</v>
      </c>
      <c r="P690" s="6">
        <f t="shared" si="45"/>
        <v>26</v>
      </c>
      <c r="Q690" s="5">
        <f t="shared" si="43"/>
        <v>473</v>
      </c>
      <c r="R690" s="5">
        <v>447</v>
      </c>
      <c r="S690" s="5">
        <v>483</v>
      </c>
      <c r="T690" s="5">
        <f t="shared" si="44"/>
        <v>10</v>
      </c>
    </row>
    <row r="691" spans="1:20">
      <c r="A691" s="1" t="s">
        <v>2193</v>
      </c>
      <c r="B691" s="1" t="s">
        <v>3198</v>
      </c>
      <c r="C691" s="4" t="s">
        <v>73</v>
      </c>
      <c r="D691" s="1" t="s">
        <v>2194</v>
      </c>
      <c r="E691" s="4" t="s">
        <v>2195</v>
      </c>
      <c r="F691" s="84">
        <v>101</v>
      </c>
      <c r="G691" s="84">
        <v>85</v>
      </c>
      <c r="H691" s="84">
        <v>80.5</v>
      </c>
      <c r="I691" s="84">
        <v>78</v>
      </c>
      <c r="J691" s="84">
        <v>68</v>
      </c>
      <c r="K691" s="84">
        <v>82</v>
      </c>
      <c r="L691" s="84">
        <v>67</v>
      </c>
      <c r="M691" s="84">
        <v>65</v>
      </c>
      <c r="N691" s="84">
        <v>61</v>
      </c>
      <c r="O691" s="5">
        <f t="shared" si="42"/>
        <v>494.5</v>
      </c>
      <c r="P691" s="6">
        <f t="shared" si="45"/>
        <v>10</v>
      </c>
      <c r="Q691" s="5">
        <f t="shared" si="43"/>
        <v>269</v>
      </c>
      <c r="R691" s="5">
        <v>500.5</v>
      </c>
      <c r="S691" s="5">
        <v>207</v>
      </c>
      <c r="T691" s="5">
        <f t="shared" si="44"/>
        <v>-62</v>
      </c>
    </row>
    <row r="692" spans="1:20">
      <c r="A692" s="1" t="s">
        <v>2196</v>
      </c>
      <c r="B692" s="1" t="s">
        <v>3198</v>
      </c>
      <c r="C692" s="4" t="s">
        <v>73</v>
      </c>
      <c r="D692" s="1" t="s">
        <v>2197</v>
      </c>
      <c r="E692" s="4" t="s">
        <v>2198</v>
      </c>
      <c r="F692" s="84">
        <v>103</v>
      </c>
      <c r="G692" s="84">
        <v>76</v>
      </c>
      <c r="H692" s="84">
        <v>80.5</v>
      </c>
      <c r="I692" s="84">
        <v>71</v>
      </c>
      <c r="J692" s="84">
        <v>68</v>
      </c>
      <c r="K692" s="84">
        <v>67</v>
      </c>
      <c r="L692" s="84">
        <v>84</v>
      </c>
      <c r="M692" s="84">
        <v>68</v>
      </c>
      <c r="N692" s="84">
        <v>63</v>
      </c>
      <c r="O692" s="5">
        <f t="shared" si="42"/>
        <v>465.5</v>
      </c>
      <c r="P692" s="6">
        <f t="shared" si="45"/>
        <v>23</v>
      </c>
      <c r="Q692" s="5">
        <f t="shared" si="43"/>
        <v>419</v>
      </c>
      <c r="R692" s="5">
        <v>462</v>
      </c>
      <c r="S692" s="5">
        <v>404</v>
      </c>
      <c r="T692" s="5">
        <f t="shared" si="44"/>
        <v>-15</v>
      </c>
    </row>
    <row r="693" spans="1:20">
      <c r="A693" s="1" t="s">
        <v>2199</v>
      </c>
      <c r="B693" s="1" t="s">
        <v>3198</v>
      </c>
      <c r="C693" s="4" t="s">
        <v>73</v>
      </c>
      <c r="D693" s="1" t="s">
        <v>2200</v>
      </c>
      <c r="E693" s="4" t="s">
        <v>2201</v>
      </c>
      <c r="F693" s="84">
        <v>113</v>
      </c>
      <c r="G693" s="84">
        <v>60</v>
      </c>
      <c r="H693" s="84">
        <v>112.5</v>
      </c>
      <c r="I693" s="84">
        <v>62</v>
      </c>
      <c r="J693" s="84">
        <v>48</v>
      </c>
      <c r="K693" s="84">
        <v>56</v>
      </c>
      <c r="L693" s="84">
        <v>64</v>
      </c>
      <c r="M693" s="84">
        <v>69</v>
      </c>
      <c r="N693" s="84">
        <v>43</v>
      </c>
      <c r="O693" s="5">
        <f t="shared" si="42"/>
        <v>451.5</v>
      </c>
      <c r="P693" s="6">
        <f t="shared" si="45"/>
        <v>27</v>
      </c>
      <c r="Q693" s="5">
        <f t="shared" si="43"/>
        <v>506</v>
      </c>
      <c r="R693" s="5">
        <v>426.5</v>
      </c>
      <c r="S693" s="5">
        <v>595</v>
      </c>
      <c r="T693" s="5">
        <f t="shared" si="44"/>
        <v>89</v>
      </c>
    </row>
    <row r="694" spans="1:20">
      <c r="A694" s="1" t="s">
        <v>2202</v>
      </c>
      <c r="B694" s="1" t="s">
        <v>3198</v>
      </c>
      <c r="C694" s="4" t="s">
        <v>73</v>
      </c>
      <c r="D694" s="1" t="s">
        <v>2203</v>
      </c>
      <c r="E694" s="4" t="s">
        <v>107</v>
      </c>
      <c r="F694" s="84">
        <v>99</v>
      </c>
      <c r="G694" s="84">
        <v>71</v>
      </c>
      <c r="H694" s="84">
        <v>99.5</v>
      </c>
      <c r="I694" s="84">
        <v>54</v>
      </c>
      <c r="J694" s="84">
        <v>83</v>
      </c>
      <c r="K694" s="84">
        <v>69</v>
      </c>
      <c r="L694" s="84">
        <v>60</v>
      </c>
      <c r="M694" s="84">
        <v>43</v>
      </c>
      <c r="N694" s="84">
        <v>37</v>
      </c>
      <c r="O694" s="5">
        <f t="shared" si="42"/>
        <v>475.5</v>
      </c>
      <c r="P694" s="6">
        <f t="shared" si="45"/>
        <v>18</v>
      </c>
      <c r="Q694" s="5">
        <f t="shared" si="43"/>
        <v>366</v>
      </c>
      <c r="R694" s="5">
        <v>474.5</v>
      </c>
      <c r="S694" s="5">
        <v>331</v>
      </c>
      <c r="T694" s="5">
        <f t="shared" si="44"/>
        <v>-35</v>
      </c>
    </row>
    <row r="695" spans="1:20">
      <c r="A695" s="1" t="s">
        <v>2204</v>
      </c>
      <c r="B695" s="1" t="s">
        <v>3198</v>
      </c>
      <c r="C695" s="4" t="s">
        <v>73</v>
      </c>
      <c r="D695" s="1" t="s">
        <v>2205</v>
      </c>
      <c r="E695" s="4" t="s">
        <v>2206</v>
      </c>
      <c r="F695" s="84">
        <v>101</v>
      </c>
      <c r="G695" s="84">
        <v>70</v>
      </c>
      <c r="H695" s="84">
        <v>74</v>
      </c>
      <c r="I695" s="84">
        <v>70</v>
      </c>
      <c r="J695" s="84">
        <v>52</v>
      </c>
      <c r="K695" s="84">
        <v>77</v>
      </c>
      <c r="L695" s="84">
        <v>70</v>
      </c>
      <c r="M695" s="84">
        <v>62</v>
      </c>
      <c r="N695" s="84">
        <v>54</v>
      </c>
      <c r="O695" s="5">
        <f t="shared" si="42"/>
        <v>444</v>
      </c>
      <c r="P695" s="6">
        <f t="shared" si="45"/>
        <v>32</v>
      </c>
      <c r="Q695" s="5">
        <f t="shared" si="43"/>
        <v>551</v>
      </c>
      <c r="R695" s="5">
        <v>419</v>
      </c>
      <c r="S695" s="5">
        <v>647</v>
      </c>
      <c r="T695" s="5">
        <f t="shared" si="44"/>
        <v>96</v>
      </c>
    </row>
    <row r="696" spans="1:20">
      <c r="A696" s="1" t="s">
        <v>2207</v>
      </c>
      <c r="B696" s="1" t="s">
        <v>3198</v>
      </c>
      <c r="C696" s="4" t="s">
        <v>73</v>
      </c>
      <c r="D696" s="1" t="s">
        <v>2208</v>
      </c>
      <c r="E696" s="4" t="s">
        <v>2209</v>
      </c>
      <c r="F696" s="84">
        <v>95</v>
      </c>
      <c r="G696" s="84">
        <v>83</v>
      </c>
      <c r="H696" s="84">
        <v>85</v>
      </c>
      <c r="I696" s="84">
        <v>95</v>
      </c>
      <c r="J696" s="84">
        <v>63</v>
      </c>
      <c r="K696" s="84">
        <v>68</v>
      </c>
      <c r="L696" s="84">
        <v>61</v>
      </c>
      <c r="M696" s="84">
        <v>58</v>
      </c>
      <c r="N696" s="84">
        <v>46</v>
      </c>
      <c r="O696" s="5">
        <f t="shared" si="42"/>
        <v>489</v>
      </c>
      <c r="P696" s="6">
        <f t="shared" si="45"/>
        <v>12</v>
      </c>
      <c r="Q696" s="5">
        <f t="shared" si="43"/>
        <v>296</v>
      </c>
      <c r="R696" s="5">
        <v>471.5</v>
      </c>
      <c r="S696" s="5">
        <v>355</v>
      </c>
      <c r="T696" s="5">
        <f t="shared" si="44"/>
        <v>59</v>
      </c>
    </row>
    <row r="697" spans="1:20">
      <c r="A697" s="1" t="s">
        <v>2210</v>
      </c>
      <c r="B697" s="1" t="s">
        <v>3198</v>
      </c>
      <c r="C697" s="4" t="s">
        <v>73</v>
      </c>
      <c r="D697" s="1" t="s">
        <v>2211</v>
      </c>
      <c r="E697" s="4" t="s">
        <v>2212</v>
      </c>
      <c r="F697" s="84">
        <v>104</v>
      </c>
      <c r="G697" s="84">
        <v>79</v>
      </c>
      <c r="H697" s="84">
        <v>70</v>
      </c>
      <c r="I697" s="84">
        <v>33</v>
      </c>
      <c r="J697" s="84">
        <v>69</v>
      </c>
      <c r="K697" s="84">
        <v>73</v>
      </c>
      <c r="L697" s="84">
        <v>61</v>
      </c>
      <c r="M697" s="84">
        <v>74</v>
      </c>
      <c r="N697" s="84">
        <v>60</v>
      </c>
      <c r="O697" s="5">
        <f t="shared" si="42"/>
        <v>428</v>
      </c>
      <c r="P697" s="6">
        <f t="shared" si="45"/>
        <v>37</v>
      </c>
      <c r="Q697" s="5">
        <f t="shared" si="43"/>
        <v>637</v>
      </c>
      <c r="R697" s="5">
        <v>367</v>
      </c>
      <c r="S697" s="5">
        <v>847</v>
      </c>
      <c r="T697" s="5">
        <f t="shared" si="44"/>
        <v>210</v>
      </c>
    </row>
    <row r="698" spans="1:20">
      <c r="A698" s="1" t="s">
        <v>2213</v>
      </c>
      <c r="B698" s="1" t="s">
        <v>3198</v>
      </c>
      <c r="C698" s="4" t="s">
        <v>73</v>
      </c>
      <c r="D698" s="1" t="s">
        <v>2214</v>
      </c>
      <c r="E698" s="4" t="s">
        <v>2215</v>
      </c>
      <c r="F698" s="84">
        <v>96</v>
      </c>
      <c r="G698" s="84">
        <v>53</v>
      </c>
      <c r="H698" s="84">
        <v>104.5</v>
      </c>
      <c r="I698" s="84">
        <v>40</v>
      </c>
      <c r="J698" s="84">
        <v>42</v>
      </c>
      <c r="K698" s="84">
        <v>70</v>
      </c>
      <c r="L698" s="84">
        <v>77</v>
      </c>
      <c r="M698" s="84">
        <v>70</v>
      </c>
      <c r="N698" s="84">
        <v>54</v>
      </c>
      <c r="O698" s="5">
        <f t="shared" si="42"/>
        <v>405.5</v>
      </c>
      <c r="P698" s="6">
        <f t="shared" si="45"/>
        <v>40</v>
      </c>
      <c r="Q698" s="5">
        <f t="shared" si="43"/>
        <v>744</v>
      </c>
      <c r="R698" s="5">
        <v>396</v>
      </c>
      <c r="S698" s="5">
        <v>747</v>
      </c>
      <c r="T698" s="5">
        <f t="shared" si="44"/>
        <v>3</v>
      </c>
    </row>
    <row r="699" spans="1:20">
      <c r="A699" s="1" t="s">
        <v>2216</v>
      </c>
      <c r="B699" s="1" t="s">
        <v>3198</v>
      </c>
      <c r="C699" s="4" t="s">
        <v>73</v>
      </c>
      <c r="D699" s="1" t="s">
        <v>2217</v>
      </c>
      <c r="E699" s="4" t="s">
        <v>2218</v>
      </c>
      <c r="F699" s="84">
        <v>85</v>
      </c>
      <c r="G699" s="84">
        <v>70</v>
      </c>
      <c r="H699" s="84">
        <v>87.5</v>
      </c>
      <c r="I699" s="84">
        <v>84</v>
      </c>
      <c r="J699" s="84">
        <v>53</v>
      </c>
      <c r="K699" s="84">
        <v>81</v>
      </c>
      <c r="L699" s="84">
        <v>75</v>
      </c>
      <c r="M699" s="84">
        <v>70</v>
      </c>
      <c r="N699" s="84">
        <v>58</v>
      </c>
      <c r="O699" s="5">
        <f t="shared" si="42"/>
        <v>460.5</v>
      </c>
      <c r="P699" s="6">
        <f t="shared" si="45"/>
        <v>24</v>
      </c>
      <c r="Q699" s="5">
        <f t="shared" si="43"/>
        <v>453</v>
      </c>
      <c r="R699" s="5">
        <v>412</v>
      </c>
      <c r="S699" s="5">
        <v>670</v>
      </c>
      <c r="T699" s="5">
        <f t="shared" si="44"/>
        <v>217</v>
      </c>
    </row>
    <row r="700" spans="1:20">
      <c r="A700" s="1" t="s">
        <v>2219</v>
      </c>
      <c r="B700" s="1" t="s">
        <v>3198</v>
      </c>
      <c r="C700" s="4" t="s">
        <v>73</v>
      </c>
      <c r="D700" s="1" t="s">
        <v>2220</v>
      </c>
      <c r="E700" s="4" t="s">
        <v>2221</v>
      </c>
      <c r="F700" s="84">
        <v>110</v>
      </c>
      <c r="G700" s="84">
        <v>73</v>
      </c>
      <c r="H700" s="84">
        <v>86.5</v>
      </c>
      <c r="I700" s="84">
        <v>53</v>
      </c>
      <c r="J700" s="84">
        <v>59</v>
      </c>
      <c r="K700" s="84">
        <v>68</v>
      </c>
      <c r="L700" s="84">
        <v>65</v>
      </c>
      <c r="M700" s="84">
        <v>69</v>
      </c>
      <c r="N700" s="84">
        <v>50</v>
      </c>
      <c r="O700" s="5">
        <f t="shared" si="42"/>
        <v>449.5</v>
      </c>
      <c r="P700" s="6">
        <f t="shared" si="45"/>
        <v>28</v>
      </c>
      <c r="Q700" s="5">
        <f t="shared" si="43"/>
        <v>516</v>
      </c>
      <c r="R700" s="5">
        <v>421.5</v>
      </c>
      <c r="S700" s="5">
        <v>627</v>
      </c>
      <c r="T700" s="5">
        <f t="shared" si="44"/>
        <v>111</v>
      </c>
    </row>
    <row r="701" spans="1:20">
      <c r="A701" s="1" t="s">
        <v>2222</v>
      </c>
      <c r="B701" s="1" t="s">
        <v>3198</v>
      </c>
      <c r="C701" s="4" t="s">
        <v>73</v>
      </c>
      <c r="D701" s="1" t="s">
        <v>2223</v>
      </c>
      <c r="E701" s="4" t="s">
        <v>2224</v>
      </c>
      <c r="F701" s="84">
        <v>113</v>
      </c>
      <c r="G701" s="84">
        <v>42</v>
      </c>
      <c r="H701" s="84">
        <v>81.5</v>
      </c>
      <c r="I701" s="84">
        <v>54</v>
      </c>
      <c r="J701" s="84">
        <v>31</v>
      </c>
      <c r="K701" s="84">
        <v>62</v>
      </c>
      <c r="L701" s="84">
        <v>71</v>
      </c>
      <c r="M701" s="84">
        <v>74</v>
      </c>
      <c r="N701" s="84">
        <v>48</v>
      </c>
      <c r="O701" s="5">
        <f t="shared" si="42"/>
        <v>383.5</v>
      </c>
      <c r="P701" s="6">
        <f t="shared" si="45"/>
        <v>43</v>
      </c>
      <c r="Q701" s="5">
        <f t="shared" si="43"/>
        <v>820</v>
      </c>
      <c r="R701" s="5">
        <v>398.5</v>
      </c>
      <c r="S701" s="5">
        <v>737</v>
      </c>
      <c r="T701" s="5">
        <f t="shared" si="44"/>
        <v>-83</v>
      </c>
    </row>
    <row r="702" spans="1:20">
      <c r="A702" s="1" t="s">
        <v>2225</v>
      </c>
      <c r="B702" s="1" t="s">
        <v>3198</v>
      </c>
      <c r="C702" s="4" t="s">
        <v>73</v>
      </c>
      <c r="D702" s="1" t="s">
        <v>2226</v>
      </c>
      <c r="E702" s="4" t="s">
        <v>2227</v>
      </c>
      <c r="F702" s="84">
        <v>93</v>
      </c>
      <c r="G702" s="84">
        <v>25</v>
      </c>
      <c r="H702" s="84">
        <v>95.5</v>
      </c>
      <c r="I702" s="84">
        <v>26</v>
      </c>
      <c r="J702" s="84">
        <v>33</v>
      </c>
      <c r="K702" s="84">
        <v>42</v>
      </c>
      <c r="L702" s="84">
        <v>51</v>
      </c>
      <c r="M702" s="84">
        <v>73</v>
      </c>
      <c r="N702" s="84">
        <v>45</v>
      </c>
      <c r="O702" s="5">
        <f t="shared" si="42"/>
        <v>314.5</v>
      </c>
      <c r="P702" s="6">
        <f t="shared" si="45"/>
        <v>54</v>
      </c>
      <c r="Q702" s="5">
        <f t="shared" si="43"/>
        <v>923</v>
      </c>
      <c r="R702" s="5">
        <v>329.5</v>
      </c>
      <c r="S702" s="5">
        <v>905</v>
      </c>
      <c r="T702" s="5">
        <f t="shared" si="44"/>
        <v>-18</v>
      </c>
    </row>
    <row r="703" spans="1:20">
      <c r="A703" s="1" t="s">
        <v>2228</v>
      </c>
      <c r="B703" s="1" t="s">
        <v>3198</v>
      </c>
      <c r="C703" s="4" t="s">
        <v>73</v>
      </c>
      <c r="D703" s="1" t="s">
        <v>2229</v>
      </c>
      <c r="E703" s="4" t="s">
        <v>2230</v>
      </c>
      <c r="F703" s="84">
        <v>97</v>
      </c>
      <c r="G703" s="84">
        <v>65</v>
      </c>
      <c r="H703" s="84">
        <v>113.5</v>
      </c>
      <c r="I703" s="84">
        <v>59</v>
      </c>
      <c r="J703" s="84">
        <v>51</v>
      </c>
      <c r="K703" s="84">
        <v>51</v>
      </c>
      <c r="L703" s="84">
        <v>80</v>
      </c>
      <c r="M703" s="84">
        <v>71</v>
      </c>
      <c r="N703" s="84">
        <v>54</v>
      </c>
      <c r="O703" s="5">
        <f t="shared" si="42"/>
        <v>436.5</v>
      </c>
      <c r="P703" s="6">
        <f t="shared" si="45"/>
        <v>35</v>
      </c>
      <c r="Q703" s="5">
        <f t="shared" si="43"/>
        <v>593</v>
      </c>
      <c r="R703" s="5">
        <v>488</v>
      </c>
      <c r="S703" s="5">
        <v>269</v>
      </c>
      <c r="T703" s="5">
        <f t="shared" si="44"/>
        <v>-324</v>
      </c>
    </row>
    <row r="704" spans="1:20">
      <c r="A704" s="1" t="s">
        <v>2231</v>
      </c>
      <c r="B704" s="1" t="s">
        <v>3198</v>
      </c>
      <c r="C704" s="4" t="s">
        <v>73</v>
      </c>
      <c r="D704" s="1" t="s">
        <v>2232</v>
      </c>
      <c r="E704" s="4" t="s">
        <v>2233</v>
      </c>
      <c r="F704" s="84">
        <v>108</v>
      </c>
      <c r="G704" s="84">
        <v>83</v>
      </c>
      <c r="H704" s="84">
        <v>104.5</v>
      </c>
      <c r="I704" s="84">
        <v>76</v>
      </c>
      <c r="J704" s="84">
        <v>66</v>
      </c>
      <c r="K704" s="84">
        <v>68</v>
      </c>
      <c r="L704" s="84">
        <v>81</v>
      </c>
      <c r="M704" s="84">
        <v>66</v>
      </c>
      <c r="N704" s="84">
        <v>54</v>
      </c>
      <c r="O704" s="5">
        <f t="shared" si="42"/>
        <v>505.5</v>
      </c>
      <c r="P704" s="6">
        <f t="shared" si="45"/>
        <v>9</v>
      </c>
      <c r="Q704" s="5">
        <f t="shared" si="43"/>
        <v>222</v>
      </c>
      <c r="R704" s="5">
        <v>498.5</v>
      </c>
      <c r="S704" s="5">
        <v>217</v>
      </c>
      <c r="T704" s="5">
        <f t="shared" si="44"/>
        <v>-5</v>
      </c>
    </row>
    <row r="705" spans="1:20">
      <c r="A705" s="1" t="s">
        <v>1598</v>
      </c>
      <c r="B705" s="1" t="s">
        <v>3198</v>
      </c>
      <c r="C705" s="4" t="s">
        <v>73</v>
      </c>
      <c r="D705" s="1" t="s">
        <v>2235</v>
      </c>
      <c r="E705" s="4" t="s">
        <v>1600</v>
      </c>
      <c r="F705" s="84">
        <v>103</v>
      </c>
      <c r="G705" s="84">
        <v>63</v>
      </c>
      <c r="H705" s="84">
        <v>105</v>
      </c>
      <c r="I705" s="84">
        <v>87</v>
      </c>
      <c r="J705" s="84">
        <v>51</v>
      </c>
      <c r="K705" s="84">
        <v>62</v>
      </c>
      <c r="L705" s="84">
        <v>69</v>
      </c>
      <c r="M705" s="84">
        <v>72</v>
      </c>
      <c r="N705" s="84">
        <v>58</v>
      </c>
      <c r="O705" s="5">
        <f t="shared" si="42"/>
        <v>471</v>
      </c>
      <c r="P705" s="6">
        <f t="shared" si="45"/>
        <v>19</v>
      </c>
      <c r="Q705" s="5">
        <f t="shared" si="43"/>
        <v>386</v>
      </c>
      <c r="R705" s="5">
        <v>460</v>
      </c>
      <c r="S705" s="5">
        <v>414</v>
      </c>
      <c r="T705" s="5">
        <f t="shared" si="44"/>
        <v>28</v>
      </c>
    </row>
    <row r="706" spans="1:20">
      <c r="A706" s="1" t="s">
        <v>2236</v>
      </c>
      <c r="B706" s="1" t="s">
        <v>3198</v>
      </c>
      <c r="C706" s="4" t="s">
        <v>73</v>
      </c>
      <c r="D706" s="1" t="s">
        <v>2237</v>
      </c>
      <c r="E706" s="4" t="s">
        <v>2238</v>
      </c>
      <c r="F706" s="84">
        <v>100</v>
      </c>
      <c r="G706" s="84">
        <v>82</v>
      </c>
      <c r="H706" s="84">
        <v>108.5</v>
      </c>
      <c r="I706" s="84">
        <v>70</v>
      </c>
      <c r="J706" s="84">
        <v>74</v>
      </c>
      <c r="K706" s="84">
        <v>76</v>
      </c>
      <c r="L706" s="84">
        <v>64</v>
      </c>
      <c r="M706" s="84">
        <v>80</v>
      </c>
      <c r="N706" s="84">
        <v>65</v>
      </c>
      <c r="O706" s="5">
        <f t="shared" si="42"/>
        <v>510.5</v>
      </c>
      <c r="P706" s="6">
        <f t="shared" si="45"/>
        <v>8</v>
      </c>
      <c r="Q706" s="5">
        <f t="shared" si="43"/>
        <v>203</v>
      </c>
      <c r="R706" s="5">
        <v>497</v>
      </c>
      <c r="S706" s="5">
        <v>225</v>
      </c>
      <c r="T706" s="5">
        <f t="shared" si="44"/>
        <v>22</v>
      </c>
    </row>
    <row r="707" spans="1:20">
      <c r="A707" s="1" t="s">
        <v>2239</v>
      </c>
      <c r="B707" s="1" t="s">
        <v>3198</v>
      </c>
      <c r="C707" s="4" t="s">
        <v>73</v>
      </c>
      <c r="D707" s="1" t="s">
        <v>2240</v>
      </c>
      <c r="E707" s="4" t="s">
        <v>2241</v>
      </c>
      <c r="F707" s="84">
        <v>100</v>
      </c>
      <c r="G707" s="84">
        <v>67</v>
      </c>
      <c r="H707" s="84">
        <v>92</v>
      </c>
      <c r="I707" s="84">
        <v>64</v>
      </c>
      <c r="J707" s="84">
        <v>47</v>
      </c>
      <c r="K707" s="84">
        <v>56</v>
      </c>
      <c r="L707" s="84">
        <v>75</v>
      </c>
      <c r="M707" s="84">
        <v>67</v>
      </c>
      <c r="N707" s="84">
        <v>53</v>
      </c>
      <c r="O707" s="5">
        <f t="shared" ref="O707:O770" si="46">SUM(F707:K707)</f>
        <v>426</v>
      </c>
      <c r="P707" s="6">
        <f t="shared" si="45"/>
        <v>39</v>
      </c>
      <c r="Q707" s="5">
        <f t="shared" si="43"/>
        <v>643</v>
      </c>
      <c r="R707" s="5">
        <v>433.5</v>
      </c>
      <c r="S707" s="5">
        <v>554</v>
      </c>
      <c r="T707" s="5">
        <f t="shared" si="44"/>
        <v>-89</v>
      </c>
    </row>
    <row r="708" spans="1:20">
      <c r="A708" s="1" t="s">
        <v>2242</v>
      </c>
      <c r="B708" s="1" t="s">
        <v>3198</v>
      </c>
      <c r="C708" s="4" t="s">
        <v>73</v>
      </c>
      <c r="D708" s="1" t="s">
        <v>2243</v>
      </c>
      <c r="E708" s="4" t="s">
        <v>2244</v>
      </c>
      <c r="F708" s="84">
        <v>108</v>
      </c>
      <c r="G708" s="84">
        <v>60</v>
      </c>
      <c r="H708" s="84">
        <v>86.5</v>
      </c>
      <c r="I708" s="84">
        <v>71</v>
      </c>
      <c r="J708" s="84">
        <v>51</v>
      </c>
      <c r="K708" s="84">
        <v>73</v>
      </c>
      <c r="L708" s="84">
        <v>67</v>
      </c>
      <c r="M708" s="84">
        <v>72</v>
      </c>
      <c r="N708" s="84">
        <v>54</v>
      </c>
      <c r="O708" s="5">
        <f t="shared" si="46"/>
        <v>449.5</v>
      </c>
      <c r="P708" s="6">
        <f t="shared" si="45"/>
        <v>28</v>
      </c>
      <c r="Q708" s="5">
        <f t="shared" ref="Q708:Q771" si="47">RANK(O708,$O$3:$O$936)</f>
        <v>516</v>
      </c>
      <c r="R708" s="5">
        <v>437</v>
      </c>
      <c r="S708" s="5">
        <v>536</v>
      </c>
      <c r="T708" s="5">
        <f t="shared" ref="T708:T771" si="48">S708-Q708</f>
        <v>20</v>
      </c>
    </row>
    <row r="709" spans="1:20">
      <c r="A709" s="1" t="s">
        <v>2245</v>
      </c>
      <c r="B709" s="1" t="s">
        <v>3198</v>
      </c>
      <c r="C709" s="4" t="s">
        <v>73</v>
      </c>
      <c r="D709" s="1" t="s">
        <v>2246</v>
      </c>
      <c r="E709" s="4" t="s">
        <v>2247</v>
      </c>
      <c r="F709" s="84">
        <v>86</v>
      </c>
      <c r="G709" s="84">
        <v>49</v>
      </c>
      <c r="H709" s="84">
        <v>77</v>
      </c>
      <c r="I709" s="84">
        <v>39</v>
      </c>
      <c r="J709" s="84">
        <v>33</v>
      </c>
      <c r="K709" s="84">
        <v>54</v>
      </c>
      <c r="L709" s="84">
        <v>66</v>
      </c>
      <c r="M709" s="84">
        <v>81</v>
      </c>
      <c r="N709" s="84">
        <v>51</v>
      </c>
      <c r="O709" s="5">
        <f t="shared" si="46"/>
        <v>338</v>
      </c>
      <c r="P709" s="6">
        <f t="shared" si="45"/>
        <v>53</v>
      </c>
      <c r="Q709" s="5">
        <f t="shared" si="47"/>
        <v>909</v>
      </c>
      <c r="R709" s="5">
        <v>315</v>
      </c>
      <c r="S709" s="5">
        <v>919</v>
      </c>
      <c r="T709" s="5">
        <f t="shared" si="48"/>
        <v>10</v>
      </c>
    </row>
    <row r="710" spans="1:20">
      <c r="A710" s="1" t="s">
        <v>2248</v>
      </c>
      <c r="B710" s="1" t="s">
        <v>3198</v>
      </c>
      <c r="C710" s="4" t="s">
        <v>73</v>
      </c>
      <c r="D710" s="1" t="s">
        <v>2249</v>
      </c>
      <c r="E710" s="4" t="s">
        <v>2250</v>
      </c>
      <c r="F710" s="84">
        <v>88</v>
      </c>
      <c r="G710" s="84">
        <v>36</v>
      </c>
      <c r="H710" s="84">
        <v>88.5</v>
      </c>
      <c r="I710" s="84">
        <v>18</v>
      </c>
      <c r="J710" s="84">
        <v>35</v>
      </c>
      <c r="K710" s="84">
        <v>34</v>
      </c>
      <c r="L710" s="84">
        <v>58</v>
      </c>
      <c r="M710" s="84">
        <v>55</v>
      </c>
      <c r="N710" s="84">
        <v>45</v>
      </c>
      <c r="O710" s="5">
        <f t="shared" si="46"/>
        <v>299.5</v>
      </c>
      <c r="P710" s="6">
        <f t="shared" si="45"/>
        <v>55</v>
      </c>
      <c r="Q710" s="5">
        <f t="shared" si="47"/>
        <v>928</v>
      </c>
      <c r="R710" s="5"/>
      <c r="S710" s="5"/>
      <c r="T710" s="5"/>
    </row>
    <row r="711" spans="1:20">
      <c r="A711" s="1" t="s">
        <v>2251</v>
      </c>
      <c r="B711" s="1" t="s">
        <v>3198</v>
      </c>
      <c r="C711" s="4" t="s">
        <v>73</v>
      </c>
      <c r="D711" s="1" t="s">
        <v>2252</v>
      </c>
      <c r="E711" s="4" t="s">
        <v>2253</v>
      </c>
      <c r="F711" s="84">
        <v>89</v>
      </c>
      <c r="G711" s="84">
        <v>67</v>
      </c>
      <c r="H711" s="84">
        <v>107.5</v>
      </c>
      <c r="I711" s="84">
        <v>40</v>
      </c>
      <c r="J711" s="84">
        <v>50</v>
      </c>
      <c r="K711" s="84">
        <v>52</v>
      </c>
      <c r="L711" s="84">
        <v>59</v>
      </c>
      <c r="M711" s="84">
        <v>49</v>
      </c>
      <c r="N711" s="84">
        <v>53</v>
      </c>
      <c r="O711" s="5">
        <f t="shared" si="46"/>
        <v>405.5</v>
      </c>
      <c r="P711" s="6">
        <f t="shared" si="45"/>
        <v>40</v>
      </c>
      <c r="Q711" s="5">
        <f t="shared" si="47"/>
        <v>744</v>
      </c>
      <c r="R711" s="5">
        <v>391.5</v>
      </c>
      <c r="S711" s="5">
        <v>763</v>
      </c>
      <c r="T711" s="5">
        <f t="shared" si="48"/>
        <v>19</v>
      </c>
    </row>
    <row r="712" spans="1:20">
      <c r="A712" s="1" t="s">
        <v>2254</v>
      </c>
      <c r="B712" s="1" t="s">
        <v>3198</v>
      </c>
      <c r="C712" s="4" t="s">
        <v>73</v>
      </c>
      <c r="D712" s="1" t="s">
        <v>2255</v>
      </c>
      <c r="E712" s="4" t="s">
        <v>2256</v>
      </c>
      <c r="F712" s="84">
        <v>103</v>
      </c>
      <c r="G712" s="84">
        <v>89</v>
      </c>
      <c r="H712" s="84">
        <v>104</v>
      </c>
      <c r="I712" s="84">
        <v>82</v>
      </c>
      <c r="J712" s="84">
        <v>52</v>
      </c>
      <c r="K712" s="84">
        <v>84</v>
      </c>
      <c r="L712" s="84">
        <v>56</v>
      </c>
      <c r="M712" s="84">
        <v>77</v>
      </c>
      <c r="N712" s="84">
        <v>60</v>
      </c>
      <c r="O712" s="5">
        <f t="shared" si="46"/>
        <v>514</v>
      </c>
      <c r="P712" s="6">
        <f t="shared" si="45"/>
        <v>6</v>
      </c>
      <c r="Q712" s="5">
        <f t="shared" si="47"/>
        <v>190</v>
      </c>
      <c r="R712" s="5">
        <v>518</v>
      </c>
      <c r="S712" s="5">
        <v>142</v>
      </c>
      <c r="T712" s="5">
        <f t="shared" si="48"/>
        <v>-48</v>
      </c>
    </row>
    <row r="713" spans="1:20">
      <c r="A713" s="1" t="s">
        <v>2257</v>
      </c>
      <c r="B713" s="1" t="s">
        <v>3198</v>
      </c>
      <c r="C713" s="4" t="s">
        <v>73</v>
      </c>
      <c r="D713" s="1" t="s">
        <v>2258</v>
      </c>
      <c r="E713" s="4" t="s">
        <v>2259</v>
      </c>
      <c r="F713" s="84">
        <v>109</v>
      </c>
      <c r="G713" s="84">
        <v>61</v>
      </c>
      <c r="H713" s="84">
        <v>88</v>
      </c>
      <c r="I713" s="84">
        <v>55</v>
      </c>
      <c r="J713" s="84">
        <v>46</v>
      </c>
      <c r="K713" s="84">
        <v>69</v>
      </c>
      <c r="L713" s="84">
        <v>66</v>
      </c>
      <c r="M713" s="84">
        <v>65</v>
      </c>
      <c r="N713" s="84">
        <v>64</v>
      </c>
      <c r="O713" s="5">
        <f t="shared" si="46"/>
        <v>428</v>
      </c>
      <c r="P713" s="6">
        <f t="shared" si="45"/>
        <v>37</v>
      </c>
      <c r="Q713" s="5">
        <f t="shared" si="47"/>
        <v>637</v>
      </c>
      <c r="R713" s="5">
        <v>416</v>
      </c>
      <c r="S713" s="5">
        <v>656</v>
      </c>
      <c r="T713" s="5">
        <f t="shared" si="48"/>
        <v>19</v>
      </c>
    </row>
    <row r="714" spans="1:20">
      <c r="A714" s="1">
        <v>20183004</v>
      </c>
      <c r="B714" s="1" t="s">
        <v>3198</v>
      </c>
      <c r="C714" s="4" t="s">
        <v>73</v>
      </c>
      <c r="D714" s="1" t="s">
        <v>3230</v>
      </c>
      <c r="E714" s="4" t="s">
        <v>3231</v>
      </c>
      <c r="F714" s="84">
        <v>107</v>
      </c>
      <c r="G714" s="84">
        <v>98</v>
      </c>
      <c r="H714" s="84">
        <v>95</v>
      </c>
      <c r="I714" s="84">
        <v>80</v>
      </c>
      <c r="J714" s="84">
        <v>59</v>
      </c>
      <c r="K714" s="84">
        <v>77</v>
      </c>
      <c r="L714" s="84">
        <v>59</v>
      </c>
      <c r="M714" s="84">
        <v>63</v>
      </c>
      <c r="N714" s="84">
        <v>59</v>
      </c>
      <c r="O714" s="5">
        <f t="shared" si="46"/>
        <v>516</v>
      </c>
      <c r="P714" s="6">
        <f t="shared" si="45"/>
        <v>5</v>
      </c>
      <c r="Q714" s="5">
        <f t="shared" si="47"/>
        <v>180</v>
      </c>
      <c r="R714" s="5">
        <v>512</v>
      </c>
      <c r="S714" s="5">
        <v>162</v>
      </c>
      <c r="T714" s="5">
        <f t="shared" si="48"/>
        <v>-18</v>
      </c>
    </row>
    <row r="715" spans="1:20">
      <c r="A715" s="1" t="s">
        <v>2260</v>
      </c>
      <c r="B715" s="1" t="s">
        <v>3198</v>
      </c>
      <c r="C715" s="4" t="s">
        <v>7</v>
      </c>
      <c r="D715" s="1" t="s">
        <v>2261</v>
      </c>
      <c r="E715" s="4" t="s">
        <v>2262</v>
      </c>
      <c r="F715" s="84">
        <v>112</v>
      </c>
      <c r="G715" s="84">
        <v>60</v>
      </c>
      <c r="H715" s="84">
        <v>109</v>
      </c>
      <c r="I715" s="84">
        <v>65</v>
      </c>
      <c r="J715" s="84">
        <v>51</v>
      </c>
      <c r="K715" s="84">
        <v>70</v>
      </c>
      <c r="L715" s="84">
        <v>90</v>
      </c>
      <c r="M715" s="84">
        <v>71</v>
      </c>
      <c r="N715" s="84">
        <v>54</v>
      </c>
      <c r="O715" s="5">
        <f t="shared" si="46"/>
        <v>467</v>
      </c>
      <c r="P715" s="6">
        <f>RANK(O715,$O$715:$O$769)</f>
        <v>16</v>
      </c>
      <c r="Q715" s="5">
        <f t="shared" si="47"/>
        <v>411</v>
      </c>
      <c r="R715" s="5">
        <v>455</v>
      </c>
      <c r="S715" s="5">
        <v>439</v>
      </c>
      <c r="T715" s="5">
        <f t="shared" si="48"/>
        <v>28</v>
      </c>
    </row>
    <row r="716" spans="1:20">
      <c r="A716" s="1" t="s">
        <v>2266</v>
      </c>
      <c r="B716" s="1" t="s">
        <v>3198</v>
      </c>
      <c r="C716" s="4" t="s">
        <v>7</v>
      </c>
      <c r="D716" s="1" t="s">
        <v>2264</v>
      </c>
      <c r="E716" s="4" t="s">
        <v>2268</v>
      </c>
      <c r="F716" s="84">
        <v>102</v>
      </c>
      <c r="G716" s="84">
        <v>60</v>
      </c>
      <c r="H716" s="84">
        <v>73.5</v>
      </c>
      <c r="I716" s="84">
        <v>60</v>
      </c>
      <c r="J716" s="84">
        <v>35</v>
      </c>
      <c r="K716" s="84">
        <v>72</v>
      </c>
      <c r="L716" s="84">
        <v>68</v>
      </c>
      <c r="M716" s="84">
        <v>66</v>
      </c>
      <c r="N716" s="84">
        <v>51</v>
      </c>
      <c r="O716" s="5">
        <f t="shared" si="46"/>
        <v>402.5</v>
      </c>
      <c r="P716" s="6">
        <f t="shared" ref="P716:P769" si="49">RANK(O716,$O$715:$O$769)</f>
        <v>42</v>
      </c>
      <c r="Q716" s="5">
        <f t="shared" si="47"/>
        <v>758</v>
      </c>
      <c r="R716" s="5">
        <v>381</v>
      </c>
      <c r="S716" s="5">
        <v>802</v>
      </c>
      <c r="T716" s="5">
        <f t="shared" si="48"/>
        <v>44</v>
      </c>
    </row>
    <row r="717" spans="1:20">
      <c r="A717" s="1" t="s">
        <v>2269</v>
      </c>
      <c r="B717" s="1" t="s">
        <v>3198</v>
      </c>
      <c r="C717" s="4" t="s">
        <v>7</v>
      </c>
      <c r="D717" s="1" t="s">
        <v>2267</v>
      </c>
      <c r="E717" s="4" t="s">
        <v>2271</v>
      </c>
      <c r="F717" s="84">
        <v>96</v>
      </c>
      <c r="G717" s="84">
        <v>60</v>
      </c>
      <c r="H717" s="84">
        <v>60.5</v>
      </c>
      <c r="I717" s="84">
        <v>64</v>
      </c>
      <c r="J717" s="84">
        <v>50</v>
      </c>
      <c r="K717" s="84">
        <v>72</v>
      </c>
      <c r="L717" s="84">
        <v>72</v>
      </c>
      <c r="M717" s="84">
        <v>64</v>
      </c>
      <c r="N717" s="84">
        <v>50</v>
      </c>
      <c r="O717" s="5">
        <f t="shared" si="46"/>
        <v>402.5</v>
      </c>
      <c r="P717" s="6">
        <f t="shared" si="49"/>
        <v>42</v>
      </c>
      <c r="Q717" s="5">
        <f t="shared" si="47"/>
        <v>758</v>
      </c>
      <c r="R717" s="5">
        <v>413.5</v>
      </c>
      <c r="S717" s="5">
        <v>664</v>
      </c>
      <c r="T717" s="5">
        <f t="shared" si="48"/>
        <v>-94</v>
      </c>
    </row>
    <row r="718" spans="1:20">
      <c r="A718" s="1" t="s">
        <v>2272</v>
      </c>
      <c r="B718" s="1" t="s">
        <v>3198</v>
      </c>
      <c r="C718" s="4" t="s">
        <v>7</v>
      </c>
      <c r="D718" s="1" t="s">
        <v>2270</v>
      </c>
      <c r="E718" s="4" t="s">
        <v>2274</v>
      </c>
      <c r="F718" s="84">
        <v>101</v>
      </c>
      <c r="G718" s="84">
        <v>95</v>
      </c>
      <c r="H718" s="84">
        <v>87.5</v>
      </c>
      <c r="I718" s="84">
        <v>78</v>
      </c>
      <c r="J718" s="84">
        <v>67</v>
      </c>
      <c r="K718" s="84">
        <v>84</v>
      </c>
      <c r="L718" s="84">
        <v>69</v>
      </c>
      <c r="M718" s="84">
        <v>73</v>
      </c>
      <c r="N718" s="84">
        <v>56</v>
      </c>
      <c r="O718" s="5">
        <f t="shared" si="46"/>
        <v>512.5</v>
      </c>
      <c r="P718" s="6">
        <f t="shared" si="49"/>
        <v>4</v>
      </c>
      <c r="Q718" s="5">
        <f t="shared" si="47"/>
        <v>197</v>
      </c>
      <c r="R718" s="5">
        <v>523.5</v>
      </c>
      <c r="S718" s="5">
        <v>126</v>
      </c>
      <c r="T718" s="5">
        <f t="shared" si="48"/>
        <v>-71</v>
      </c>
    </row>
    <row r="719" spans="1:20">
      <c r="A719" s="1" t="s">
        <v>2275</v>
      </c>
      <c r="B719" s="1" t="s">
        <v>3198</v>
      </c>
      <c r="C719" s="4" t="s">
        <v>7</v>
      </c>
      <c r="D719" s="1" t="s">
        <v>2273</v>
      </c>
      <c r="E719" s="4" t="s">
        <v>2277</v>
      </c>
      <c r="F719" s="84">
        <v>86</v>
      </c>
      <c r="G719" s="84">
        <v>61</v>
      </c>
      <c r="H719" s="84">
        <v>67.5</v>
      </c>
      <c r="I719" s="84">
        <v>41</v>
      </c>
      <c r="J719" s="84">
        <v>39</v>
      </c>
      <c r="K719" s="84">
        <v>63</v>
      </c>
      <c r="L719" s="84">
        <v>73</v>
      </c>
      <c r="M719" s="84">
        <v>44</v>
      </c>
      <c r="N719" s="84">
        <v>53</v>
      </c>
      <c r="O719" s="5">
        <f t="shared" si="46"/>
        <v>357.5</v>
      </c>
      <c r="P719" s="6">
        <f t="shared" si="49"/>
        <v>51</v>
      </c>
      <c r="Q719" s="5">
        <f t="shared" si="47"/>
        <v>882</v>
      </c>
      <c r="R719" s="5">
        <v>391</v>
      </c>
      <c r="S719" s="5">
        <v>767</v>
      </c>
      <c r="T719" s="5">
        <f t="shared" si="48"/>
        <v>-115</v>
      </c>
    </row>
    <row r="720" spans="1:20">
      <c r="A720" s="1" t="s">
        <v>2278</v>
      </c>
      <c r="B720" s="1" t="s">
        <v>3198</v>
      </c>
      <c r="C720" s="4" t="s">
        <v>7</v>
      </c>
      <c r="D720" s="1" t="s">
        <v>2276</v>
      </c>
      <c r="E720" s="4" t="s">
        <v>2280</v>
      </c>
      <c r="F720" s="84">
        <v>108</v>
      </c>
      <c r="G720" s="84">
        <v>61</v>
      </c>
      <c r="H720" s="84">
        <v>88</v>
      </c>
      <c r="I720" s="84">
        <v>64</v>
      </c>
      <c r="J720" s="84">
        <v>47</v>
      </c>
      <c r="K720" s="84">
        <v>72</v>
      </c>
      <c r="L720" s="84">
        <v>86</v>
      </c>
      <c r="M720" s="84">
        <v>60</v>
      </c>
      <c r="N720" s="84">
        <v>56</v>
      </c>
      <c r="O720" s="5">
        <f t="shared" si="46"/>
        <v>440</v>
      </c>
      <c r="P720" s="6">
        <f t="shared" si="49"/>
        <v>30</v>
      </c>
      <c r="Q720" s="5">
        <f t="shared" si="47"/>
        <v>570</v>
      </c>
      <c r="R720" s="5">
        <v>439.5</v>
      </c>
      <c r="S720" s="5">
        <v>526</v>
      </c>
      <c r="T720" s="5">
        <f t="shared" si="48"/>
        <v>-44</v>
      </c>
    </row>
    <row r="721" spans="1:20">
      <c r="A721" s="1">
        <v>20183005</v>
      </c>
      <c r="B721" s="1" t="s">
        <v>3198</v>
      </c>
      <c r="C721" s="4" t="s">
        <v>7</v>
      </c>
      <c r="D721" s="1" t="s">
        <v>2279</v>
      </c>
      <c r="E721" s="4" t="s">
        <v>3240</v>
      </c>
      <c r="F721" s="84">
        <v>100</v>
      </c>
      <c r="G721" s="84">
        <v>53</v>
      </c>
      <c r="H721" s="84">
        <v>72.5</v>
      </c>
      <c r="I721" s="84">
        <v>64</v>
      </c>
      <c r="J721" s="84">
        <v>30</v>
      </c>
      <c r="K721" s="84">
        <v>66</v>
      </c>
      <c r="L721" s="84">
        <v>45</v>
      </c>
      <c r="M721" s="84">
        <v>48</v>
      </c>
      <c r="N721" s="84">
        <v>49</v>
      </c>
      <c r="O721" s="5">
        <f t="shared" si="46"/>
        <v>385.5</v>
      </c>
      <c r="P721" s="6">
        <f t="shared" si="49"/>
        <v>47</v>
      </c>
      <c r="Q721" s="5">
        <f t="shared" si="47"/>
        <v>819</v>
      </c>
      <c r="R721" s="5">
        <v>403</v>
      </c>
      <c r="S721" s="5">
        <v>717</v>
      </c>
      <c r="T721" s="5">
        <f t="shared" si="48"/>
        <v>-102</v>
      </c>
    </row>
    <row r="722" spans="1:20">
      <c r="A722" s="1" t="s">
        <v>2281</v>
      </c>
      <c r="B722" s="1" t="s">
        <v>3198</v>
      </c>
      <c r="C722" s="4" t="s">
        <v>7</v>
      </c>
      <c r="D722" s="1" t="s">
        <v>2282</v>
      </c>
      <c r="E722" s="4" t="s">
        <v>2283</v>
      </c>
      <c r="F722" s="84">
        <v>115</v>
      </c>
      <c r="G722" s="84">
        <v>66</v>
      </c>
      <c r="H722" s="84">
        <v>85</v>
      </c>
      <c r="I722" s="84">
        <v>51</v>
      </c>
      <c r="J722" s="84">
        <v>47</v>
      </c>
      <c r="K722" s="84">
        <v>80</v>
      </c>
      <c r="L722" s="84">
        <v>84</v>
      </c>
      <c r="M722" s="84">
        <v>64</v>
      </c>
      <c r="N722" s="84">
        <v>57</v>
      </c>
      <c r="O722" s="5">
        <f t="shared" si="46"/>
        <v>444</v>
      </c>
      <c r="P722" s="6">
        <f t="shared" si="49"/>
        <v>25</v>
      </c>
      <c r="Q722" s="5">
        <f t="shared" si="47"/>
        <v>551</v>
      </c>
      <c r="R722" s="5">
        <v>493</v>
      </c>
      <c r="S722" s="5">
        <v>247</v>
      </c>
      <c r="T722" s="5">
        <f t="shared" si="48"/>
        <v>-304</v>
      </c>
    </row>
    <row r="723" spans="1:20">
      <c r="A723" s="1" t="s">
        <v>2284</v>
      </c>
      <c r="B723" s="1" t="s">
        <v>3198</v>
      </c>
      <c r="C723" s="4" t="s">
        <v>7</v>
      </c>
      <c r="D723" s="1" t="s">
        <v>2285</v>
      </c>
      <c r="E723" s="4" t="s">
        <v>2286</v>
      </c>
      <c r="F723" s="84">
        <v>96</v>
      </c>
      <c r="G723" s="84">
        <v>83</v>
      </c>
      <c r="H723" s="84">
        <v>77</v>
      </c>
      <c r="I723" s="84">
        <v>87</v>
      </c>
      <c r="J723" s="84">
        <v>58</v>
      </c>
      <c r="K723" s="84">
        <v>85</v>
      </c>
      <c r="L723" s="84">
        <v>75</v>
      </c>
      <c r="M723" s="84">
        <v>72</v>
      </c>
      <c r="N723" s="84">
        <v>55</v>
      </c>
      <c r="O723" s="5">
        <f t="shared" si="46"/>
        <v>486</v>
      </c>
      <c r="P723" s="6">
        <f t="shared" si="49"/>
        <v>10</v>
      </c>
      <c r="Q723" s="5">
        <f t="shared" si="47"/>
        <v>305</v>
      </c>
      <c r="R723" s="5">
        <v>508</v>
      </c>
      <c r="S723" s="5">
        <v>176</v>
      </c>
      <c r="T723" s="5">
        <f t="shared" si="48"/>
        <v>-129</v>
      </c>
    </row>
    <row r="724" spans="1:20">
      <c r="A724" s="1" t="s">
        <v>2289</v>
      </c>
      <c r="B724" s="1" t="s">
        <v>3198</v>
      </c>
      <c r="C724" s="4" t="s">
        <v>7</v>
      </c>
      <c r="D724" s="1" t="s">
        <v>2290</v>
      </c>
      <c r="E724" s="4" t="s">
        <v>2291</v>
      </c>
      <c r="F724" s="84">
        <v>109</v>
      </c>
      <c r="G724" s="84">
        <v>93</v>
      </c>
      <c r="H724" s="84">
        <v>82</v>
      </c>
      <c r="I724" s="84">
        <v>95</v>
      </c>
      <c r="J724" s="84">
        <v>71</v>
      </c>
      <c r="K724" s="84">
        <v>66</v>
      </c>
      <c r="L724" s="84">
        <v>61</v>
      </c>
      <c r="M724" s="84">
        <v>48</v>
      </c>
      <c r="N724" s="84">
        <v>45</v>
      </c>
      <c r="O724" s="5">
        <f t="shared" si="46"/>
        <v>516</v>
      </c>
      <c r="P724" s="6">
        <f t="shared" si="49"/>
        <v>3</v>
      </c>
      <c r="Q724" s="5">
        <f t="shared" si="47"/>
        <v>180</v>
      </c>
      <c r="R724" s="5">
        <v>516.5</v>
      </c>
      <c r="S724" s="5">
        <v>149</v>
      </c>
      <c r="T724" s="5">
        <f t="shared" si="48"/>
        <v>-31</v>
      </c>
    </row>
    <row r="725" spans="1:20">
      <c r="A725" s="1" t="s">
        <v>1646</v>
      </c>
      <c r="B725" s="1" t="s">
        <v>3198</v>
      </c>
      <c r="C725" s="4" t="s">
        <v>7</v>
      </c>
      <c r="D725" s="1" t="s">
        <v>2293</v>
      </c>
      <c r="E725" s="4" t="s">
        <v>1648</v>
      </c>
      <c r="F725" s="84">
        <v>113</v>
      </c>
      <c r="G725" s="84">
        <v>111</v>
      </c>
      <c r="H725" s="84">
        <v>88.5</v>
      </c>
      <c r="I725" s="84">
        <v>105</v>
      </c>
      <c r="J725" s="84">
        <v>64</v>
      </c>
      <c r="K725" s="84">
        <v>79</v>
      </c>
      <c r="L725" s="84">
        <v>79</v>
      </c>
      <c r="M725" s="84">
        <v>52</v>
      </c>
      <c r="N725" s="84">
        <v>64</v>
      </c>
      <c r="O725" s="5">
        <f t="shared" si="46"/>
        <v>560.5</v>
      </c>
      <c r="P725" s="6">
        <f t="shared" si="49"/>
        <v>1</v>
      </c>
      <c r="Q725" s="5">
        <f t="shared" si="47"/>
        <v>67</v>
      </c>
      <c r="R725" s="5">
        <v>540.5</v>
      </c>
      <c r="S725" s="5">
        <v>85</v>
      </c>
      <c r="T725" s="5">
        <f t="shared" si="48"/>
        <v>18</v>
      </c>
    </row>
    <row r="726" spans="1:20">
      <c r="A726" s="1" t="s">
        <v>2292</v>
      </c>
      <c r="B726" s="1" t="s">
        <v>3198</v>
      </c>
      <c r="C726" s="4" t="s">
        <v>7</v>
      </c>
      <c r="D726" s="1" t="s">
        <v>2296</v>
      </c>
      <c r="E726" s="4" t="s">
        <v>2294</v>
      </c>
      <c r="F726" s="84">
        <v>68</v>
      </c>
      <c r="G726" s="84">
        <v>63</v>
      </c>
      <c r="H726" s="84">
        <v>87</v>
      </c>
      <c r="I726" s="84">
        <v>70</v>
      </c>
      <c r="J726" s="84">
        <v>39</v>
      </c>
      <c r="K726" s="84">
        <v>48</v>
      </c>
      <c r="L726" s="84">
        <v>76</v>
      </c>
      <c r="M726" s="84">
        <v>63</v>
      </c>
      <c r="N726" s="84">
        <v>59</v>
      </c>
      <c r="O726" s="5">
        <f t="shared" si="46"/>
        <v>375</v>
      </c>
      <c r="P726" s="6">
        <f t="shared" si="49"/>
        <v>48</v>
      </c>
      <c r="Q726" s="5">
        <f t="shared" si="47"/>
        <v>841</v>
      </c>
      <c r="R726" s="5">
        <v>406</v>
      </c>
      <c r="S726" s="5">
        <v>699</v>
      </c>
      <c r="T726" s="5">
        <f t="shared" si="48"/>
        <v>-142</v>
      </c>
    </row>
    <row r="727" spans="1:20">
      <c r="A727" s="1" t="s">
        <v>1539</v>
      </c>
      <c r="B727" s="1" t="s">
        <v>3198</v>
      </c>
      <c r="C727" s="4" t="s">
        <v>7</v>
      </c>
      <c r="D727" s="1" t="s">
        <v>2298</v>
      </c>
      <c r="E727" s="4" t="s">
        <v>1541</v>
      </c>
      <c r="F727" s="84">
        <v>107</v>
      </c>
      <c r="G727" s="84">
        <v>65</v>
      </c>
      <c r="H727" s="84">
        <v>99</v>
      </c>
      <c r="I727" s="84">
        <v>55</v>
      </c>
      <c r="J727" s="84">
        <v>70</v>
      </c>
      <c r="K727" s="84">
        <v>83</v>
      </c>
      <c r="L727" s="84">
        <v>84</v>
      </c>
      <c r="M727" s="84">
        <v>73</v>
      </c>
      <c r="N727" s="84">
        <v>64</v>
      </c>
      <c r="O727" s="5">
        <f t="shared" si="46"/>
        <v>479</v>
      </c>
      <c r="P727" s="6">
        <f t="shared" si="49"/>
        <v>11</v>
      </c>
      <c r="Q727" s="5">
        <f t="shared" si="47"/>
        <v>344</v>
      </c>
      <c r="R727" s="5">
        <v>528.5</v>
      </c>
      <c r="S727" s="5">
        <v>110</v>
      </c>
      <c r="T727" s="5">
        <f t="shared" si="48"/>
        <v>-234</v>
      </c>
    </row>
    <row r="728" spans="1:20">
      <c r="A728" s="1" t="s">
        <v>2299</v>
      </c>
      <c r="B728" s="1" t="s">
        <v>3198</v>
      </c>
      <c r="C728" s="4" t="s">
        <v>7</v>
      </c>
      <c r="D728" s="1" t="s">
        <v>2300</v>
      </c>
      <c r="E728" s="4" t="s">
        <v>2301</v>
      </c>
      <c r="F728" s="84">
        <v>105</v>
      </c>
      <c r="G728" s="84">
        <v>63</v>
      </c>
      <c r="H728" s="84">
        <v>97.5</v>
      </c>
      <c r="I728" s="84">
        <v>74</v>
      </c>
      <c r="J728" s="84">
        <v>54</v>
      </c>
      <c r="K728" s="84">
        <v>77</v>
      </c>
      <c r="L728" s="84">
        <v>81</v>
      </c>
      <c r="M728" s="84">
        <v>67</v>
      </c>
      <c r="N728" s="84">
        <v>60</v>
      </c>
      <c r="O728" s="5">
        <f t="shared" si="46"/>
        <v>470.5</v>
      </c>
      <c r="P728" s="6">
        <f t="shared" si="49"/>
        <v>15</v>
      </c>
      <c r="Q728" s="5">
        <f t="shared" si="47"/>
        <v>390</v>
      </c>
      <c r="R728" s="5">
        <v>470</v>
      </c>
      <c r="S728" s="5">
        <v>364</v>
      </c>
      <c r="T728" s="5">
        <f t="shared" si="48"/>
        <v>-26</v>
      </c>
    </row>
    <row r="729" spans="1:20">
      <c r="A729" s="1" t="s">
        <v>2302</v>
      </c>
      <c r="B729" s="1" t="s">
        <v>3198</v>
      </c>
      <c r="C729" s="4" t="s">
        <v>7</v>
      </c>
      <c r="D729" s="1" t="s">
        <v>2303</v>
      </c>
      <c r="E729" s="4" t="s">
        <v>2304</v>
      </c>
      <c r="F729" s="84">
        <v>89</v>
      </c>
      <c r="G729" s="84">
        <v>59</v>
      </c>
      <c r="H729" s="84">
        <v>66</v>
      </c>
      <c r="I729" s="84">
        <v>86</v>
      </c>
      <c r="J729" s="84">
        <v>67</v>
      </c>
      <c r="K729" s="84">
        <v>82</v>
      </c>
      <c r="L729" s="84">
        <v>87</v>
      </c>
      <c r="M729" s="84">
        <v>67</v>
      </c>
      <c r="N729" s="84">
        <v>50</v>
      </c>
      <c r="O729" s="5">
        <f t="shared" si="46"/>
        <v>449</v>
      </c>
      <c r="P729" s="6">
        <f t="shared" si="49"/>
        <v>23</v>
      </c>
      <c r="Q729" s="5">
        <f t="shared" si="47"/>
        <v>522</v>
      </c>
      <c r="R729" s="5">
        <v>433.5</v>
      </c>
      <c r="S729" s="5">
        <v>554</v>
      </c>
      <c r="T729" s="5">
        <f t="shared" si="48"/>
        <v>32</v>
      </c>
    </row>
    <row r="730" spans="1:20">
      <c r="A730" s="1" t="s">
        <v>2307</v>
      </c>
      <c r="B730" s="1" t="s">
        <v>3198</v>
      </c>
      <c r="C730" s="4" t="s">
        <v>7</v>
      </c>
      <c r="D730" s="1" t="s">
        <v>2308</v>
      </c>
      <c r="E730" s="4" t="s">
        <v>2309</v>
      </c>
      <c r="F730" s="84">
        <v>96</v>
      </c>
      <c r="G730" s="84">
        <v>51</v>
      </c>
      <c r="H730" s="84">
        <v>92.5</v>
      </c>
      <c r="I730" s="84">
        <v>52</v>
      </c>
      <c r="J730" s="84">
        <v>61</v>
      </c>
      <c r="K730" s="84">
        <v>66</v>
      </c>
      <c r="L730" s="84">
        <v>53</v>
      </c>
      <c r="M730" s="84">
        <v>63</v>
      </c>
      <c r="N730" s="84">
        <v>59</v>
      </c>
      <c r="O730" s="5">
        <f t="shared" si="46"/>
        <v>418.5</v>
      </c>
      <c r="P730" s="6">
        <f t="shared" si="49"/>
        <v>37</v>
      </c>
      <c r="Q730" s="5">
        <f t="shared" si="47"/>
        <v>677</v>
      </c>
      <c r="R730" s="5">
        <v>378.5</v>
      </c>
      <c r="S730" s="5">
        <v>811</v>
      </c>
      <c r="T730" s="5">
        <f t="shared" si="48"/>
        <v>134</v>
      </c>
    </row>
    <row r="731" spans="1:20">
      <c r="A731" s="1" t="s">
        <v>2310</v>
      </c>
      <c r="B731" s="1" t="s">
        <v>3198</v>
      </c>
      <c r="C731" s="4" t="s">
        <v>7</v>
      </c>
      <c r="D731" s="1" t="s">
        <v>2311</v>
      </c>
      <c r="E731" s="4" t="s">
        <v>2312</v>
      </c>
      <c r="F731" s="84">
        <v>96</v>
      </c>
      <c r="G731" s="84">
        <v>57</v>
      </c>
      <c r="H731" s="84">
        <v>72</v>
      </c>
      <c r="I731" s="84">
        <v>74</v>
      </c>
      <c r="J731" s="84">
        <v>56</v>
      </c>
      <c r="K731" s="84">
        <v>86</v>
      </c>
      <c r="L731" s="84">
        <v>83</v>
      </c>
      <c r="M731" s="84">
        <v>80</v>
      </c>
      <c r="N731" s="84">
        <v>64</v>
      </c>
      <c r="O731" s="5">
        <f t="shared" si="46"/>
        <v>441</v>
      </c>
      <c r="P731" s="6">
        <f t="shared" si="49"/>
        <v>29</v>
      </c>
      <c r="Q731" s="5">
        <f t="shared" si="47"/>
        <v>565</v>
      </c>
      <c r="R731" s="5">
        <v>473.5</v>
      </c>
      <c r="S731" s="5">
        <v>342</v>
      </c>
      <c r="T731" s="5">
        <f t="shared" si="48"/>
        <v>-223</v>
      </c>
    </row>
    <row r="732" spans="1:20">
      <c r="A732" s="1" t="s">
        <v>2316</v>
      </c>
      <c r="B732" s="1" t="s">
        <v>3198</v>
      </c>
      <c r="C732" s="4" t="s">
        <v>7</v>
      </c>
      <c r="D732" s="1" t="s">
        <v>2314</v>
      </c>
      <c r="E732" s="4" t="s">
        <v>2318</v>
      </c>
      <c r="F732" s="84">
        <v>101</v>
      </c>
      <c r="G732" s="84">
        <v>74</v>
      </c>
      <c r="H732" s="86">
        <v>99.5</v>
      </c>
      <c r="I732" s="84">
        <v>70</v>
      </c>
      <c r="J732" s="84">
        <v>71</v>
      </c>
      <c r="K732" s="84">
        <v>79</v>
      </c>
      <c r="L732" s="84">
        <v>90</v>
      </c>
      <c r="M732" s="84">
        <v>69</v>
      </c>
      <c r="N732" s="84">
        <v>69</v>
      </c>
      <c r="O732" s="5">
        <f t="shared" si="46"/>
        <v>494.5</v>
      </c>
      <c r="P732" s="6">
        <f t="shared" si="49"/>
        <v>7</v>
      </c>
      <c r="Q732" s="5">
        <f t="shared" si="47"/>
        <v>269</v>
      </c>
      <c r="R732" s="5">
        <v>490</v>
      </c>
      <c r="S732" s="5">
        <v>260</v>
      </c>
      <c r="T732" s="5">
        <f t="shared" si="48"/>
        <v>-9</v>
      </c>
    </row>
    <row r="733" spans="1:20">
      <c r="A733" s="1" t="s">
        <v>2319</v>
      </c>
      <c r="B733" s="1" t="s">
        <v>3198</v>
      </c>
      <c r="C733" s="4" t="s">
        <v>7</v>
      </c>
      <c r="D733" s="1" t="s">
        <v>2317</v>
      </c>
      <c r="E733" s="4" t="s">
        <v>2321</v>
      </c>
      <c r="F733" s="84">
        <v>111</v>
      </c>
      <c r="G733" s="84">
        <v>85</v>
      </c>
      <c r="H733" s="84">
        <v>86</v>
      </c>
      <c r="I733" s="84">
        <v>67</v>
      </c>
      <c r="J733" s="84">
        <v>70</v>
      </c>
      <c r="K733" s="84">
        <v>81</v>
      </c>
      <c r="L733" s="84">
        <v>80</v>
      </c>
      <c r="M733" s="84">
        <v>83</v>
      </c>
      <c r="N733" s="84">
        <v>61</v>
      </c>
      <c r="O733" s="5">
        <f t="shared" si="46"/>
        <v>500</v>
      </c>
      <c r="P733" s="6">
        <f t="shared" si="49"/>
        <v>6</v>
      </c>
      <c r="Q733" s="5">
        <f t="shared" si="47"/>
        <v>246</v>
      </c>
      <c r="R733" s="5">
        <v>468.5</v>
      </c>
      <c r="S733" s="5">
        <v>377</v>
      </c>
      <c r="T733" s="5">
        <f t="shared" si="48"/>
        <v>131</v>
      </c>
    </row>
    <row r="734" spans="1:20">
      <c r="A734" s="1" t="s">
        <v>2322</v>
      </c>
      <c r="B734" s="1" t="s">
        <v>3198</v>
      </c>
      <c r="C734" s="4" t="s">
        <v>7</v>
      </c>
      <c r="D734" s="1" t="s">
        <v>2320</v>
      </c>
      <c r="E734" s="4" t="s">
        <v>2324</v>
      </c>
      <c r="F734" s="84">
        <v>108</v>
      </c>
      <c r="G734" s="84">
        <v>83</v>
      </c>
      <c r="H734" s="84">
        <v>87</v>
      </c>
      <c r="I734" s="84">
        <v>81</v>
      </c>
      <c r="J734" s="84">
        <v>60</v>
      </c>
      <c r="K734" s="84">
        <v>54</v>
      </c>
      <c r="L734" s="84">
        <v>82</v>
      </c>
      <c r="M734" s="84">
        <v>63</v>
      </c>
      <c r="N734" s="84">
        <v>55</v>
      </c>
      <c r="O734" s="5">
        <f t="shared" si="46"/>
        <v>473</v>
      </c>
      <c r="P734" s="6">
        <f t="shared" si="49"/>
        <v>13</v>
      </c>
      <c r="Q734" s="5">
        <f t="shared" si="47"/>
        <v>377</v>
      </c>
      <c r="R734" s="5">
        <v>469.5</v>
      </c>
      <c r="S734" s="5">
        <v>368</v>
      </c>
      <c r="T734" s="5">
        <f t="shared" si="48"/>
        <v>-9</v>
      </c>
    </row>
    <row r="735" spans="1:20">
      <c r="A735" s="1" t="s">
        <v>2325</v>
      </c>
      <c r="B735" s="1" t="s">
        <v>3198</v>
      </c>
      <c r="C735" s="4" t="s">
        <v>7</v>
      </c>
      <c r="D735" s="1" t="s">
        <v>2323</v>
      </c>
      <c r="E735" s="4" t="s">
        <v>2327</v>
      </c>
      <c r="F735" s="84">
        <v>116</v>
      </c>
      <c r="G735" s="84">
        <v>61</v>
      </c>
      <c r="H735" s="84">
        <v>89</v>
      </c>
      <c r="I735" s="84">
        <v>59</v>
      </c>
      <c r="J735" s="84">
        <v>48</v>
      </c>
      <c r="K735" s="84">
        <v>70</v>
      </c>
      <c r="L735" s="84">
        <v>68</v>
      </c>
      <c r="M735" s="84">
        <v>56</v>
      </c>
      <c r="N735" s="84">
        <v>44</v>
      </c>
      <c r="O735" s="5">
        <f t="shared" si="46"/>
        <v>443</v>
      </c>
      <c r="P735" s="6">
        <f t="shared" si="49"/>
        <v>28</v>
      </c>
      <c r="Q735" s="5">
        <f t="shared" si="47"/>
        <v>557</v>
      </c>
      <c r="R735" s="5">
        <v>454.5</v>
      </c>
      <c r="S735" s="5">
        <v>442</v>
      </c>
      <c r="T735" s="5">
        <f t="shared" si="48"/>
        <v>-115</v>
      </c>
    </row>
    <row r="736" spans="1:20">
      <c r="A736" s="1" t="s">
        <v>2330</v>
      </c>
      <c r="B736" s="1" t="s">
        <v>3198</v>
      </c>
      <c r="C736" s="4" t="s">
        <v>7</v>
      </c>
      <c r="D736" s="1" t="s">
        <v>2326</v>
      </c>
      <c r="E736" s="4" t="s">
        <v>2332</v>
      </c>
      <c r="F736" s="84">
        <v>81</v>
      </c>
      <c r="G736" s="84">
        <v>30</v>
      </c>
      <c r="H736" s="84">
        <v>94</v>
      </c>
      <c r="I736" s="84">
        <v>43</v>
      </c>
      <c r="J736" s="84">
        <v>33</v>
      </c>
      <c r="K736" s="84">
        <v>38</v>
      </c>
      <c r="L736" s="84">
        <v>77</v>
      </c>
      <c r="M736" s="84">
        <v>69</v>
      </c>
      <c r="N736" s="84">
        <v>59</v>
      </c>
      <c r="O736" s="5">
        <f t="shared" si="46"/>
        <v>319</v>
      </c>
      <c r="P736" s="6">
        <f t="shared" si="49"/>
        <v>53</v>
      </c>
      <c r="Q736" s="5">
        <f t="shared" si="47"/>
        <v>919</v>
      </c>
      <c r="R736" s="5">
        <v>329.5</v>
      </c>
      <c r="S736" s="5">
        <v>905</v>
      </c>
      <c r="T736" s="5">
        <f t="shared" si="48"/>
        <v>-14</v>
      </c>
    </row>
    <row r="737" spans="1:20">
      <c r="A737" s="1" t="s">
        <v>2333</v>
      </c>
      <c r="B737" s="1" t="s">
        <v>3198</v>
      </c>
      <c r="C737" s="4" t="s">
        <v>7</v>
      </c>
      <c r="D737" s="1" t="s">
        <v>2329</v>
      </c>
      <c r="E737" s="4" t="s">
        <v>2335</v>
      </c>
      <c r="F737" s="84">
        <v>100</v>
      </c>
      <c r="G737" s="84">
        <v>61</v>
      </c>
      <c r="H737" s="84">
        <v>79.5</v>
      </c>
      <c r="I737" s="84">
        <v>56</v>
      </c>
      <c r="J737" s="84">
        <v>64</v>
      </c>
      <c r="K737" s="84">
        <v>77</v>
      </c>
      <c r="L737" s="84">
        <v>81</v>
      </c>
      <c r="M737" s="84">
        <v>63</v>
      </c>
      <c r="N737" s="84">
        <v>56</v>
      </c>
      <c r="O737" s="5">
        <f t="shared" si="46"/>
        <v>437.5</v>
      </c>
      <c r="P737" s="6">
        <f t="shared" si="49"/>
        <v>31</v>
      </c>
      <c r="Q737" s="5">
        <f t="shared" si="47"/>
        <v>584</v>
      </c>
      <c r="R737" s="5">
        <v>442</v>
      </c>
      <c r="S737" s="5">
        <v>518</v>
      </c>
      <c r="T737" s="5">
        <f t="shared" si="48"/>
        <v>-66</v>
      </c>
    </row>
    <row r="738" spans="1:20">
      <c r="A738" s="1" t="s">
        <v>2336</v>
      </c>
      <c r="B738" s="1" t="s">
        <v>3198</v>
      </c>
      <c r="C738" s="4" t="s">
        <v>7</v>
      </c>
      <c r="D738" s="1" t="s">
        <v>2331</v>
      </c>
      <c r="E738" s="4" t="s">
        <v>2338</v>
      </c>
      <c r="F738" s="84">
        <v>103</v>
      </c>
      <c r="G738" s="84">
        <v>72</v>
      </c>
      <c r="H738" s="84">
        <v>62</v>
      </c>
      <c r="I738" s="84">
        <v>59</v>
      </c>
      <c r="J738" s="84">
        <v>54</v>
      </c>
      <c r="K738" s="84">
        <v>73</v>
      </c>
      <c r="L738" s="84">
        <v>76</v>
      </c>
      <c r="M738" s="84">
        <v>65</v>
      </c>
      <c r="N738" s="84">
        <v>62</v>
      </c>
      <c r="O738" s="5">
        <f t="shared" si="46"/>
        <v>423</v>
      </c>
      <c r="P738" s="6">
        <f t="shared" si="49"/>
        <v>36</v>
      </c>
      <c r="Q738" s="5">
        <f t="shared" si="47"/>
        <v>659</v>
      </c>
      <c r="R738" s="5">
        <v>350</v>
      </c>
      <c r="S738" s="5">
        <v>879</v>
      </c>
      <c r="T738" s="5">
        <f t="shared" si="48"/>
        <v>220</v>
      </c>
    </row>
    <row r="739" spans="1:20">
      <c r="A739" s="1" t="s">
        <v>2339</v>
      </c>
      <c r="B739" s="1" t="s">
        <v>3198</v>
      </c>
      <c r="C739" s="4" t="s">
        <v>7</v>
      </c>
      <c r="D739" s="1" t="s">
        <v>2334</v>
      </c>
      <c r="E739" s="4" t="s">
        <v>2341</v>
      </c>
      <c r="F739" s="84">
        <v>96</v>
      </c>
      <c r="G739" s="84">
        <v>45</v>
      </c>
      <c r="H739" s="84">
        <v>76.5</v>
      </c>
      <c r="I739" s="84">
        <v>51</v>
      </c>
      <c r="J739" s="84">
        <v>36</v>
      </c>
      <c r="K739" s="84">
        <v>62</v>
      </c>
      <c r="L739" s="84">
        <v>82</v>
      </c>
      <c r="M739" s="84">
        <v>70</v>
      </c>
      <c r="N739" s="84">
        <v>57</v>
      </c>
      <c r="O739" s="5">
        <f t="shared" si="46"/>
        <v>366.5</v>
      </c>
      <c r="P739" s="6">
        <f t="shared" si="49"/>
        <v>49</v>
      </c>
      <c r="Q739" s="5">
        <f t="shared" si="47"/>
        <v>867</v>
      </c>
      <c r="R739" s="5">
        <v>401.5</v>
      </c>
      <c r="S739" s="5">
        <v>722</v>
      </c>
      <c r="T739" s="5">
        <f t="shared" si="48"/>
        <v>-145</v>
      </c>
    </row>
    <row r="740" spans="1:20">
      <c r="A740" s="1" t="s">
        <v>2342</v>
      </c>
      <c r="B740" s="1" t="s">
        <v>3198</v>
      </c>
      <c r="C740" s="4" t="s">
        <v>7</v>
      </c>
      <c r="D740" s="1" t="s">
        <v>2337</v>
      </c>
      <c r="E740" s="4" t="s">
        <v>2344</v>
      </c>
      <c r="F740" s="84">
        <v>108</v>
      </c>
      <c r="G740" s="84">
        <v>81</v>
      </c>
      <c r="H740" s="84">
        <v>115.5</v>
      </c>
      <c r="I740" s="84">
        <v>84</v>
      </c>
      <c r="J740" s="84">
        <v>66</v>
      </c>
      <c r="K740" s="84">
        <v>64</v>
      </c>
      <c r="L740" s="84">
        <v>81</v>
      </c>
      <c r="M740" s="84">
        <v>75</v>
      </c>
      <c r="N740" s="84">
        <v>68</v>
      </c>
      <c r="O740" s="5">
        <f t="shared" si="46"/>
        <v>518.5</v>
      </c>
      <c r="P740" s="6">
        <f t="shared" si="49"/>
        <v>2</v>
      </c>
      <c r="Q740" s="5">
        <f t="shared" si="47"/>
        <v>171</v>
      </c>
      <c r="R740" s="5">
        <v>524.5</v>
      </c>
      <c r="S740" s="5">
        <v>122</v>
      </c>
      <c r="T740" s="5">
        <f t="shared" si="48"/>
        <v>-49</v>
      </c>
    </row>
    <row r="741" spans="1:20">
      <c r="A741" s="1" t="s">
        <v>2345</v>
      </c>
      <c r="B741" s="1" t="s">
        <v>3198</v>
      </c>
      <c r="C741" s="4" t="s">
        <v>7</v>
      </c>
      <c r="D741" s="1" t="s">
        <v>2340</v>
      </c>
      <c r="E741" s="4" t="s">
        <v>2347</v>
      </c>
      <c r="F741" s="84">
        <v>87</v>
      </c>
      <c r="G741" s="84">
        <v>56</v>
      </c>
      <c r="H741" s="86">
        <v>91</v>
      </c>
      <c r="I741" s="84">
        <v>53</v>
      </c>
      <c r="J741" s="84">
        <v>43</v>
      </c>
      <c r="K741" s="84">
        <v>59</v>
      </c>
      <c r="L741" s="84">
        <v>83</v>
      </c>
      <c r="M741" s="84">
        <v>69</v>
      </c>
      <c r="N741" s="84">
        <v>40</v>
      </c>
      <c r="O741" s="5">
        <f t="shared" si="46"/>
        <v>389</v>
      </c>
      <c r="P741" s="6">
        <f t="shared" si="49"/>
        <v>45</v>
      </c>
      <c r="Q741" s="5">
        <f t="shared" si="47"/>
        <v>805</v>
      </c>
      <c r="R741" s="5">
        <v>418.5</v>
      </c>
      <c r="S741" s="5">
        <v>649</v>
      </c>
      <c r="T741" s="5">
        <f t="shared" si="48"/>
        <v>-156</v>
      </c>
    </row>
    <row r="742" spans="1:20">
      <c r="A742" s="1" t="s">
        <v>2348</v>
      </c>
      <c r="B742" s="1" t="s">
        <v>3198</v>
      </c>
      <c r="C742" s="4" t="s">
        <v>7</v>
      </c>
      <c r="D742" s="1" t="s">
        <v>2343</v>
      </c>
      <c r="E742" s="4" t="s">
        <v>2350</v>
      </c>
      <c r="F742" s="84">
        <v>95</v>
      </c>
      <c r="G742" s="84">
        <v>53</v>
      </c>
      <c r="H742" s="84">
        <v>97.5</v>
      </c>
      <c r="I742" s="84">
        <v>58</v>
      </c>
      <c r="J742" s="84">
        <v>45</v>
      </c>
      <c r="K742" s="84">
        <v>56</v>
      </c>
      <c r="L742" s="84">
        <v>75</v>
      </c>
      <c r="M742" s="84">
        <v>67</v>
      </c>
      <c r="N742" s="84">
        <v>55</v>
      </c>
      <c r="O742" s="5">
        <f t="shared" si="46"/>
        <v>404.5</v>
      </c>
      <c r="P742" s="6">
        <f t="shared" si="49"/>
        <v>41</v>
      </c>
      <c r="Q742" s="5">
        <f t="shared" si="47"/>
        <v>748</v>
      </c>
      <c r="R742" s="5">
        <v>414.5</v>
      </c>
      <c r="S742" s="5">
        <v>662</v>
      </c>
      <c r="T742" s="5">
        <f t="shared" si="48"/>
        <v>-86</v>
      </c>
    </row>
    <row r="743" spans="1:20">
      <c r="A743" s="1" t="s">
        <v>2351</v>
      </c>
      <c r="B743" s="1" t="s">
        <v>3198</v>
      </c>
      <c r="C743" s="4" t="s">
        <v>7</v>
      </c>
      <c r="D743" s="1" t="s">
        <v>2346</v>
      </c>
      <c r="E743" s="4" t="s">
        <v>2353</v>
      </c>
      <c r="F743" s="84">
        <v>103</v>
      </c>
      <c r="G743" s="84">
        <v>70</v>
      </c>
      <c r="H743" s="84">
        <v>95</v>
      </c>
      <c r="I743" s="84">
        <v>69</v>
      </c>
      <c r="J743" s="84">
        <v>67</v>
      </c>
      <c r="K743" s="84">
        <v>86</v>
      </c>
      <c r="L743" s="84">
        <v>82</v>
      </c>
      <c r="M743" s="84">
        <v>70</v>
      </c>
      <c r="N743" s="84">
        <v>58</v>
      </c>
      <c r="O743" s="5">
        <f t="shared" si="46"/>
        <v>490</v>
      </c>
      <c r="P743" s="6">
        <f t="shared" si="49"/>
        <v>9</v>
      </c>
      <c r="Q743" s="5">
        <f t="shared" si="47"/>
        <v>293</v>
      </c>
      <c r="R743" s="5">
        <v>515.5</v>
      </c>
      <c r="S743" s="5">
        <v>152</v>
      </c>
      <c r="T743" s="5">
        <f t="shared" si="48"/>
        <v>-141</v>
      </c>
    </row>
    <row r="744" spans="1:20">
      <c r="A744" s="1" t="s">
        <v>2357</v>
      </c>
      <c r="B744" s="1" t="s">
        <v>3198</v>
      </c>
      <c r="C744" s="4" t="s">
        <v>7</v>
      </c>
      <c r="D744" s="1" t="s">
        <v>2349</v>
      </c>
      <c r="E744" s="4" t="s">
        <v>2359</v>
      </c>
      <c r="F744" s="84">
        <v>89</v>
      </c>
      <c r="G744" s="84">
        <v>64</v>
      </c>
      <c r="H744" s="84">
        <v>83.5</v>
      </c>
      <c r="I744" s="84">
        <v>59</v>
      </c>
      <c r="J744" s="84">
        <v>40</v>
      </c>
      <c r="K744" s="84">
        <v>79</v>
      </c>
      <c r="L744" s="84">
        <v>75</v>
      </c>
      <c r="M744" s="84">
        <v>54</v>
      </c>
      <c r="N744" s="84">
        <v>51</v>
      </c>
      <c r="O744" s="5">
        <f t="shared" si="46"/>
        <v>414.5</v>
      </c>
      <c r="P744" s="6">
        <f t="shared" si="49"/>
        <v>38</v>
      </c>
      <c r="Q744" s="5">
        <f t="shared" si="47"/>
        <v>694</v>
      </c>
      <c r="R744" s="5">
        <v>424</v>
      </c>
      <c r="S744" s="5">
        <v>612</v>
      </c>
      <c r="T744" s="5">
        <f t="shared" si="48"/>
        <v>-82</v>
      </c>
    </row>
    <row r="745" spans="1:20">
      <c r="A745" s="1" t="s">
        <v>2360</v>
      </c>
      <c r="B745" s="1" t="s">
        <v>3198</v>
      </c>
      <c r="C745" s="4" t="s">
        <v>7</v>
      </c>
      <c r="D745" s="1" t="s">
        <v>2352</v>
      </c>
      <c r="E745" s="4" t="s">
        <v>2362</v>
      </c>
      <c r="F745" s="84">
        <v>81</v>
      </c>
      <c r="G745" s="84">
        <v>66</v>
      </c>
      <c r="H745" s="84">
        <v>91</v>
      </c>
      <c r="I745" s="84">
        <v>88</v>
      </c>
      <c r="J745" s="84">
        <v>53</v>
      </c>
      <c r="K745" s="84">
        <v>84</v>
      </c>
      <c r="L745" s="84">
        <v>52</v>
      </c>
      <c r="M745" s="84">
        <v>68</v>
      </c>
      <c r="N745" s="84">
        <v>56</v>
      </c>
      <c r="O745" s="5">
        <f t="shared" si="46"/>
        <v>463</v>
      </c>
      <c r="P745" s="6">
        <f t="shared" si="49"/>
        <v>17</v>
      </c>
      <c r="Q745" s="5">
        <f t="shared" si="47"/>
        <v>439</v>
      </c>
      <c r="R745" s="5">
        <v>449</v>
      </c>
      <c r="S745" s="5">
        <v>473</v>
      </c>
      <c r="T745" s="5">
        <f t="shared" si="48"/>
        <v>34</v>
      </c>
    </row>
    <row r="746" spans="1:20">
      <c r="A746" s="1" t="s">
        <v>2363</v>
      </c>
      <c r="B746" s="1" t="s">
        <v>3198</v>
      </c>
      <c r="C746" s="4" t="s">
        <v>7</v>
      </c>
      <c r="D746" s="1" t="s">
        <v>2355</v>
      </c>
      <c r="E746" s="4" t="s">
        <v>2365</v>
      </c>
      <c r="F746" s="84">
        <v>103</v>
      </c>
      <c r="G746" s="84">
        <v>100</v>
      </c>
      <c r="H746" s="84">
        <v>87.5</v>
      </c>
      <c r="I746" s="84">
        <v>78</v>
      </c>
      <c r="J746" s="84">
        <v>56</v>
      </c>
      <c r="K746" s="84">
        <v>67</v>
      </c>
      <c r="L746" s="84">
        <v>62</v>
      </c>
      <c r="M746" s="84">
        <v>68</v>
      </c>
      <c r="N746" s="84">
        <v>49</v>
      </c>
      <c r="O746" s="5">
        <f t="shared" si="46"/>
        <v>491.5</v>
      </c>
      <c r="P746" s="6">
        <f t="shared" si="49"/>
        <v>8</v>
      </c>
      <c r="Q746" s="5">
        <f t="shared" si="47"/>
        <v>283</v>
      </c>
      <c r="R746" s="5">
        <v>520.5</v>
      </c>
      <c r="S746" s="5">
        <v>134</v>
      </c>
      <c r="T746" s="5">
        <f t="shared" si="48"/>
        <v>-149</v>
      </c>
    </row>
    <row r="747" spans="1:20">
      <c r="A747" s="1" t="s">
        <v>2366</v>
      </c>
      <c r="B747" s="1" t="s">
        <v>3198</v>
      </c>
      <c r="C747" s="4" t="s">
        <v>7</v>
      </c>
      <c r="D747" s="1" t="s">
        <v>2358</v>
      </c>
      <c r="E747" s="4" t="s">
        <v>2368</v>
      </c>
      <c r="F747" s="84">
        <v>106</v>
      </c>
      <c r="G747" s="84">
        <v>81</v>
      </c>
      <c r="H747" s="84">
        <v>90.5</v>
      </c>
      <c r="I747" s="84">
        <v>61</v>
      </c>
      <c r="J747" s="84">
        <v>50</v>
      </c>
      <c r="K747" s="84">
        <v>65</v>
      </c>
      <c r="L747" s="84">
        <v>81</v>
      </c>
      <c r="M747" s="84">
        <v>64</v>
      </c>
      <c r="N747" s="84">
        <v>54</v>
      </c>
      <c r="O747" s="5">
        <f t="shared" si="46"/>
        <v>453.5</v>
      </c>
      <c r="P747" s="6">
        <f t="shared" si="49"/>
        <v>19</v>
      </c>
      <c r="Q747" s="5">
        <f t="shared" si="47"/>
        <v>491</v>
      </c>
      <c r="R747" s="5">
        <v>472.5</v>
      </c>
      <c r="S747" s="5">
        <v>350</v>
      </c>
      <c r="T747" s="5">
        <f t="shared" si="48"/>
        <v>-141</v>
      </c>
    </row>
    <row r="748" spans="1:20">
      <c r="A748" s="1" t="s">
        <v>2369</v>
      </c>
      <c r="B748" s="1" t="s">
        <v>3198</v>
      </c>
      <c r="C748" s="4" t="s">
        <v>7</v>
      </c>
      <c r="D748" s="1" t="s">
        <v>2361</v>
      </c>
      <c r="E748" s="4" t="s">
        <v>2371</v>
      </c>
      <c r="F748" s="84">
        <v>78</v>
      </c>
      <c r="G748" s="84">
        <v>40</v>
      </c>
      <c r="H748" s="84">
        <v>93</v>
      </c>
      <c r="I748" s="84">
        <v>38</v>
      </c>
      <c r="J748" s="84">
        <v>22</v>
      </c>
      <c r="K748" s="84">
        <v>36</v>
      </c>
      <c r="L748" s="84">
        <v>66</v>
      </c>
      <c r="M748" s="84">
        <v>77</v>
      </c>
      <c r="N748" s="84">
        <v>58</v>
      </c>
      <c r="O748" s="5">
        <f t="shared" si="46"/>
        <v>307</v>
      </c>
      <c r="P748" s="6">
        <f t="shared" si="49"/>
        <v>55</v>
      </c>
      <c r="Q748" s="5">
        <f t="shared" si="47"/>
        <v>924</v>
      </c>
      <c r="R748" s="5">
        <v>302</v>
      </c>
      <c r="S748" s="5">
        <v>926</v>
      </c>
      <c r="T748" s="5">
        <f t="shared" si="48"/>
        <v>2</v>
      </c>
    </row>
    <row r="749" spans="1:20">
      <c r="A749" s="1" t="s">
        <v>2372</v>
      </c>
      <c r="B749" s="1" t="s">
        <v>3198</v>
      </c>
      <c r="C749" s="4" t="s">
        <v>7</v>
      </c>
      <c r="D749" s="1" t="s">
        <v>2364</v>
      </c>
      <c r="E749" s="4" t="s">
        <v>2374</v>
      </c>
      <c r="F749" s="84">
        <v>94</v>
      </c>
      <c r="G749" s="84">
        <v>79</v>
      </c>
      <c r="H749" s="84">
        <v>74.5</v>
      </c>
      <c r="I749" s="84">
        <v>57</v>
      </c>
      <c r="J749" s="84">
        <v>65</v>
      </c>
      <c r="K749" s="84">
        <v>63</v>
      </c>
      <c r="L749" s="84">
        <v>52</v>
      </c>
      <c r="M749" s="84">
        <v>58</v>
      </c>
      <c r="N749" s="84">
        <v>53</v>
      </c>
      <c r="O749" s="5">
        <f t="shared" si="46"/>
        <v>432.5</v>
      </c>
      <c r="P749" s="6">
        <f t="shared" si="49"/>
        <v>33</v>
      </c>
      <c r="Q749" s="5">
        <f t="shared" si="47"/>
        <v>613</v>
      </c>
      <c r="R749" s="5">
        <v>435</v>
      </c>
      <c r="S749" s="5">
        <v>544</v>
      </c>
      <c r="T749" s="5">
        <f t="shared" si="48"/>
        <v>-69</v>
      </c>
    </row>
    <row r="750" spans="1:20">
      <c r="A750" s="1" t="s">
        <v>2375</v>
      </c>
      <c r="B750" s="1" t="s">
        <v>3198</v>
      </c>
      <c r="C750" s="4" t="s">
        <v>7</v>
      </c>
      <c r="D750" s="1" t="s">
        <v>2367</v>
      </c>
      <c r="E750" s="4" t="s">
        <v>2377</v>
      </c>
      <c r="F750" s="84">
        <v>90</v>
      </c>
      <c r="G750" s="84">
        <v>53</v>
      </c>
      <c r="H750" s="84">
        <v>86.5</v>
      </c>
      <c r="I750" s="84">
        <v>62</v>
      </c>
      <c r="J750" s="84">
        <v>43</v>
      </c>
      <c r="K750" s="84">
        <v>65</v>
      </c>
      <c r="L750" s="84">
        <v>85</v>
      </c>
      <c r="M750" s="84">
        <v>64</v>
      </c>
      <c r="N750" s="84">
        <v>46</v>
      </c>
      <c r="O750" s="5">
        <f t="shared" si="46"/>
        <v>399.5</v>
      </c>
      <c r="P750" s="6">
        <f t="shared" si="49"/>
        <v>44</v>
      </c>
      <c r="Q750" s="5">
        <f t="shared" si="47"/>
        <v>775</v>
      </c>
      <c r="R750" s="5">
        <v>410</v>
      </c>
      <c r="S750" s="5">
        <v>685</v>
      </c>
      <c r="T750" s="5">
        <f t="shared" si="48"/>
        <v>-90</v>
      </c>
    </row>
    <row r="751" spans="1:20">
      <c r="A751" s="1" t="s">
        <v>2378</v>
      </c>
      <c r="B751" s="1" t="s">
        <v>3198</v>
      </c>
      <c r="C751" s="4" t="s">
        <v>7</v>
      </c>
      <c r="D751" s="1" t="s">
        <v>2370</v>
      </c>
      <c r="E751" s="4" t="s">
        <v>2380</v>
      </c>
      <c r="F751" s="84">
        <v>108</v>
      </c>
      <c r="G751" s="84">
        <v>65</v>
      </c>
      <c r="H751" s="84">
        <v>74</v>
      </c>
      <c r="I751" s="84">
        <v>78</v>
      </c>
      <c r="J751" s="84">
        <v>50</v>
      </c>
      <c r="K751" s="84">
        <v>75</v>
      </c>
      <c r="L751" s="84">
        <v>71</v>
      </c>
      <c r="M751" s="84">
        <v>73</v>
      </c>
      <c r="N751" s="84">
        <v>55</v>
      </c>
      <c r="O751" s="5">
        <f t="shared" si="46"/>
        <v>450</v>
      </c>
      <c r="P751" s="6">
        <f t="shared" si="49"/>
        <v>22</v>
      </c>
      <c r="Q751" s="5">
        <f t="shared" si="47"/>
        <v>514</v>
      </c>
      <c r="R751" s="5">
        <v>453.5</v>
      </c>
      <c r="S751" s="5">
        <v>446</v>
      </c>
      <c r="T751" s="5">
        <f t="shared" si="48"/>
        <v>-68</v>
      </c>
    </row>
    <row r="752" spans="1:20">
      <c r="A752" s="1" t="s">
        <v>2381</v>
      </c>
      <c r="B752" s="1" t="s">
        <v>3198</v>
      </c>
      <c r="C752" s="4" t="s">
        <v>7</v>
      </c>
      <c r="D752" s="1" t="s">
        <v>2373</v>
      </c>
      <c r="E752" s="4" t="s">
        <v>2383</v>
      </c>
      <c r="F752" s="84">
        <v>102</v>
      </c>
      <c r="G752" s="84">
        <v>57</v>
      </c>
      <c r="H752" s="84">
        <v>98</v>
      </c>
      <c r="I752" s="84">
        <v>68</v>
      </c>
      <c r="J752" s="84">
        <v>54</v>
      </c>
      <c r="K752" s="84">
        <v>74</v>
      </c>
      <c r="L752" s="84">
        <v>81</v>
      </c>
      <c r="M752" s="84">
        <v>71</v>
      </c>
      <c r="N752" s="84">
        <v>55</v>
      </c>
      <c r="O752" s="5">
        <f t="shared" si="46"/>
        <v>453</v>
      </c>
      <c r="P752" s="6">
        <f t="shared" si="49"/>
        <v>20</v>
      </c>
      <c r="Q752" s="5">
        <f t="shared" si="47"/>
        <v>498</v>
      </c>
      <c r="R752" s="5">
        <v>457.5</v>
      </c>
      <c r="S752" s="5">
        <v>424</v>
      </c>
      <c r="T752" s="5">
        <f t="shared" si="48"/>
        <v>-74</v>
      </c>
    </row>
    <row r="753" spans="1:20">
      <c r="A753" s="1" t="s">
        <v>2384</v>
      </c>
      <c r="B753" s="1" t="s">
        <v>3198</v>
      </c>
      <c r="C753" s="4" t="s">
        <v>7</v>
      </c>
      <c r="D753" s="1" t="s">
        <v>2376</v>
      </c>
      <c r="E753" s="4" t="s">
        <v>2386</v>
      </c>
      <c r="F753" s="84">
        <v>97</v>
      </c>
      <c r="G753" s="84">
        <v>56</v>
      </c>
      <c r="H753" s="86">
        <v>109.5</v>
      </c>
      <c r="I753" s="84">
        <v>57</v>
      </c>
      <c r="J753" s="84">
        <v>32</v>
      </c>
      <c r="K753" s="84">
        <v>37</v>
      </c>
      <c r="L753" s="84">
        <v>86</v>
      </c>
      <c r="M753" s="84">
        <v>68</v>
      </c>
      <c r="N753" s="84">
        <v>44</v>
      </c>
      <c r="O753" s="5">
        <f t="shared" si="46"/>
        <v>388.5</v>
      </c>
      <c r="P753" s="6">
        <f t="shared" si="49"/>
        <v>46</v>
      </c>
      <c r="Q753" s="5">
        <f t="shared" si="47"/>
        <v>807</v>
      </c>
      <c r="R753" s="5">
        <v>410.5</v>
      </c>
      <c r="S753" s="5">
        <v>681</v>
      </c>
      <c r="T753" s="5">
        <f t="shared" si="48"/>
        <v>-126</v>
      </c>
    </row>
    <row r="754" spans="1:20">
      <c r="A754" s="1" t="s">
        <v>2387</v>
      </c>
      <c r="B754" s="1" t="s">
        <v>3198</v>
      </c>
      <c r="C754" s="4" t="s">
        <v>7</v>
      </c>
      <c r="D754" s="1" t="s">
        <v>2379</v>
      </c>
      <c r="E754" s="4" t="s">
        <v>2389</v>
      </c>
      <c r="F754" s="84">
        <v>88</v>
      </c>
      <c r="G754" s="84">
        <v>54</v>
      </c>
      <c r="H754" s="84">
        <v>106.5</v>
      </c>
      <c r="I754" s="84">
        <v>61</v>
      </c>
      <c r="J754" s="84">
        <v>49</v>
      </c>
      <c r="K754" s="84">
        <v>71</v>
      </c>
      <c r="L754" s="84">
        <v>66</v>
      </c>
      <c r="M754" s="84">
        <v>74</v>
      </c>
      <c r="N754" s="84">
        <v>64</v>
      </c>
      <c r="O754" s="5">
        <f t="shared" si="46"/>
        <v>429.5</v>
      </c>
      <c r="P754" s="6">
        <f t="shared" si="49"/>
        <v>34</v>
      </c>
      <c r="Q754" s="5">
        <f t="shared" si="47"/>
        <v>626</v>
      </c>
      <c r="R754" s="5">
        <v>460</v>
      </c>
      <c r="S754" s="5">
        <v>414</v>
      </c>
      <c r="T754" s="5">
        <f t="shared" si="48"/>
        <v>-212</v>
      </c>
    </row>
    <row r="755" spans="1:20">
      <c r="A755" s="1" t="s">
        <v>2390</v>
      </c>
      <c r="B755" s="1" t="s">
        <v>3198</v>
      </c>
      <c r="C755" s="4" t="s">
        <v>7</v>
      </c>
      <c r="D755" s="1" t="s">
        <v>2382</v>
      </c>
      <c r="E755" s="4" t="s">
        <v>2392</v>
      </c>
      <c r="F755" s="84">
        <v>103</v>
      </c>
      <c r="G755" s="84">
        <v>72</v>
      </c>
      <c r="H755" s="84">
        <v>87.5</v>
      </c>
      <c r="I755" s="84">
        <v>70</v>
      </c>
      <c r="J755" s="84">
        <v>43</v>
      </c>
      <c r="K755" s="84">
        <v>68</v>
      </c>
      <c r="L755" s="84">
        <v>72</v>
      </c>
      <c r="M755" s="84">
        <v>53</v>
      </c>
      <c r="N755" s="84">
        <v>51</v>
      </c>
      <c r="O755" s="5">
        <f t="shared" si="46"/>
        <v>443.5</v>
      </c>
      <c r="P755" s="6">
        <f t="shared" si="49"/>
        <v>26</v>
      </c>
      <c r="Q755" s="5">
        <f t="shared" si="47"/>
        <v>554</v>
      </c>
      <c r="R755" s="5">
        <v>428.5</v>
      </c>
      <c r="S755" s="5">
        <v>582</v>
      </c>
      <c r="T755" s="5">
        <f t="shared" si="48"/>
        <v>28</v>
      </c>
    </row>
    <row r="756" spans="1:20">
      <c r="A756" s="1" t="s">
        <v>2393</v>
      </c>
      <c r="B756" s="1" t="s">
        <v>3198</v>
      </c>
      <c r="C756" s="4" t="s">
        <v>7</v>
      </c>
      <c r="D756" s="1" t="s">
        <v>2385</v>
      </c>
      <c r="E756" s="4" t="s">
        <v>2395</v>
      </c>
      <c r="F756" s="84">
        <v>105</v>
      </c>
      <c r="G756" s="84">
        <v>63</v>
      </c>
      <c r="H756" s="84">
        <v>76.5</v>
      </c>
      <c r="I756" s="84">
        <v>79</v>
      </c>
      <c r="J756" s="84">
        <v>55</v>
      </c>
      <c r="K756" s="84">
        <v>70</v>
      </c>
      <c r="L756" s="84">
        <v>82</v>
      </c>
      <c r="M756" s="84">
        <v>78</v>
      </c>
      <c r="N756" s="84">
        <v>56</v>
      </c>
      <c r="O756" s="5">
        <f t="shared" si="46"/>
        <v>448.5</v>
      </c>
      <c r="P756" s="6">
        <f t="shared" si="49"/>
        <v>24</v>
      </c>
      <c r="Q756" s="5">
        <f t="shared" si="47"/>
        <v>525</v>
      </c>
      <c r="R756" s="5">
        <v>500.5</v>
      </c>
      <c r="S756" s="5">
        <v>207</v>
      </c>
      <c r="T756" s="5">
        <f t="shared" si="48"/>
        <v>-318</v>
      </c>
    </row>
    <row r="757" spans="1:20">
      <c r="A757" s="1" t="s">
        <v>2396</v>
      </c>
      <c r="B757" s="1" t="s">
        <v>3198</v>
      </c>
      <c r="C757" s="4" t="s">
        <v>7</v>
      </c>
      <c r="D757" s="1" t="s">
        <v>2388</v>
      </c>
      <c r="E757" s="4" t="s">
        <v>2398</v>
      </c>
      <c r="F757" s="84">
        <v>105</v>
      </c>
      <c r="G757" s="84">
        <v>42</v>
      </c>
      <c r="H757" s="84">
        <v>83.5</v>
      </c>
      <c r="I757" s="84">
        <v>44</v>
      </c>
      <c r="J757" s="84">
        <v>40</v>
      </c>
      <c r="K757" s="84">
        <v>46</v>
      </c>
      <c r="L757" s="84">
        <v>73</v>
      </c>
      <c r="M757" s="84">
        <v>69</v>
      </c>
      <c r="N757" s="84">
        <v>52</v>
      </c>
      <c r="O757" s="5">
        <f t="shared" si="46"/>
        <v>360.5</v>
      </c>
      <c r="P757" s="6">
        <f t="shared" si="49"/>
        <v>50</v>
      </c>
      <c r="Q757" s="5">
        <f t="shared" si="47"/>
        <v>879</v>
      </c>
      <c r="R757" s="5">
        <v>381.5</v>
      </c>
      <c r="S757" s="5">
        <v>800</v>
      </c>
      <c r="T757" s="5">
        <f t="shared" si="48"/>
        <v>-79</v>
      </c>
    </row>
    <row r="758" spans="1:20">
      <c r="A758" s="1" t="s">
        <v>1752</v>
      </c>
      <c r="B758" s="1" t="s">
        <v>3198</v>
      </c>
      <c r="C758" s="4" t="s">
        <v>7</v>
      </c>
      <c r="D758" s="1" t="s">
        <v>2391</v>
      </c>
      <c r="E758" s="4" t="s">
        <v>1754</v>
      </c>
      <c r="F758" s="84">
        <v>111</v>
      </c>
      <c r="G758" s="84">
        <v>65</v>
      </c>
      <c r="H758" s="84">
        <v>71.5</v>
      </c>
      <c r="I758" s="84">
        <v>51</v>
      </c>
      <c r="J758" s="84">
        <v>48</v>
      </c>
      <c r="K758" s="84">
        <v>67</v>
      </c>
      <c r="L758" s="84">
        <v>79</v>
      </c>
      <c r="M758" s="84">
        <v>70</v>
      </c>
      <c r="N758" s="84">
        <v>63</v>
      </c>
      <c r="O758" s="5">
        <f t="shared" si="46"/>
        <v>413.5</v>
      </c>
      <c r="P758" s="6">
        <f t="shared" si="49"/>
        <v>40</v>
      </c>
      <c r="Q758" s="5">
        <f t="shared" si="47"/>
        <v>702</v>
      </c>
      <c r="R758" s="5">
        <v>449.5</v>
      </c>
      <c r="S758" s="5">
        <v>468</v>
      </c>
      <c r="T758" s="5">
        <f t="shared" si="48"/>
        <v>-234</v>
      </c>
    </row>
    <row r="759" spans="1:20">
      <c r="A759" s="1" t="s">
        <v>2399</v>
      </c>
      <c r="B759" s="1" t="s">
        <v>3198</v>
      </c>
      <c r="C759" s="4" t="s">
        <v>7</v>
      </c>
      <c r="D759" s="1" t="s">
        <v>2394</v>
      </c>
      <c r="E759" s="4" t="s">
        <v>2401</v>
      </c>
      <c r="F759" s="84">
        <v>111</v>
      </c>
      <c r="G759" s="84">
        <v>63</v>
      </c>
      <c r="H759" s="84">
        <v>79.5</v>
      </c>
      <c r="I759" s="84">
        <v>60</v>
      </c>
      <c r="J759" s="84">
        <v>54</v>
      </c>
      <c r="K759" s="84">
        <v>67</v>
      </c>
      <c r="L759" s="84">
        <v>74</v>
      </c>
      <c r="M759" s="84">
        <v>69</v>
      </c>
      <c r="N759" s="84">
        <v>67</v>
      </c>
      <c r="O759" s="5">
        <f t="shared" si="46"/>
        <v>434.5</v>
      </c>
      <c r="P759" s="6">
        <f t="shared" si="49"/>
        <v>32</v>
      </c>
      <c r="Q759" s="5">
        <f t="shared" si="47"/>
        <v>600</v>
      </c>
      <c r="R759" s="5">
        <v>410</v>
      </c>
      <c r="S759" s="5">
        <v>685</v>
      </c>
      <c r="T759" s="5">
        <f t="shared" si="48"/>
        <v>85</v>
      </c>
    </row>
    <row r="760" spans="1:20">
      <c r="A760" s="1" t="s">
        <v>2402</v>
      </c>
      <c r="B760" s="1" t="s">
        <v>3198</v>
      </c>
      <c r="C760" s="4" t="s">
        <v>7</v>
      </c>
      <c r="D760" s="1" t="s">
        <v>2397</v>
      </c>
      <c r="E760" s="4" t="s">
        <v>2404</v>
      </c>
      <c r="F760" s="84">
        <v>98</v>
      </c>
      <c r="G760" s="84">
        <v>82</v>
      </c>
      <c r="H760" s="84">
        <v>70</v>
      </c>
      <c r="I760" s="84">
        <v>73</v>
      </c>
      <c r="J760" s="84">
        <v>61</v>
      </c>
      <c r="K760" s="84">
        <v>70</v>
      </c>
      <c r="L760" s="84">
        <v>84</v>
      </c>
      <c r="M760" s="84">
        <v>70</v>
      </c>
      <c r="N760" s="84">
        <v>57</v>
      </c>
      <c r="O760" s="5">
        <f t="shared" si="46"/>
        <v>454</v>
      </c>
      <c r="P760" s="6">
        <f t="shared" si="49"/>
        <v>18</v>
      </c>
      <c r="Q760" s="5">
        <f t="shared" si="47"/>
        <v>488</v>
      </c>
      <c r="R760" s="5">
        <v>486</v>
      </c>
      <c r="S760" s="5">
        <v>282</v>
      </c>
      <c r="T760" s="5">
        <f t="shared" si="48"/>
        <v>-206</v>
      </c>
    </row>
    <row r="761" spans="1:20">
      <c r="A761" s="1">
        <v>20181078</v>
      </c>
      <c r="B761" s="1" t="s">
        <v>3198</v>
      </c>
      <c r="C761" s="4" t="s">
        <v>7</v>
      </c>
      <c r="D761" s="1" t="s">
        <v>2400</v>
      </c>
      <c r="E761" s="4" t="s">
        <v>2406</v>
      </c>
      <c r="F761" s="84">
        <v>97</v>
      </c>
      <c r="G761" s="84">
        <v>46</v>
      </c>
      <c r="H761" s="84">
        <v>91.5</v>
      </c>
      <c r="I761" s="84">
        <v>45</v>
      </c>
      <c r="J761" s="84">
        <v>30</v>
      </c>
      <c r="K761" s="84">
        <v>44</v>
      </c>
      <c r="L761" s="84">
        <v>74</v>
      </c>
      <c r="M761" s="84">
        <v>55</v>
      </c>
      <c r="N761" s="84">
        <v>38</v>
      </c>
      <c r="O761" s="5">
        <f t="shared" si="46"/>
        <v>353.5</v>
      </c>
      <c r="P761" s="6">
        <f t="shared" si="49"/>
        <v>52</v>
      </c>
      <c r="Q761" s="5">
        <f t="shared" si="47"/>
        <v>889</v>
      </c>
      <c r="R761" s="5">
        <v>348</v>
      </c>
      <c r="S761" s="5">
        <v>885</v>
      </c>
      <c r="T761" s="5">
        <f t="shared" si="48"/>
        <v>-4</v>
      </c>
    </row>
    <row r="762" spans="1:20">
      <c r="A762" s="1" t="s">
        <v>2407</v>
      </c>
      <c r="B762" s="1" t="s">
        <v>3198</v>
      </c>
      <c r="C762" s="4" t="s">
        <v>7</v>
      </c>
      <c r="D762" s="1" t="s">
        <v>2403</v>
      </c>
      <c r="E762" s="4" t="s">
        <v>2409</v>
      </c>
      <c r="F762" s="84">
        <v>110</v>
      </c>
      <c r="G762" s="84">
        <v>87</v>
      </c>
      <c r="H762" s="84">
        <v>91</v>
      </c>
      <c r="I762" s="84">
        <v>67</v>
      </c>
      <c r="J762" s="84">
        <v>49</v>
      </c>
      <c r="K762" s="84">
        <v>70</v>
      </c>
      <c r="L762" s="84">
        <v>69</v>
      </c>
      <c r="M762" s="84">
        <v>58</v>
      </c>
      <c r="N762" s="84">
        <v>47</v>
      </c>
      <c r="O762" s="5">
        <f t="shared" si="46"/>
        <v>474</v>
      </c>
      <c r="P762" s="6">
        <f t="shared" si="49"/>
        <v>12</v>
      </c>
      <c r="Q762" s="5">
        <f t="shared" si="47"/>
        <v>373</v>
      </c>
      <c r="R762" s="5">
        <v>469</v>
      </c>
      <c r="S762" s="5">
        <v>372</v>
      </c>
      <c r="T762" s="5">
        <f t="shared" si="48"/>
        <v>-1</v>
      </c>
    </row>
    <row r="763" spans="1:20">
      <c r="A763" s="1" t="s">
        <v>2410</v>
      </c>
      <c r="B763" s="1" t="s">
        <v>3198</v>
      </c>
      <c r="C763" s="4" t="s">
        <v>7</v>
      </c>
      <c r="D763" s="1" t="s">
        <v>2405</v>
      </c>
      <c r="E763" s="4" t="s">
        <v>2412</v>
      </c>
      <c r="F763" s="84">
        <v>99</v>
      </c>
      <c r="G763" s="84">
        <v>70</v>
      </c>
      <c r="H763" s="84">
        <v>105</v>
      </c>
      <c r="I763" s="84">
        <v>68</v>
      </c>
      <c r="J763" s="84">
        <v>57</v>
      </c>
      <c r="K763" s="84">
        <v>72</v>
      </c>
      <c r="L763" s="84">
        <v>78</v>
      </c>
      <c r="M763" s="84">
        <v>49</v>
      </c>
      <c r="N763" s="84">
        <v>48</v>
      </c>
      <c r="O763" s="5">
        <f t="shared" si="46"/>
        <v>471</v>
      </c>
      <c r="P763" s="6">
        <f t="shared" si="49"/>
        <v>14</v>
      </c>
      <c r="Q763" s="5">
        <f t="shared" si="47"/>
        <v>386</v>
      </c>
      <c r="R763" s="5">
        <v>426.5</v>
      </c>
      <c r="S763" s="5">
        <v>595</v>
      </c>
      <c r="T763" s="5">
        <f t="shared" si="48"/>
        <v>209</v>
      </c>
    </row>
    <row r="764" spans="1:20">
      <c r="A764" s="1" t="s">
        <v>2413</v>
      </c>
      <c r="B764" s="1" t="s">
        <v>3198</v>
      </c>
      <c r="C764" s="4" t="s">
        <v>7</v>
      </c>
      <c r="D764" s="1" t="s">
        <v>2408</v>
      </c>
      <c r="E764" s="4" t="s">
        <v>2415</v>
      </c>
      <c r="F764" s="84">
        <v>102</v>
      </c>
      <c r="G764" s="84">
        <v>70</v>
      </c>
      <c r="H764" s="84">
        <v>96.5</v>
      </c>
      <c r="I764" s="84">
        <v>56</v>
      </c>
      <c r="J764" s="84">
        <v>41</v>
      </c>
      <c r="K764" s="84">
        <v>78</v>
      </c>
      <c r="L764" s="84">
        <v>91</v>
      </c>
      <c r="M764" s="84">
        <v>65</v>
      </c>
      <c r="N764" s="84">
        <v>58</v>
      </c>
      <c r="O764" s="5">
        <f t="shared" si="46"/>
        <v>443.5</v>
      </c>
      <c r="P764" s="6">
        <f t="shared" si="49"/>
        <v>26</v>
      </c>
      <c r="Q764" s="5">
        <f t="shared" si="47"/>
        <v>554</v>
      </c>
      <c r="R764" s="5">
        <v>445</v>
      </c>
      <c r="S764" s="5">
        <v>498</v>
      </c>
      <c r="T764" s="5">
        <f t="shared" si="48"/>
        <v>-56</v>
      </c>
    </row>
    <row r="765" spans="1:20">
      <c r="A765" s="1" t="s">
        <v>2416</v>
      </c>
      <c r="B765" s="1" t="s">
        <v>3198</v>
      </c>
      <c r="C765" s="4" t="s">
        <v>7</v>
      </c>
      <c r="D765" s="1" t="s">
        <v>2411</v>
      </c>
      <c r="E765" s="4" t="s">
        <v>2418</v>
      </c>
      <c r="F765" s="84">
        <v>101</v>
      </c>
      <c r="G765" s="84">
        <v>55</v>
      </c>
      <c r="H765" s="84">
        <v>100.5</v>
      </c>
      <c r="I765" s="84">
        <v>54</v>
      </c>
      <c r="J765" s="84">
        <v>39</v>
      </c>
      <c r="K765" s="84">
        <v>65</v>
      </c>
      <c r="L765" s="84">
        <v>72</v>
      </c>
      <c r="M765" s="84">
        <v>48</v>
      </c>
      <c r="N765" s="84">
        <v>43</v>
      </c>
      <c r="O765" s="5">
        <f t="shared" si="46"/>
        <v>414.5</v>
      </c>
      <c r="P765" s="6">
        <f t="shared" si="49"/>
        <v>38</v>
      </c>
      <c r="Q765" s="5">
        <f t="shared" si="47"/>
        <v>694</v>
      </c>
      <c r="R765" s="5">
        <v>423</v>
      </c>
      <c r="S765" s="5">
        <v>618</v>
      </c>
      <c r="T765" s="5">
        <f t="shared" si="48"/>
        <v>-76</v>
      </c>
    </row>
    <row r="766" spans="1:20">
      <c r="A766" s="1" t="s">
        <v>2419</v>
      </c>
      <c r="B766" s="1" t="s">
        <v>3198</v>
      </c>
      <c r="C766" s="4" t="s">
        <v>7</v>
      </c>
      <c r="D766" s="1" t="s">
        <v>2414</v>
      </c>
      <c r="E766" s="4" t="s">
        <v>2421</v>
      </c>
      <c r="F766" s="84">
        <v>95</v>
      </c>
      <c r="G766" s="84">
        <v>75</v>
      </c>
      <c r="H766" s="84">
        <v>80.5</v>
      </c>
      <c r="I766" s="84">
        <v>76</v>
      </c>
      <c r="J766" s="84">
        <v>54</v>
      </c>
      <c r="K766" s="84">
        <v>70</v>
      </c>
      <c r="L766" s="84">
        <v>80</v>
      </c>
      <c r="M766" s="84">
        <v>54</v>
      </c>
      <c r="N766" s="84">
        <v>58</v>
      </c>
      <c r="O766" s="5">
        <f t="shared" si="46"/>
        <v>450.5</v>
      </c>
      <c r="P766" s="6">
        <f t="shared" si="49"/>
        <v>21</v>
      </c>
      <c r="Q766" s="5">
        <f t="shared" si="47"/>
        <v>511</v>
      </c>
      <c r="R766" s="5">
        <v>473.5</v>
      </c>
      <c r="S766" s="5">
        <v>342</v>
      </c>
      <c r="T766" s="5">
        <f t="shared" si="48"/>
        <v>-169</v>
      </c>
    </row>
    <row r="767" spans="1:20">
      <c r="A767" s="1" t="s">
        <v>1772</v>
      </c>
      <c r="B767" s="1" t="s">
        <v>3198</v>
      </c>
      <c r="C767" s="4" t="s">
        <v>7</v>
      </c>
      <c r="D767" s="1" t="s">
        <v>2417</v>
      </c>
      <c r="E767" s="4" t="s">
        <v>1773</v>
      </c>
      <c r="F767" s="84">
        <v>117</v>
      </c>
      <c r="G767" s="84">
        <v>99</v>
      </c>
      <c r="H767" s="84">
        <v>99.5</v>
      </c>
      <c r="I767" s="84">
        <v>67</v>
      </c>
      <c r="J767" s="84">
        <v>54</v>
      </c>
      <c r="K767" s="84">
        <v>68</v>
      </c>
      <c r="L767" s="84">
        <v>76</v>
      </c>
      <c r="M767" s="84">
        <v>68</v>
      </c>
      <c r="N767" s="84">
        <v>58</v>
      </c>
      <c r="O767" s="5">
        <f t="shared" si="46"/>
        <v>504.5</v>
      </c>
      <c r="P767" s="6">
        <f t="shared" si="49"/>
        <v>5</v>
      </c>
      <c r="Q767" s="5">
        <f t="shared" si="47"/>
        <v>226</v>
      </c>
      <c r="R767" s="5">
        <v>485</v>
      </c>
      <c r="S767" s="5">
        <v>286</v>
      </c>
      <c r="T767" s="5">
        <f t="shared" si="48"/>
        <v>60</v>
      </c>
    </row>
    <row r="768" spans="1:20">
      <c r="A768" s="1">
        <v>20181086</v>
      </c>
      <c r="B768" s="1" t="s">
        <v>3198</v>
      </c>
      <c r="C768" s="4" t="s">
        <v>7</v>
      </c>
      <c r="D768" s="1" t="s">
        <v>2420</v>
      </c>
      <c r="E768" s="4" t="s">
        <v>3246</v>
      </c>
      <c r="F768" s="84">
        <v>82</v>
      </c>
      <c r="G768" s="84">
        <v>27</v>
      </c>
      <c r="H768" s="84">
        <v>83</v>
      </c>
      <c r="I768" s="84">
        <v>42</v>
      </c>
      <c r="J768" s="84">
        <v>31</v>
      </c>
      <c r="K768" s="84">
        <v>53</v>
      </c>
      <c r="L768" s="84">
        <v>66</v>
      </c>
      <c r="M768" s="84">
        <v>59</v>
      </c>
      <c r="N768" s="84">
        <v>48</v>
      </c>
      <c r="O768" s="5">
        <f t="shared" si="46"/>
        <v>318</v>
      </c>
      <c r="P768" s="6">
        <f t="shared" si="49"/>
        <v>54</v>
      </c>
      <c r="Q768" s="5">
        <f t="shared" si="47"/>
        <v>921</v>
      </c>
      <c r="R768" s="5">
        <v>355</v>
      </c>
      <c r="S768" s="5">
        <v>869</v>
      </c>
      <c r="T768" s="5">
        <f t="shared" si="48"/>
        <v>-52</v>
      </c>
    </row>
    <row r="769" spans="1:20">
      <c r="A769" s="1">
        <v>20181088</v>
      </c>
      <c r="B769" s="1" t="s">
        <v>3198</v>
      </c>
      <c r="C769" s="4" t="s">
        <v>7</v>
      </c>
      <c r="D769" s="1" t="s">
        <v>3241</v>
      </c>
      <c r="E769" s="4" t="s">
        <v>3248</v>
      </c>
      <c r="F769" s="84">
        <v>92</v>
      </c>
      <c r="G769" s="84">
        <v>64</v>
      </c>
      <c r="H769" s="84">
        <v>97</v>
      </c>
      <c r="I769" s="84">
        <v>59</v>
      </c>
      <c r="J769" s="84">
        <v>40</v>
      </c>
      <c r="K769" s="84">
        <v>73</v>
      </c>
      <c r="L769" s="84">
        <v>53</v>
      </c>
      <c r="M769" s="84">
        <v>62</v>
      </c>
      <c r="N769" s="84">
        <v>48</v>
      </c>
      <c r="O769" s="5">
        <f t="shared" si="46"/>
        <v>425</v>
      </c>
      <c r="P769" s="6">
        <f t="shared" si="49"/>
        <v>35</v>
      </c>
      <c r="Q769" s="5">
        <f t="shared" si="47"/>
        <v>651</v>
      </c>
      <c r="R769" s="5">
        <v>446.5</v>
      </c>
      <c r="S769" s="5">
        <v>485</v>
      </c>
      <c r="T769" s="5">
        <f t="shared" si="48"/>
        <v>-166</v>
      </c>
    </row>
    <row r="770" spans="1:20">
      <c r="A770" s="1" t="s">
        <v>2422</v>
      </c>
      <c r="B770" s="1" t="s">
        <v>3198</v>
      </c>
      <c r="C770" s="4" t="s">
        <v>131</v>
      </c>
      <c r="D770" s="1" t="s">
        <v>2423</v>
      </c>
      <c r="E770" s="4" t="s">
        <v>2424</v>
      </c>
      <c r="F770" s="84">
        <v>99</v>
      </c>
      <c r="G770" s="84">
        <v>83</v>
      </c>
      <c r="H770" s="84">
        <v>90.5</v>
      </c>
      <c r="I770" s="84">
        <v>68</v>
      </c>
      <c r="J770" s="84">
        <v>50</v>
      </c>
      <c r="K770" s="84">
        <v>66</v>
      </c>
      <c r="L770" s="84">
        <v>51</v>
      </c>
      <c r="M770" s="84">
        <v>66</v>
      </c>
      <c r="N770" s="84">
        <v>60</v>
      </c>
      <c r="O770" s="5">
        <f t="shared" si="46"/>
        <v>456.5</v>
      </c>
      <c r="P770" s="6">
        <f>RANK(O770,$O$770:$O$824)</f>
        <v>25</v>
      </c>
      <c r="Q770" s="5">
        <f t="shared" si="47"/>
        <v>475</v>
      </c>
      <c r="R770" s="5">
        <v>420</v>
      </c>
      <c r="S770" s="5">
        <v>642</v>
      </c>
      <c r="T770" s="5">
        <f t="shared" si="48"/>
        <v>167</v>
      </c>
    </row>
    <row r="771" spans="1:20">
      <c r="A771" s="1" t="s">
        <v>2425</v>
      </c>
      <c r="B771" s="1" t="s">
        <v>3198</v>
      </c>
      <c r="C771" s="4" t="s">
        <v>131</v>
      </c>
      <c r="D771" s="1" t="s">
        <v>2426</v>
      </c>
      <c r="E771" s="4" t="s">
        <v>2427</v>
      </c>
      <c r="F771" s="84">
        <v>86</v>
      </c>
      <c r="G771" s="84">
        <v>67</v>
      </c>
      <c r="H771" s="84">
        <v>71</v>
      </c>
      <c r="I771" s="84">
        <v>59</v>
      </c>
      <c r="J771" s="84">
        <v>43</v>
      </c>
      <c r="K771" s="84">
        <v>51</v>
      </c>
      <c r="L771" s="84">
        <v>67</v>
      </c>
      <c r="M771" s="84">
        <v>64</v>
      </c>
      <c r="N771" s="84">
        <v>59</v>
      </c>
      <c r="O771" s="5">
        <f t="shared" ref="O771:O834" si="50">SUM(F771:K771)</f>
        <v>377</v>
      </c>
      <c r="P771" s="6">
        <f t="shared" ref="P771:P824" si="51">RANK(O771,$O$770:$O$824)</f>
        <v>48</v>
      </c>
      <c r="Q771" s="5">
        <f t="shared" si="47"/>
        <v>835</v>
      </c>
      <c r="R771" s="5">
        <v>371.5</v>
      </c>
      <c r="S771" s="5">
        <v>834</v>
      </c>
      <c r="T771" s="5">
        <f t="shared" si="48"/>
        <v>-1</v>
      </c>
    </row>
    <row r="772" spans="1:20">
      <c r="A772" s="1" t="s">
        <v>2428</v>
      </c>
      <c r="B772" s="1" t="s">
        <v>3198</v>
      </c>
      <c r="C772" s="4" t="s">
        <v>131</v>
      </c>
      <c r="D772" s="1" t="s">
        <v>2429</v>
      </c>
      <c r="E772" s="4" t="s">
        <v>2430</v>
      </c>
      <c r="F772" s="84">
        <v>93</v>
      </c>
      <c r="G772" s="84">
        <v>69</v>
      </c>
      <c r="H772" s="84">
        <v>76</v>
      </c>
      <c r="I772" s="84">
        <v>67</v>
      </c>
      <c r="J772" s="84">
        <v>44</v>
      </c>
      <c r="K772" s="84">
        <v>74</v>
      </c>
      <c r="L772" s="84">
        <v>63</v>
      </c>
      <c r="M772" s="84">
        <v>62</v>
      </c>
      <c r="N772" s="84">
        <v>47</v>
      </c>
      <c r="O772" s="5">
        <f t="shared" si="50"/>
        <v>423</v>
      </c>
      <c r="P772" s="6">
        <f t="shared" si="51"/>
        <v>38</v>
      </c>
      <c r="Q772" s="5">
        <f t="shared" ref="Q772:Q835" si="52">RANK(O772,$O$3:$O$936)</f>
        <v>659</v>
      </c>
      <c r="R772" s="5">
        <v>449.5</v>
      </c>
      <c r="S772" s="5">
        <v>468</v>
      </c>
      <c r="T772" s="5">
        <f t="shared" ref="T772:T835" si="53">S772-Q772</f>
        <v>-191</v>
      </c>
    </row>
    <row r="773" spans="1:20">
      <c r="A773" s="1" t="s">
        <v>2431</v>
      </c>
      <c r="B773" s="1" t="s">
        <v>3198</v>
      </c>
      <c r="C773" s="4" t="s">
        <v>131</v>
      </c>
      <c r="D773" s="1" t="s">
        <v>2432</v>
      </c>
      <c r="E773" s="4" t="s">
        <v>2433</v>
      </c>
      <c r="F773" s="84">
        <v>101</v>
      </c>
      <c r="G773" s="84">
        <v>79</v>
      </c>
      <c r="H773" s="84">
        <v>78.5</v>
      </c>
      <c r="I773" s="84">
        <v>71</v>
      </c>
      <c r="J773" s="84">
        <v>71</v>
      </c>
      <c r="K773" s="84">
        <v>79</v>
      </c>
      <c r="L773" s="84">
        <v>84</v>
      </c>
      <c r="M773" s="84">
        <v>83</v>
      </c>
      <c r="N773" s="84">
        <v>67</v>
      </c>
      <c r="O773" s="5">
        <f t="shared" si="50"/>
        <v>479.5</v>
      </c>
      <c r="P773" s="6">
        <f t="shared" si="51"/>
        <v>14</v>
      </c>
      <c r="Q773" s="5">
        <f t="shared" si="52"/>
        <v>340</v>
      </c>
      <c r="R773" s="5">
        <v>492</v>
      </c>
      <c r="S773" s="5">
        <v>253</v>
      </c>
      <c r="T773" s="5">
        <f t="shared" si="53"/>
        <v>-87</v>
      </c>
    </row>
    <row r="774" spans="1:20">
      <c r="A774" s="1" t="s">
        <v>2434</v>
      </c>
      <c r="B774" s="1" t="s">
        <v>3198</v>
      </c>
      <c r="C774" s="4" t="s">
        <v>131</v>
      </c>
      <c r="D774" s="1" t="s">
        <v>2435</v>
      </c>
      <c r="E774" s="4" t="s">
        <v>2436</v>
      </c>
      <c r="F774" s="84">
        <v>118</v>
      </c>
      <c r="G774" s="84">
        <v>60</v>
      </c>
      <c r="H774" s="84">
        <v>96</v>
      </c>
      <c r="I774" s="84">
        <v>70</v>
      </c>
      <c r="J774" s="84">
        <v>65</v>
      </c>
      <c r="K774" s="84">
        <v>69</v>
      </c>
      <c r="L774" s="84">
        <v>78</v>
      </c>
      <c r="M774" s="84">
        <v>71</v>
      </c>
      <c r="N774" s="84">
        <v>54</v>
      </c>
      <c r="O774" s="5">
        <f t="shared" si="50"/>
        <v>478</v>
      </c>
      <c r="P774" s="6">
        <f t="shared" si="51"/>
        <v>16</v>
      </c>
      <c r="Q774" s="5">
        <f t="shared" si="52"/>
        <v>351</v>
      </c>
      <c r="R774" s="5">
        <v>481</v>
      </c>
      <c r="S774" s="5">
        <v>304</v>
      </c>
      <c r="T774" s="5">
        <f t="shared" si="53"/>
        <v>-47</v>
      </c>
    </row>
    <row r="775" spans="1:20">
      <c r="A775" s="1" t="s">
        <v>2437</v>
      </c>
      <c r="B775" s="1" t="s">
        <v>3198</v>
      </c>
      <c r="C775" s="4" t="s">
        <v>131</v>
      </c>
      <c r="D775" s="1" t="s">
        <v>2438</v>
      </c>
      <c r="E775" s="4" t="s">
        <v>2439</v>
      </c>
      <c r="F775" s="84">
        <v>107</v>
      </c>
      <c r="G775" s="84">
        <v>90</v>
      </c>
      <c r="H775" s="84">
        <v>77</v>
      </c>
      <c r="I775" s="84">
        <v>90</v>
      </c>
      <c r="J775" s="84">
        <v>55</v>
      </c>
      <c r="K775" s="84">
        <v>81</v>
      </c>
      <c r="L775" s="84">
        <v>70</v>
      </c>
      <c r="M775" s="84">
        <v>68</v>
      </c>
      <c r="N775" s="84">
        <v>66</v>
      </c>
      <c r="O775" s="5">
        <f t="shared" si="50"/>
        <v>500</v>
      </c>
      <c r="P775" s="6">
        <f t="shared" si="51"/>
        <v>8</v>
      </c>
      <c r="Q775" s="5">
        <f t="shared" si="52"/>
        <v>246</v>
      </c>
      <c r="R775" s="5">
        <v>508.5</v>
      </c>
      <c r="S775" s="5">
        <v>173</v>
      </c>
      <c r="T775" s="5">
        <f t="shared" si="53"/>
        <v>-73</v>
      </c>
    </row>
    <row r="776" spans="1:20">
      <c r="A776" s="1" t="s">
        <v>2440</v>
      </c>
      <c r="B776" s="1" t="s">
        <v>3198</v>
      </c>
      <c r="C776" s="4" t="s">
        <v>131</v>
      </c>
      <c r="D776" s="1" t="s">
        <v>2441</v>
      </c>
      <c r="E776" s="4" t="s">
        <v>2442</v>
      </c>
      <c r="F776" s="84">
        <v>83</v>
      </c>
      <c r="G776" s="84">
        <v>71</v>
      </c>
      <c r="H776" s="84">
        <v>72</v>
      </c>
      <c r="I776" s="84">
        <v>53</v>
      </c>
      <c r="J776" s="84">
        <v>44</v>
      </c>
      <c r="K776" s="84">
        <v>53</v>
      </c>
      <c r="L776" s="84">
        <v>56</v>
      </c>
      <c r="M776" s="84">
        <v>73</v>
      </c>
      <c r="N776" s="84">
        <v>50</v>
      </c>
      <c r="O776" s="5">
        <f t="shared" si="50"/>
        <v>376</v>
      </c>
      <c r="P776" s="6">
        <f t="shared" si="51"/>
        <v>49</v>
      </c>
      <c r="Q776" s="5">
        <f t="shared" si="52"/>
        <v>839</v>
      </c>
      <c r="R776" s="5">
        <v>339.5</v>
      </c>
      <c r="S776" s="5">
        <v>896</v>
      </c>
      <c r="T776" s="5">
        <f t="shared" si="53"/>
        <v>57</v>
      </c>
    </row>
    <row r="777" spans="1:20">
      <c r="A777" s="1" t="s">
        <v>2443</v>
      </c>
      <c r="B777" s="1" t="s">
        <v>3198</v>
      </c>
      <c r="C777" s="4" t="s">
        <v>131</v>
      </c>
      <c r="D777" s="1" t="s">
        <v>2444</v>
      </c>
      <c r="E777" s="4" t="s">
        <v>2445</v>
      </c>
      <c r="F777" s="84">
        <v>103</v>
      </c>
      <c r="G777" s="84">
        <v>72</v>
      </c>
      <c r="H777" s="84">
        <v>88.5</v>
      </c>
      <c r="I777" s="84">
        <v>88</v>
      </c>
      <c r="J777" s="84">
        <v>62</v>
      </c>
      <c r="K777" s="84">
        <v>74</v>
      </c>
      <c r="L777" s="84">
        <v>56</v>
      </c>
      <c r="M777" s="84">
        <v>64</v>
      </c>
      <c r="N777" s="84">
        <v>53</v>
      </c>
      <c r="O777" s="5">
        <f t="shared" si="50"/>
        <v>487.5</v>
      </c>
      <c r="P777" s="6">
        <f t="shared" si="51"/>
        <v>12</v>
      </c>
      <c r="Q777" s="5">
        <f t="shared" si="52"/>
        <v>301</v>
      </c>
      <c r="R777" s="5">
        <v>475</v>
      </c>
      <c r="S777" s="5">
        <v>326</v>
      </c>
      <c r="T777" s="5">
        <f t="shared" si="53"/>
        <v>25</v>
      </c>
    </row>
    <row r="778" spans="1:20">
      <c r="A778" s="1" t="s">
        <v>2446</v>
      </c>
      <c r="B778" s="1" t="s">
        <v>3198</v>
      </c>
      <c r="C778" s="4" t="s">
        <v>131</v>
      </c>
      <c r="D778" s="1" t="s">
        <v>2447</v>
      </c>
      <c r="E778" s="4" t="s">
        <v>2448</v>
      </c>
      <c r="F778" s="84">
        <v>90</v>
      </c>
      <c r="G778" s="84">
        <v>46</v>
      </c>
      <c r="H778" s="84">
        <v>78.5</v>
      </c>
      <c r="I778" s="84">
        <v>46</v>
      </c>
      <c r="J778" s="84">
        <v>43</v>
      </c>
      <c r="K778" s="84">
        <v>60</v>
      </c>
      <c r="L778" s="84">
        <v>74</v>
      </c>
      <c r="M778" s="84">
        <v>57</v>
      </c>
      <c r="N778" s="84">
        <v>41</v>
      </c>
      <c r="O778" s="5">
        <f t="shared" si="50"/>
        <v>363.5</v>
      </c>
      <c r="P778" s="6">
        <f t="shared" si="51"/>
        <v>50</v>
      </c>
      <c r="Q778" s="5">
        <f t="shared" si="52"/>
        <v>873</v>
      </c>
      <c r="R778" s="5">
        <v>347.5</v>
      </c>
      <c r="S778" s="5">
        <v>886</v>
      </c>
      <c r="T778" s="5">
        <f t="shared" si="53"/>
        <v>13</v>
      </c>
    </row>
    <row r="779" spans="1:20">
      <c r="A779" s="1" t="s">
        <v>2449</v>
      </c>
      <c r="B779" s="1" t="s">
        <v>3198</v>
      </c>
      <c r="C779" s="4" t="s">
        <v>131</v>
      </c>
      <c r="D779" s="1" t="s">
        <v>2450</v>
      </c>
      <c r="E779" s="4" t="s">
        <v>2451</v>
      </c>
      <c r="F779" s="84">
        <v>95</v>
      </c>
      <c r="G779" s="84">
        <v>49</v>
      </c>
      <c r="H779" s="84">
        <v>87</v>
      </c>
      <c r="I779" s="84">
        <v>44</v>
      </c>
      <c r="J779" s="84">
        <v>39</v>
      </c>
      <c r="K779" s="84">
        <v>64</v>
      </c>
      <c r="L779" s="84">
        <v>64</v>
      </c>
      <c r="M779" s="84">
        <v>58</v>
      </c>
      <c r="N779" s="84">
        <v>46</v>
      </c>
      <c r="O779" s="5">
        <f t="shared" si="50"/>
        <v>378</v>
      </c>
      <c r="P779" s="6">
        <f t="shared" si="51"/>
        <v>47</v>
      </c>
      <c r="Q779" s="5">
        <f t="shared" si="52"/>
        <v>833</v>
      </c>
      <c r="R779" s="5">
        <v>385</v>
      </c>
      <c r="S779" s="5">
        <v>787</v>
      </c>
      <c r="T779" s="5">
        <f t="shared" si="53"/>
        <v>-46</v>
      </c>
    </row>
    <row r="780" spans="1:20">
      <c r="A780" s="1" t="s">
        <v>2452</v>
      </c>
      <c r="B780" s="1" t="s">
        <v>3198</v>
      </c>
      <c r="C780" s="4" t="s">
        <v>131</v>
      </c>
      <c r="D780" s="1" t="s">
        <v>2453</v>
      </c>
      <c r="E780" s="4" t="s">
        <v>2454</v>
      </c>
      <c r="F780" s="84">
        <v>87</v>
      </c>
      <c r="G780" s="84">
        <v>71</v>
      </c>
      <c r="H780" s="84">
        <v>73.5</v>
      </c>
      <c r="I780" s="84">
        <v>42</v>
      </c>
      <c r="J780" s="84">
        <v>54</v>
      </c>
      <c r="K780" s="84">
        <v>70</v>
      </c>
      <c r="L780" s="84">
        <v>75</v>
      </c>
      <c r="M780" s="84">
        <v>70</v>
      </c>
      <c r="N780" s="84">
        <v>65</v>
      </c>
      <c r="O780" s="5">
        <f t="shared" si="50"/>
        <v>397.5</v>
      </c>
      <c r="P780" s="6">
        <f t="shared" si="51"/>
        <v>45</v>
      </c>
      <c r="Q780" s="5">
        <f t="shared" si="52"/>
        <v>780</v>
      </c>
      <c r="R780" s="5">
        <v>406.5</v>
      </c>
      <c r="S780" s="5">
        <v>698</v>
      </c>
      <c r="T780" s="5">
        <f t="shared" si="53"/>
        <v>-82</v>
      </c>
    </row>
    <row r="781" spans="1:20">
      <c r="A781" s="1" t="s">
        <v>2455</v>
      </c>
      <c r="B781" s="1" t="s">
        <v>3198</v>
      </c>
      <c r="C781" s="4" t="s">
        <v>131</v>
      </c>
      <c r="D781" s="1" t="s">
        <v>2456</v>
      </c>
      <c r="E781" s="4" t="s">
        <v>2457</v>
      </c>
      <c r="F781" s="84">
        <v>98</v>
      </c>
      <c r="G781" s="84">
        <v>65</v>
      </c>
      <c r="H781" s="84">
        <v>100.5</v>
      </c>
      <c r="I781" s="84">
        <v>50</v>
      </c>
      <c r="J781" s="84">
        <v>57</v>
      </c>
      <c r="K781" s="84">
        <v>57</v>
      </c>
      <c r="L781" s="84">
        <v>66</v>
      </c>
      <c r="M781" s="84">
        <v>69</v>
      </c>
      <c r="N781" s="84">
        <v>63</v>
      </c>
      <c r="O781" s="5">
        <f t="shared" si="50"/>
        <v>427.5</v>
      </c>
      <c r="P781" s="6">
        <f t="shared" si="51"/>
        <v>35</v>
      </c>
      <c r="Q781" s="5">
        <f t="shared" si="52"/>
        <v>639</v>
      </c>
      <c r="R781" s="5">
        <v>472</v>
      </c>
      <c r="S781" s="5">
        <v>352</v>
      </c>
      <c r="T781" s="5">
        <f t="shared" si="53"/>
        <v>-287</v>
      </c>
    </row>
    <row r="782" spans="1:20">
      <c r="A782" s="1" t="s">
        <v>2458</v>
      </c>
      <c r="B782" s="1" t="s">
        <v>3198</v>
      </c>
      <c r="C782" s="4" t="s">
        <v>131</v>
      </c>
      <c r="D782" s="1" t="s">
        <v>2459</v>
      </c>
      <c r="E782" s="4" t="s">
        <v>2460</v>
      </c>
      <c r="F782" s="84">
        <v>106</v>
      </c>
      <c r="G782" s="84">
        <v>75</v>
      </c>
      <c r="H782" s="84">
        <v>108.5</v>
      </c>
      <c r="I782" s="84">
        <v>78</v>
      </c>
      <c r="J782" s="84">
        <v>59</v>
      </c>
      <c r="K782" s="84">
        <v>90</v>
      </c>
      <c r="L782" s="84">
        <v>63</v>
      </c>
      <c r="M782" s="84">
        <v>79</v>
      </c>
      <c r="N782" s="84">
        <v>65</v>
      </c>
      <c r="O782" s="5">
        <f t="shared" si="50"/>
        <v>516.5</v>
      </c>
      <c r="P782" s="6">
        <f t="shared" si="51"/>
        <v>1</v>
      </c>
      <c r="Q782" s="5">
        <f t="shared" si="52"/>
        <v>178</v>
      </c>
      <c r="R782" s="5">
        <v>516.5</v>
      </c>
      <c r="S782" s="5">
        <v>149</v>
      </c>
      <c r="T782" s="5">
        <f t="shared" si="53"/>
        <v>-29</v>
      </c>
    </row>
    <row r="783" spans="1:20">
      <c r="A783" s="1" t="s">
        <v>2461</v>
      </c>
      <c r="B783" s="1" t="s">
        <v>3198</v>
      </c>
      <c r="C783" s="4" t="s">
        <v>131</v>
      </c>
      <c r="D783" s="1" t="s">
        <v>2462</v>
      </c>
      <c r="E783" s="4" t="s">
        <v>2463</v>
      </c>
      <c r="F783" s="84">
        <v>86</v>
      </c>
      <c r="G783" s="84">
        <v>68</v>
      </c>
      <c r="H783" s="84">
        <v>77.5</v>
      </c>
      <c r="I783" s="84">
        <v>61</v>
      </c>
      <c r="J783" s="84">
        <v>58</v>
      </c>
      <c r="K783" s="84">
        <v>73</v>
      </c>
      <c r="L783" s="84">
        <v>66</v>
      </c>
      <c r="M783" s="84">
        <v>71</v>
      </c>
      <c r="N783" s="84">
        <v>55</v>
      </c>
      <c r="O783" s="5">
        <f t="shared" si="50"/>
        <v>423.5</v>
      </c>
      <c r="P783" s="6">
        <f t="shared" si="51"/>
        <v>37</v>
      </c>
      <c r="Q783" s="5">
        <f t="shared" si="52"/>
        <v>657</v>
      </c>
      <c r="R783" s="5">
        <v>423</v>
      </c>
      <c r="S783" s="5">
        <v>618</v>
      </c>
      <c r="T783" s="5">
        <f t="shared" si="53"/>
        <v>-39</v>
      </c>
    </row>
    <row r="784" spans="1:20">
      <c r="A784" s="1" t="s">
        <v>2464</v>
      </c>
      <c r="B784" s="1" t="s">
        <v>3198</v>
      </c>
      <c r="C784" s="4" t="s">
        <v>131</v>
      </c>
      <c r="D784" s="1" t="s">
        <v>2465</v>
      </c>
      <c r="E784" s="4" t="s">
        <v>2466</v>
      </c>
      <c r="F784" s="84">
        <v>86</v>
      </c>
      <c r="G784" s="84">
        <v>75</v>
      </c>
      <c r="H784" s="84">
        <v>84.5</v>
      </c>
      <c r="I784" s="84">
        <v>60</v>
      </c>
      <c r="J784" s="84">
        <v>44</v>
      </c>
      <c r="K784" s="84">
        <v>65</v>
      </c>
      <c r="L784" s="84">
        <v>73</v>
      </c>
      <c r="M784" s="84">
        <v>61</v>
      </c>
      <c r="N784" s="84">
        <v>60</v>
      </c>
      <c r="O784" s="5">
        <f t="shared" si="50"/>
        <v>414.5</v>
      </c>
      <c r="P784" s="6">
        <f t="shared" si="51"/>
        <v>42</v>
      </c>
      <c r="Q784" s="5">
        <f t="shared" si="52"/>
        <v>694</v>
      </c>
      <c r="R784" s="5">
        <v>441.5</v>
      </c>
      <c r="S784" s="5">
        <v>520</v>
      </c>
      <c r="T784" s="5">
        <f t="shared" si="53"/>
        <v>-174</v>
      </c>
    </row>
    <row r="785" spans="1:20">
      <c r="A785" s="1" t="s">
        <v>2467</v>
      </c>
      <c r="B785" s="1" t="s">
        <v>3198</v>
      </c>
      <c r="C785" s="4" t="s">
        <v>131</v>
      </c>
      <c r="D785" s="1" t="s">
        <v>2468</v>
      </c>
      <c r="E785" s="4" t="s">
        <v>2469</v>
      </c>
      <c r="F785" s="84">
        <v>80</v>
      </c>
      <c r="G785" s="84">
        <v>12</v>
      </c>
      <c r="H785" s="84">
        <v>85</v>
      </c>
      <c r="I785" s="84">
        <v>25</v>
      </c>
      <c r="J785" s="84">
        <v>24</v>
      </c>
      <c r="K785" s="84">
        <v>36</v>
      </c>
      <c r="L785" s="84">
        <v>60</v>
      </c>
      <c r="M785" s="84">
        <v>70</v>
      </c>
      <c r="N785" s="84">
        <v>43</v>
      </c>
      <c r="O785" s="5">
        <f t="shared" si="50"/>
        <v>262</v>
      </c>
      <c r="P785" s="6">
        <f t="shared" si="51"/>
        <v>55</v>
      </c>
      <c r="Q785" s="5">
        <f t="shared" si="52"/>
        <v>933</v>
      </c>
      <c r="R785" s="5">
        <v>256.5</v>
      </c>
      <c r="S785" s="5">
        <v>932</v>
      </c>
      <c r="T785" s="5">
        <f t="shared" si="53"/>
        <v>-1</v>
      </c>
    </row>
    <row r="786" spans="1:20">
      <c r="A786" s="1" t="s">
        <v>2470</v>
      </c>
      <c r="B786" s="1" t="s">
        <v>3198</v>
      </c>
      <c r="C786" s="4" t="s">
        <v>131</v>
      </c>
      <c r="D786" s="1" t="s">
        <v>2471</v>
      </c>
      <c r="E786" s="4" t="s">
        <v>2472</v>
      </c>
      <c r="F786" s="84">
        <v>71</v>
      </c>
      <c r="G786" s="84">
        <v>53</v>
      </c>
      <c r="H786" s="84">
        <v>90</v>
      </c>
      <c r="I786" s="84">
        <v>39</v>
      </c>
      <c r="J786" s="84">
        <v>44</v>
      </c>
      <c r="K786" s="84">
        <v>44</v>
      </c>
      <c r="L786" s="84">
        <v>57</v>
      </c>
      <c r="M786" s="84">
        <v>41</v>
      </c>
      <c r="N786" s="84">
        <v>39</v>
      </c>
      <c r="O786" s="5">
        <f t="shared" si="50"/>
        <v>341</v>
      </c>
      <c r="P786" s="6">
        <f t="shared" si="51"/>
        <v>52</v>
      </c>
      <c r="Q786" s="5">
        <f t="shared" si="52"/>
        <v>905</v>
      </c>
      <c r="R786" s="5">
        <v>341.5</v>
      </c>
      <c r="S786" s="5">
        <v>893</v>
      </c>
      <c r="T786" s="5">
        <f t="shared" si="53"/>
        <v>-12</v>
      </c>
    </row>
    <row r="787" spans="1:20">
      <c r="A787" s="1" t="s">
        <v>2473</v>
      </c>
      <c r="B787" s="1" t="s">
        <v>3198</v>
      </c>
      <c r="C787" s="4" t="s">
        <v>131</v>
      </c>
      <c r="D787" s="1" t="s">
        <v>2474</v>
      </c>
      <c r="E787" s="4" t="s">
        <v>2475</v>
      </c>
      <c r="F787" s="84">
        <v>107</v>
      </c>
      <c r="G787" s="84">
        <v>76</v>
      </c>
      <c r="H787" s="84">
        <v>77.5</v>
      </c>
      <c r="I787" s="84">
        <v>67</v>
      </c>
      <c r="J787" s="84">
        <v>54</v>
      </c>
      <c r="K787" s="84">
        <v>64</v>
      </c>
      <c r="L787" s="84">
        <v>68</v>
      </c>
      <c r="M787" s="84">
        <v>59</v>
      </c>
      <c r="N787" s="84">
        <v>39</v>
      </c>
      <c r="O787" s="5">
        <f t="shared" si="50"/>
        <v>445.5</v>
      </c>
      <c r="P787" s="6">
        <f t="shared" si="51"/>
        <v>28</v>
      </c>
      <c r="Q787" s="5">
        <f t="shared" si="52"/>
        <v>541</v>
      </c>
      <c r="R787" s="5">
        <v>442.5</v>
      </c>
      <c r="S787" s="5">
        <v>516</v>
      </c>
      <c r="T787" s="5">
        <f t="shared" si="53"/>
        <v>-25</v>
      </c>
    </row>
    <row r="788" spans="1:20">
      <c r="A788" s="1" t="s">
        <v>2476</v>
      </c>
      <c r="B788" s="1" t="s">
        <v>3198</v>
      </c>
      <c r="C788" s="4" t="s">
        <v>131</v>
      </c>
      <c r="D788" s="1" t="s">
        <v>2477</v>
      </c>
      <c r="E788" s="4" t="s">
        <v>2478</v>
      </c>
      <c r="F788" s="84">
        <v>94</v>
      </c>
      <c r="G788" s="84">
        <v>71</v>
      </c>
      <c r="H788" s="84">
        <v>81</v>
      </c>
      <c r="I788" s="84">
        <v>74</v>
      </c>
      <c r="J788" s="84">
        <v>67</v>
      </c>
      <c r="K788" s="84">
        <v>80</v>
      </c>
      <c r="L788" s="84">
        <v>59</v>
      </c>
      <c r="M788" s="84">
        <v>63</v>
      </c>
      <c r="N788" s="84">
        <v>55</v>
      </c>
      <c r="O788" s="5">
        <f t="shared" si="50"/>
        <v>467</v>
      </c>
      <c r="P788" s="6">
        <f t="shared" si="51"/>
        <v>22</v>
      </c>
      <c r="Q788" s="5">
        <f t="shared" si="52"/>
        <v>411</v>
      </c>
      <c r="R788" s="5">
        <v>475.5</v>
      </c>
      <c r="S788" s="5">
        <v>323</v>
      </c>
      <c r="T788" s="5">
        <f t="shared" si="53"/>
        <v>-88</v>
      </c>
    </row>
    <row r="789" spans="1:20">
      <c r="A789" s="1" t="s">
        <v>2479</v>
      </c>
      <c r="B789" s="1" t="s">
        <v>3198</v>
      </c>
      <c r="C789" s="4" t="s">
        <v>131</v>
      </c>
      <c r="D789" s="1" t="s">
        <v>2480</v>
      </c>
      <c r="E789" s="4" t="s">
        <v>2481</v>
      </c>
      <c r="F789" s="84">
        <v>103</v>
      </c>
      <c r="G789" s="84">
        <v>90</v>
      </c>
      <c r="H789" s="84">
        <v>97.5</v>
      </c>
      <c r="I789" s="84">
        <v>77</v>
      </c>
      <c r="J789" s="84">
        <v>53</v>
      </c>
      <c r="K789" s="84">
        <v>78</v>
      </c>
      <c r="L789" s="84">
        <v>72</v>
      </c>
      <c r="M789" s="84">
        <v>76</v>
      </c>
      <c r="N789" s="84">
        <v>60</v>
      </c>
      <c r="O789" s="5">
        <f t="shared" si="50"/>
        <v>498.5</v>
      </c>
      <c r="P789" s="6">
        <f t="shared" si="51"/>
        <v>9</v>
      </c>
      <c r="Q789" s="5">
        <f t="shared" si="52"/>
        <v>253</v>
      </c>
      <c r="R789" s="5">
        <v>484</v>
      </c>
      <c r="S789" s="5">
        <v>289</v>
      </c>
      <c r="T789" s="5">
        <f t="shared" si="53"/>
        <v>36</v>
      </c>
    </row>
    <row r="790" spans="1:20">
      <c r="A790" s="1" t="s">
        <v>2482</v>
      </c>
      <c r="B790" s="1" t="s">
        <v>3198</v>
      </c>
      <c r="C790" s="4" t="s">
        <v>131</v>
      </c>
      <c r="D790" s="1" t="s">
        <v>2483</v>
      </c>
      <c r="E790" s="1" t="s">
        <v>2484</v>
      </c>
      <c r="F790" s="84">
        <v>80</v>
      </c>
      <c r="G790" s="84">
        <v>78</v>
      </c>
      <c r="H790" s="84">
        <v>107.5</v>
      </c>
      <c r="I790" s="84">
        <v>80</v>
      </c>
      <c r="J790" s="84">
        <v>63</v>
      </c>
      <c r="K790" s="84">
        <v>78</v>
      </c>
      <c r="L790" s="84">
        <v>70</v>
      </c>
      <c r="M790" s="84">
        <v>65</v>
      </c>
      <c r="N790" s="84">
        <v>68</v>
      </c>
      <c r="O790" s="5">
        <f t="shared" si="50"/>
        <v>486.5</v>
      </c>
      <c r="P790" s="6">
        <f t="shared" si="51"/>
        <v>13</v>
      </c>
      <c r="Q790" s="5">
        <f t="shared" si="52"/>
        <v>303</v>
      </c>
      <c r="R790" s="5">
        <v>491.5</v>
      </c>
      <c r="S790" s="5">
        <v>255</v>
      </c>
      <c r="T790" s="5">
        <f t="shared" si="53"/>
        <v>-48</v>
      </c>
    </row>
    <row r="791" spans="1:20">
      <c r="A791" s="1" t="s">
        <v>2485</v>
      </c>
      <c r="B791" s="1" t="s">
        <v>3198</v>
      </c>
      <c r="C791" s="4" t="s">
        <v>131</v>
      </c>
      <c r="D791" s="1" t="s">
        <v>2486</v>
      </c>
      <c r="E791" s="4" t="s">
        <v>2487</v>
      </c>
      <c r="F791" s="84">
        <v>105</v>
      </c>
      <c r="G791" s="84">
        <v>74</v>
      </c>
      <c r="H791" s="84">
        <v>97</v>
      </c>
      <c r="I791" s="84">
        <v>70</v>
      </c>
      <c r="J791" s="84">
        <v>49</v>
      </c>
      <c r="K791" s="84">
        <v>84</v>
      </c>
      <c r="L791" s="84">
        <v>70</v>
      </c>
      <c r="M791" s="84">
        <v>85</v>
      </c>
      <c r="N791" s="84">
        <v>52</v>
      </c>
      <c r="O791" s="5">
        <f t="shared" si="50"/>
        <v>479</v>
      </c>
      <c r="P791" s="6">
        <f t="shared" si="51"/>
        <v>15</v>
      </c>
      <c r="Q791" s="5">
        <f t="shared" si="52"/>
        <v>344</v>
      </c>
      <c r="R791" s="5">
        <v>464.5</v>
      </c>
      <c r="S791" s="5">
        <v>392</v>
      </c>
      <c r="T791" s="5">
        <f t="shared" si="53"/>
        <v>48</v>
      </c>
    </row>
    <row r="792" spans="1:20">
      <c r="A792" s="1" t="s">
        <v>2488</v>
      </c>
      <c r="B792" s="1" t="s">
        <v>3198</v>
      </c>
      <c r="C792" s="4" t="s">
        <v>131</v>
      </c>
      <c r="D792" s="1" t="s">
        <v>2489</v>
      </c>
      <c r="E792" s="4" t="s">
        <v>2490</v>
      </c>
      <c r="F792" s="84">
        <v>86</v>
      </c>
      <c r="G792" s="84">
        <v>65</v>
      </c>
      <c r="H792" s="84">
        <v>72</v>
      </c>
      <c r="I792" s="84">
        <v>62</v>
      </c>
      <c r="J792" s="84">
        <v>49</v>
      </c>
      <c r="K792" s="84">
        <v>54</v>
      </c>
      <c r="L792" s="84">
        <v>64</v>
      </c>
      <c r="M792" s="84">
        <v>66</v>
      </c>
      <c r="N792" s="84">
        <v>52</v>
      </c>
      <c r="O792" s="5">
        <f t="shared" si="50"/>
        <v>388</v>
      </c>
      <c r="P792" s="6">
        <f t="shared" si="51"/>
        <v>46</v>
      </c>
      <c r="Q792" s="5">
        <f t="shared" si="52"/>
        <v>810</v>
      </c>
      <c r="R792" s="5">
        <v>394</v>
      </c>
      <c r="S792" s="5">
        <v>751</v>
      </c>
      <c r="T792" s="5">
        <f t="shared" si="53"/>
        <v>-59</v>
      </c>
    </row>
    <row r="793" spans="1:20">
      <c r="A793" s="1" t="s">
        <v>2491</v>
      </c>
      <c r="B793" s="1" t="s">
        <v>3198</v>
      </c>
      <c r="C793" s="4" t="s">
        <v>131</v>
      </c>
      <c r="D793" s="1" t="s">
        <v>2492</v>
      </c>
      <c r="E793" s="4" t="s">
        <v>2493</v>
      </c>
      <c r="F793" s="84">
        <v>98</v>
      </c>
      <c r="G793" s="84">
        <v>54</v>
      </c>
      <c r="H793" s="84">
        <v>89.5</v>
      </c>
      <c r="I793" s="84">
        <v>74</v>
      </c>
      <c r="J793" s="84">
        <v>48</v>
      </c>
      <c r="K793" s="84">
        <v>58</v>
      </c>
      <c r="L793" s="84">
        <v>78</v>
      </c>
      <c r="M793" s="84">
        <v>77</v>
      </c>
      <c r="N793" s="84">
        <v>62</v>
      </c>
      <c r="O793" s="5">
        <f t="shared" si="50"/>
        <v>421.5</v>
      </c>
      <c r="P793" s="6">
        <f t="shared" si="51"/>
        <v>39</v>
      </c>
      <c r="Q793" s="5">
        <f t="shared" si="52"/>
        <v>666</v>
      </c>
      <c r="R793" s="5">
        <v>425</v>
      </c>
      <c r="S793" s="5">
        <v>607</v>
      </c>
      <c r="T793" s="5">
        <f t="shared" si="53"/>
        <v>-59</v>
      </c>
    </row>
    <row r="794" spans="1:20">
      <c r="A794" s="1" t="s">
        <v>2494</v>
      </c>
      <c r="B794" s="1" t="s">
        <v>3198</v>
      </c>
      <c r="C794" s="4" t="s">
        <v>131</v>
      </c>
      <c r="D794" s="1" t="s">
        <v>2495</v>
      </c>
      <c r="E794" s="1" t="s">
        <v>2496</v>
      </c>
      <c r="F794" s="84">
        <v>86</v>
      </c>
      <c r="G794" s="84">
        <v>82</v>
      </c>
      <c r="H794" s="84">
        <v>102.5</v>
      </c>
      <c r="I794" s="84">
        <v>87</v>
      </c>
      <c r="J794" s="84">
        <v>71</v>
      </c>
      <c r="K794" s="84">
        <v>72</v>
      </c>
      <c r="L794" s="84">
        <v>66</v>
      </c>
      <c r="M794" s="84">
        <v>63</v>
      </c>
      <c r="N794" s="84">
        <v>61</v>
      </c>
      <c r="O794" s="5">
        <f t="shared" si="50"/>
        <v>500.5</v>
      </c>
      <c r="P794" s="6">
        <f t="shared" si="51"/>
        <v>7</v>
      </c>
      <c r="Q794" s="5">
        <f t="shared" si="52"/>
        <v>244</v>
      </c>
      <c r="R794" s="5">
        <v>487</v>
      </c>
      <c r="S794" s="5">
        <v>275</v>
      </c>
      <c r="T794" s="5">
        <f t="shared" si="53"/>
        <v>31</v>
      </c>
    </row>
    <row r="795" spans="1:20">
      <c r="A795" s="1" t="s">
        <v>2497</v>
      </c>
      <c r="B795" s="1" t="s">
        <v>3198</v>
      </c>
      <c r="C795" s="4" t="s">
        <v>131</v>
      </c>
      <c r="D795" s="1" t="s">
        <v>2498</v>
      </c>
      <c r="E795" s="4" t="s">
        <v>2499</v>
      </c>
      <c r="F795" s="84">
        <v>104</v>
      </c>
      <c r="G795" s="84">
        <v>78</v>
      </c>
      <c r="H795" s="84">
        <v>81.5</v>
      </c>
      <c r="I795" s="84">
        <v>76</v>
      </c>
      <c r="J795" s="84">
        <v>57</v>
      </c>
      <c r="K795" s="84">
        <v>78</v>
      </c>
      <c r="L795" s="84">
        <v>67</v>
      </c>
      <c r="M795" s="84">
        <v>71</v>
      </c>
      <c r="N795" s="84">
        <v>67</v>
      </c>
      <c r="O795" s="5">
        <f t="shared" si="50"/>
        <v>474.5</v>
      </c>
      <c r="P795" s="6">
        <f t="shared" si="51"/>
        <v>19</v>
      </c>
      <c r="Q795" s="5">
        <f t="shared" si="52"/>
        <v>370</v>
      </c>
      <c r="R795" s="5">
        <v>440</v>
      </c>
      <c r="S795" s="5">
        <v>524</v>
      </c>
      <c r="T795" s="5">
        <f t="shared" si="53"/>
        <v>154</v>
      </c>
    </row>
    <row r="796" spans="1:20">
      <c r="A796" s="1" t="s">
        <v>2500</v>
      </c>
      <c r="B796" s="1" t="s">
        <v>3198</v>
      </c>
      <c r="C796" s="4" t="s">
        <v>131</v>
      </c>
      <c r="D796" s="1" t="s">
        <v>2501</v>
      </c>
      <c r="E796" s="4" t="s">
        <v>2502</v>
      </c>
      <c r="F796" s="84">
        <v>85</v>
      </c>
      <c r="G796" s="84">
        <v>68</v>
      </c>
      <c r="H796" s="84">
        <v>87.5</v>
      </c>
      <c r="I796" s="84">
        <v>66</v>
      </c>
      <c r="J796" s="84">
        <v>51</v>
      </c>
      <c r="K796" s="84">
        <v>72</v>
      </c>
      <c r="L796" s="84">
        <v>72</v>
      </c>
      <c r="M796" s="84">
        <v>77</v>
      </c>
      <c r="N796" s="84">
        <v>50</v>
      </c>
      <c r="O796" s="5">
        <f t="shared" si="50"/>
        <v>429.5</v>
      </c>
      <c r="P796" s="6">
        <f t="shared" si="51"/>
        <v>34</v>
      </c>
      <c r="Q796" s="5">
        <f t="shared" si="52"/>
        <v>626</v>
      </c>
      <c r="R796" s="5">
        <v>434</v>
      </c>
      <c r="S796" s="5">
        <v>551</v>
      </c>
      <c r="T796" s="5">
        <f t="shared" si="53"/>
        <v>-75</v>
      </c>
    </row>
    <row r="797" spans="1:20">
      <c r="A797" s="1" t="s">
        <v>2503</v>
      </c>
      <c r="B797" s="1" t="s">
        <v>3198</v>
      </c>
      <c r="C797" s="4" t="s">
        <v>131</v>
      </c>
      <c r="D797" s="1" t="s">
        <v>2504</v>
      </c>
      <c r="E797" s="4" t="s">
        <v>2505</v>
      </c>
      <c r="F797" s="84">
        <v>94</v>
      </c>
      <c r="G797" s="84">
        <v>81</v>
      </c>
      <c r="H797" s="84">
        <v>104</v>
      </c>
      <c r="I797" s="84">
        <v>66</v>
      </c>
      <c r="J797" s="84">
        <v>61</v>
      </c>
      <c r="K797" s="84">
        <v>70</v>
      </c>
      <c r="L797" s="84">
        <v>62</v>
      </c>
      <c r="M797" s="84">
        <v>60</v>
      </c>
      <c r="N797" s="84">
        <v>50</v>
      </c>
      <c r="O797" s="5">
        <f t="shared" si="50"/>
        <v>476</v>
      </c>
      <c r="P797" s="6">
        <f t="shared" si="51"/>
        <v>17</v>
      </c>
      <c r="Q797" s="5">
        <f t="shared" si="52"/>
        <v>358</v>
      </c>
      <c r="R797" s="5">
        <v>487.5</v>
      </c>
      <c r="S797" s="5">
        <v>274</v>
      </c>
      <c r="T797" s="5">
        <f t="shared" si="53"/>
        <v>-84</v>
      </c>
    </row>
    <row r="798" spans="1:20">
      <c r="A798" s="1" t="s">
        <v>2506</v>
      </c>
      <c r="B798" s="1" t="s">
        <v>3198</v>
      </c>
      <c r="C798" s="4" t="s">
        <v>131</v>
      </c>
      <c r="D798" s="1" t="s">
        <v>2507</v>
      </c>
      <c r="E798" s="4" t="s">
        <v>2508</v>
      </c>
      <c r="F798" s="84">
        <v>104</v>
      </c>
      <c r="G798" s="84">
        <v>89</v>
      </c>
      <c r="H798" s="84">
        <v>104</v>
      </c>
      <c r="I798" s="84">
        <v>62</v>
      </c>
      <c r="J798" s="84">
        <v>52</v>
      </c>
      <c r="K798" s="84">
        <v>65</v>
      </c>
      <c r="L798" s="84">
        <v>64</v>
      </c>
      <c r="M798" s="84">
        <v>71</v>
      </c>
      <c r="N798" s="84">
        <v>53</v>
      </c>
      <c r="O798" s="5">
        <f t="shared" si="50"/>
        <v>476</v>
      </c>
      <c r="P798" s="6">
        <f t="shared" si="51"/>
        <v>17</v>
      </c>
      <c r="Q798" s="5">
        <f t="shared" si="52"/>
        <v>358</v>
      </c>
      <c r="R798" s="5">
        <v>455.5</v>
      </c>
      <c r="S798" s="5">
        <v>436</v>
      </c>
      <c r="T798" s="5">
        <f t="shared" si="53"/>
        <v>78</v>
      </c>
    </row>
    <row r="799" spans="1:20">
      <c r="A799" s="1" t="s">
        <v>2509</v>
      </c>
      <c r="B799" s="1" t="s">
        <v>3198</v>
      </c>
      <c r="C799" s="4" t="s">
        <v>131</v>
      </c>
      <c r="D799" s="1" t="s">
        <v>2510</v>
      </c>
      <c r="E799" s="4" t="s">
        <v>2511</v>
      </c>
      <c r="F799" s="84">
        <v>83</v>
      </c>
      <c r="G799" s="84">
        <v>71</v>
      </c>
      <c r="H799" s="84">
        <v>60</v>
      </c>
      <c r="I799" s="84">
        <v>85</v>
      </c>
      <c r="J799" s="84">
        <v>52</v>
      </c>
      <c r="K799" s="84">
        <v>73</v>
      </c>
      <c r="L799" s="84">
        <v>55</v>
      </c>
      <c r="M799" s="84">
        <v>69</v>
      </c>
      <c r="N799" s="84">
        <v>64</v>
      </c>
      <c r="O799" s="5">
        <f t="shared" si="50"/>
        <v>424</v>
      </c>
      <c r="P799" s="6">
        <f t="shared" si="51"/>
        <v>36</v>
      </c>
      <c r="Q799" s="5">
        <f t="shared" si="52"/>
        <v>655</v>
      </c>
      <c r="R799" s="5">
        <v>421</v>
      </c>
      <c r="S799" s="5">
        <v>635</v>
      </c>
      <c r="T799" s="5">
        <f t="shared" si="53"/>
        <v>-20</v>
      </c>
    </row>
    <row r="800" spans="1:20">
      <c r="A800" s="1" t="s">
        <v>2512</v>
      </c>
      <c r="B800" s="1" t="s">
        <v>3198</v>
      </c>
      <c r="C800" s="4" t="s">
        <v>131</v>
      </c>
      <c r="D800" s="1" t="s">
        <v>2513</v>
      </c>
      <c r="E800" s="4" t="s">
        <v>2514</v>
      </c>
      <c r="F800" s="84">
        <v>99</v>
      </c>
      <c r="G800" s="84">
        <v>79</v>
      </c>
      <c r="H800" s="84">
        <v>106</v>
      </c>
      <c r="I800" s="84">
        <v>79</v>
      </c>
      <c r="J800" s="84">
        <v>54</v>
      </c>
      <c r="K800" s="84">
        <v>79</v>
      </c>
      <c r="L800" s="84">
        <v>68</v>
      </c>
      <c r="M800" s="84">
        <v>74</v>
      </c>
      <c r="N800" s="84">
        <v>59</v>
      </c>
      <c r="O800" s="5">
        <f t="shared" si="50"/>
        <v>496</v>
      </c>
      <c r="P800" s="6">
        <f t="shared" si="51"/>
        <v>11</v>
      </c>
      <c r="Q800" s="5">
        <f t="shared" si="52"/>
        <v>264</v>
      </c>
      <c r="R800" s="5">
        <v>461</v>
      </c>
      <c r="S800" s="5">
        <v>410</v>
      </c>
      <c r="T800" s="5">
        <f t="shared" si="53"/>
        <v>146</v>
      </c>
    </row>
    <row r="801" spans="1:20">
      <c r="A801" s="1" t="s">
        <v>2515</v>
      </c>
      <c r="B801" s="1" t="s">
        <v>3198</v>
      </c>
      <c r="C801" s="4" t="s">
        <v>131</v>
      </c>
      <c r="D801" s="1" t="s">
        <v>2516</v>
      </c>
      <c r="E801" s="4" t="s">
        <v>2517</v>
      </c>
      <c r="F801" s="84">
        <v>99</v>
      </c>
      <c r="G801" s="84">
        <v>93</v>
      </c>
      <c r="H801" s="84">
        <v>85</v>
      </c>
      <c r="I801" s="84">
        <v>69</v>
      </c>
      <c r="J801" s="84">
        <v>56</v>
      </c>
      <c r="K801" s="84">
        <v>59</v>
      </c>
      <c r="L801" s="84">
        <v>74</v>
      </c>
      <c r="M801" s="84">
        <v>68</v>
      </c>
      <c r="N801" s="84">
        <v>57</v>
      </c>
      <c r="O801" s="5">
        <f t="shared" si="50"/>
        <v>461</v>
      </c>
      <c r="P801" s="6">
        <f t="shared" si="51"/>
        <v>24</v>
      </c>
      <c r="Q801" s="5">
        <f t="shared" si="52"/>
        <v>450</v>
      </c>
      <c r="R801" s="5">
        <v>475</v>
      </c>
      <c r="S801" s="5">
        <v>326</v>
      </c>
      <c r="T801" s="5">
        <f t="shared" si="53"/>
        <v>-124</v>
      </c>
    </row>
    <row r="802" spans="1:20">
      <c r="A802" s="1" t="s">
        <v>2518</v>
      </c>
      <c r="B802" s="1" t="s">
        <v>3198</v>
      </c>
      <c r="C802" s="4" t="s">
        <v>131</v>
      </c>
      <c r="D802" s="1" t="s">
        <v>2519</v>
      </c>
      <c r="E802" s="4" t="s">
        <v>2520</v>
      </c>
      <c r="F802" s="84">
        <v>93</v>
      </c>
      <c r="G802" s="84">
        <v>73</v>
      </c>
      <c r="H802" s="84">
        <v>73.5</v>
      </c>
      <c r="I802" s="84">
        <v>60</v>
      </c>
      <c r="J802" s="84">
        <v>65</v>
      </c>
      <c r="K802" s="84">
        <v>69</v>
      </c>
      <c r="L802" s="84">
        <v>78</v>
      </c>
      <c r="M802" s="84">
        <v>73</v>
      </c>
      <c r="N802" s="84">
        <v>61</v>
      </c>
      <c r="O802" s="5">
        <f t="shared" si="50"/>
        <v>433.5</v>
      </c>
      <c r="P802" s="6">
        <f t="shared" si="51"/>
        <v>33</v>
      </c>
      <c r="Q802" s="5">
        <f t="shared" si="52"/>
        <v>607</v>
      </c>
      <c r="R802" s="5">
        <v>457.5</v>
      </c>
      <c r="S802" s="5">
        <v>424</v>
      </c>
      <c r="T802" s="5">
        <f t="shared" si="53"/>
        <v>-183</v>
      </c>
    </row>
    <row r="803" spans="1:20">
      <c r="A803" s="1" t="s">
        <v>1654</v>
      </c>
      <c r="B803" s="1" t="s">
        <v>3198</v>
      </c>
      <c r="C803" s="4" t="s">
        <v>131</v>
      </c>
      <c r="D803" s="1" t="s">
        <v>2522</v>
      </c>
      <c r="E803" s="1" t="s">
        <v>1656</v>
      </c>
      <c r="F803" s="84">
        <v>94</v>
      </c>
      <c r="G803" s="84">
        <v>76</v>
      </c>
      <c r="H803" s="84">
        <v>91.5</v>
      </c>
      <c r="I803" s="84">
        <v>75</v>
      </c>
      <c r="J803" s="84">
        <v>52</v>
      </c>
      <c r="K803" s="84">
        <v>83</v>
      </c>
      <c r="L803" s="84">
        <v>82</v>
      </c>
      <c r="M803" s="84">
        <v>67</v>
      </c>
      <c r="N803" s="84">
        <v>61</v>
      </c>
      <c r="O803" s="5">
        <f t="shared" si="50"/>
        <v>471.5</v>
      </c>
      <c r="P803" s="6">
        <f t="shared" si="51"/>
        <v>21</v>
      </c>
      <c r="Q803" s="5">
        <f t="shared" si="52"/>
        <v>384</v>
      </c>
      <c r="R803" s="5">
        <v>482.5</v>
      </c>
      <c r="S803" s="5">
        <v>294</v>
      </c>
      <c r="T803" s="5">
        <f t="shared" si="53"/>
        <v>-90</v>
      </c>
    </row>
    <row r="804" spans="1:20">
      <c r="A804" s="1" t="s">
        <v>1732</v>
      </c>
      <c r="B804" s="1" t="s">
        <v>3198</v>
      </c>
      <c r="C804" s="4" t="s">
        <v>131</v>
      </c>
      <c r="D804" s="1" t="s">
        <v>2525</v>
      </c>
      <c r="E804" s="4" t="s">
        <v>1734</v>
      </c>
      <c r="F804" s="84">
        <v>107</v>
      </c>
      <c r="G804" s="84">
        <v>83</v>
      </c>
      <c r="H804" s="84">
        <v>112</v>
      </c>
      <c r="I804" s="84">
        <v>78</v>
      </c>
      <c r="J804" s="84">
        <v>61</v>
      </c>
      <c r="K804" s="84">
        <v>72</v>
      </c>
      <c r="L804" s="84">
        <v>62</v>
      </c>
      <c r="M804" s="84">
        <v>71</v>
      </c>
      <c r="N804" s="84">
        <v>51</v>
      </c>
      <c r="O804" s="5">
        <f t="shared" si="50"/>
        <v>513</v>
      </c>
      <c r="P804" s="6">
        <f t="shared" si="51"/>
        <v>4</v>
      </c>
      <c r="Q804" s="5">
        <f t="shared" si="52"/>
        <v>195</v>
      </c>
      <c r="R804" s="5">
        <v>502.5</v>
      </c>
      <c r="S804" s="5">
        <v>197</v>
      </c>
      <c r="T804" s="5">
        <f t="shared" si="53"/>
        <v>2</v>
      </c>
    </row>
    <row r="805" spans="1:20">
      <c r="A805" s="1" t="s">
        <v>2526</v>
      </c>
      <c r="B805" s="1" t="s">
        <v>3198</v>
      </c>
      <c r="C805" s="4" t="s">
        <v>131</v>
      </c>
      <c r="D805" s="1" t="s">
        <v>2527</v>
      </c>
      <c r="E805" s="4" t="s">
        <v>2528</v>
      </c>
      <c r="F805" s="84">
        <v>102</v>
      </c>
      <c r="G805" s="84">
        <v>71</v>
      </c>
      <c r="H805" s="84">
        <v>95</v>
      </c>
      <c r="I805" s="84">
        <v>80</v>
      </c>
      <c r="J805" s="84">
        <v>44</v>
      </c>
      <c r="K805" s="84">
        <v>80</v>
      </c>
      <c r="L805" s="84">
        <v>73</v>
      </c>
      <c r="M805" s="84">
        <v>73</v>
      </c>
      <c r="N805" s="84">
        <v>65</v>
      </c>
      <c r="O805" s="5">
        <f t="shared" si="50"/>
        <v>472</v>
      </c>
      <c r="P805" s="6">
        <f t="shared" si="51"/>
        <v>20</v>
      </c>
      <c r="Q805" s="5">
        <f t="shared" si="52"/>
        <v>381</v>
      </c>
      <c r="R805" s="5">
        <v>474.5</v>
      </c>
      <c r="S805" s="5">
        <v>331</v>
      </c>
      <c r="T805" s="5">
        <f t="shared" si="53"/>
        <v>-50</v>
      </c>
    </row>
    <row r="806" spans="1:20">
      <c r="A806" s="1" t="s">
        <v>2529</v>
      </c>
      <c r="B806" s="1" t="s">
        <v>3198</v>
      </c>
      <c r="C806" s="4" t="s">
        <v>131</v>
      </c>
      <c r="D806" s="1" t="s">
        <v>2530</v>
      </c>
      <c r="E806" s="4" t="s">
        <v>2531</v>
      </c>
      <c r="F806" s="84">
        <v>109</v>
      </c>
      <c r="G806" s="84">
        <v>69</v>
      </c>
      <c r="H806" s="84">
        <v>96.5</v>
      </c>
      <c r="I806" s="84">
        <v>80</v>
      </c>
      <c r="J806" s="84">
        <v>63</v>
      </c>
      <c r="K806" s="84">
        <v>80</v>
      </c>
      <c r="L806" s="84">
        <v>75</v>
      </c>
      <c r="M806" s="84">
        <v>76</v>
      </c>
      <c r="N806" s="84">
        <v>61</v>
      </c>
      <c r="O806" s="5">
        <f t="shared" si="50"/>
        <v>497.5</v>
      </c>
      <c r="P806" s="6">
        <f t="shared" si="51"/>
        <v>10</v>
      </c>
      <c r="Q806" s="5">
        <f t="shared" si="52"/>
        <v>256</v>
      </c>
      <c r="R806" s="5">
        <v>502.5</v>
      </c>
      <c r="S806" s="5">
        <v>197</v>
      </c>
      <c r="T806" s="5">
        <f t="shared" si="53"/>
        <v>-59</v>
      </c>
    </row>
    <row r="807" spans="1:20">
      <c r="A807" s="1" t="s">
        <v>2532</v>
      </c>
      <c r="B807" s="1" t="s">
        <v>3198</v>
      </c>
      <c r="C807" s="4" t="s">
        <v>131</v>
      </c>
      <c r="D807" s="1" t="s">
        <v>2533</v>
      </c>
      <c r="E807" s="1" t="s">
        <v>2534</v>
      </c>
      <c r="F807" s="84">
        <v>100</v>
      </c>
      <c r="G807" s="84">
        <v>83</v>
      </c>
      <c r="H807" s="84">
        <v>70.5</v>
      </c>
      <c r="I807" s="84">
        <v>44</v>
      </c>
      <c r="J807" s="84">
        <v>60</v>
      </c>
      <c r="K807" s="84">
        <v>58</v>
      </c>
      <c r="L807" s="84">
        <v>73</v>
      </c>
      <c r="M807" s="84">
        <v>63</v>
      </c>
      <c r="N807" s="84">
        <v>63</v>
      </c>
      <c r="O807" s="5">
        <f t="shared" si="50"/>
        <v>415.5</v>
      </c>
      <c r="P807" s="6">
        <f t="shared" si="51"/>
        <v>40</v>
      </c>
      <c r="Q807" s="5">
        <f t="shared" si="52"/>
        <v>688</v>
      </c>
      <c r="R807" s="5">
        <v>401.5</v>
      </c>
      <c r="S807" s="5">
        <v>722</v>
      </c>
      <c r="T807" s="5">
        <f t="shared" si="53"/>
        <v>34</v>
      </c>
    </row>
    <row r="808" spans="1:20">
      <c r="A808" s="1" t="s">
        <v>2535</v>
      </c>
      <c r="B808" s="1" t="s">
        <v>3198</v>
      </c>
      <c r="C808" s="4" t="s">
        <v>131</v>
      </c>
      <c r="D808" s="1" t="s">
        <v>2536</v>
      </c>
      <c r="E808" s="4" t="s">
        <v>2537</v>
      </c>
      <c r="F808" s="84">
        <v>83</v>
      </c>
      <c r="G808" s="84">
        <v>67</v>
      </c>
      <c r="H808" s="84">
        <v>84.5</v>
      </c>
      <c r="I808" s="84">
        <v>89</v>
      </c>
      <c r="J808" s="84">
        <v>67</v>
      </c>
      <c r="K808" s="84">
        <v>59</v>
      </c>
      <c r="L808" s="84">
        <v>62</v>
      </c>
      <c r="M808" s="84">
        <v>55</v>
      </c>
      <c r="N808" s="84">
        <v>60</v>
      </c>
      <c r="O808" s="5">
        <f t="shared" si="50"/>
        <v>449.5</v>
      </c>
      <c r="P808" s="6">
        <f t="shared" si="51"/>
        <v>27</v>
      </c>
      <c r="Q808" s="5">
        <f t="shared" si="52"/>
        <v>516</v>
      </c>
      <c r="R808" s="5">
        <v>372</v>
      </c>
      <c r="S808" s="5">
        <v>832</v>
      </c>
      <c r="T808" s="5">
        <f t="shared" si="53"/>
        <v>316</v>
      </c>
    </row>
    <row r="809" spans="1:20">
      <c r="A809" s="1" t="s">
        <v>2538</v>
      </c>
      <c r="B809" s="1" t="s">
        <v>3198</v>
      </c>
      <c r="C809" s="4" t="s">
        <v>131</v>
      </c>
      <c r="D809" s="1" t="s">
        <v>2539</v>
      </c>
      <c r="E809" s="4" t="s">
        <v>3295</v>
      </c>
      <c r="F809" s="84">
        <v>95</v>
      </c>
      <c r="G809" s="84">
        <v>65</v>
      </c>
      <c r="H809" s="84">
        <v>93.5</v>
      </c>
      <c r="I809" s="84">
        <v>56</v>
      </c>
      <c r="J809" s="84">
        <v>56</v>
      </c>
      <c r="K809" s="84">
        <v>74</v>
      </c>
      <c r="L809" s="84">
        <v>69</v>
      </c>
      <c r="M809" s="84">
        <v>68</v>
      </c>
      <c r="N809" s="84">
        <v>59</v>
      </c>
      <c r="O809" s="5">
        <f t="shared" si="50"/>
        <v>439.5</v>
      </c>
      <c r="P809" s="6">
        <f t="shared" si="51"/>
        <v>30</v>
      </c>
      <c r="Q809" s="5">
        <f t="shared" si="52"/>
        <v>572</v>
      </c>
      <c r="R809" s="5">
        <v>488</v>
      </c>
      <c r="S809" s="5">
        <v>269</v>
      </c>
      <c r="T809" s="5">
        <f t="shared" si="53"/>
        <v>-303</v>
      </c>
    </row>
    <row r="810" spans="1:20">
      <c r="A810" s="1" t="s">
        <v>1746</v>
      </c>
      <c r="B810" s="1" t="s">
        <v>3198</v>
      </c>
      <c r="C810" s="4" t="s">
        <v>131</v>
      </c>
      <c r="D810" s="1" t="s">
        <v>2541</v>
      </c>
      <c r="E810" s="4" t="s">
        <v>1748</v>
      </c>
      <c r="F810" s="84">
        <v>99</v>
      </c>
      <c r="G810" s="84">
        <v>106</v>
      </c>
      <c r="H810" s="84">
        <v>109</v>
      </c>
      <c r="I810" s="84">
        <v>67</v>
      </c>
      <c r="J810" s="84">
        <v>60</v>
      </c>
      <c r="K810" s="84">
        <v>73</v>
      </c>
      <c r="L810" s="84">
        <v>62</v>
      </c>
      <c r="M810" s="84">
        <v>61</v>
      </c>
      <c r="N810" s="84">
        <v>46</v>
      </c>
      <c r="O810" s="5">
        <f t="shared" si="50"/>
        <v>514</v>
      </c>
      <c r="P810" s="6">
        <f t="shared" si="51"/>
        <v>3</v>
      </c>
      <c r="Q810" s="5">
        <f t="shared" si="52"/>
        <v>190</v>
      </c>
      <c r="R810" s="5">
        <v>508.5</v>
      </c>
      <c r="S810" s="5">
        <v>173</v>
      </c>
      <c r="T810" s="5">
        <f t="shared" si="53"/>
        <v>-17</v>
      </c>
    </row>
    <row r="811" spans="1:20">
      <c r="A811" s="1" t="s">
        <v>2542</v>
      </c>
      <c r="B811" s="1" t="s">
        <v>3198</v>
      </c>
      <c r="C811" s="4" t="s">
        <v>131</v>
      </c>
      <c r="D811" s="1" t="s">
        <v>2543</v>
      </c>
      <c r="E811" s="4" t="s">
        <v>2544</v>
      </c>
      <c r="F811" s="84">
        <v>70</v>
      </c>
      <c r="G811" s="84">
        <v>98</v>
      </c>
      <c r="H811" s="84">
        <v>100</v>
      </c>
      <c r="I811" s="84">
        <v>55</v>
      </c>
      <c r="J811" s="84">
        <v>51</v>
      </c>
      <c r="K811" s="84">
        <v>63</v>
      </c>
      <c r="L811" s="84">
        <v>57</v>
      </c>
      <c r="M811" s="84">
        <v>61</v>
      </c>
      <c r="N811" s="84">
        <v>45</v>
      </c>
      <c r="O811" s="5">
        <f t="shared" si="50"/>
        <v>437</v>
      </c>
      <c r="P811" s="6">
        <f t="shared" si="51"/>
        <v>32</v>
      </c>
      <c r="Q811" s="5">
        <f t="shared" si="52"/>
        <v>588</v>
      </c>
      <c r="R811" s="5">
        <v>427.5</v>
      </c>
      <c r="S811" s="5">
        <v>589</v>
      </c>
      <c r="T811" s="5">
        <f t="shared" si="53"/>
        <v>1</v>
      </c>
    </row>
    <row r="812" spans="1:20">
      <c r="A812" s="1" t="s">
        <v>2545</v>
      </c>
      <c r="B812" s="1" t="s">
        <v>3198</v>
      </c>
      <c r="C812" s="4" t="s">
        <v>131</v>
      </c>
      <c r="D812" s="1" t="s">
        <v>2546</v>
      </c>
      <c r="E812" s="4" t="s">
        <v>2547</v>
      </c>
      <c r="F812" s="84">
        <v>98</v>
      </c>
      <c r="G812" s="84">
        <v>75</v>
      </c>
      <c r="H812" s="84">
        <v>97.5</v>
      </c>
      <c r="I812" s="84">
        <v>54</v>
      </c>
      <c r="J812" s="84">
        <v>41</v>
      </c>
      <c r="K812" s="84">
        <v>50</v>
      </c>
      <c r="L812" s="84">
        <v>63</v>
      </c>
      <c r="M812" s="84">
        <v>64</v>
      </c>
      <c r="N812" s="84">
        <v>41</v>
      </c>
      <c r="O812" s="5">
        <f t="shared" si="50"/>
        <v>415.5</v>
      </c>
      <c r="P812" s="6">
        <f t="shared" si="51"/>
        <v>40</v>
      </c>
      <c r="Q812" s="5">
        <f t="shared" si="52"/>
        <v>688</v>
      </c>
      <c r="R812" s="5">
        <v>385</v>
      </c>
      <c r="S812" s="5">
        <v>787</v>
      </c>
      <c r="T812" s="5">
        <f t="shared" si="53"/>
        <v>99</v>
      </c>
    </row>
    <row r="813" spans="1:20">
      <c r="A813" s="1" t="s">
        <v>1623</v>
      </c>
      <c r="B813" s="1" t="s">
        <v>3198</v>
      </c>
      <c r="C813" s="4" t="s">
        <v>131</v>
      </c>
      <c r="D813" s="1" t="s">
        <v>2549</v>
      </c>
      <c r="E813" s="4" t="s">
        <v>1625</v>
      </c>
      <c r="F813" s="84">
        <v>104</v>
      </c>
      <c r="G813" s="84">
        <v>79</v>
      </c>
      <c r="H813" s="84">
        <v>91.5</v>
      </c>
      <c r="I813" s="84">
        <v>74</v>
      </c>
      <c r="J813" s="84">
        <v>52</v>
      </c>
      <c r="K813" s="84">
        <v>64</v>
      </c>
      <c r="L813" s="84">
        <v>65</v>
      </c>
      <c r="M813" s="84">
        <v>68</v>
      </c>
      <c r="N813" s="84">
        <v>49</v>
      </c>
      <c r="O813" s="5">
        <f t="shared" si="50"/>
        <v>464.5</v>
      </c>
      <c r="P813" s="6">
        <f t="shared" si="51"/>
        <v>23</v>
      </c>
      <c r="Q813" s="5">
        <f t="shared" si="52"/>
        <v>424</v>
      </c>
      <c r="R813" s="5">
        <v>490.5</v>
      </c>
      <c r="S813" s="5">
        <v>256</v>
      </c>
      <c r="T813" s="5">
        <f t="shared" si="53"/>
        <v>-168</v>
      </c>
    </row>
    <row r="814" spans="1:20">
      <c r="A814" s="1" t="s">
        <v>2551</v>
      </c>
      <c r="B814" s="1" t="s">
        <v>3198</v>
      </c>
      <c r="C814" s="4" t="s">
        <v>131</v>
      </c>
      <c r="D814" s="1" t="s">
        <v>2552</v>
      </c>
      <c r="E814" s="4" t="s">
        <v>2553</v>
      </c>
      <c r="F814" s="84">
        <v>112</v>
      </c>
      <c r="G814" s="84">
        <v>67</v>
      </c>
      <c r="H814" s="84">
        <v>90.5</v>
      </c>
      <c r="I814" s="84">
        <v>63</v>
      </c>
      <c r="J814" s="84">
        <v>56</v>
      </c>
      <c r="K814" s="84">
        <v>65</v>
      </c>
      <c r="L814" s="84">
        <v>71</v>
      </c>
      <c r="M814" s="84">
        <v>69</v>
      </c>
      <c r="N814" s="84">
        <v>70</v>
      </c>
      <c r="O814" s="5">
        <f t="shared" si="50"/>
        <v>453.5</v>
      </c>
      <c r="P814" s="6">
        <f t="shared" si="51"/>
        <v>26</v>
      </c>
      <c r="Q814" s="5">
        <f t="shared" si="52"/>
        <v>491</v>
      </c>
      <c r="R814" s="5">
        <v>415.5</v>
      </c>
      <c r="S814" s="5">
        <v>658</v>
      </c>
      <c r="T814" s="5">
        <f t="shared" si="53"/>
        <v>167</v>
      </c>
    </row>
    <row r="815" spans="1:20">
      <c r="A815" s="1" t="s">
        <v>2554</v>
      </c>
      <c r="B815" s="1" t="s">
        <v>3198</v>
      </c>
      <c r="C815" s="4" t="s">
        <v>131</v>
      </c>
      <c r="D815" s="1" t="s">
        <v>2555</v>
      </c>
      <c r="E815" s="4" t="s">
        <v>2556</v>
      </c>
      <c r="F815" s="84">
        <v>111</v>
      </c>
      <c r="G815" s="84">
        <v>57</v>
      </c>
      <c r="H815" s="84">
        <v>78</v>
      </c>
      <c r="I815" s="84">
        <v>74</v>
      </c>
      <c r="J815" s="84">
        <v>46</v>
      </c>
      <c r="K815" s="84">
        <v>72</v>
      </c>
      <c r="L815" s="84">
        <v>74</v>
      </c>
      <c r="M815" s="84">
        <v>70</v>
      </c>
      <c r="N815" s="84">
        <v>53</v>
      </c>
      <c r="O815" s="5">
        <f t="shared" si="50"/>
        <v>438</v>
      </c>
      <c r="P815" s="6">
        <f t="shared" si="51"/>
        <v>31</v>
      </c>
      <c r="Q815" s="5">
        <f t="shared" si="52"/>
        <v>579</v>
      </c>
      <c r="R815" s="5">
        <v>386.5</v>
      </c>
      <c r="S815" s="5">
        <v>778</v>
      </c>
      <c r="T815" s="5">
        <f t="shared" si="53"/>
        <v>199</v>
      </c>
    </row>
    <row r="816" spans="1:20">
      <c r="A816" s="1" t="s">
        <v>2557</v>
      </c>
      <c r="B816" s="1" t="s">
        <v>3198</v>
      </c>
      <c r="C816" s="4" t="s">
        <v>131</v>
      </c>
      <c r="D816" s="1" t="s">
        <v>2558</v>
      </c>
      <c r="E816" s="4" t="s">
        <v>2559</v>
      </c>
      <c r="F816" s="84">
        <v>100</v>
      </c>
      <c r="G816" s="84">
        <v>83</v>
      </c>
      <c r="H816" s="84">
        <v>98.5</v>
      </c>
      <c r="I816" s="84">
        <v>90</v>
      </c>
      <c r="J816" s="84">
        <v>62</v>
      </c>
      <c r="K816" s="84">
        <v>81</v>
      </c>
      <c r="L816" s="84">
        <v>71</v>
      </c>
      <c r="M816" s="84">
        <v>70</v>
      </c>
      <c r="N816" s="84">
        <v>68</v>
      </c>
      <c r="O816" s="5">
        <f t="shared" si="50"/>
        <v>514.5</v>
      </c>
      <c r="P816" s="6">
        <f t="shared" si="51"/>
        <v>2</v>
      </c>
      <c r="Q816" s="5">
        <f t="shared" si="52"/>
        <v>188</v>
      </c>
      <c r="R816" s="5">
        <v>507</v>
      </c>
      <c r="S816" s="5">
        <v>181</v>
      </c>
      <c r="T816" s="5">
        <f t="shared" si="53"/>
        <v>-7</v>
      </c>
    </row>
    <row r="817" spans="1:20">
      <c r="A817" s="1" t="s">
        <v>2560</v>
      </c>
      <c r="B817" s="1" t="s">
        <v>3198</v>
      </c>
      <c r="C817" s="4" t="s">
        <v>131</v>
      </c>
      <c r="D817" s="1" t="s">
        <v>2561</v>
      </c>
      <c r="E817" s="4" t="s">
        <v>2562</v>
      </c>
      <c r="F817" s="84">
        <v>98</v>
      </c>
      <c r="G817" s="84">
        <v>48</v>
      </c>
      <c r="H817" s="84">
        <v>75.5</v>
      </c>
      <c r="I817" s="84">
        <v>34</v>
      </c>
      <c r="J817" s="84">
        <v>20</v>
      </c>
      <c r="K817" s="84">
        <v>49</v>
      </c>
      <c r="L817" s="84">
        <v>59</v>
      </c>
      <c r="M817" s="84">
        <v>60</v>
      </c>
      <c r="N817" s="84">
        <v>37</v>
      </c>
      <c r="O817" s="5">
        <f t="shared" si="50"/>
        <v>324.5</v>
      </c>
      <c r="P817" s="6">
        <f t="shared" si="51"/>
        <v>54</v>
      </c>
      <c r="Q817" s="5">
        <f t="shared" si="52"/>
        <v>917</v>
      </c>
      <c r="R817" s="5">
        <v>316</v>
      </c>
      <c r="S817" s="5">
        <v>918</v>
      </c>
      <c r="T817" s="5">
        <f t="shared" si="53"/>
        <v>1</v>
      </c>
    </row>
    <row r="818" spans="1:20">
      <c r="A818" s="1" t="s">
        <v>2564</v>
      </c>
      <c r="B818" s="1" t="s">
        <v>3198</v>
      </c>
      <c r="C818" s="4" t="s">
        <v>131</v>
      </c>
      <c r="D818" s="1" t="s">
        <v>2565</v>
      </c>
      <c r="E818" s="4" t="s">
        <v>2566</v>
      </c>
      <c r="F818" s="84">
        <v>100</v>
      </c>
      <c r="G818" s="84">
        <v>51</v>
      </c>
      <c r="H818" s="84">
        <v>62.5</v>
      </c>
      <c r="I818" s="84">
        <v>47</v>
      </c>
      <c r="J818" s="84">
        <v>43</v>
      </c>
      <c r="K818" s="84">
        <v>43</v>
      </c>
      <c r="L818" s="84">
        <v>61</v>
      </c>
      <c r="M818" s="84">
        <v>66</v>
      </c>
      <c r="N818" s="84">
        <v>57</v>
      </c>
      <c r="O818" s="5">
        <f t="shared" si="50"/>
        <v>346.5</v>
      </c>
      <c r="P818" s="6">
        <f t="shared" si="51"/>
        <v>51</v>
      </c>
      <c r="Q818" s="5">
        <f t="shared" si="52"/>
        <v>897</v>
      </c>
      <c r="R818" s="5">
        <v>312.5</v>
      </c>
      <c r="S818" s="5">
        <v>921</v>
      </c>
      <c r="T818" s="5">
        <f t="shared" si="53"/>
        <v>24</v>
      </c>
    </row>
    <row r="819" spans="1:20">
      <c r="A819" s="1" t="s">
        <v>2567</v>
      </c>
      <c r="B819" s="1" t="s">
        <v>3198</v>
      </c>
      <c r="C819" s="4" t="s">
        <v>131</v>
      </c>
      <c r="D819" s="1" t="s">
        <v>2568</v>
      </c>
      <c r="E819" s="4" t="s">
        <v>2569</v>
      </c>
      <c r="F819" s="84">
        <v>104</v>
      </c>
      <c r="G819" s="84">
        <v>56</v>
      </c>
      <c r="H819" s="84">
        <v>94</v>
      </c>
      <c r="I819" s="84">
        <v>58</v>
      </c>
      <c r="J819" s="84">
        <v>44</v>
      </c>
      <c r="K819" s="84">
        <v>57</v>
      </c>
      <c r="L819" s="84">
        <v>79</v>
      </c>
      <c r="M819" s="84">
        <v>75</v>
      </c>
      <c r="N819" s="84">
        <v>53</v>
      </c>
      <c r="O819" s="5">
        <f t="shared" si="50"/>
        <v>413</v>
      </c>
      <c r="P819" s="6">
        <f t="shared" si="51"/>
        <v>43</v>
      </c>
      <c r="Q819" s="5">
        <f t="shared" si="52"/>
        <v>704</v>
      </c>
      <c r="R819" s="5">
        <v>400.5</v>
      </c>
      <c r="S819" s="5">
        <v>726</v>
      </c>
      <c r="T819" s="5">
        <f t="shared" si="53"/>
        <v>22</v>
      </c>
    </row>
    <row r="820" spans="1:20">
      <c r="A820" s="1" t="s">
        <v>2570</v>
      </c>
      <c r="B820" s="1" t="s">
        <v>3198</v>
      </c>
      <c r="C820" s="4" t="s">
        <v>131</v>
      </c>
      <c r="D820" s="1" t="s">
        <v>2571</v>
      </c>
      <c r="E820" s="4" t="s">
        <v>2572</v>
      </c>
      <c r="F820" s="84">
        <v>101</v>
      </c>
      <c r="G820" s="84">
        <v>95</v>
      </c>
      <c r="H820" s="84">
        <v>81.5</v>
      </c>
      <c r="I820" s="84">
        <v>82</v>
      </c>
      <c r="J820" s="84">
        <v>72</v>
      </c>
      <c r="K820" s="84">
        <v>77</v>
      </c>
      <c r="L820" s="84">
        <v>62</v>
      </c>
      <c r="M820" s="84">
        <v>73</v>
      </c>
      <c r="N820" s="84">
        <v>57</v>
      </c>
      <c r="O820" s="5">
        <f t="shared" si="50"/>
        <v>508.5</v>
      </c>
      <c r="P820" s="6">
        <f t="shared" si="51"/>
        <v>5</v>
      </c>
      <c r="Q820" s="5">
        <f t="shared" si="52"/>
        <v>211</v>
      </c>
      <c r="R820" s="5">
        <v>496.5</v>
      </c>
      <c r="S820" s="5">
        <v>227</v>
      </c>
      <c r="T820" s="5">
        <f t="shared" si="53"/>
        <v>16</v>
      </c>
    </row>
    <row r="821" spans="1:20">
      <c r="A821" s="1" t="s">
        <v>2573</v>
      </c>
      <c r="B821" s="1" t="s">
        <v>3198</v>
      </c>
      <c r="C821" s="4" t="s">
        <v>131</v>
      </c>
      <c r="D821" s="1" t="s">
        <v>2574</v>
      </c>
      <c r="E821" s="4" t="s">
        <v>2575</v>
      </c>
      <c r="F821" s="84">
        <v>84</v>
      </c>
      <c r="G821" s="84">
        <v>107</v>
      </c>
      <c r="H821" s="84">
        <v>74.5</v>
      </c>
      <c r="I821" s="84">
        <v>105</v>
      </c>
      <c r="J821" s="84">
        <v>64</v>
      </c>
      <c r="K821" s="84">
        <v>70</v>
      </c>
      <c r="L821" s="84">
        <v>61</v>
      </c>
      <c r="M821" s="84">
        <v>78</v>
      </c>
      <c r="N821" s="84">
        <v>52</v>
      </c>
      <c r="O821" s="5">
        <f t="shared" si="50"/>
        <v>504.5</v>
      </c>
      <c r="P821" s="6">
        <f t="shared" si="51"/>
        <v>6</v>
      </c>
      <c r="Q821" s="5">
        <f t="shared" si="52"/>
        <v>226</v>
      </c>
      <c r="R821" s="5">
        <v>512</v>
      </c>
      <c r="S821" s="5">
        <v>162</v>
      </c>
      <c r="T821" s="5">
        <f t="shared" si="53"/>
        <v>-64</v>
      </c>
    </row>
    <row r="822" spans="1:20">
      <c r="A822" s="1" t="s">
        <v>2576</v>
      </c>
      <c r="B822" s="1" t="s">
        <v>3198</v>
      </c>
      <c r="C822" s="4" t="s">
        <v>131</v>
      </c>
      <c r="D822" s="1" t="s">
        <v>2577</v>
      </c>
      <c r="E822" s="4" t="s">
        <v>2578</v>
      </c>
      <c r="F822" s="84">
        <v>83</v>
      </c>
      <c r="G822" s="84">
        <v>67</v>
      </c>
      <c r="H822" s="84">
        <v>70.5</v>
      </c>
      <c r="I822" s="84">
        <v>99</v>
      </c>
      <c r="J822" s="84">
        <v>54</v>
      </c>
      <c r="K822" s="84">
        <v>71</v>
      </c>
      <c r="L822" s="84">
        <v>72</v>
      </c>
      <c r="M822" s="84">
        <v>80</v>
      </c>
      <c r="N822" s="84">
        <v>75</v>
      </c>
      <c r="O822" s="5">
        <f t="shared" si="50"/>
        <v>444.5</v>
      </c>
      <c r="P822" s="6">
        <f t="shared" si="51"/>
        <v>29</v>
      </c>
      <c r="Q822" s="5">
        <f t="shared" si="52"/>
        <v>549</v>
      </c>
      <c r="R822" s="5">
        <v>426.5</v>
      </c>
      <c r="S822" s="5">
        <v>595</v>
      </c>
      <c r="T822" s="5">
        <f t="shared" si="53"/>
        <v>46</v>
      </c>
    </row>
    <row r="823" spans="1:20">
      <c r="A823" s="1" t="s">
        <v>2579</v>
      </c>
      <c r="B823" s="1" t="s">
        <v>3198</v>
      </c>
      <c r="C823" s="4" t="s">
        <v>131</v>
      </c>
      <c r="D823" s="1" t="s">
        <v>2580</v>
      </c>
      <c r="E823" s="4" t="s">
        <v>2581</v>
      </c>
      <c r="F823" s="84">
        <v>92</v>
      </c>
      <c r="G823" s="84">
        <v>72</v>
      </c>
      <c r="H823" s="84">
        <v>87.5</v>
      </c>
      <c r="I823" s="84">
        <v>41</v>
      </c>
      <c r="J823" s="84">
        <v>39</v>
      </c>
      <c r="K823" s="84">
        <v>72</v>
      </c>
      <c r="L823" s="84">
        <v>73</v>
      </c>
      <c r="M823" s="84">
        <v>69</v>
      </c>
      <c r="N823" s="84">
        <v>48</v>
      </c>
      <c r="O823" s="5">
        <f t="shared" si="50"/>
        <v>403.5</v>
      </c>
      <c r="P823" s="6">
        <f t="shared" si="51"/>
        <v>44</v>
      </c>
      <c r="Q823" s="5">
        <f t="shared" si="52"/>
        <v>749</v>
      </c>
      <c r="R823" s="5">
        <v>379</v>
      </c>
      <c r="S823" s="5">
        <v>809</v>
      </c>
      <c r="T823" s="5">
        <f t="shared" si="53"/>
        <v>60</v>
      </c>
    </row>
    <row r="824" spans="1:20">
      <c r="A824" s="1" t="s">
        <v>2582</v>
      </c>
      <c r="B824" s="1" t="s">
        <v>3198</v>
      </c>
      <c r="C824" s="4" t="s">
        <v>131</v>
      </c>
      <c r="D824" s="1" t="s">
        <v>2583</v>
      </c>
      <c r="E824" s="4" t="s">
        <v>2584</v>
      </c>
      <c r="F824" s="84">
        <v>91</v>
      </c>
      <c r="G824" s="84">
        <v>37</v>
      </c>
      <c r="H824" s="84">
        <v>68</v>
      </c>
      <c r="I824" s="84">
        <v>44</v>
      </c>
      <c r="J824" s="84">
        <v>40</v>
      </c>
      <c r="K824" s="84">
        <v>54</v>
      </c>
      <c r="L824" s="84">
        <v>78</v>
      </c>
      <c r="M824" s="84">
        <v>71</v>
      </c>
      <c r="N824" s="84">
        <v>64</v>
      </c>
      <c r="O824" s="5">
        <f t="shared" si="50"/>
        <v>334</v>
      </c>
      <c r="P824" s="6">
        <f t="shared" si="51"/>
        <v>53</v>
      </c>
      <c r="Q824" s="5">
        <f t="shared" si="52"/>
        <v>912</v>
      </c>
      <c r="R824" s="5">
        <v>367</v>
      </c>
      <c r="S824" s="5">
        <v>847</v>
      </c>
      <c r="T824" s="5">
        <f t="shared" si="53"/>
        <v>-65</v>
      </c>
    </row>
    <row r="825" spans="1:20">
      <c r="A825" s="1" t="s">
        <v>2585</v>
      </c>
      <c r="B825" s="1" t="s">
        <v>3198</v>
      </c>
      <c r="C825" s="4" t="s">
        <v>49</v>
      </c>
      <c r="D825" s="1" t="s">
        <v>2586</v>
      </c>
      <c r="E825" s="4" t="s">
        <v>2587</v>
      </c>
      <c r="F825" s="84">
        <v>97</v>
      </c>
      <c r="G825" s="84">
        <v>86</v>
      </c>
      <c r="H825" s="84">
        <v>86.5</v>
      </c>
      <c r="I825" s="84">
        <v>52</v>
      </c>
      <c r="J825" s="84">
        <v>38</v>
      </c>
      <c r="K825" s="84">
        <v>52</v>
      </c>
      <c r="L825" s="84">
        <v>65</v>
      </c>
      <c r="M825" s="84">
        <v>62</v>
      </c>
      <c r="N825" s="84">
        <v>41</v>
      </c>
      <c r="O825" s="5">
        <f t="shared" si="50"/>
        <v>411.5</v>
      </c>
      <c r="P825" s="6">
        <f>RANK(O825,$O$825:$O$880)</f>
        <v>40</v>
      </c>
      <c r="Q825" s="5">
        <f t="shared" si="52"/>
        <v>713</v>
      </c>
      <c r="R825" s="5">
        <v>405.5</v>
      </c>
      <c r="S825" s="5">
        <v>701</v>
      </c>
      <c r="T825" s="5">
        <f t="shared" si="53"/>
        <v>-12</v>
      </c>
    </row>
    <row r="826" spans="1:20">
      <c r="A826" s="1" t="s">
        <v>2588</v>
      </c>
      <c r="B826" s="1" t="s">
        <v>3198</v>
      </c>
      <c r="C826" s="4" t="s">
        <v>49</v>
      </c>
      <c r="D826" s="1" t="s">
        <v>2589</v>
      </c>
      <c r="E826" s="4" t="s">
        <v>206</v>
      </c>
      <c r="F826" s="84">
        <v>93</v>
      </c>
      <c r="G826" s="84">
        <v>92</v>
      </c>
      <c r="H826" s="84">
        <v>118.5</v>
      </c>
      <c r="I826" s="84">
        <v>79</v>
      </c>
      <c r="J826" s="84">
        <v>58</v>
      </c>
      <c r="K826" s="84">
        <v>66</v>
      </c>
      <c r="L826" s="84">
        <v>57</v>
      </c>
      <c r="M826" s="84">
        <v>47</v>
      </c>
      <c r="N826" s="84">
        <v>42</v>
      </c>
      <c r="O826" s="5">
        <f t="shared" si="50"/>
        <v>506.5</v>
      </c>
      <c r="P826" s="6">
        <f t="shared" ref="P826:P880" si="54">RANK(O826,$O$825:$O$880)</f>
        <v>15</v>
      </c>
      <c r="Q826" s="5">
        <f t="shared" si="52"/>
        <v>217</v>
      </c>
      <c r="R826" s="5">
        <v>506.5</v>
      </c>
      <c r="S826" s="5">
        <v>184</v>
      </c>
      <c r="T826" s="5">
        <f t="shared" si="53"/>
        <v>-33</v>
      </c>
    </row>
    <row r="827" spans="1:20">
      <c r="A827" s="1" t="s">
        <v>2590</v>
      </c>
      <c r="B827" s="1" t="s">
        <v>3198</v>
      </c>
      <c r="C827" s="4" t="s">
        <v>49</v>
      </c>
      <c r="D827" s="1" t="s">
        <v>2591</v>
      </c>
      <c r="E827" s="4" t="s">
        <v>2592</v>
      </c>
      <c r="F827" s="84">
        <v>100</v>
      </c>
      <c r="G827" s="84">
        <v>51</v>
      </c>
      <c r="H827" s="84">
        <v>100.5</v>
      </c>
      <c r="I827" s="84">
        <v>64</v>
      </c>
      <c r="J827" s="84">
        <v>48</v>
      </c>
      <c r="K827" s="84">
        <v>66</v>
      </c>
      <c r="L827" s="84">
        <v>65</v>
      </c>
      <c r="M827" s="84">
        <v>65</v>
      </c>
      <c r="N827" s="84">
        <v>39</v>
      </c>
      <c r="O827" s="5">
        <f t="shared" si="50"/>
        <v>429.5</v>
      </c>
      <c r="P827" s="6">
        <f t="shared" si="54"/>
        <v>37</v>
      </c>
      <c r="Q827" s="5">
        <f t="shared" si="52"/>
        <v>626</v>
      </c>
      <c r="R827" s="5">
        <v>424</v>
      </c>
      <c r="S827" s="5">
        <v>612</v>
      </c>
      <c r="T827" s="5">
        <f t="shared" si="53"/>
        <v>-14</v>
      </c>
    </row>
    <row r="828" spans="1:20">
      <c r="A828" s="1" t="s">
        <v>2593</v>
      </c>
      <c r="B828" s="1" t="s">
        <v>3198</v>
      </c>
      <c r="C828" s="4" t="s">
        <v>49</v>
      </c>
      <c r="D828" s="1" t="s">
        <v>2594</v>
      </c>
      <c r="E828" s="4" t="s">
        <v>2595</v>
      </c>
      <c r="F828" s="84">
        <v>101</v>
      </c>
      <c r="G828" s="84">
        <v>64</v>
      </c>
      <c r="H828" s="84">
        <v>87.5</v>
      </c>
      <c r="I828" s="84">
        <v>55</v>
      </c>
      <c r="J828" s="84">
        <v>55</v>
      </c>
      <c r="K828" s="84">
        <v>73</v>
      </c>
      <c r="L828" s="84">
        <v>70</v>
      </c>
      <c r="M828" s="84">
        <v>73</v>
      </c>
      <c r="N828" s="84">
        <v>58</v>
      </c>
      <c r="O828" s="5">
        <f t="shared" si="50"/>
        <v>435.5</v>
      </c>
      <c r="P828" s="6">
        <f t="shared" si="54"/>
        <v>35</v>
      </c>
      <c r="Q828" s="5">
        <f t="shared" si="52"/>
        <v>595</v>
      </c>
      <c r="R828" s="5">
        <v>445.5</v>
      </c>
      <c r="S828" s="5">
        <v>495</v>
      </c>
      <c r="T828" s="5">
        <f t="shared" si="53"/>
        <v>-100</v>
      </c>
    </row>
    <row r="829" spans="1:20">
      <c r="A829" s="1" t="s">
        <v>2596</v>
      </c>
      <c r="B829" s="1" t="s">
        <v>3198</v>
      </c>
      <c r="C829" s="4" t="s">
        <v>49</v>
      </c>
      <c r="D829" s="1" t="s">
        <v>2597</v>
      </c>
      <c r="E829" s="4" t="s">
        <v>2598</v>
      </c>
      <c r="F829" s="84">
        <v>76</v>
      </c>
      <c r="G829" s="84">
        <v>59</v>
      </c>
      <c r="H829" s="84">
        <v>76.5</v>
      </c>
      <c r="I829" s="84">
        <v>61</v>
      </c>
      <c r="J829" s="84">
        <v>57</v>
      </c>
      <c r="K829" s="84">
        <v>44</v>
      </c>
      <c r="L829" s="84">
        <v>63</v>
      </c>
      <c r="M829" s="84">
        <v>55</v>
      </c>
      <c r="N829" s="84">
        <v>36</v>
      </c>
      <c r="O829" s="5">
        <f t="shared" si="50"/>
        <v>373.5</v>
      </c>
      <c r="P829" s="6">
        <f t="shared" si="54"/>
        <v>47</v>
      </c>
      <c r="Q829" s="5">
        <f t="shared" si="52"/>
        <v>851</v>
      </c>
      <c r="R829" s="5">
        <v>432</v>
      </c>
      <c r="S829" s="5">
        <v>566</v>
      </c>
      <c r="T829" s="5">
        <f t="shared" si="53"/>
        <v>-285</v>
      </c>
    </row>
    <row r="830" spans="1:20">
      <c r="A830" s="1" t="s">
        <v>2599</v>
      </c>
      <c r="B830" s="1" t="s">
        <v>3198</v>
      </c>
      <c r="C830" s="4" t="s">
        <v>49</v>
      </c>
      <c r="D830" s="1" t="s">
        <v>2600</v>
      </c>
      <c r="E830" s="4" t="s">
        <v>2601</v>
      </c>
      <c r="F830" s="84">
        <v>105</v>
      </c>
      <c r="G830" s="84">
        <v>80</v>
      </c>
      <c r="H830" s="84">
        <v>88</v>
      </c>
      <c r="I830" s="84">
        <v>70</v>
      </c>
      <c r="J830" s="84">
        <v>57</v>
      </c>
      <c r="K830" s="84">
        <v>65</v>
      </c>
      <c r="L830" s="84">
        <v>69</v>
      </c>
      <c r="M830" s="84">
        <v>59</v>
      </c>
      <c r="N830" s="84">
        <v>46</v>
      </c>
      <c r="O830" s="5">
        <f t="shared" si="50"/>
        <v>465</v>
      </c>
      <c r="P830" s="6">
        <f t="shared" si="54"/>
        <v>24</v>
      </c>
      <c r="Q830" s="5">
        <f t="shared" si="52"/>
        <v>422</v>
      </c>
      <c r="R830" s="5">
        <v>479.5</v>
      </c>
      <c r="S830" s="5">
        <v>310</v>
      </c>
      <c r="T830" s="5">
        <f t="shared" si="53"/>
        <v>-112</v>
      </c>
    </row>
    <row r="831" spans="1:20">
      <c r="A831" s="1" t="s">
        <v>2604</v>
      </c>
      <c r="B831" s="1" t="s">
        <v>3198</v>
      </c>
      <c r="C831" s="4" t="s">
        <v>49</v>
      </c>
      <c r="D831" s="1" t="s">
        <v>3332</v>
      </c>
      <c r="E831" s="4" t="s">
        <v>2606</v>
      </c>
      <c r="F831" s="84">
        <v>99</v>
      </c>
      <c r="G831" s="84">
        <v>101</v>
      </c>
      <c r="H831" s="84">
        <v>92</v>
      </c>
      <c r="I831" s="84">
        <v>89</v>
      </c>
      <c r="J831" s="84">
        <v>73</v>
      </c>
      <c r="K831" s="84">
        <v>85</v>
      </c>
      <c r="L831" s="84">
        <v>71</v>
      </c>
      <c r="M831" s="84">
        <v>51</v>
      </c>
      <c r="N831" s="84">
        <v>63</v>
      </c>
      <c r="O831" s="5">
        <f t="shared" si="50"/>
        <v>539</v>
      </c>
      <c r="P831" s="6">
        <f t="shared" si="54"/>
        <v>5</v>
      </c>
      <c r="Q831" s="5">
        <f t="shared" si="52"/>
        <v>110</v>
      </c>
      <c r="R831" s="5">
        <v>545</v>
      </c>
      <c r="S831" s="5">
        <v>74</v>
      </c>
      <c r="T831" s="5">
        <f t="shared" si="53"/>
        <v>-36</v>
      </c>
    </row>
    <row r="832" spans="1:20">
      <c r="A832" s="1" t="s">
        <v>2607</v>
      </c>
      <c r="B832" s="1" t="s">
        <v>3198</v>
      </c>
      <c r="C832" s="4" t="s">
        <v>49</v>
      </c>
      <c r="D832" s="1" t="s">
        <v>2605</v>
      </c>
      <c r="E832" s="4" t="s">
        <v>2609</v>
      </c>
      <c r="F832" s="84">
        <v>99</v>
      </c>
      <c r="G832" s="84">
        <v>57</v>
      </c>
      <c r="H832" s="84">
        <v>101.5</v>
      </c>
      <c r="I832" s="84">
        <v>40</v>
      </c>
      <c r="J832" s="84">
        <v>31</v>
      </c>
      <c r="K832" s="84">
        <v>47</v>
      </c>
      <c r="L832" s="84">
        <v>62</v>
      </c>
      <c r="M832" s="84">
        <v>47</v>
      </c>
      <c r="N832" s="84">
        <v>56</v>
      </c>
      <c r="O832" s="5">
        <f t="shared" si="50"/>
        <v>375.5</v>
      </c>
      <c r="P832" s="6">
        <f t="shared" si="54"/>
        <v>45</v>
      </c>
      <c r="Q832" s="5">
        <f t="shared" si="52"/>
        <v>840</v>
      </c>
      <c r="R832" s="5">
        <v>424</v>
      </c>
      <c r="S832" s="5">
        <v>612</v>
      </c>
      <c r="T832" s="5">
        <f t="shared" si="53"/>
        <v>-228</v>
      </c>
    </row>
    <row r="833" spans="1:20">
      <c r="A833" s="1" t="s">
        <v>1542</v>
      </c>
      <c r="B833" s="1" t="s">
        <v>3198</v>
      </c>
      <c r="C833" s="4" t="s">
        <v>49</v>
      </c>
      <c r="D833" s="1" t="s">
        <v>2608</v>
      </c>
      <c r="E833" s="4" t="s">
        <v>101</v>
      </c>
      <c r="F833" s="84">
        <v>113</v>
      </c>
      <c r="G833" s="84">
        <v>76</v>
      </c>
      <c r="H833" s="84">
        <v>101</v>
      </c>
      <c r="I833" s="84">
        <v>75</v>
      </c>
      <c r="J833" s="84">
        <v>58</v>
      </c>
      <c r="K833" s="84">
        <v>68</v>
      </c>
      <c r="L833" s="84">
        <v>70</v>
      </c>
      <c r="M833" s="84">
        <v>69</v>
      </c>
      <c r="N833" s="84">
        <v>62</v>
      </c>
      <c r="O833" s="5">
        <f t="shared" si="50"/>
        <v>491</v>
      </c>
      <c r="P833" s="6">
        <f t="shared" si="54"/>
        <v>21</v>
      </c>
      <c r="Q833" s="5">
        <f t="shared" si="52"/>
        <v>287</v>
      </c>
      <c r="R833" s="5">
        <v>480.5</v>
      </c>
      <c r="S833" s="5">
        <v>307</v>
      </c>
      <c r="T833" s="5">
        <f t="shared" si="53"/>
        <v>20</v>
      </c>
    </row>
    <row r="834" spans="1:20">
      <c r="A834" s="1" t="s">
        <v>2610</v>
      </c>
      <c r="B834" s="1" t="s">
        <v>3198</v>
      </c>
      <c r="C834" s="4" t="s">
        <v>49</v>
      </c>
      <c r="D834" s="1" t="s">
        <v>2611</v>
      </c>
      <c r="E834" s="4" t="s">
        <v>2612</v>
      </c>
      <c r="F834" s="84">
        <v>103</v>
      </c>
      <c r="G834" s="84">
        <v>90</v>
      </c>
      <c r="H834" s="84">
        <v>116.5</v>
      </c>
      <c r="I834" s="84">
        <v>82</v>
      </c>
      <c r="J834" s="84">
        <v>59</v>
      </c>
      <c r="K834" s="84">
        <v>81</v>
      </c>
      <c r="L834" s="84">
        <v>70</v>
      </c>
      <c r="M834" s="84">
        <v>68</v>
      </c>
      <c r="N834" s="84">
        <v>51</v>
      </c>
      <c r="O834" s="5">
        <f t="shared" si="50"/>
        <v>531.5</v>
      </c>
      <c r="P834" s="6">
        <f t="shared" si="54"/>
        <v>6</v>
      </c>
      <c r="Q834" s="5">
        <f t="shared" si="52"/>
        <v>129</v>
      </c>
      <c r="R834" s="5">
        <v>469</v>
      </c>
      <c r="S834" s="5">
        <v>372</v>
      </c>
      <c r="T834" s="5">
        <f t="shared" si="53"/>
        <v>243</v>
      </c>
    </row>
    <row r="835" spans="1:20">
      <c r="A835" s="1" t="s">
        <v>2613</v>
      </c>
      <c r="B835" s="1" t="s">
        <v>3198</v>
      </c>
      <c r="C835" s="4" t="s">
        <v>49</v>
      </c>
      <c r="D835" s="1" t="s">
        <v>2614</v>
      </c>
      <c r="E835" s="4" t="s">
        <v>2615</v>
      </c>
      <c r="F835" s="84">
        <v>105</v>
      </c>
      <c r="G835" s="84">
        <v>81</v>
      </c>
      <c r="H835" s="84">
        <v>95.5</v>
      </c>
      <c r="I835" s="84">
        <v>48</v>
      </c>
      <c r="J835" s="84">
        <v>49</v>
      </c>
      <c r="K835" s="84">
        <v>66</v>
      </c>
      <c r="L835" s="84">
        <v>60</v>
      </c>
      <c r="M835" s="84">
        <v>56</v>
      </c>
      <c r="N835" s="84">
        <v>36</v>
      </c>
      <c r="O835" s="5">
        <f t="shared" ref="O835:O898" si="55">SUM(F835:K835)</f>
        <v>444.5</v>
      </c>
      <c r="P835" s="6">
        <f t="shared" si="54"/>
        <v>33</v>
      </c>
      <c r="Q835" s="5">
        <f t="shared" si="52"/>
        <v>549</v>
      </c>
      <c r="R835" s="5">
        <v>429.5</v>
      </c>
      <c r="S835" s="5">
        <v>578</v>
      </c>
      <c r="T835" s="5">
        <f t="shared" si="53"/>
        <v>29</v>
      </c>
    </row>
    <row r="836" spans="1:20">
      <c r="A836" s="1" t="s">
        <v>2616</v>
      </c>
      <c r="B836" s="1" t="s">
        <v>3198</v>
      </c>
      <c r="C836" s="4" t="s">
        <v>49</v>
      </c>
      <c r="D836" s="1" t="s">
        <v>2617</v>
      </c>
      <c r="E836" s="4" t="s">
        <v>2618</v>
      </c>
      <c r="F836" s="84">
        <v>86</v>
      </c>
      <c r="G836" s="84">
        <v>40</v>
      </c>
      <c r="H836" s="84">
        <v>83</v>
      </c>
      <c r="I836" s="84">
        <v>46</v>
      </c>
      <c r="J836" s="84">
        <v>36</v>
      </c>
      <c r="K836" s="84">
        <v>55</v>
      </c>
      <c r="L836" s="84">
        <v>61</v>
      </c>
      <c r="M836" s="84">
        <v>55</v>
      </c>
      <c r="N836" s="84">
        <v>47</v>
      </c>
      <c r="O836" s="5">
        <f t="shared" si="55"/>
        <v>346</v>
      </c>
      <c r="P836" s="6">
        <f t="shared" si="54"/>
        <v>52</v>
      </c>
      <c r="Q836" s="5">
        <f t="shared" ref="Q836:Q899" si="56">RANK(O836,$O$3:$O$936)</f>
        <v>899</v>
      </c>
      <c r="R836" s="5">
        <v>329</v>
      </c>
      <c r="S836" s="5">
        <v>907</v>
      </c>
      <c r="T836" s="5">
        <f t="shared" ref="T836:T899" si="57">S836-Q836</f>
        <v>8</v>
      </c>
    </row>
    <row r="837" spans="1:20">
      <c r="A837" s="1" t="s">
        <v>2619</v>
      </c>
      <c r="B837" s="1" t="s">
        <v>3198</v>
      </c>
      <c r="C837" s="1" t="s">
        <v>49</v>
      </c>
      <c r="D837" s="1" t="s">
        <v>2620</v>
      </c>
      <c r="E837" s="1" t="s">
        <v>2621</v>
      </c>
      <c r="F837" s="84">
        <v>90</v>
      </c>
      <c r="G837" s="84">
        <v>71</v>
      </c>
      <c r="H837" s="84">
        <v>94.5</v>
      </c>
      <c r="I837" s="84">
        <v>52</v>
      </c>
      <c r="J837" s="84">
        <v>44</v>
      </c>
      <c r="K837" s="84">
        <v>56</v>
      </c>
      <c r="L837" s="84">
        <v>68</v>
      </c>
      <c r="M837" s="84">
        <v>46</v>
      </c>
      <c r="N837" s="84">
        <v>49</v>
      </c>
      <c r="O837" s="5">
        <f t="shared" si="55"/>
        <v>407.5</v>
      </c>
      <c r="P837" s="6">
        <f t="shared" si="54"/>
        <v>41</v>
      </c>
      <c r="Q837" s="5">
        <f t="shared" si="56"/>
        <v>736</v>
      </c>
      <c r="R837" s="5">
        <v>386.5</v>
      </c>
      <c r="S837" s="5">
        <v>778</v>
      </c>
      <c r="T837" s="5">
        <f t="shared" si="57"/>
        <v>42</v>
      </c>
    </row>
    <row r="838" spans="1:20">
      <c r="A838" s="1" t="s">
        <v>2622</v>
      </c>
      <c r="B838" s="1" t="s">
        <v>3198</v>
      </c>
      <c r="C838" s="1" t="s">
        <v>49</v>
      </c>
      <c r="D838" s="1" t="s">
        <v>2623</v>
      </c>
      <c r="E838" s="1" t="s">
        <v>2624</v>
      </c>
      <c r="F838" s="84">
        <v>94</v>
      </c>
      <c r="G838" s="84">
        <v>14</v>
      </c>
      <c r="H838" s="84">
        <v>94</v>
      </c>
      <c r="I838" s="84">
        <v>31</v>
      </c>
      <c r="J838" s="84">
        <v>24</v>
      </c>
      <c r="K838" s="84">
        <v>45</v>
      </c>
      <c r="L838" s="84">
        <v>50</v>
      </c>
      <c r="M838" s="84">
        <v>68</v>
      </c>
      <c r="N838" s="84">
        <v>55</v>
      </c>
      <c r="O838" s="5">
        <f t="shared" si="55"/>
        <v>302</v>
      </c>
      <c r="P838" s="6">
        <f t="shared" si="54"/>
        <v>56</v>
      </c>
      <c r="Q838" s="5">
        <f t="shared" si="56"/>
        <v>927</v>
      </c>
      <c r="R838" s="5">
        <v>352</v>
      </c>
      <c r="S838" s="5">
        <v>876</v>
      </c>
      <c r="T838" s="5">
        <f t="shared" si="57"/>
        <v>-51</v>
      </c>
    </row>
    <row r="839" spans="1:20">
      <c r="A839" s="1" t="s">
        <v>2627</v>
      </c>
      <c r="B839" s="1" t="s">
        <v>3198</v>
      </c>
      <c r="C839" s="1" t="s">
        <v>49</v>
      </c>
      <c r="D839" s="1" t="s">
        <v>2626</v>
      </c>
      <c r="E839" s="1" t="s">
        <v>2629</v>
      </c>
      <c r="F839" s="84">
        <v>90</v>
      </c>
      <c r="G839" s="84">
        <v>57</v>
      </c>
      <c r="H839" s="84">
        <v>87</v>
      </c>
      <c r="I839" s="84">
        <v>50</v>
      </c>
      <c r="J839" s="84">
        <v>36</v>
      </c>
      <c r="K839" s="84">
        <v>50</v>
      </c>
      <c r="L839" s="84">
        <v>55</v>
      </c>
      <c r="M839" s="84">
        <v>59</v>
      </c>
      <c r="N839" s="84">
        <v>40</v>
      </c>
      <c r="O839" s="5">
        <f t="shared" si="55"/>
        <v>370</v>
      </c>
      <c r="P839" s="6">
        <f t="shared" si="54"/>
        <v>48</v>
      </c>
      <c r="Q839" s="5">
        <f t="shared" si="56"/>
        <v>859</v>
      </c>
      <c r="R839" s="5">
        <v>405.5</v>
      </c>
      <c r="S839" s="5">
        <v>701</v>
      </c>
      <c r="T839" s="5">
        <f t="shared" si="57"/>
        <v>-158</v>
      </c>
    </row>
    <row r="840" spans="1:20">
      <c r="A840" s="1" t="s">
        <v>2630</v>
      </c>
      <c r="B840" s="1" t="s">
        <v>3198</v>
      </c>
      <c r="C840" s="1" t="s">
        <v>49</v>
      </c>
      <c r="D840" s="1" t="s">
        <v>2628</v>
      </c>
      <c r="E840" s="1" t="s">
        <v>105</v>
      </c>
      <c r="F840" s="84">
        <v>115</v>
      </c>
      <c r="G840" s="84">
        <v>95</v>
      </c>
      <c r="H840" s="84">
        <v>116</v>
      </c>
      <c r="I840" s="84">
        <v>84</v>
      </c>
      <c r="J840" s="84">
        <v>84</v>
      </c>
      <c r="K840" s="84">
        <v>87</v>
      </c>
      <c r="L840" s="84">
        <v>66</v>
      </c>
      <c r="M840" s="84">
        <v>80</v>
      </c>
      <c r="N840" s="84">
        <v>61</v>
      </c>
      <c r="O840" s="5">
        <f t="shared" si="55"/>
        <v>581</v>
      </c>
      <c r="P840" s="6">
        <f t="shared" si="54"/>
        <v>1</v>
      </c>
      <c r="Q840" s="5">
        <f t="shared" si="56"/>
        <v>33</v>
      </c>
      <c r="R840" s="5">
        <v>536</v>
      </c>
      <c r="S840" s="5">
        <v>94</v>
      </c>
      <c r="T840" s="5">
        <f t="shared" si="57"/>
        <v>61</v>
      </c>
    </row>
    <row r="841" spans="1:20">
      <c r="A841" s="1" t="s">
        <v>2632</v>
      </c>
      <c r="B841" s="1" t="s">
        <v>3198</v>
      </c>
      <c r="C841" s="1" t="s">
        <v>49</v>
      </c>
      <c r="D841" s="1" t="s">
        <v>2631</v>
      </c>
      <c r="E841" s="1" t="s">
        <v>2634</v>
      </c>
      <c r="F841" s="84">
        <v>108</v>
      </c>
      <c r="G841" s="84">
        <v>43</v>
      </c>
      <c r="H841" s="84">
        <v>77.5</v>
      </c>
      <c r="I841" s="84">
        <v>62</v>
      </c>
      <c r="J841" s="84">
        <v>52</v>
      </c>
      <c r="K841" s="84">
        <v>59</v>
      </c>
      <c r="L841" s="84">
        <v>69</v>
      </c>
      <c r="M841" s="84">
        <v>70</v>
      </c>
      <c r="N841" s="84">
        <v>62</v>
      </c>
      <c r="O841" s="5">
        <f t="shared" si="55"/>
        <v>401.5</v>
      </c>
      <c r="P841" s="6">
        <f t="shared" si="54"/>
        <v>42</v>
      </c>
      <c r="Q841" s="5">
        <f t="shared" si="56"/>
        <v>763</v>
      </c>
      <c r="R841" s="5">
        <v>427.5</v>
      </c>
      <c r="S841" s="5">
        <v>589</v>
      </c>
      <c r="T841" s="5">
        <f t="shared" si="57"/>
        <v>-174</v>
      </c>
    </row>
    <row r="842" spans="1:20">
      <c r="A842" s="1" t="s">
        <v>2635</v>
      </c>
      <c r="B842" s="1" t="s">
        <v>3198</v>
      </c>
      <c r="C842" s="1" t="s">
        <v>49</v>
      </c>
      <c r="D842" s="1" t="s">
        <v>2633</v>
      </c>
      <c r="E842" s="1" t="s">
        <v>50</v>
      </c>
      <c r="F842" s="84">
        <v>91</v>
      </c>
      <c r="G842" s="84">
        <v>84</v>
      </c>
      <c r="H842" s="84">
        <v>64</v>
      </c>
      <c r="I842" s="84">
        <v>96</v>
      </c>
      <c r="J842" s="84">
        <v>73</v>
      </c>
      <c r="K842" s="84">
        <v>87</v>
      </c>
      <c r="L842" s="84">
        <v>46</v>
      </c>
      <c r="M842" s="84">
        <v>59</v>
      </c>
      <c r="N842" s="84">
        <v>61</v>
      </c>
      <c r="O842" s="5">
        <f t="shared" si="55"/>
        <v>495</v>
      </c>
      <c r="P842" s="6">
        <f t="shared" si="54"/>
        <v>19</v>
      </c>
      <c r="Q842" s="5">
        <f t="shared" si="56"/>
        <v>266</v>
      </c>
      <c r="R842" s="5">
        <v>480.5</v>
      </c>
      <c r="S842" s="5">
        <v>307</v>
      </c>
      <c r="T842" s="5">
        <f t="shared" si="57"/>
        <v>41</v>
      </c>
    </row>
    <row r="843" spans="1:20">
      <c r="A843" s="1" t="s">
        <v>2637</v>
      </c>
      <c r="B843" s="1" t="s">
        <v>3198</v>
      </c>
      <c r="C843" s="1" t="s">
        <v>49</v>
      </c>
      <c r="D843" s="1" t="s">
        <v>2636</v>
      </c>
      <c r="E843" s="1" t="s">
        <v>2639</v>
      </c>
      <c r="F843" s="84">
        <v>84</v>
      </c>
      <c r="G843" s="84">
        <v>78</v>
      </c>
      <c r="H843" s="84">
        <v>98</v>
      </c>
      <c r="I843" s="84">
        <v>67</v>
      </c>
      <c r="J843" s="84">
        <v>45</v>
      </c>
      <c r="K843" s="84">
        <v>65</v>
      </c>
      <c r="L843" s="84">
        <v>50</v>
      </c>
      <c r="M843" s="84">
        <v>40</v>
      </c>
      <c r="N843" s="84">
        <v>42</v>
      </c>
      <c r="O843" s="5">
        <f t="shared" si="55"/>
        <v>437</v>
      </c>
      <c r="P843" s="6">
        <f t="shared" si="54"/>
        <v>34</v>
      </c>
      <c r="Q843" s="5">
        <f t="shared" si="56"/>
        <v>588</v>
      </c>
      <c r="R843" s="5">
        <v>421.5</v>
      </c>
      <c r="S843" s="5">
        <v>627</v>
      </c>
      <c r="T843" s="5">
        <f t="shared" si="57"/>
        <v>39</v>
      </c>
    </row>
    <row r="844" spans="1:20">
      <c r="A844" s="1" t="s">
        <v>2640</v>
      </c>
      <c r="B844" s="1" t="s">
        <v>3198</v>
      </c>
      <c r="C844" s="1" t="s">
        <v>49</v>
      </c>
      <c r="D844" s="1" t="s">
        <v>2638</v>
      </c>
      <c r="E844" s="1" t="s">
        <v>2642</v>
      </c>
      <c r="F844" s="84">
        <v>109</v>
      </c>
      <c r="G844" s="84">
        <v>70</v>
      </c>
      <c r="H844" s="84">
        <v>89.5</v>
      </c>
      <c r="I844" s="84">
        <v>72</v>
      </c>
      <c r="J844" s="84">
        <v>48</v>
      </c>
      <c r="K844" s="84">
        <v>67</v>
      </c>
      <c r="L844" s="84">
        <v>68</v>
      </c>
      <c r="M844" s="84">
        <v>69</v>
      </c>
      <c r="N844" s="84">
        <v>48</v>
      </c>
      <c r="O844" s="5">
        <f t="shared" si="55"/>
        <v>455.5</v>
      </c>
      <c r="P844" s="6">
        <f t="shared" si="54"/>
        <v>31</v>
      </c>
      <c r="Q844" s="5">
        <f t="shared" si="56"/>
        <v>482</v>
      </c>
      <c r="R844" s="5">
        <v>442</v>
      </c>
      <c r="S844" s="5">
        <v>518</v>
      </c>
      <c r="T844" s="5">
        <f t="shared" si="57"/>
        <v>36</v>
      </c>
    </row>
    <row r="845" spans="1:20">
      <c r="A845" s="1" t="s">
        <v>2643</v>
      </c>
      <c r="B845" s="1" t="s">
        <v>3198</v>
      </c>
      <c r="C845" s="1" t="s">
        <v>49</v>
      </c>
      <c r="D845" s="1" t="s">
        <v>2641</v>
      </c>
      <c r="E845" s="1" t="s">
        <v>2645</v>
      </c>
      <c r="F845" s="84">
        <v>104</v>
      </c>
      <c r="G845" s="84">
        <v>83</v>
      </c>
      <c r="H845" s="84">
        <v>93.5</v>
      </c>
      <c r="I845" s="84">
        <v>91</v>
      </c>
      <c r="J845" s="84">
        <v>64</v>
      </c>
      <c r="K845" s="84">
        <v>84</v>
      </c>
      <c r="L845" s="84">
        <v>65</v>
      </c>
      <c r="M845" s="84">
        <v>64</v>
      </c>
      <c r="N845" s="84">
        <v>43</v>
      </c>
      <c r="O845" s="5">
        <f t="shared" si="55"/>
        <v>519.5</v>
      </c>
      <c r="P845" s="6">
        <f t="shared" si="54"/>
        <v>10</v>
      </c>
      <c r="Q845" s="5">
        <f t="shared" si="56"/>
        <v>167</v>
      </c>
      <c r="R845" s="5">
        <v>484</v>
      </c>
      <c r="S845" s="5">
        <v>289</v>
      </c>
      <c r="T845" s="5">
        <f t="shared" si="57"/>
        <v>122</v>
      </c>
    </row>
    <row r="846" spans="1:20">
      <c r="A846" s="1" t="s">
        <v>2646</v>
      </c>
      <c r="B846" s="1" t="s">
        <v>3198</v>
      </c>
      <c r="C846" s="1" t="s">
        <v>49</v>
      </c>
      <c r="D846" s="1" t="s">
        <v>2644</v>
      </c>
      <c r="E846" s="1" t="s">
        <v>2648</v>
      </c>
      <c r="F846" s="84">
        <v>106</v>
      </c>
      <c r="G846" s="84">
        <v>81</v>
      </c>
      <c r="H846" s="84">
        <v>93</v>
      </c>
      <c r="I846" s="84">
        <v>77</v>
      </c>
      <c r="J846" s="84">
        <v>63</v>
      </c>
      <c r="K846" s="84">
        <v>77</v>
      </c>
      <c r="L846" s="84">
        <v>79</v>
      </c>
      <c r="M846" s="84">
        <v>52</v>
      </c>
      <c r="N846" s="84">
        <v>68</v>
      </c>
      <c r="O846" s="5">
        <f t="shared" si="55"/>
        <v>497</v>
      </c>
      <c r="P846" s="6">
        <f t="shared" si="54"/>
        <v>16</v>
      </c>
      <c r="Q846" s="5">
        <f t="shared" si="56"/>
        <v>258</v>
      </c>
      <c r="R846" s="5">
        <v>463.5</v>
      </c>
      <c r="S846" s="5">
        <v>395</v>
      </c>
      <c r="T846" s="5">
        <f t="shared" si="57"/>
        <v>137</v>
      </c>
    </row>
    <row r="847" spans="1:20">
      <c r="A847" s="1" t="s">
        <v>2649</v>
      </c>
      <c r="B847" s="1" t="s">
        <v>3198</v>
      </c>
      <c r="C847" s="1" t="s">
        <v>49</v>
      </c>
      <c r="D847" s="1" t="s">
        <v>2647</v>
      </c>
      <c r="E847" s="1" t="s">
        <v>2651</v>
      </c>
      <c r="F847" s="84">
        <v>102</v>
      </c>
      <c r="G847" s="84">
        <v>40</v>
      </c>
      <c r="H847" s="84">
        <v>71</v>
      </c>
      <c r="I847" s="84">
        <v>41</v>
      </c>
      <c r="J847" s="84">
        <v>45</v>
      </c>
      <c r="K847" s="84">
        <v>59</v>
      </c>
      <c r="L847" s="84">
        <v>77</v>
      </c>
      <c r="M847" s="84">
        <v>45</v>
      </c>
      <c r="N847" s="84">
        <v>48</v>
      </c>
      <c r="O847" s="5">
        <f t="shared" si="55"/>
        <v>358</v>
      </c>
      <c r="P847" s="6">
        <f t="shared" si="54"/>
        <v>51</v>
      </c>
      <c r="Q847" s="5">
        <f t="shared" si="56"/>
        <v>881</v>
      </c>
      <c r="R847" s="5">
        <v>345.5</v>
      </c>
      <c r="S847" s="5">
        <v>890</v>
      </c>
      <c r="T847" s="5">
        <f t="shared" si="57"/>
        <v>9</v>
      </c>
    </row>
    <row r="848" spans="1:20">
      <c r="A848" s="1" t="s">
        <v>2652</v>
      </c>
      <c r="B848" s="1" t="s">
        <v>3198</v>
      </c>
      <c r="C848" s="1" t="s">
        <v>49</v>
      </c>
      <c r="D848" s="1" t="s">
        <v>2650</v>
      </c>
      <c r="E848" s="1" t="s">
        <v>2654</v>
      </c>
      <c r="F848" s="84">
        <v>101</v>
      </c>
      <c r="G848" s="84">
        <v>88</v>
      </c>
      <c r="H848" s="84">
        <v>80.5</v>
      </c>
      <c r="I848" s="84">
        <v>72</v>
      </c>
      <c r="J848" s="84">
        <v>59</v>
      </c>
      <c r="K848" s="84">
        <v>65</v>
      </c>
      <c r="L848" s="84">
        <v>72</v>
      </c>
      <c r="M848" s="84">
        <v>65</v>
      </c>
      <c r="N848" s="84">
        <v>50</v>
      </c>
      <c r="O848" s="5">
        <f t="shared" si="55"/>
        <v>465.5</v>
      </c>
      <c r="P848" s="6">
        <f t="shared" si="54"/>
        <v>23</v>
      </c>
      <c r="Q848" s="5">
        <f t="shared" si="56"/>
        <v>419</v>
      </c>
      <c r="R848" s="5">
        <v>445.5</v>
      </c>
      <c r="S848" s="5">
        <v>495</v>
      </c>
      <c r="T848" s="5">
        <f t="shared" si="57"/>
        <v>76</v>
      </c>
    </row>
    <row r="849" spans="1:20">
      <c r="A849" s="1" t="s">
        <v>2655</v>
      </c>
      <c r="B849" s="1" t="s">
        <v>3198</v>
      </c>
      <c r="C849" s="1" t="s">
        <v>49</v>
      </c>
      <c r="D849" s="1" t="s">
        <v>2653</v>
      </c>
      <c r="E849" s="1" t="s">
        <v>2657</v>
      </c>
      <c r="F849" s="84">
        <v>86</v>
      </c>
      <c r="G849" s="84">
        <v>40</v>
      </c>
      <c r="H849" s="84">
        <v>89.5</v>
      </c>
      <c r="I849" s="84">
        <v>34</v>
      </c>
      <c r="J849" s="84">
        <v>45</v>
      </c>
      <c r="K849" s="84">
        <v>45</v>
      </c>
      <c r="L849" s="84">
        <v>47</v>
      </c>
      <c r="M849" s="84">
        <v>53</v>
      </c>
      <c r="N849" s="84">
        <v>41</v>
      </c>
      <c r="O849" s="5">
        <f t="shared" si="55"/>
        <v>339.5</v>
      </c>
      <c r="P849" s="6">
        <f t="shared" si="54"/>
        <v>54</v>
      </c>
      <c r="Q849" s="5">
        <f t="shared" si="56"/>
        <v>906</v>
      </c>
      <c r="R849" s="5">
        <v>319.5</v>
      </c>
      <c r="S849" s="5">
        <v>916</v>
      </c>
      <c r="T849" s="5">
        <f t="shared" si="57"/>
        <v>10</v>
      </c>
    </row>
    <row r="850" spans="1:20">
      <c r="A850" s="1" t="s">
        <v>2658</v>
      </c>
      <c r="B850" s="1" t="s">
        <v>3198</v>
      </c>
      <c r="C850" s="1" t="s">
        <v>49</v>
      </c>
      <c r="D850" s="1" t="s">
        <v>2656</v>
      </c>
      <c r="E850" s="1" t="s">
        <v>2660</v>
      </c>
      <c r="F850" s="84">
        <v>117</v>
      </c>
      <c r="G850" s="84">
        <v>104</v>
      </c>
      <c r="H850" s="84">
        <v>99.5</v>
      </c>
      <c r="I850" s="84">
        <v>72</v>
      </c>
      <c r="J850" s="84">
        <v>54</v>
      </c>
      <c r="K850" s="84">
        <v>64</v>
      </c>
      <c r="L850" s="84">
        <v>69</v>
      </c>
      <c r="M850" s="84">
        <v>60</v>
      </c>
      <c r="N850" s="84">
        <v>43</v>
      </c>
      <c r="O850" s="5">
        <f t="shared" si="55"/>
        <v>510.5</v>
      </c>
      <c r="P850" s="6">
        <f t="shared" si="54"/>
        <v>14</v>
      </c>
      <c r="Q850" s="5">
        <f t="shared" si="56"/>
        <v>203</v>
      </c>
      <c r="R850" s="5">
        <v>515.5</v>
      </c>
      <c r="S850" s="5">
        <v>152</v>
      </c>
      <c r="T850" s="5">
        <f t="shared" si="57"/>
        <v>-51</v>
      </c>
    </row>
    <row r="851" spans="1:20">
      <c r="A851" s="1" t="s">
        <v>1579</v>
      </c>
      <c r="B851" s="1" t="s">
        <v>3198</v>
      </c>
      <c r="C851" s="1" t="s">
        <v>49</v>
      </c>
      <c r="D851" s="1" t="s">
        <v>2659</v>
      </c>
      <c r="E851" s="1" t="s">
        <v>162</v>
      </c>
      <c r="F851" s="84">
        <v>113</v>
      </c>
      <c r="G851" s="84">
        <v>96</v>
      </c>
      <c r="H851" s="84">
        <v>106.5</v>
      </c>
      <c r="I851" s="84">
        <v>87</v>
      </c>
      <c r="J851" s="84">
        <v>75</v>
      </c>
      <c r="K851" s="84">
        <v>85</v>
      </c>
      <c r="L851" s="84">
        <v>77</v>
      </c>
      <c r="M851" s="84">
        <v>80</v>
      </c>
      <c r="N851" s="84">
        <v>59</v>
      </c>
      <c r="O851" s="5">
        <f t="shared" si="55"/>
        <v>562.5</v>
      </c>
      <c r="P851" s="6">
        <f t="shared" si="54"/>
        <v>3</v>
      </c>
      <c r="Q851" s="5">
        <f t="shared" si="56"/>
        <v>60</v>
      </c>
      <c r="R851" s="5">
        <v>592.5</v>
      </c>
      <c r="S851" s="5">
        <v>18</v>
      </c>
      <c r="T851" s="5">
        <f t="shared" si="57"/>
        <v>-42</v>
      </c>
    </row>
    <row r="852" spans="1:20">
      <c r="A852" s="1" t="s">
        <v>2661</v>
      </c>
      <c r="B852" s="1" t="s">
        <v>3198</v>
      </c>
      <c r="C852" s="1" t="s">
        <v>49</v>
      </c>
      <c r="D852" s="1" t="s">
        <v>2662</v>
      </c>
      <c r="E852" s="1" t="s">
        <v>2663</v>
      </c>
      <c r="F852" s="84">
        <v>93</v>
      </c>
      <c r="G852" s="84">
        <v>68</v>
      </c>
      <c r="H852" s="84">
        <v>96.5</v>
      </c>
      <c r="I852" s="84">
        <v>71</v>
      </c>
      <c r="J852" s="84">
        <v>40</v>
      </c>
      <c r="K852" s="84">
        <v>62</v>
      </c>
      <c r="L852" s="84">
        <v>57</v>
      </c>
      <c r="M852" s="84">
        <v>58</v>
      </c>
      <c r="N852" s="84">
        <v>42</v>
      </c>
      <c r="O852" s="5">
        <f t="shared" si="55"/>
        <v>430.5</v>
      </c>
      <c r="P852" s="6">
        <f t="shared" si="54"/>
        <v>36</v>
      </c>
      <c r="Q852" s="5">
        <f t="shared" si="56"/>
        <v>620</v>
      </c>
      <c r="R852" s="5">
        <v>408</v>
      </c>
      <c r="S852" s="5">
        <v>692</v>
      </c>
      <c r="T852" s="5">
        <f t="shared" si="57"/>
        <v>72</v>
      </c>
    </row>
    <row r="853" spans="1:20">
      <c r="A853" s="1" t="s">
        <v>2664</v>
      </c>
      <c r="B853" s="1" t="s">
        <v>3198</v>
      </c>
      <c r="C853" s="1" t="s">
        <v>49</v>
      </c>
      <c r="D853" s="1" t="s">
        <v>2665</v>
      </c>
      <c r="E853" s="1" t="s">
        <v>2666</v>
      </c>
      <c r="F853" s="84">
        <v>96</v>
      </c>
      <c r="G853" s="84">
        <v>82</v>
      </c>
      <c r="H853" s="84">
        <v>108</v>
      </c>
      <c r="I853" s="84">
        <v>81</v>
      </c>
      <c r="J853" s="84">
        <v>55</v>
      </c>
      <c r="K853" s="84">
        <v>75</v>
      </c>
      <c r="L853" s="84">
        <v>54</v>
      </c>
      <c r="M853" s="84">
        <v>65</v>
      </c>
      <c r="N853" s="84">
        <v>35</v>
      </c>
      <c r="O853" s="5">
        <f t="shared" si="55"/>
        <v>497</v>
      </c>
      <c r="P853" s="6">
        <f t="shared" si="54"/>
        <v>16</v>
      </c>
      <c r="Q853" s="5">
        <f t="shared" si="56"/>
        <v>258</v>
      </c>
      <c r="R853" s="5">
        <v>504</v>
      </c>
      <c r="S853" s="5">
        <v>193</v>
      </c>
      <c r="T853" s="5">
        <f t="shared" si="57"/>
        <v>-65</v>
      </c>
    </row>
    <row r="854" spans="1:20">
      <c r="A854" s="1" t="s">
        <v>2667</v>
      </c>
      <c r="B854" s="1" t="s">
        <v>3198</v>
      </c>
      <c r="C854" s="1" t="s">
        <v>49</v>
      </c>
      <c r="D854" s="1" t="s">
        <v>2668</v>
      </c>
      <c r="E854" s="1" t="s">
        <v>2669</v>
      </c>
      <c r="F854" s="84">
        <v>115</v>
      </c>
      <c r="G854" s="84">
        <v>60</v>
      </c>
      <c r="H854" s="84">
        <v>104.5</v>
      </c>
      <c r="I854" s="84">
        <v>82</v>
      </c>
      <c r="J854" s="84">
        <v>58</v>
      </c>
      <c r="K854" s="84">
        <v>66</v>
      </c>
      <c r="L854" s="84">
        <v>66</v>
      </c>
      <c r="M854" s="84">
        <v>69</v>
      </c>
      <c r="N854" s="84">
        <v>44</v>
      </c>
      <c r="O854" s="5">
        <f t="shared" si="55"/>
        <v>485.5</v>
      </c>
      <c r="P854" s="6">
        <f t="shared" si="54"/>
        <v>22</v>
      </c>
      <c r="Q854" s="5">
        <f t="shared" si="56"/>
        <v>309</v>
      </c>
      <c r="R854" s="5">
        <v>468.5</v>
      </c>
      <c r="S854" s="5">
        <v>377</v>
      </c>
      <c r="T854" s="5">
        <f t="shared" si="57"/>
        <v>68</v>
      </c>
    </row>
    <row r="855" spans="1:20">
      <c r="A855" s="1" t="s">
        <v>2670</v>
      </c>
      <c r="B855" s="1" t="s">
        <v>3198</v>
      </c>
      <c r="C855" s="1" t="s">
        <v>49</v>
      </c>
      <c r="D855" s="1" t="s">
        <v>2671</v>
      </c>
      <c r="E855" s="1" t="s">
        <v>2672</v>
      </c>
      <c r="F855" s="84">
        <v>125</v>
      </c>
      <c r="G855" s="84">
        <v>77</v>
      </c>
      <c r="H855" s="84">
        <v>110</v>
      </c>
      <c r="I855" s="84">
        <v>72</v>
      </c>
      <c r="J855" s="84">
        <v>55</v>
      </c>
      <c r="K855" s="84">
        <v>82</v>
      </c>
      <c r="L855" s="84">
        <v>81</v>
      </c>
      <c r="M855" s="84">
        <v>68</v>
      </c>
      <c r="N855" s="84">
        <v>39</v>
      </c>
      <c r="O855" s="5">
        <f t="shared" si="55"/>
        <v>521</v>
      </c>
      <c r="P855" s="6">
        <f t="shared" si="54"/>
        <v>9</v>
      </c>
      <c r="Q855" s="5">
        <f t="shared" si="56"/>
        <v>161</v>
      </c>
      <c r="R855" s="5">
        <v>530</v>
      </c>
      <c r="S855" s="5">
        <v>103</v>
      </c>
      <c r="T855" s="5">
        <f t="shared" si="57"/>
        <v>-58</v>
      </c>
    </row>
    <row r="856" spans="1:20">
      <c r="A856" s="1" t="s">
        <v>2673</v>
      </c>
      <c r="B856" s="1" t="s">
        <v>3198</v>
      </c>
      <c r="C856" s="1" t="s">
        <v>49</v>
      </c>
      <c r="D856" s="1" t="s">
        <v>2674</v>
      </c>
      <c r="E856" s="1" t="s">
        <v>2675</v>
      </c>
      <c r="F856" s="84">
        <v>84</v>
      </c>
      <c r="G856" s="84">
        <v>93</v>
      </c>
      <c r="H856" s="84">
        <v>101.5</v>
      </c>
      <c r="I856" s="84">
        <v>75</v>
      </c>
      <c r="J856" s="84">
        <v>42</v>
      </c>
      <c r="K856" s="84">
        <v>68</v>
      </c>
      <c r="L856" s="84">
        <v>62</v>
      </c>
      <c r="M856" s="84">
        <v>60</v>
      </c>
      <c r="N856" s="84">
        <v>48</v>
      </c>
      <c r="O856" s="5">
        <f t="shared" si="55"/>
        <v>463.5</v>
      </c>
      <c r="P856" s="6">
        <f t="shared" si="54"/>
        <v>26</v>
      </c>
      <c r="Q856" s="5">
        <f t="shared" si="56"/>
        <v>434</v>
      </c>
      <c r="R856" s="5">
        <v>430.5</v>
      </c>
      <c r="S856" s="5">
        <v>570</v>
      </c>
      <c r="T856" s="5">
        <f t="shared" si="57"/>
        <v>136</v>
      </c>
    </row>
    <row r="857" spans="1:20">
      <c r="A857" s="1" t="s">
        <v>2676</v>
      </c>
      <c r="B857" s="1" t="s">
        <v>3198</v>
      </c>
      <c r="C857" s="1" t="s">
        <v>49</v>
      </c>
      <c r="D857" s="1" t="s">
        <v>2677</v>
      </c>
      <c r="E857" s="1" t="s">
        <v>2678</v>
      </c>
      <c r="F857" s="84">
        <v>91</v>
      </c>
      <c r="G857" s="84">
        <v>53</v>
      </c>
      <c r="H857" s="84">
        <v>75.5</v>
      </c>
      <c r="I857" s="84">
        <v>50</v>
      </c>
      <c r="J857" s="84">
        <v>42</v>
      </c>
      <c r="K857" s="84">
        <v>55</v>
      </c>
      <c r="L857" s="84">
        <v>64</v>
      </c>
      <c r="M857" s="84">
        <v>62</v>
      </c>
      <c r="N857" s="84">
        <v>38</v>
      </c>
      <c r="O857" s="5">
        <f t="shared" si="55"/>
        <v>366.5</v>
      </c>
      <c r="P857" s="6">
        <f t="shared" si="54"/>
        <v>49</v>
      </c>
      <c r="Q857" s="5">
        <f t="shared" si="56"/>
        <v>867</v>
      </c>
      <c r="R857" s="5">
        <v>372</v>
      </c>
      <c r="S857" s="5">
        <v>832</v>
      </c>
      <c r="T857" s="5">
        <f t="shared" si="57"/>
        <v>-35</v>
      </c>
    </row>
    <row r="858" spans="1:20">
      <c r="A858" s="1" t="s">
        <v>2679</v>
      </c>
      <c r="B858" s="1" t="s">
        <v>3198</v>
      </c>
      <c r="C858" s="1" t="s">
        <v>49</v>
      </c>
      <c r="D858" s="1" t="s">
        <v>2680</v>
      </c>
      <c r="E858" s="1" t="s">
        <v>2681</v>
      </c>
      <c r="F858" s="84">
        <v>95</v>
      </c>
      <c r="G858" s="84">
        <v>69</v>
      </c>
      <c r="H858" s="84">
        <v>91.5</v>
      </c>
      <c r="I858" s="84">
        <v>66</v>
      </c>
      <c r="J858" s="84">
        <v>49</v>
      </c>
      <c r="K858" s="84">
        <v>76</v>
      </c>
      <c r="L858" s="84">
        <v>72</v>
      </c>
      <c r="M858" s="84">
        <v>63</v>
      </c>
      <c r="N858" s="84">
        <v>57</v>
      </c>
      <c r="O858" s="5">
        <f t="shared" si="55"/>
        <v>446.5</v>
      </c>
      <c r="P858" s="6">
        <f t="shared" si="54"/>
        <v>32</v>
      </c>
      <c r="Q858" s="5">
        <f t="shared" si="56"/>
        <v>534</v>
      </c>
      <c r="R858" s="5">
        <v>439</v>
      </c>
      <c r="S858" s="5">
        <v>530</v>
      </c>
      <c r="T858" s="5">
        <f t="shared" si="57"/>
        <v>-4</v>
      </c>
    </row>
    <row r="859" spans="1:20">
      <c r="A859" s="1" t="s">
        <v>2999</v>
      </c>
      <c r="B859" s="1" t="s">
        <v>3198</v>
      </c>
      <c r="C859" s="1" t="s">
        <v>49</v>
      </c>
      <c r="D859" s="1" t="s">
        <v>2683</v>
      </c>
      <c r="E859" s="1" t="s">
        <v>3000</v>
      </c>
      <c r="F859" s="84">
        <v>102</v>
      </c>
      <c r="G859" s="84">
        <v>46</v>
      </c>
      <c r="H859" s="84">
        <v>91</v>
      </c>
      <c r="I859" s="84">
        <v>54</v>
      </c>
      <c r="J859" s="84">
        <v>46</v>
      </c>
      <c r="K859" s="84">
        <v>58</v>
      </c>
      <c r="L859" s="84">
        <v>63</v>
      </c>
      <c r="M859" s="84">
        <v>73</v>
      </c>
      <c r="N859" s="84">
        <v>68</v>
      </c>
      <c r="O859" s="5">
        <f t="shared" si="55"/>
        <v>397</v>
      </c>
      <c r="P859" s="6">
        <f t="shared" si="54"/>
        <v>43</v>
      </c>
      <c r="Q859" s="5">
        <f t="shared" si="56"/>
        <v>782</v>
      </c>
      <c r="R859" s="5">
        <v>436.5</v>
      </c>
      <c r="S859" s="5">
        <v>538</v>
      </c>
      <c r="T859" s="5">
        <f t="shared" si="57"/>
        <v>-244</v>
      </c>
    </row>
    <row r="860" spans="1:20">
      <c r="A860" s="1" t="s">
        <v>2682</v>
      </c>
      <c r="B860" s="1" t="s">
        <v>3198</v>
      </c>
      <c r="C860" s="1" t="s">
        <v>49</v>
      </c>
      <c r="D860" s="1" t="s">
        <v>2686</v>
      </c>
      <c r="E860" s="1" t="s">
        <v>2684</v>
      </c>
      <c r="F860" s="84">
        <v>89</v>
      </c>
      <c r="G860" s="84">
        <v>67</v>
      </c>
      <c r="H860" s="84">
        <v>108</v>
      </c>
      <c r="I860" s="84">
        <v>68</v>
      </c>
      <c r="J860" s="84">
        <v>62</v>
      </c>
      <c r="K860" s="84">
        <v>70</v>
      </c>
      <c r="L860" s="84">
        <v>61</v>
      </c>
      <c r="M860" s="84">
        <v>60</v>
      </c>
      <c r="N860" s="84">
        <v>50</v>
      </c>
      <c r="O860" s="5">
        <f t="shared" si="55"/>
        <v>464</v>
      </c>
      <c r="P860" s="6">
        <f t="shared" si="54"/>
        <v>25</v>
      </c>
      <c r="Q860" s="5">
        <f t="shared" si="56"/>
        <v>432</v>
      </c>
      <c r="R860" s="5">
        <v>500.5</v>
      </c>
      <c r="S860" s="5">
        <v>207</v>
      </c>
      <c r="T860" s="5">
        <f t="shared" si="57"/>
        <v>-225</v>
      </c>
    </row>
    <row r="861" spans="1:20">
      <c r="A861" s="1" t="s">
        <v>2685</v>
      </c>
      <c r="B861" s="1" t="s">
        <v>3198</v>
      </c>
      <c r="C861" s="1" t="s">
        <v>49</v>
      </c>
      <c r="D861" s="1" t="s">
        <v>2689</v>
      </c>
      <c r="E861" s="1" t="s">
        <v>2687</v>
      </c>
      <c r="F861" s="84">
        <v>109</v>
      </c>
      <c r="G861" s="84">
        <v>91</v>
      </c>
      <c r="H861" s="84">
        <v>100.5</v>
      </c>
      <c r="I861" s="84">
        <v>77</v>
      </c>
      <c r="J861" s="84">
        <v>61</v>
      </c>
      <c r="K861" s="84">
        <v>88</v>
      </c>
      <c r="L861" s="84">
        <v>68</v>
      </c>
      <c r="M861" s="84">
        <v>60</v>
      </c>
      <c r="N861" s="84">
        <v>51</v>
      </c>
      <c r="O861" s="5">
        <f t="shared" si="55"/>
        <v>526.5</v>
      </c>
      <c r="P861" s="6">
        <f t="shared" si="54"/>
        <v>7</v>
      </c>
      <c r="Q861" s="5">
        <f t="shared" si="56"/>
        <v>144</v>
      </c>
      <c r="R861" s="5">
        <v>519</v>
      </c>
      <c r="S861" s="5">
        <v>139</v>
      </c>
      <c r="T861" s="5">
        <f t="shared" si="57"/>
        <v>-5</v>
      </c>
    </row>
    <row r="862" spans="1:20">
      <c r="A862" s="1" t="s">
        <v>2688</v>
      </c>
      <c r="B862" s="1" t="s">
        <v>3198</v>
      </c>
      <c r="C862" s="1" t="s">
        <v>49</v>
      </c>
      <c r="D862" s="1" t="s">
        <v>2692</v>
      </c>
      <c r="E862" s="1" t="s">
        <v>2690</v>
      </c>
      <c r="F862" s="84">
        <v>88</v>
      </c>
      <c r="G862" s="84">
        <v>94</v>
      </c>
      <c r="H862" s="84">
        <v>99.5</v>
      </c>
      <c r="I862" s="84">
        <v>91</v>
      </c>
      <c r="J862" s="84">
        <v>50</v>
      </c>
      <c r="K862" s="84">
        <v>69</v>
      </c>
      <c r="L862" s="84">
        <v>65</v>
      </c>
      <c r="M862" s="84">
        <v>68</v>
      </c>
      <c r="N862" s="84">
        <v>53</v>
      </c>
      <c r="O862" s="5">
        <f t="shared" si="55"/>
        <v>491.5</v>
      </c>
      <c r="P862" s="6">
        <f t="shared" si="54"/>
        <v>20</v>
      </c>
      <c r="Q862" s="5">
        <f t="shared" si="56"/>
        <v>283</v>
      </c>
      <c r="R862" s="5">
        <v>441</v>
      </c>
      <c r="S862" s="5">
        <v>522</v>
      </c>
      <c r="T862" s="5">
        <f t="shared" si="57"/>
        <v>239</v>
      </c>
    </row>
    <row r="863" spans="1:20">
      <c r="A863" s="1" t="s">
        <v>2691</v>
      </c>
      <c r="B863" s="1" t="s">
        <v>3198</v>
      </c>
      <c r="C863" s="1" t="s">
        <v>49</v>
      </c>
      <c r="D863" s="1" t="s">
        <v>2695</v>
      </c>
      <c r="E863" s="1" t="s">
        <v>2693</v>
      </c>
      <c r="F863" s="84">
        <v>97</v>
      </c>
      <c r="G863" s="84">
        <v>90</v>
      </c>
      <c r="H863" s="84">
        <v>71</v>
      </c>
      <c r="I863" s="84">
        <v>75</v>
      </c>
      <c r="J863" s="84">
        <v>59</v>
      </c>
      <c r="K863" s="84">
        <v>66</v>
      </c>
      <c r="L863" s="84">
        <v>60</v>
      </c>
      <c r="M863" s="84">
        <v>73</v>
      </c>
      <c r="N863" s="84">
        <v>53</v>
      </c>
      <c r="O863" s="5">
        <f t="shared" si="55"/>
        <v>458</v>
      </c>
      <c r="P863" s="6">
        <f t="shared" si="54"/>
        <v>28</v>
      </c>
      <c r="Q863" s="5">
        <f t="shared" si="56"/>
        <v>465</v>
      </c>
      <c r="R863" s="5">
        <v>490.5</v>
      </c>
      <c r="S863" s="5">
        <v>256</v>
      </c>
      <c r="T863" s="5">
        <f t="shared" si="57"/>
        <v>-209</v>
      </c>
    </row>
    <row r="864" spans="1:20">
      <c r="A864" s="1" t="s">
        <v>2694</v>
      </c>
      <c r="B864" s="1" t="s">
        <v>3198</v>
      </c>
      <c r="C864" s="1" t="s">
        <v>49</v>
      </c>
      <c r="D864" s="1" t="s">
        <v>2698</v>
      </c>
      <c r="E864" s="1" t="s">
        <v>2696</v>
      </c>
      <c r="F864" s="84">
        <v>90</v>
      </c>
      <c r="G864" s="84">
        <v>51</v>
      </c>
      <c r="H864" s="84">
        <v>70</v>
      </c>
      <c r="I864" s="84">
        <v>49</v>
      </c>
      <c r="J864" s="84">
        <v>26</v>
      </c>
      <c r="K864" s="84">
        <v>57</v>
      </c>
      <c r="L864" s="84">
        <v>59</v>
      </c>
      <c r="M864" s="84">
        <v>56</v>
      </c>
      <c r="N864" s="84">
        <v>42</v>
      </c>
      <c r="O864" s="5">
        <f t="shared" si="55"/>
        <v>343</v>
      </c>
      <c r="P864" s="6">
        <f t="shared" si="54"/>
        <v>53</v>
      </c>
      <c r="Q864" s="5">
        <f t="shared" si="56"/>
        <v>903</v>
      </c>
      <c r="R864" s="5">
        <v>338.5</v>
      </c>
      <c r="S864" s="5">
        <v>897</v>
      </c>
      <c r="T864" s="5">
        <f t="shared" si="57"/>
        <v>-6</v>
      </c>
    </row>
    <row r="865" spans="1:20">
      <c r="A865" s="1" t="s">
        <v>2697</v>
      </c>
      <c r="B865" s="1" t="s">
        <v>3198</v>
      </c>
      <c r="C865" s="1" t="s">
        <v>49</v>
      </c>
      <c r="D865" s="1" t="s">
        <v>2701</v>
      </c>
      <c r="E865" s="1" t="s">
        <v>2699</v>
      </c>
      <c r="F865" s="84">
        <v>100</v>
      </c>
      <c r="G865" s="84">
        <v>55</v>
      </c>
      <c r="H865" s="84">
        <v>78</v>
      </c>
      <c r="I865" s="84">
        <v>55</v>
      </c>
      <c r="J865" s="84">
        <v>47</v>
      </c>
      <c r="K865" s="84">
        <v>57</v>
      </c>
      <c r="L865" s="84">
        <v>65</v>
      </c>
      <c r="M865" s="84">
        <v>68</v>
      </c>
      <c r="N865" s="84">
        <v>52</v>
      </c>
      <c r="O865" s="5">
        <f t="shared" si="55"/>
        <v>392</v>
      </c>
      <c r="P865" s="6">
        <f t="shared" si="54"/>
        <v>44</v>
      </c>
      <c r="Q865" s="5">
        <f t="shared" si="56"/>
        <v>796</v>
      </c>
      <c r="R865" s="5">
        <v>409.5</v>
      </c>
      <c r="S865" s="5">
        <v>688</v>
      </c>
      <c r="T865" s="5">
        <f t="shared" si="57"/>
        <v>-108</v>
      </c>
    </row>
    <row r="866" spans="1:20">
      <c r="A866" s="1" t="s">
        <v>2700</v>
      </c>
      <c r="B866" s="1" t="s">
        <v>3198</v>
      </c>
      <c r="C866" s="1" t="s">
        <v>49</v>
      </c>
      <c r="D866" s="1" t="s">
        <v>2704</v>
      </c>
      <c r="E866" s="1" t="s">
        <v>2702</v>
      </c>
      <c r="F866" s="84">
        <v>93</v>
      </c>
      <c r="G866" s="84">
        <v>110</v>
      </c>
      <c r="H866" s="84">
        <v>73.5</v>
      </c>
      <c r="I866" s="84">
        <v>98</v>
      </c>
      <c r="J866" s="84">
        <v>59</v>
      </c>
      <c r="K866" s="84">
        <v>63</v>
      </c>
      <c r="L866" s="84">
        <v>65</v>
      </c>
      <c r="M866" s="84">
        <v>72</v>
      </c>
      <c r="N866" s="84">
        <v>63</v>
      </c>
      <c r="O866" s="5">
        <f t="shared" si="55"/>
        <v>496.5</v>
      </c>
      <c r="P866" s="6">
        <f t="shared" si="54"/>
        <v>18</v>
      </c>
      <c r="Q866" s="5">
        <f t="shared" si="56"/>
        <v>262</v>
      </c>
      <c r="R866" s="5">
        <v>494</v>
      </c>
      <c r="S866" s="5">
        <v>242</v>
      </c>
      <c r="T866" s="5">
        <f t="shared" si="57"/>
        <v>-20</v>
      </c>
    </row>
    <row r="867" spans="1:20">
      <c r="A867" s="1" t="s">
        <v>2703</v>
      </c>
      <c r="B867" s="1" t="s">
        <v>3198</v>
      </c>
      <c r="C867" s="1" t="s">
        <v>49</v>
      </c>
      <c r="D867" s="1" t="s">
        <v>2707</v>
      </c>
      <c r="E867" s="1" t="s">
        <v>2705</v>
      </c>
      <c r="F867" s="84">
        <v>98</v>
      </c>
      <c r="G867" s="84">
        <v>43</v>
      </c>
      <c r="H867" s="84">
        <v>69</v>
      </c>
      <c r="I867" s="84">
        <v>57</v>
      </c>
      <c r="J867" s="84">
        <v>42</v>
      </c>
      <c r="K867" s="84">
        <v>55</v>
      </c>
      <c r="L867" s="84">
        <v>56</v>
      </c>
      <c r="M867" s="84">
        <v>53</v>
      </c>
      <c r="N867" s="84">
        <v>36</v>
      </c>
      <c r="O867" s="5">
        <f t="shared" si="55"/>
        <v>364</v>
      </c>
      <c r="P867" s="6">
        <f t="shared" si="54"/>
        <v>50</v>
      </c>
      <c r="Q867" s="5">
        <f t="shared" si="56"/>
        <v>871</v>
      </c>
      <c r="R867" s="5">
        <v>366</v>
      </c>
      <c r="S867" s="5">
        <v>850</v>
      </c>
      <c r="T867" s="5">
        <f t="shared" si="57"/>
        <v>-21</v>
      </c>
    </row>
    <row r="868" spans="1:20">
      <c r="A868" s="1" t="s">
        <v>2706</v>
      </c>
      <c r="B868" s="1" t="s">
        <v>3198</v>
      </c>
      <c r="C868" s="1" t="s">
        <v>49</v>
      </c>
      <c r="D868" s="1" t="s">
        <v>2710</v>
      </c>
      <c r="E868" s="1" t="s">
        <v>2708</v>
      </c>
      <c r="F868" s="84">
        <v>101</v>
      </c>
      <c r="G868" s="84">
        <v>68</v>
      </c>
      <c r="H868" s="84">
        <v>71.5</v>
      </c>
      <c r="I868" s="84">
        <v>70</v>
      </c>
      <c r="J868" s="84">
        <v>53</v>
      </c>
      <c r="K868" s="84">
        <v>53</v>
      </c>
      <c r="L868" s="84">
        <v>48</v>
      </c>
      <c r="M868" s="84">
        <v>55</v>
      </c>
      <c r="N868" s="84">
        <v>55</v>
      </c>
      <c r="O868" s="5">
        <f t="shared" si="55"/>
        <v>416.5</v>
      </c>
      <c r="P868" s="6">
        <f t="shared" si="54"/>
        <v>39</v>
      </c>
      <c r="Q868" s="5">
        <f t="shared" si="56"/>
        <v>686</v>
      </c>
      <c r="R868" s="5">
        <v>385</v>
      </c>
      <c r="S868" s="5">
        <v>787</v>
      </c>
      <c r="T868" s="5">
        <f t="shared" si="57"/>
        <v>101</v>
      </c>
    </row>
    <row r="869" spans="1:20">
      <c r="A869" s="1" t="s">
        <v>2709</v>
      </c>
      <c r="B869" s="1" t="s">
        <v>3198</v>
      </c>
      <c r="C869" s="1" t="s">
        <v>49</v>
      </c>
      <c r="D869" s="1" t="s">
        <v>2713</v>
      </c>
      <c r="E869" s="1" t="s">
        <v>2711</v>
      </c>
      <c r="F869" s="84">
        <v>101</v>
      </c>
      <c r="G869" s="84">
        <v>87</v>
      </c>
      <c r="H869" s="84">
        <v>104</v>
      </c>
      <c r="I869" s="84">
        <v>80</v>
      </c>
      <c r="J869" s="84">
        <v>69</v>
      </c>
      <c r="K869" s="84">
        <v>83</v>
      </c>
      <c r="L869" s="84">
        <v>81</v>
      </c>
      <c r="M869" s="84">
        <v>84</v>
      </c>
      <c r="N869" s="84">
        <v>72</v>
      </c>
      <c r="O869" s="5">
        <f t="shared" si="55"/>
        <v>524</v>
      </c>
      <c r="P869" s="6">
        <f t="shared" si="54"/>
        <v>8</v>
      </c>
      <c r="Q869" s="5">
        <f t="shared" si="56"/>
        <v>155</v>
      </c>
      <c r="R869" s="5">
        <v>504.5</v>
      </c>
      <c r="S869" s="5">
        <v>189</v>
      </c>
      <c r="T869" s="5">
        <f t="shared" si="57"/>
        <v>34</v>
      </c>
    </row>
    <row r="870" spans="1:20">
      <c r="A870" s="1" t="s">
        <v>2712</v>
      </c>
      <c r="B870" s="1" t="s">
        <v>3198</v>
      </c>
      <c r="C870" s="1" t="s">
        <v>49</v>
      </c>
      <c r="D870" s="1" t="s">
        <v>2716</v>
      </c>
      <c r="E870" s="1" t="s">
        <v>2714</v>
      </c>
      <c r="F870" s="84">
        <v>102</v>
      </c>
      <c r="G870" s="84">
        <v>98</v>
      </c>
      <c r="H870" s="84">
        <v>91</v>
      </c>
      <c r="I870" s="84">
        <v>89</v>
      </c>
      <c r="J870" s="84">
        <v>54</v>
      </c>
      <c r="K870" s="84">
        <v>82</v>
      </c>
      <c r="L870" s="84">
        <v>60</v>
      </c>
      <c r="M870" s="84">
        <v>65</v>
      </c>
      <c r="N870" s="84">
        <v>56</v>
      </c>
      <c r="O870" s="5">
        <f t="shared" si="55"/>
        <v>516</v>
      </c>
      <c r="P870" s="6">
        <f t="shared" si="54"/>
        <v>13</v>
      </c>
      <c r="Q870" s="5">
        <f t="shared" si="56"/>
        <v>180</v>
      </c>
      <c r="R870" s="5">
        <v>510</v>
      </c>
      <c r="S870" s="5">
        <v>167</v>
      </c>
      <c r="T870" s="5">
        <f t="shared" si="57"/>
        <v>-13</v>
      </c>
    </row>
    <row r="871" spans="1:20">
      <c r="A871" s="1" t="s">
        <v>2715</v>
      </c>
      <c r="B871" s="1" t="s">
        <v>3198</v>
      </c>
      <c r="C871" s="1" t="s">
        <v>49</v>
      </c>
      <c r="D871" s="1" t="s">
        <v>2719</v>
      </c>
      <c r="E871" s="1" t="s">
        <v>2717</v>
      </c>
      <c r="F871" s="84">
        <v>98</v>
      </c>
      <c r="G871" s="84">
        <v>111</v>
      </c>
      <c r="H871" s="84">
        <v>92.5</v>
      </c>
      <c r="I871" s="84">
        <v>96</v>
      </c>
      <c r="J871" s="84">
        <v>86</v>
      </c>
      <c r="K871" s="84">
        <v>80</v>
      </c>
      <c r="L871" s="84">
        <v>65</v>
      </c>
      <c r="M871" s="84">
        <v>62</v>
      </c>
      <c r="N871" s="84">
        <v>50</v>
      </c>
      <c r="O871" s="5">
        <f t="shared" si="55"/>
        <v>563.5</v>
      </c>
      <c r="P871" s="6">
        <f t="shared" si="54"/>
        <v>2</v>
      </c>
      <c r="Q871" s="5">
        <f t="shared" si="56"/>
        <v>56</v>
      </c>
      <c r="R871" s="5">
        <v>544</v>
      </c>
      <c r="S871" s="5">
        <v>76</v>
      </c>
      <c r="T871" s="5">
        <f t="shared" si="57"/>
        <v>20</v>
      </c>
    </row>
    <row r="872" spans="1:20">
      <c r="A872" s="1" t="s">
        <v>2718</v>
      </c>
      <c r="B872" s="1" t="s">
        <v>3198</v>
      </c>
      <c r="C872" s="1" t="s">
        <v>49</v>
      </c>
      <c r="D872" s="1" t="s">
        <v>2722</v>
      </c>
      <c r="E872" s="1" t="s">
        <v>2720</v>
      </c>
      <c r="F872" s="84">
        <v>77</v>
      </c>
      <c r="G872" s="84">
        <v>107</v>
      </c>
      <c r="H872" s="84">
        <v>60</v>
      </c>
      <c r="I872" s="84">
        <v>79</v>
      </c>
      <c r="J872" s="84">
        <v>66</v>
      </c>
      <c r="K872" s="84">
        <v>68</v>
      </c>
      <c r="L872" s="84">
        <v>52</v>
      </c>
      <c r="M872" s="84">
        <v>65</v>
      </c>
      <c r="N872" s="84">
        <v>48</v>
      </c>
      <c r="O872" s="5">
        <f t="shared" si="55"/>
        <v>457</v>
      </c>
      <c r="P872" s="6">
        <f t="shared" si="54"/>
        <v>29</v>
      </c>
      <c r="Q872" s="5">
        <f t="shared" si="56"/>
        <v>473</v>
      </c>
      <c r="R872" s="5">
        <v>439.5</v>
      </c>
      <c r="S872" s="5">
        <v>526</v>
      </c>
      <c r="T872" s="5">
        <f t="shared" si="57"/>
        <v>53</v>
      </c>
    </row>
    <row r="873" spans="1:20">
      <c r="A873" s="1" t="s">
        <v>2721</v>
      </c>
      <c r="B873" s="1" t="s">
        <v>3198</v>
      </c>
      <c r="C873" s="1" t="s">
        <v>49</v>
      </c>
      <c r="D873" s="1" t="s">
        <v>2725</v>
      </c>
      <c r="E873" s="1" t="s">
        <v>2723</v>
      </c>
      <c r="F873" s="84">
        <v>108</v>
      </c>
      <c r="G873" s="84">
        <v>78</v>
      </c>
      <c r="H873" s="84">
        <v>99.5</v>
      </c>
      <c r="I873" s="84">
        <v>83</v>
      </c>
      <c r="J873" s="84">
        <v>69</v>
      </c>
      <c r="K873" s="84">
        <v>81</v>
      </c>
      <c r="L873" s="84">
        <v>72</v>
      </c>
      <c r="M873" s="84">
        <v>87</v>
      </c>
      <c r="N873" s="84">
        <v>64</v>
      </c>
      <c r="O873" s="5">
        <f t="shared" si="55"/>
        <v>518.5</v>
      </c>
      <c r="P873" s="6">
        <f t="shared" si="54"/>
        <v>11</v>
      </c>
      <c r="Q873" s="5">
        <f t="shared" si="56"/>
        <v>171</v>
      </c>
      <c r="R873" s="5">
        <v>515</v>
      </c>
      <c r="S873" s="5">
        <v>154</v>
      </c>
      <c r="T873" s="5">
        <f t="shared" si="57"/>
        <v>-17</v>
      </c>
    </row>
    <row r="874" spans="1:20">
      <c r="A874" s="1" t="s">
        <v>2727</v>
      </c>
      <c r="B874" s="1" t="s">
        <v>3198</v>
      </c>
      <c r="C874" s="1" t="s">
        <v>49</v>
      </c>
      <c r="D874" s="1" t="s">
        <v>2728</v>
      </c>
      <c r="E874" s="1" t="s">
        <v>2729</v>
      </c>
      <c r="F874" s="84">
        <v>109</v>
      </c>
      <c r="G874" s="84">
        <v>74</v>
      </c>
      <c r="H874" s="84">
        <v>91.5</v>
      </c>
      <c r="I874" s="84">
        <v>61</v>
      </c>
      <c r="J874" s="84">
        <v>56</v>
      </c>
      <c r="K874" s="84">
        <v>72</v>
      </c>
      <c r="L874" s="84">
        <v>58</v>
      </c>
      <c r="M874" s="84">
        <v>35</v>
      </c>
      <c r="N874" s="84">
        <v>44</v>
      </c>
      <c r="O874" s="5">
        <f t="shared" si="55"/>
        <v>463.5</v>
      </c>
      <c r="P874" s="6">
        <f t="shared" si="54"/>
        <v>26</v>
      </c>
      <c r="Q874" s="5">
        <f t="shared" si="56"/>
        <v>434</v>
      </c>
      <c r="R874" s="5">
        <v>414</v>
      </c>
      <c r="S874" s="5">
        <v>663</v>
      </c>
      <c r="T874" s="5">
        <f t="shared" si="57"/>
        <v>229</v>
      </c>
    </row>
    <row r="875" spans="1:20">
      <c r="A875" s="1" t="s">
        <v>2730</v>
      </c>
      <c r="B875" s="1" t="s">
        <v>3198</v>
      </c>
      <c r="C875" s="1" t="s">
        <v>49</v>
      </c>
      <c r="D875" s="1" t="s">
        <v>2731</v>
      </c>
      <c r="E875" s="1" t="s">
        <v>2732</v>
      </c>
      <c r="F875" s="84">
        <v>103</v>
      </c>
      <c r="G875" s="84">
        <v>52</v>
      </c>
      <c r="H875" s="84">
        <v>125</v>
      </c>
      <c r="I875" s="84">
        <v>59</v>
      </c>
      <c r="J875" s="84">
        <v>49</v>
      </c>
      <c r="K875" s="84">
        <v>68</v>
      </c>
      <c r="L875" s="84">
        <v>65</v>
      </c>
      <c r="M875" s="84">
        <v>70</v>
      </c>
      <c r="N875" s="84">
        <v>52</v>
      </c>
      <c r="O875" s="5">
        <f t="shared" si="55"/>
        <v>456</v>
      </c>
      <c r="P875" s="6">
        <f t="shared" si="54"/>
        <v>30</v>
      </c>
      <c r="Q875" s="5">
        <f t="shared" si="56"/>
        <v>477</v>
      </c>
      <c r="R875" s="1">
        <v>438</v>
      </c>
      <c r="S875" s="1">
        <v>534</v>
      </c>
      <c r="T875" s="5">
        <f t="shared" si="57"/>
        <v>57</v>
      </c>
    </row>
    <row r="876" spans="1:20">
      <c r="A876" s="1" t="s">
        <v>2733</v>
      </c>
      <c r="B876" s="1" t="s">
        <v>3198</v>
      </c>
      <c r="C876" s="1" t="s">
        <v>49</v>
      </c>
      <c r="D876" s="1" t="s">
        <v>2734</v>
      </c>
      <c r="E876" s="1" t="s">
        <v>2735</v>
      </c>
      <c r="F876" s="84">
        <v>91</v>
      </c>
      <c r="G876" s="84">
        <v>35</v>
      </c>
      <c r="H876" s="84">
        <v>84.5</v>
      </c>
      <c r="I876" s="84">
        <v>52</v>
      </c>
      <c r="J876" s="84">
        <v>15</v>
      </c>
      <c r="K876" s="84">
        <v>44</v>
      </c>
      <c r="L876" s="84">
        <v>56</v>
      </c>
      <c r="M876" s="84">
        <v>45</v>
      </c>
      <c r="N876" s="84">
        <v>40</v>
      </c>
      <c r="O876" s="5">
        <f t="shared" si="55"/>
        <v>321.5</v>
      </c>
      <c r="P876" s="6">
        <f t="shared" si="54"/>
        <v>55</v>
      </c>
      <c r="Q876" s="5">
        <f t="shared" si="56"/>
        <v>918</v>
      </c>
      <c r="R876" s="5">
        <v>363.5</v>
      </c>
      <c r="S876" s="5">
        <v>854</v>
      </c>
      <c r="T876" s="5">
        <f t="shared" si="57"/>
        <v>-64</v>
      </c>
    </row>
    <row r="877" spans="1:20">
      <c r="A877" s="1" t="s">
        <v>2736</v>
      </c>
      <c r="B877" s="1" t="s">
        <v>3198</v>
      </c>
      <c r="C877" s="1" t="s">
        <v>49</v>
      </c>
      <c r="D877" s="1" t="s">
        <v>2737</v>
      </c>
      <c r="E877" s="1" t="s">
        <v>2738</v>
      </c>
      <c r="F877" s="84">
        <v>94</v>
      </c>
      <c r="G877" s="84">
        <v>51</v>
      </c>
      <c r="H877" s="84">
        <v>85.5</v>
      </c>
      <c r="I877" s="84">
        <v>44</v>
      </c>
      <c r="J877" s="84">
        <v>37</v>
      </c>
      <c r="K877" s="84">
        <v>63</v>
      </c>
      <c r="L877" s="84">
        <v>71</v>
      </c>
      <c r="M877" s="84">
        <v>60</v>
      </c>
      <c r="N877" s="84">
        <v>51</v>
      </c>
      <c r="O877" s="5">
        <f t="shared" si="55"/>
        <v>374.5</v>
      </c>
      <c r="P877" s="6">
        <f t="shared" si="54"/>
        <v>46</v>
      </c>
      <c r="Q877" s="5">
        <f t="shared" si="56"/>
        <v>844</v>
      </c>
      <c r="R877" s="5">
        <v>398</v>
      </c>
      <c r="S877" s="5">
        <v>740</v>
      </c>
      <c r="T877" s="5">
        <f t="shared" si="57"/>
        <v>-104</v>
      </c>
    </row>
    <row r="878" spans="1:20">
      <c r="A878" s="1" t="s">
        <v>2739</v>
      </c>
      <c r="B878" s="1" t="s">
        <v>3198</v>
      </c>
      <c r="C878" s="1" t="s">
        <v>49</v>
      </c>
      <c r="D878" s="1" t="s">
        <v>2740</v>
      </c>
      <c r="E878" s="1" t="s">
        <v>2741</v>
      </c>
      <c r="F878" s="84">
        <v>112</v>
      </c>
      <c r="G878" s="84">
        <v>94</v>
      </c>
      <c r="H878" s="84">
        <v>104.5</v>
      </c>
      <c r="I878" s="84">
        <v>71</v>
      </c>
      <c r="J878" s="84">
        <v>61</v>
      </c>
      <c r="K878" s="84">
        <v>75</v>
      </c>
      <c r="L878" s="84">
        <v>73</v>
      </c>
      <c r="M878" s="84">
        <v>71</v>
      </c>
      <c r="N878" s="84">
        <v>49</v>
      </c>
      <c r="O878" s="5">
        <f t="shared" si="55"/>
        <v>517.5</v>
      </c>
      <c r="P878" s="6">
        <f t="shared" si="54"/>
        <v>12</v>
      </c>
      <c r="Q878" s="5">
        <f t="shared" si="56"/>
        <v>176</v>
      </c>
      <c r="R878" s="5">
        <v>405</v>
      </c>
      <c r="S878" s="5">
        <v>705</v>
      </c>
      <c r="T878" s="5">
        <f t="shared" si="57"/>
        <v>529</v>
      </c>
    </row>
    <row r="879" spans="1:20">
      <c r="A879" s="1" t="s">
        <v>2742</v>
      </c>
      <c r="B879" s="1" t="s">
        <v>3198</v>
      </c>
      <c r="C879" s="1" t="s">
        <v>49</v>
      </c>
      <c r="D879" s="1" t="s">
        <v>2743</v>
      </c>
      <c r="E879" s="1" t="s">
        <v>2744</v>
      </c>
      <c r="F879" s="84">
        <v>105</v>
      </c>
      <c r="G879" s="84">
        <v>68</v>
      </c>
      <c r="H879" s="84">
        <v>73</v>
      </c>
      <c r="I879" s="84">
        <v>76</v>
      </c>
      <c r="J879" s="84">
        <v>38</v>
      </c>
      <c r="K879" s="84">
        <v>69</v>
      </c>
      <c r="L879" s="84">
        <v>56</v>
      </c>
      <c r="M879" s="84">
        <v>53</v>
      </c>
      <c r="N879" s="84">
        <v>52</v>
      </c>
      <c r="O879" s="5">
        <f t="shared" si="55"/>
        <v>429</v>
      </c>
      <c r="P879" s="6">
        <f t="shared" si="54"/>
        <v>38</v>
      </c>
      <c r="Q879" s="5">
        <f t="shared" si="56"/>
        <v>634</v>
      </c>
      <c r="R879" s="5">
        <v>416.5</v>
      </c>
      <c r="S879" s="5">
        <v>655</v>
      </c>
      <c r="T879" s="5">
        <f t="shared" si="57"/>
        <v>21</v>
      </c>
    </row>
    <row r="880" spans="1:20">
      <c r="A880" s="1" t="s">
        <v>2745</v>
      </c>
      <c r="B880" s="1" t="s">
        <v>3198</v>
      </c>
      <c r="C880" s="1" t="s">
        <v>49</v>
      </c>
      <c r="D880" s="1" t="s">
        <v>2746</v>
      </c>
      <c r="E880" s="1" t="s">
        <v>2747</v>
      </c>
      <c r="F880" s="84">
        <v>120</v>
      </c>
      <c r="G880" s="84">
        <v>97</v>
      </c>
      <c r="H880" s="84">
        <v>112.5</v>
      </c>
      <c r="I880" s="84">
        <v>64</v>
      </c>
      <c r="J880" s="84">
        <v>69</v>
      </c>
      <c r="K880" s="84">
        <v>78</v>
      </c>
      <c r="L880" s="84">
        <v>78</v>
      </c>
      <c r="M880" s="84">
        <v>66</v>
      </c>
      <c r="N880" s="84">
        <v>46</v>
      </c>
      <c r="O880" s="5">
        <f t="shared" si="55"/>
        <v>540.5</v>
      </c>
      <c r="P880" s="6">
        <f t="shared" si="54"/>
        <v>4</v>
      </c>
      <c r="Q880" s="5">
        <f t="shared" si="56"/>
        <v>101</v>
      </c>
      <c r="R880" s="5">
        <v>532</v>
      </c>
      <c r="S880" s="5">
        <v>101</v>
      </c>
      <c r="T880" s="5">
        <f t="shared" si="57"/>
        <v>0</v>
      </c>
    </row>
    <row r="881" spans="1:20">
      <c r="A881" s="1" t="s">
        <v>2748</v>
      </c>
      <c r="B881" s="1" t="s">
        <v>3198</v>
      </c>
      <c r="C881" s="1" t="s">
        <v>38</v>
      </c>
      <c r="D881" s="1" t="s">
        <v>2749</v>
      </c>
      <c r="E881" s="1" t="s">
        <v>2750</v>
      </c>
      <c r="F881" s="84">
        <v>96</v>
      </c>
      <c r="G881" s="84">
        <v>61</v>
      </c>
      <c r="H881" s="84">
        <v>72.5</v>
      </c>
      <c r="I881" s="84">
        <v>70</v>
      </c>
      <c r="J881" s="84">
        <v>46</v>
      </c>
      <c r="K881" s="84">
        <v>65</v>
      </c>
      <c r="L881" s="84">
        <v>63</v>
      </c>
      <c r="M881" s="84">
        <v>40</v>
      </c>
      <c r="N881" s="84">
        <v>45</v>
      </c>
      <c r="O881" s="5">
        <f t="shared" si="55"/>
        <v>410.5</v>
      </c>
      <c r="P881" s="6">
        <f>RANK(O881,$O$881:$O$936)</f>
        <v>41</v>
      </c>
      <c r="Q881" s="5">
        <f t="shared" si="56"/>
        <v>718</v>
      </c>
      <c r="R881" s="5">
        <v>424.5</v>
      </c>
      <c r="S881" s="5">
        <v>609</v>
      </c>
      <c r="T881" s="5">
        <f t="shared" si="57"/>
        <v>-109</v>
      </c>
    </row>
    <row r="882" spans="1:20">
      <c r="A882" s="1" t="s">
        <v>2751</v>
      </c>
      <c r="B882" s="1" t="s">
        <v>3198</v>
      </c>
      <c r="C882" s="1" t="s">
        <v>38</v>
      </c>
      <c r="D882" s="1" t="s">
        <v>2752</v>
      </c>
      <c r="E882" s="1" t="s">
        <v>2753</v>
      </c>
      <c r="F882" s="84">
        <v>76</v>
      </c>
      <c r="G882" s="84">
        <v>64</v>
      </c>
      <c r="H882" s="84">
        <v>95</v>
      </c>
      <c r="I882" s="84">
        <v>59</v>
      </c>
      <c r="J882" s="84">
        <v>52</v>
      </c>
      <c r="K882" s="84">
        <v>57</v>
      </c>
      <c r="L882" s="84">
        <v>49</v>
      </c>
      <c r="M882" s="84">
        <v>53</v>
      </c>
      <c r="N882" s="84">
        <v>42</v>
      </c>
      <c r="O882" s="5">
        <f t="shared" si="55"/>
        <v>403</v>
      </c>
      <c r="P882" s="6">
        <f t="shared" ref="P882:P936" si="58">RANK(O882,$O$881:$O$936)</f>
        <v>45</v>
      </c>
      <c r="Q882" s="5">
        <f t="shared" si="56"/>
        <v>751</v>
      </c>
      <c r="R882" s="5">
        <v>394</v>
      </c>
      <c r="S882" s="5">
        <v>751</v>
      </c>
      <c r="T882" s="5">
        <f t="shared" si="57"/>
        <v>0</v>
      </c>
    </row>
    <row r="883" spans="1:20">
      <c r="A883" s="1" t="s">
        <v>2754</v>
      </c>
      <c r="B883" s="1" t="s">
        <v>3198</v>
      </c>
      <c r="C883" s="1" t="s">
        <v>38</v>
      </c>
      <c r="D883" s="1" t="s">
        <v>2755</v>
      </c>
      <c r="E883" s="1" t="s">
        <v>2756</v>
      </c>
      <c r="F883" s="84">
        <v>108</v>
      </c>
      <c r="G883" s="84">
        <v>61</v>
      </c>
      <c r="H883" s="84">
        <v>68.5</v>
      </c>
      <c r="I883" s="84">
        <v>59</v>
      </c>
      <c r="J883" s="84">
        <v>47</v>
      </c>
      <c r="K883" s="84">
        <v>77</v>
      </c>
      <c r="L883" s="84">
        <v>75</v>
      </c>
      <c r="M883" s="84">
        <v>81</v>
      </c>
      <c r="N883" s="84">
        <v>57</v>
      </c>
      <c r="O883" s="5">
        <f t="shared" si="55"/>
        <v>420.5</v>
      </c>
      <c r="P883" s="6">
        <f t="shared" si="58"/>
        <v>37</v>
      </c>
      <c r="Q883" s="5">
        <f t="shared" si="56"/>
        <v>669</v>
      </c>
      <c r="R883" s="5">
        <v>434</v>
      </c>
      <c r="S883" s="5">
        <v>551</v>
      </c>
      <c r="T883" s="5">
        <f t="shared" si="57"/>
        <v>-118</v>
      </c>
    </row>
    <row r="884" spans="1:20">
      <c r="A884" s="1" t="s">
        <v>2757</v>
      </c>
      <c r="B884" s="1" t="s">
        <v>3198</v>
      </c>
      <c r="C884" s="1" t="s">
        <v>38</v>
      </c>
      <c r="D884" s="1" t="s">
        <v>2758</v>
      </c>
      <c r="E884" s="1" t="s">
        <v>2759</v>
      </c>
      <c r="F884" s="84">
        <v>82</v>
      </c>
      <c r="G884" s="84">
        <v>73</v>
      </c>
      <c r="H884" s="84">
        <v>83</v>
      </c>
      <c r="I884" s="84">
        <v>69</v>
      </c>
      <c r="J884" s="84">
        <v>48</v>
      </c>
      <c r="K884" s="84">
        <v>66</v>
      </c>
      <c r="L884" s="84">
        <v>56</v>
      </c>
      <c r="M884" s="84">
        <v>50</v>
      </c>
      <c r="N884" s="84">
        <v>32</v>
      </c>
      <c r="O884" s="5">
        <f t="shared" si="55"/>
        <v>421</v>
      </c>
      <c r="P884" s="6">
        <f t="shared" si="58"/>
        <v>35</v>
      </c>
      <c r="Q884" s="5">
        <f t="shared" si="56"/>
        <v>667</v>
      </c>
      <c r="R884" s="5">
        <v>415</v>
      </c>
      <c r="S884" s="5">
        <v>659</v>
      </c>
      <c r="T884" s="5">
        <f t="shared" si="57"/>
        <v>-8</v>
      </c>
    </row>
    <row r="885" spans="1:20">
      <c r="A885" s="1" t="s">
        <v>2760</v>
      </c>
      <c r="B885" s="1" t="s">
        <v>3198</v>
      </c>
      <c r="C885" s="1" t="s">
        <v>38</v>
      </c>
      <c r="D885" s="1" t="s">
        <v>2761</v>
      </c>
      <c r="E885" s="1" t="s">
        <v>2762</v>
      </c>
      <c r="F885" s="84">
        <v>103</v>
      </c>
      <c r="G885" s="84">
        <v>42</v>
      </c>
      <c r="H885" s="84">
        <v>92</v>
      </c>
      <c r="I885" s="84">
        <v>30</v>
      </c>
      <c r="J885" s="84">
        <v>36</v>
      </c>
      <c r="K885" s="84">
        <v>64</v>
      </c>
      <c r="L885" s="84">
        <v>60</v>
      </c>
      <c r="M885" s="84">
        <v>59</v>
      </c>
      <c r="N885" s="84">
        <v>39</v>
      </c>
      <c r="O885" s="5">
        <f t="shared" si="55"/>
        <v>367</v>
      </c>
      <c r="P885" s="6">
        <f t="shared" si="58"/>
        <v>53</v>
      </c>
      <c r="Q885" s="5">
        <f t="shared" si="56"/>
        <v>866</v>
      </c>
      <c r="R885" s="5">
        <v>386.5</v>
      </c>
      <c r="S885" s="5">
        <v>778</v>
      </c>
      <c r="T885" s="5">
        <f t="shared" si="57"/>
        <v>-88</v>
      </c>
    </row>
    <row r="886" spans="1:20">
      <c r="A886" s="1" t="s">
        <v>2763</v>
      </c>
      <c r="B886" s="1" t="s">
        <v>3198</v>
      </c>
      <c r="C886" s="1" t="s">
        <v>38</v>
      </c>
      <c r="D886" s="1" t="s">
        <v>2764</v>
      </c>
      <c r="E886" s="1" t="s">
        <v>2765</v>
      </c>
      <c r="F886" s="84">
        <v>112</v>
      </c>
      <c r="G886" s="84">
        <v>78</v>
      </c>
      <c r="H886" s="84">
        <v>68</v>
      </c>
      <c r="I886" s="84">
        <v>37</v>
      </c>
      <c r="J886" s="84">
        <v>55</v>
      </c>
      <c r="K886" s="84">
        <v>71</v>
      </c>
      <c r="L886" s="84">
        <v>71</v>
      </c>
      <c r="M886" s="84">
        <v>57</v>
      </c>
      <c r="N886" s="84">
        <v>41</v>
      </c>
      <c r="O886" s="5">
        <f t="shared" si="55"/>
        <v>421</v>
      </c>
      <c r="P886" s="6">
        <f t="shared" si="58"/>
        <v>35</v>
      </c>
      <c r="Q886" s="5">
        <f t="shared" si="56"/>
        <v>667</v>
      </c>
      <c r="R886" s="5">
        <v>384.5</v>
      </c>
      <c r="S886" s="5">
        <v>790</v>
      </c>
      <c r="T886" s="5">
        <f t="shared" si="57"/>
        <v>123</v>
      </c>
    </row>
    <row r="887" spans="1:20">
      <c r="A887" s="1" t="s">
        <v>2766</v>
      </c>
      <c r="B887" s="1" t="s">
        <v>3198</v>
      </c>
      <c r="C887" s="1" t="s">
        <v>38</v>
      </c>
      <c r="D887" s="1" t="s">
        <v>2767</v>
      </c>
      <c r="E887" s="1" t="s">
        <v>2768</v>
      </c>
      <c r="F887" s="84">
        <v>102</v>
      </c>
      <c r="G887" s="84">
        <v>59</v>
      </c>
      <c r="H887" s="84">
        <v>78.5</v>
      </c>
      <c r="I887" s="84">
        <v>55</v>
      </c>
      <c r="J887" s="84">
        <v>45</v>
      </c>
      <c r="K887" s="84">
        <v>70</v>
      </c>
      <c r="L887" s="84">
        <v>71</v>
      </c>
      <c r="M887" s="84">
        <v>62</v>
      </c>
      <c r="N887" s="84">
        <v>54</v>
      </c>
      <c r="O887" s="5">
        <f t="shared" si="55"/>
        <v>409.5</v>
      </c>
      <c r="P887" s="6">
        <f t="shared" si="58"/>
        <v>42</v>
      </c>
      <c r="Q887" s="5">
        <f t="shared" si="56"/>
        <v>723</v>
      </c>
      <c r="R887" s="5">
        <v>411</v>
      </c>
      <c r="S887" s="5">
        <v>679</v>
      </c>
      <c r="T887" s="5">
        <f t="shared" si="57"/>
        <v>-44</v>
      </c>
    </row>
    <row r="888" spans="1:20">
      <c r="A888" s="1" t="s">
        <v>2769</v>
      </c>
      <c r="B888" s="1" t="s">
        <v>3198</v>
      </c>
      <c r="C888" s="1" t="s">
        <v>38</v>
      </c>
      <c r="D888" s="1" t="s">
        <v>2770</v>
      </c>
      <c r="E888" s="1" t="s">
        <v>2771</v>
      </c>
      <c r="F888" s="84">
        <v>106</v>
      </c>
      <c r="G888" s="84">
        <v>52</v>
      </c>
      <c r="H888" s="84">
        <v>88.5</v>
      </c>
      <c r="I888" s="84">
        <v>60</v>
      </c>
      <c r="J888" s="84">
        <v>47</v>
      </c>
      <c r="K888" s="84">
        <v>70</v>
      </c>
      <c r="L888" s="84">
        <v>68</v>
      </c>
      <c r="M888" s="84">
        <v>61</v>
      </c>
      <c r="N888" s="84">
        <v>45</v>
      </c>
      <c r="O888" s="5">
        <f t="shared" si="55"/>
        <v>423.5</v>
      </c>
      <c r="P888" s="6">
        <f t="shared" si="58"/>
        <v>34</v>
      </c>
      <c r="Q888" s="5">
        <f t="shared" si="56"/>
        <v>657</v>
      </c>
      <c r="R888" s="5">
        <v>392.5</v>
      </c>
      <c r="S888" s="5">
        <v>757</v>
      </c>
      <c r="T888" s="5">
        <f t="shared" si="57"/>
        <v>100</v>
      </c>
    </row>
    <row r="889" spans="1:20">
      <c r="A889" s="1" t="s">
        <v>2772</v>
      </c>
      <c r="B889" s="1" t="s">
        <v>3198</v>
      </c>
      <c r="C889" s="1" t="s">
        <v>38</v>
      </c>
      <c r="D889" s="1" t="s">
        <v>2773</v>
      </c>
      <c r="E889" s="1" t="s">
        <v>2774</v>
      </c>
      <c r="F889" s="84">
        <v>85</v>
      </c>
      <c r="G889" s="84">
        <v>42</v>
      </c>
      <c r="H889" s="84">
        <v>64</v>
      </c>
      <c r="I889" s="84">
        <v>62</v>
      </c>
      <c r="J889" s="84">
        <v>53</v>
      </c>
      <c r="K889" s="84">
        <v>46</v>
      </c>
      <c r="L889" s="84">
        <v>64</v>
      </c>
      <c r="M889" s="84">
        <v>50</v>
      </c>
      <c r="N889" s="84">
        <v>59</v>
      </c>
      <c r="O889" s="5">
        <f t="shared" si="55"/>
        <v>352</v>
      </c>
      <c r="P889" s="6">
        <f t="shared" si="58"/>
        <v>54</v>
      </c>
      <c r="Q889" s="5">
        <f t="shared" si="56"/>
        <v>891</v>
      </c>
      <c r="R889" s="5">
        <v>381</v>
      </c>
      <c r="S889" s="5">
        <v>802</v>
      </c>
      <c r="T889" s="5">
        <f t="shared" si="57"/>
        <v>-89</v>
      </c>
    </row>
    <row r="890" spans="1:20">
      <c r="A890" s="1" t="s">
        <v>2775</v>
      </c>
      <c r="B890" s="1" t="s">
        <v>3198</v>
      </c>
      <c r="C890" s="1" t="s">
        <v>38</v>
      </c>
      <c r="D890" s="1" t="s">
        <v>2776</v>
      </c>
      <c r="E890" s="1" t="s">
        <v>2777</v>
      </c>
      <c r="F890" s="84">
        <v>85</v>
      </c>
      <c r="G890" s="84">
        <v>63</v>
      </c>
      <c r="H890" s="84">
        <v>102</v>
      </c>
      <c r="I890" s="84">
        <v>73</v>
      </c>
      <c r="J890" s="84">
        <v>39</v>
      </c>
      <c r="K890" s="84">
        <v>73</v>
      </c>
      <c r="L890" s="84">
        <v>60</v>
      </c>
      <c r="M890" s="84">
        <v>57</v>
      </c>
      <c r="N890" s="84">
        <v>58</v>
      </c>
      <c r="O890" s="5">
        <f t="shared" si="55"/>
        <v>435</v>
      </c>
      <c r="P890" s="6">
        <f t="shared" si="58"/>
        <v>30</v>
      </c>
      <c r="Q890" s="5">
        <f t="shared" si="56"/>
        <v>599</v>
      </c>
      <c r="R890" s="5">
        <v>474</v>
      </c>
      <c r="S890" s="5">
        <v>335</v>
      </c>
      <c r="T890" s="5">
        <f t="shared" si="57"/>
        <v>-264</v>
      </c>
    </row>
    <row r="891" spans="1:20">
      <c r="A891" s="1" t="s">
        <v>2778</v>
      </c>
      <c r="B891" s="1" t="s">
        <v>3198</v>
      </c>
      <c r="C891" s="1" t="s">
        <v>38</v>
      </c>
      <c r="D891" s="1" t="s">
        <v>2779</v>
      </c>
      <c r="E891" s="1" t="s">
        <v>2780</v>
      </c>
      <c r="F891" s="84">
        <v>93</v>
      </c>
      <c r="G891" s="84">
        <v>62</v>
      </c>
      <c r="H891" s="84">
        <v>101</v>
      </c>
      <c r="I891" s="84">
        <v>73</v>
      </c>
      <c r="J891" s="84">
        <v>49</v>
      </c>
      <c r="K891" s="84">
        <v>55</v>
      </c>
      <c r="L891" s="84">
        <v>69</v>
      </c>
      <c r="M891" s="84">
        <v>62</v>
      </c>
      <c r="N891" s="84">
        <v>48</v>
      </c>
      <c r="O891" s="5">
        <f t="shared" si="55"/>
        <v>433</v>
      </c>
      <c r="P891" s="6">
        <f t="shared" si="58"/>
        <v>31</v>
      </c>
      <c r="Q891" s="5">
        <f t="shared" si="56"/>
        <v>611</v>
      </c>
      <c r="R891" s="5">
        <v>355</v>
      </c>
      <c r="S891" s="5">
        <v>869</v>
      </c>
      <c r="T891" s="5">
        <f t="shared" si="57"/>
        <v>258</v>
      </c>
    </row>
    <row r="892" spans="1:20">
      <c r="A892" s="1" t="s">
        <v>2781</v>
      </c>
      <c r="B892" s="1" t="s">
        <v>3198</v>
      </c>
      <c r="C892" s="1" t="s">
        <v>38</v>
      </c>
      <c r="D892" s="1" t="s">
        <v>2782</v>
      </c>
      <c r="E892" s="1" t="s">
        <v>2783</v>
      </c>
      <c r="F892" s="84">
        <v>115</v>
      </c>
      <c r="G892" s="84">
        <v>63</v>
      </c>
      <c r="H892" s="84">
        <v>114.5</v>
      </c>
      <c r="I892" s="84">
        <v>58</v>
      </c>
      <c r="J892" s="84">
        <v>47</v>
      </c>
      <c r="K892" s="84">
        <v>67</v>
      </c>
      <c r="L892" s="84">
        <v>73</v>
      </c>
      <c r="M892" s="84">
        <v>73</v>
      </c>
      <c r="N892" s="84">
        <v>52</v>
      </c>
      <c r="O892" s="5">
        <f t="shared" si="55"/>
        <v>464.5</v>
      </c>
      <c r="P892" s="6">
        <f t="shared" si="58"/>
        <v>15</v>
      </c>
      <c r="Q892" s="5">
        <f t="shared" si="56"/>
        <v>424</v>
      </c>
      <c r="R892" s="5">
        <v>421.5</v>
      </c>
      <c r="S892" s="5">
        <v>627</v>
      </c>
      <c r="T892" s="5">
        <f t="shared" si="57"/>
        <v>203</v>
      </c>
    </row>
    <row r="893" spans="1:20">
      <c r="A893" s="1" t="s">
        <v>2784</v>
      </c>
      <c r="B893" s="1" t="s">
        <v>3198</v>
      </c>
      <c r="C893" s="1" t="s">
        <v>38</v>
      </c>
      <c r="D893" s="1" t="s">
        <v>2785</v>
      </c>
      <c r="E893" s="1" t="s">
        <v>2786</v>
      </c>
      <c r="F893" s="84">
        <v>102</v>
      </c>
      <c r="G893" s="84">
        <v>81</v>
      </c>
      <c r="H893" s="84">
        <v>96</v>
      </c>
      <c r="I893" s="84">
        <v>56</v>
      </c>
      <c r="J893" s="84">
        <v>55</v>
      </c>
      <c r="K893" s="84">
        <v>72</v>
      </c>
      <c r="L893" s="84">
        <v>77</v>
      </c>
      <c r="M893" s="84">
        <v>63</v>
      </c>
      <c r="N893" s="84">
        <v>49</v>
      </c>
      <c r="O893" s="5">
        <f t="shared" si="55"/>
        <v>462</v>
      </c>
      <c r="P893" s="6">
        <f t="shared" si="58"/>
        <v>16</v>
      </c>
      <c r="Q893" s="5">
        <f t="shared" si="56"/>
        <v>444</v>
      </c>
      <c r="R893" s="5">
        <v>470</v>
      </c>
      <c r="S893" s="5">
        <v>364</v>
      </c>
      <c r="T893" s="5">
        <f t="shared" si="57"/>
        <v>-80</v>
      </c>
    </row>
    <row r="894" spans="1:20">
      <c r="A894" s="1" t="s">
        <v>2787</v>
      </c>
      <c r="B894" s="1" t="s">
        <v>3198</v>
      </c>
      <c r="C894" s="1" t="s">
        <v>38</v>
      </c>
      <c r="D894" s="1" t="s">
        <v>2788</v>
      </c>
      <c r="E894" s="1" t="s">
        <v>2789</v>
      </c>
      <c r="F894" s="84">
        <v>96</v>
      </c>
      <c r="G894" s="84">
        <v>60</v>
      </c>
      <c r="H894" s="84">
        <v>95.5</v>
      </c>
      <c r="I894" s="84">
        <v>62</v>
      </c>
      <c r="J894" s="84">
        <v>58</v>
      </c>
      <c r="K894" s="84">
        <v>83</v>
      </c>
      <c r="L894" s="84">
        <v>69</v>
      </c>
      <c r="M894" s="84">
        <v>81</v>
      </c>
      <c r="N894" s="84">
        <v>69</v>
      </c>
      <c r="O894" s="5">
        <f t="shared" si="55"/>
        <v>454.5</v>
      </c>
      <c r="P894" s="6">
        <f t="shared" si="58"/>
        <v>20</v>
      </c>
      <c r="Q894" s="5">
        <f t="shared" si="56"/>
        <v>485</v>
      </c>
      <c r="R894" s="5">
        <v>448</v>
      </c>
      <c r="S894" s="5">
        <v>479</v>
      </c>
      <c r="T894" s="5">
        <f t="shared" si="57"/>
        <v>-6</v>
      </c>
    </row>
    <row r="895" spans="1:20">
      <c r="A895" s="1" t="s">
        <v>2790</v>
      </c>
      <c r="B895" s="1" t="s">
        <v>3198</v>
      </c>
      <c r="C895" s="1" t="s">
        <v>38</v>
      </c>
      <c r="D895" s="1" t="s">
        <v>2791</v>
      </c>
      <c r="E895" s="1" t="s">
        <v>2792</v>
      </c>
      <c r="F895" s="84">
        <v>101</v>
      </c>
      <c r="G895" s="84">
        <v>60</v>
      </c>
      <c r="H895" s="84">
        <v>91.5</v>
      </c>
      <c r="I895" s="84">
        <v>74</v>
      </c>
      <c r="J895" s="84">
        <v>51</v>
      </c>
      <c r="K895" s="84">
        <v>72</v>
      </c>
      <c r="L895" s="84">
        <v>75</v>
      </c>
      <c r="M895" s="84">
        <v>72</v>
      </c>
      <c r="N895" s="84">
        <v>56</v>
      </c>
      <c r="O895" s="5">
        <f t="shared" si="55"/>
        <v>449.5</v>
      </c>
      <c r="P895" s="6">
        <f t="shared" si="58"/>
        <v>23</v>
      </c>
      <c r="Q895" s="5">
        <f t="shared" si="56"/>
        <v>516</v>
      </c>
      <c r="R895" s="5">
        <v>442.5</v>
      </c>
      <c r="S895" s="5">
        <v>516</v>
      </c>
      <c r="T895" s="5">
        <f t="shared" si="57"/>
        <v>0</v>
      </c>
    </row>
    <row r="896" spans="1:20">
      <c r="A896" s="1" t="s">
        <v>2793</v>
      </c>
      <c r="B896" s="1" t="s">
        <v>3198</v>
      </c>
      <c r="C896" s="1" t="s">
        <v>38</v>
      </c>
      <c r="D896" s="1" t="s">
        <v>2794</v>
      </c>
      <c r="E896" s="1" t="s">
        <v>2795</v>
      </c>
      <c r="F896" s="84">
        <v>93</v>
      </c>
      <c r="G896" s="84">
        <v>95</v>
      </c>
      <c r="H896" s="84">
        <v>102</v>
      </c>
      <c r="I896" s="84">
        <v>83</v>
      </c>
      <c r="J896" s="84">
        <v>78</v>
      </c>
      <c r="K896" s="84">
        <v>75</v>
      </c>
      <c r="L896" s="84">
        <v>71</v>
      </c>
      <c r="M896" s="84">
        <v>74</v>
      </c>
      <c r="N896" s="84">
        <v>63</v>
      </c>
      <c r="O896" s="5">
        <f t="shared" si="55"/>
        <v>526</v>
      </c>
      <c r="P896" s="6">
        <f t="shared" si="58"/>
        <v>5</v>
      </c>
      <c r="Q896" s="5">
        <f t="shared" si="56"/>
        <v>146</v>
      </c>
      <c r="R896" s="5">
        <v>453</v>
      </c>
      <c r="S896" s="5">
        <v>451</v>
      </c>
      <c r="T896" s="5">
        <f t="shared" si="57"/>
        <v>305</v>
      </c>
    </row>
    <row r="897" spans="1:20">
      <c r="A897" s="1" t="s">
        <v>2796</v>
      </c>
      <c r="B897" s="1" t="s">
        <v>3198</v>
      </c>
      <c r="C897" s="1" t="s">
        <v>38</v>
      </c>
      <c r="D897" s="1" t="s">
        <v>2797</v>
      </c>
      <c r="E897" s="1" t="s">
        <v>2798</v>
      </c>
      <c r="F897" s="84">
        <v>102</v>
      </c>
      <c r="G897" s="84">
        <v>50</v>
      </c>
      <c r="H897" s="84">
        <v>70.5</v>
      </c>
      <c r="I897" s="84">
        <v>59</v>
      </c>
      <c r="J897" s="84">
        <v>35</v>
      </c>
      <c r="K897" s="84">
        <v>58</v>
      </c>
      <c r="L897" s="84">
        <v>70</v>
      </c>
      <c r="M897" s="84">
        <v>61</v>
      </c>
      <c r="N897" s="84">
        <v>51</v>
      </c>
      <c r="O897" s="5">
        <f t="shared" si="55"/>
        <v>374.5</v>
      </c>
      <c r="P897" s="6">
        <f t="shared" si="58"/>
        <v>51</v>
      </c>
      <c r="Q897" s="5">
        <f t="shared" si="56"/>
        <v>844</v>
      </c>
      <c r="R897" s="5">
        <v>309</v>
      </c>
      <c r="S897" s="5">
        <v>923</v>
      </c>
      <c r="T897" s="5">
        <f t="shared" si="57"/>
        <v>79</v>
      </c>
    </row>
    <row r="898" spans="1:20">
      <c r="A898" s="1" t="s">
        <v>2799</v>
      </c>
      <c r="B898" s="1" t="s">
        <v>3198</v>
      </c>
      <c r="C898" s="1" t="s">
        <v>38</v>
      </c>
      <c r="D898" s="1" t="s">
        <v>2800</v>
      </c>
      <c r="E898" s="1" t="s">
        <v>2801</v>
      </c>
      <c r="F898" s="84">
        <v>100</v>
      </c>
      <c r="G898" s="84">
        <v>90</v>
      </c>
      <c r="H898" s="84">
        <v>96</v>
      </c>
      <c r="I898" s="84">
        <v>70</v>
      </c>
      <c r="J898" s="84">
        <v>65</v>
      </c>
      <c r="K898" s="84">
        <v>85</v>
      </c>
      <c r="L898" s="84">
        <v>74</v>
      </c>
      <c r="M898" s="84">
        <v>69</v>
      </c>
      <c r="N898" s="84">
        <v>56</v>
      </c>
      <c r="O898" s="5">
        <f t="shared" si="55"/>
        <v>506</v>
      </c>
      <c r="P898" s="6">
        <f t="shared" si="58"/>
        <v>7</v>
      </c>
      <c r="Q898" s="5">
        <f t="shared" si="56"/>
        <v>219</v>
      </c>
      <c r="R898" s="5">
        <v>496</v>
      </c>
      <c r="S898" s="5">
        <v>229</v>
      </c>
      <c r="T898" s="5">
        <f t="shared" si="57"/>
        <v>10</v>
      </c>
    </row>
    <row r="899" spans="1:20">
      <c r="A899" s="1" t="s">
        <v>2802</v>
      </c>
      <c r="B899" s="1" t="s">
        <v>3198</v>
      </c>
      <c r="C899" s="1" t="s">
        <v>38</v>
      </c>
      <c r="D899" s="1" t="s">
        <v>2803</v>
      </c>
      <c r="E899" s="1" t="s">
        <v>2804</v>
      </c>
      <c r="F899" s="84">
        <v>87</v>
      </c>
      <c r="G899" s="84">
        <v>66</v>
      </c>
      <c r="H899" s="84">
        <v>98</v>
      </c>
      <c r="I899" s="84">
        <v>57</v>
      </c>
      <c r="J899" s="84">
        <v>20</v>
      </c>
      <c r="K899" s="84">
        <v>80</v>
      </c>
      <c r="L899" s="84">
        <v>74</v>
      </c>
      <c r="M899" s="84">
        <v>55</v>
      </c>
      <c r="N899" s="84">
        <v>48</v>
      </c>
      <c r="O899" s="5">
        <f t="shared" ref="O899:O962" si="59">SUM(F899:K899)</f>
        <v>408</v>
      </c>
      <c r="P899" s="6">
        <f t="shared" si="58"/>
        <v>43</v>
      </c>
      <c r="Q899" s="5">
        <f t="shared" si="56"/>
        <v>734</v>
      </c>
      <c r="R899" s="5">
        <v>429</v>
      </c>
      <c r="S899" s="5">
        <v>580</v>
      </c>
      <c r="T899" s="5">
        <f t="shared" si="57"/>
        <v>-154</v>
      </c>
    </row>
    <row r="900" spans="1:20">
      <c r="A900" s="1" t="s">
        <v>2805</v>
      </c>
      <c r="B900" s="1" t="s">
        <v>3198</v>
      </c>
      <c r="C900" s="1" t="s">
        <v>38</v>
      </c>
      <c r="D900" s="1" t="s">
        <v>2806</v>
      </c>
      <c r="E900" s="1" t="s">
        <v>2807</v>
      </c>
      <c r="F900" s="84">
        <v>113</v>
      </c>
      <c r="G900" s="84">
        <v>42</v>
      </c>
      <c r="H900" s="84">
        <v>83.5</v>
      </c>
      <c r="I900" s="84">
        <v>63</v>
      </c>
      <c r="J900" s="84">
        <v>38</v>
      </c>
      <c r="K900" s="84">
        <v>54</v>
      </c>
      <c r="L900" s="84">
        <v>67</v>
      </c>
      <c r="M900" s="84">
        <v>83</v>
      </c>
      <c r="N900" s="84">
        <v>56</v>
      </c>
      <c r="O900" s="5">
        <f t="shared" si="59"/>
        <v>393.5</v>
      </c>
      <c r="P900" s="6">
        <f t="shared" si="58"/>
        <v>47</v>
      </c>
      <c r="Q900" s="5">
        <f t="shared" ref="Q900:Q936" si="60">RANK(O900,$O$3:$O$936)</f>
        <v>793</v>
      </c>
      <c r="R900" s="5">
        <v>422</v>
      </c>
      <c r="S900" s="5">
        <v>625</v>
      </c>
      <c r="T900" s="5">
        <f t="shared" ref="T900:T963" si="61">S900-Q900</f>
        <v>-168</v>
      </c>
    </row>
    <row r="901" spans="1:20">
      <c r="A901" s="1" t="s">
        <v>2808</v>
      </c>
      <c r="B901" s="1" t="s">
        <v>3198</v>
      </c>
      <c r="C901" s="1" t="s">
        <v>38</v>
      </c>
      <c r="D901" s="1" t="s">
        <v>2809</v>
      </c>
      <c r="E901" s="1" t="s">
        <v>2810</v>
      </c>
      <c r="F901" s="84">
        <v>109</v>
      </c>
      <c r="G901" s="84">
        <v>69</v>
      </c>
      <c r="H901" s="84">
        <v>81</v>
      </c>
      <c r="I901" s="84">
        <v>90</v>
      </c>
      <c r="J901" s="84">
        <v>63</v>
      </c>
      <c r="K901" s="84">
        <v>79</v>
      </c>
      <c r="L901" s="84">
        <v>74</v>
      </c>
      <c r="M901" s="84">
        <v>68</v>
      </c>
      <c r="N901" s="84">
        <v>51</v>
      </c>
      <c r="O901" s="5">
        <f t="shared" si="59"/>
        <v>491</v>
      </c>
      <c r="P901" s="6">
        <f t="shared" si="58"/>
        <v>9</v>
      </c>
      <c r="Q901" s="5">
        <f t="shared" si="60"/>
        <v>287</v>
      </c>
      <c r="R901" s="5">
        <v>486</v>
      </c>
      <c r="S901" s="5">
        <v>282</v>
      </c>
      <c r="T901" s="5">
        <f t="shared" si="61"/>
        <v>-5</v>
      </c>
    </row>
    <row r="902" spans="1:20">
      <c r="A902" s="1" t="s">
        <v>2811</v>
      </c>
      <c r="B902" s="1" t="s">
        <v>3198</v>
      </c>
      <c r="C902" s="1" t="s">
        <v>38</v>
      </c>
      <c r="D902" s="1" t="s">
        <v>2812</v>
      </c>
      <c r="E902" s="1" t="s">
        <v>2813</v>
      </c>
      <c r="F902" s="84">
        <v>83</v>
      </c>
      <c r="G902" s="84">
        <v>51</v>
      </c>
      <c r="H902" s="84">
        <v>90</v>
      </c>
      <c r="I902" s="84">
        <v>49</v>
      </c>
      <c r="J902" s="84">
        <v>54</v>
      </c>
      <c r="K902" s="84">
        <v>64</v>
      </c>
      <c r="L902" s="84">
        <v>69</v>
      </c>
      <c r="M902" s="84">
        <v>55</v>
      </c>
      <c r="N902" s="84">
        <v>50</v>
      </c>
      <c r="O902" s="5">
        <f t="shared" si="59"/>
        <v>391</v>
      </c>
      <c r="P902" s="6">
        <f t="shared" si="58"/>
        <v>48</v>
      </c>
      <c r="Q902" s="5">
        <f t="shared" si="60"/>
        <v>797</v>
      </c>
      <c r="R902" s="5">
        <v>395.5</v>
      </c>
      <c r="S902" s="5">
        <v>748</v>
      </c>
      <c r="T902" s="5">
        <f t="shared" si="61"/>
        <v>-49</v>
      </c>
    </row>
    <row r="903" spans="1:20">
      <c r="A903" s="1" t="s">
        <v>2814</v>
      </c>
      <c r="B903" s="1" t="s">
        <v>3198</v>
      </c>
      <c r="C903" s="1" t="s">
        <v>38</v>
      </c>
      <c r="D903" s="1" t="s">
        <v>2815</v>
      </c>
      <c r="E903" s="1" t="s">
        <v>135</v>
      </c>
      <c r="F903" s="84">
        <v>112</v>
      </c>
      <c r="G903" s="84">
        <v>51</v>
      </c>
      <c r="H903" s="84">
        <v>104.5</v>
      </c>
      <c r="I903" s="84">
        <v>61</v>
      </c>
      <c r="J903" s="84">
        <v>53</v>
      </c>
      <c r="K903" s="84">
        <v>64</v>
      </c>
      <c r="L903" s="84">
        <v>75</v>
      </c>
      <c r="M903" s="84">
        <v>68</v>
      </c>
      <c r="N903" s="84">
        <v>59</v>
      </c>
      <c r="O903" s="5">
        <f t="shared" si="59"/>
        <v>445.5</v>
      </c>
      <c r="P903" s="6">
        <f t="shared" si="58"/>
        <v>25</v>
      </c>
      <c r="Q903" s="5">
        <f t="shared" si="60"/>
        <v>541</v>
      </c>
      <c r="R903" s="5">
        <v>481.5</v>
      </c>
      <c r="S903" s="5">
        <v>298</v>
      </c>
      <c r="T903" s="5">
        <f t="shared" si="61"/>
        <v>-243</v>
      </c>
    </row>
    <row r="904" spans="1:20">
      <c r="A904" s="1" t="s">
        <v>2816</v>
      </c>
      <c r="B904" s="1" t="s">
        <v>3198</v>
      </c>
      <c r="C904" s="1" t="s">
        <v>38</v>
      </c>
      <c r="D904" s="1" t="s">
        <v>2817</v>
      </c>
      <c r="E904" s="1" t="s">
        <v>2818</v>
      </c>
      <c r="F904" s="84">
        <v>94</v>
      </c>
      <c r="G904" s="84">
        <v>75</v>
      </c>
      <c r="H904" s="84">
        <v>90</v>
      </c>
      <c r="I904" s="84">
        <v>79</v>
      </c>
      <c r="J904" s="84">
        <v>44</v>
      </c>
      <c r="K904" s="84">
        <v>79</v>
      </c>
      <c r="L904" s="84">
        <v>69</v>
      </c>
      <c r="M904" s="84">
        <v>70</v>
      </c>
      <c r="N904" s="84">
        <v>50</v>
      </c>
      <c r="O904" s="5">
        <f t="shared" si="59"/>
        <v>461</v>
      </c>
      <c r="P904" s="6">
        <f t="shared" si="58"/>
        <v>17</v>
      </c>
      <c r="Q904" s="5">
        <f t="shared" si="60"/>
        <v>450</v>
      </c>
      <c r="R904" s="5">
        <v>471.5</v>
      </c>
      <c r="S904" s="5">
        <v>355</v>
      </c>
      <c r="T904" s="5">
        <f t="shared" si="61"/>
        <v>-95</v>
      </c>
    </row>
    <row r="905" spans="1:20">
      <c r="A905" s="1" t="s">
        <v>2819</v>
      </c>
      <c r="B905" s="1" t="s">
        <v>3198</v>
      </c>
      <c r="C905" s="1" t="s">
        <v>38</v>
      </c>
      <c r="D905" s="1" t="s">
        <v>2820</v>
      </c>
      <c r="E905" s="1" t="s">
        <v>2821</v>
      </c>
      <c r="F905" s="84">
        <v>97</v>
      </c>
      <c r="G905" s="84">
        <v>65</v>
      </c>
      <c r="H905" s="84">
        <v>87.5</v>
      </c>
      <c r="I905" s="84">
        <v>65</v>
      </c>
      <c r="J905" s="84">
        <v>46</v>
      </c>
      <c r="K905" s="84">
        <v>75</v>
      </c>
      <c r="L905" s="84">
        <v>71</v>
      </c>
      <c r="M905" s="84">
        <v>62</v>
      </c>
      <c r="N905" s="84">
        <v>44</v>
      </c>
      <c r="O905" s="5">
        <f t="shared" si="59"/>
        <v>435.5</v>
      </c>
      <c r="P905" s="6">
        <f t="shared" si="58"/>
        <v>28</v>
      </c>
      <c r="Q905" s="5">
        <f t="shared" si="60"/>
        <v>595</v>
      </c>
      <c r="R905" s="5">
        <v>427.5</v>
      </c>
      <c r="S905" s="5">
        <v>589</v>
      </c>
      <c r="T905" s="5">
        <f t="shared" si="61"/>
        <v>-6</v>
      </c>
    </row>
    <row r="906" spans="1:20">
      <c r="A906" s="1" t="s">
        <v>2822</v>
      </c>
      <c r="B906" s="1" t="s">
        <v>3198</v>
      </c>
      <c r="C906" s="1" t="s">
        <v>38</v>
      </c>
      <c r="D906" s="1" t="s">
        <v>2823</v>
      </c>
      <c r="E906" s="1" t="s">
        <v>2824</v>
      </c>
      <c r="F906" s="84">
        <v>90</v>
      </c>
      <c r="G906" s="84">
        <v>70</v>
      </c>
      <c r="H906" s="84">
        <v>92.5</v>
      </c>
      <c r="I906" s="84">
        <v>58</v>
      </c>
      <c r="J906" s="84">
        <v>44</v>
      </c>
      <c r="K906" s="84">
        <v>65</v>
      </c>
      <c r="L906" s="84">
        <v>56</v>
      </c>
      <c r="M906" s="84">
        <v>70</v>
      </c>
      <c r="N906" s="84">
        <v>39</v>
      </c>
      <c r="O906" s="5">
        <f t="shared" si="59"/>
        <v>419.5</v>
      </c>
      <c r="P906" s="6">
        <f t="shared" si="58"/>
        <v>38</v>
      </c>
      <c r="Q906" s="5">
        <f t="shared" si="60"/>
        <v>672</v>
      </c>
      <c r="R906" s="5">
        <v>404.5</v>
      </c>
      <c r="S906" s="5">
        <v>710</v>
      </c>
      <c r="T906" s="5">
        <f t="shared" si="61"/>
        <v>38</v>
      </c>
    </row>
    <row r="907" spans="1:20">
      <c r="A907" s="1" t="s">
        <v>2825</v>
      </c>
      <c r="B907" s="1" t="s">
        <v>3198</v>
      </c>
      <c r="C907" s="1" t="s">
        <v>38</v>
      </c>
      <c r="D907" s="1" t="s">
        <v>2826</v>
      </c>
      <c r="E907" s="1" t="s">
        <v>2827</v>
      </c>
      <c r="F907" s="84">
        <v>104</v>
      </c>
      <c r="G907" s="84">
        <v>76</v>
      </c>
      <c r="H907" s="84">
        <v>89.5</v>
      </c>
      <c r="I907" s="84">
        <v>65</v>
      </c>
      <c r="J907" s="84">
        <v>62</v>
      </c>
      <c r="K907" s="84">
        <v>71</v>
      </c>
      <c r="L907" s="84">
        <v>71</v>
      </c>
      <c r="M907" s="84">
        <v>63</v>
      </c>
      <c r="N907" s="84">
        <v>55</v>
      </c>
      <c r="O907" s="5">
        <f t="shared" si="59"/>
        <v>467.5</v>
      </c>
      <c r="P907" s="6">
        <f t="shared" si="58"/>
        <v>14</v>
      </c>
      <c r="Q907" s="5">
        <f t="shared" si="60"/>
        <v>410</v>
      </c>
      <c r="R907" s="5">
        <v>462</v>
      </c>
      <c r="S907" s="5">
        <v>404</v>
      </c>
      <c r="T907" s="5">
        <f t="shared" si="61"/>
        <v>-6</v>
      </c>
    </row>
    <row r="908" spans="1:20">
      <c r="A908" s="1" t="s">
        <v>2828</v>
      </c>
      <c r="B908" s="1" t="s">
        <v>3198</v>
      </c>
      <c r="C908" s="1" t="s">
        <v>38</v>
      </c>
      <c r="D908" s="1" t="s">
        <v>2829</v>
      </c>
      <c r="E908" s="1" t="s">
        <v>89</v>
      </c>
      <c r="F908" s="84">
        <v>79</v>
      </c>
      <c r="G908" s="84">
        <v>60</v>
      </c>
      <c r="H908" s="84">
        <v>104.5</v>
      </c>
      <c r="I908" s="84">
        <v>66</v>
      </c>
      <c r="J908" s="84">
        <v>61</v>
      </c>
      <c r="K908" s="84">
        <v>66</v>
      </c>
      <c r="L908" s="84">
        <v>66</v>
      </c>
      <c r="M908" s="84">
        <v>74</v>
      </c>
      <c r="N908" s="84">
        <v>61</v>
      </c>
      <c r="O908" s="5">
        <f t="shared" si="59"/>
        <v>436.5</v>
      </c>
      <c r="P908" s="6">
        <f t="shared" si="58"/>
        <v>27</v>
      </c>
      <c r="Q908" s="5">
        <f t="shared" si="60"/>
        <v>593</v>
      </c>
      <c r="R908" s="5">
        <v>475.5</v>
      </c>
      <c r="S908" s="5">
        <v>323</v>
      </c>
      <c r="T908" s="5">
        <f t="shared" si="61"/>
        <v>-270</v>
      </c>
    </row>
    <row r="909" spans="1:20">
      <c r="A909" s="1" t="s">
        <v>2830</v>
      </c>
      <c r="B909" s="1" t="s">
        <v>3198</v>
      </c>
      <c r="C909" s="1" t="s">
        <v>38</v>
      </c>
      <c r="D909" s="1" t="s">
        <v>2831</v>
      </c>
      <c r="E909" s="1" t="s">
        <v>2832</v>
      </c>
      <c r="F909" s="84">
        <v>79</v>
      </c>
      <c r="G909" s="84">
        <v>63</v>
      </c>
      <c r="H909" s="84">
        <v>93</v>
      </c>
      <c r="I909" s="84">
        <v>72</v>
      </c>
      <c r="J909" s="84">
        <v>43</v>
      </c>
      <c r="K909" s="84">
        <v>57</v>
      </c>
      <c r="L909" s="84">
        <v>57</v>
      </c>
      <c r="M909" s="84">
        <v>67</v>
      </c>
      <c r="N909" s="84">
        <v>49</v>
      </c>
      <c r="O909" s="5">
        <f t="shared" si="59"/>
        <v>407</v>
      </c>
      <c r="P909" s="6">
        <f t="shared" si="58"/>
        <v>44</v>
      </c>
      <c r="Q909" s="5">
        <f t="shared" si="60"/>
        <v>738</v>
      </c>
      <c r="R909" s="5">
        <v>407</v>
      </c>
      <c r="S909" s="5">
        <v>695</v>
      </c>
      <c r="T909" s="5">
        <f t="shared" si="61"/>
        <v>-43</v>
      </c>
    </row>
    <row r="910" spans="1:20">
      <c r="A910" s="1" t="s">
        <v>2833</v>
      </c>
      <c r="B910" s="1" t="s">
        <v>3198</v>
      </c>
      <c r="C910" s="1" t="s">
        <v>38</v>
      </c>
      <c r="D910" s="1" t="s">
        <v>2834</v>
      </c>
      <c r="E910" s="1" t="s">
        <v>2835</v>
      </c>
      <c r="F910" s="84">
        <v>109</v>
      </c>
      <c r="G910" s="84">
        <v>97</v>
      </c>
      <c r="H910" s="84">
        <v>75.5</v>
      </c>
      <c r="I910" s="84">
        <v>101</v>
      </c>
      <c r="J910" s="84">
        <v>72</v>
      </c>
      <c r="K910" s="84">
        <v>85</v>
      </c>
      <c r="L910" s="84">
        <v>63</v>
      </c>
      <c r="M910" s="84">
        <v>73</v>
      </c>
      <c r="N910" s="84">
        <v>68</v>
      </c>
      <c r="O910" s="5">
        <f t="shared" si="59"/>
        <v>539.5</v>
      </c>
      <c r="P910" s="6">
        <f t="shared" si="58"/>
        <v>3</v>
      </c>
      <c r="Q910" s="5">
        <f t="shared" si="60"/>
        <v>107</v>
      </c>
      <c r="R910" s="5">
        <v>504.5</v>
      </c>
      <c r="S910" s="5">
        <v>189</v>
      </c>
      <c r="T910" s="5">
        <f t="shared" si="61"/>
        <v>82</v>
      </c>
    </row>
    <row r="911" spans="1:20">
      <c r="A911" s="1" t="s">
        <v>2836</v>
      </c>
      <c r="B911" s="1" t="s">
        <v>3198</v>
      </c>
      <c r="C911" s="1" t="s">
        <v>38</v>
      </c>
      <c r="D911" s="1" t="s">
        <v>2837</v>
      </c>
      <c r="E911" s="1" t="s">
        <v>2838</v>
      </c>
      <c r="F911" s="84">
        <v>103</v>
      </c>
      <c r="G911" s="84">
        <v>82</v>
      </c>
      <c r="H911" s="84">
        <v>73.5</v>
      </c>
      <c r="I911" s="84">
        <v>60</v>
      </c>
      <c r="J911" s="84">
        <v>49</v>
      </c>
      <c r="K911" s="84">
        <v>68</v>
      </c>
      <c r="L911" s="84">
        <v>72</v>
      </c>
      <c r="M911" s="84">
        <v>52</v>
      </c>
      <c r="N911" s="84">
        <v>53</v>
      </c>
      <c r="O911" s="5">
        <f t="shared" si="59"/>
        <v>435.5</v>
      </c>
      <c r="P911" s="6">
        <f t="shared" si="58"/>
        <v>28</v>
      </c>
      <c r="Q911" s="5">
        <f t="shared" si="60"/>
        <v>595</v>
      </c>
      <c r="R911" s="5">
        <v>411.5</v>
      </c>
      <c r="S911" s="5">
        <v>674</v>
      </c>
      <c r="T911" s="5">
        <f t="shared" si="61"/>
        <v>79</v>
      </c>
    </row>
    <row r="912" spans="1:20">
      <c r="A912" s="1" t="s">
        <v>1571</v>
      </c>
      <c r="B912" s="1" t="s">
        <v>3198</v>
      </c>
      <c r="C912" s="1" t="s">
        <v>38</v>
      </c>
      <c r="D912" s="1" t="s">
        <v>2840</v>
      </c>
      <c r="E912" s="1" t="s">
        <v>141</v>
      </c>
      <c r="F912" s="84">
        <v>102</v>
      </c>
      <c r="G912" s="84">
        <v>113</v>
      </c>
      <c r="H912" s="84">
        <v>101</v>
      </c>
      <c r="I912" s="84">
        <v>103</v>
      </c>
      <c r="J912" s="84">
        <v>89</v>
      </c>
      <c r="K912" s="84">
        <v>82</v>
      </c>
      <c r="L912" s="84">
        <v>59</v>
      </c>
      <c r="M912" s="84">
        <v>52</v>
      </c>
      <c r="N912" s="84">
        <v>54</v>
      </c>
      <c r="O912" s="5">
        <f t="shared" si="59"/>
        <v>590</v>
      </c>
      <c r="P912" s="6">
        <f t="shared" si="58"/>
        <v>1</v>
      </c>
      <c r="Q912" s="5">
        <f t="shared" si="60"/>
        <v>25</v>
      </c>
      <c r="R912" s="5">
        <v>552</v>
      </c>
      <c r="S912" s="5">
        <v>60</v>
      </c>
      <c r="T912" s="5">
        <f t="shared" si="61"/>
        <v>35</v>
      </c>
    </row>
    <row r="913" spans="1:20">
      <c r="A913" s="1" t="s">
        <v>2842</v>
      </c>
      <c r="B913" s="1" t="s">
        <v>3198</v>
      </c>
      <c r="C913" s="1" t="s">
        <v>38</v>
      </c>
      <c r="D913" s="1" t="s">
        <v>2843</v>
      </c>
      <c r="E913" s="1" t="s">
        <v>2844</v>
      </c>
      <c r="F913" s="84">
        <v>95</v>
      </c>
      <c r="G913" s="84">
        <v>49</v>
      </c>
      <c r="H913" s="84">
        <v>78.5</v>
      </c>
      <c r="I913" s="84">
        <v>46</v>
      </c>
      <c r="J913" s="84">
        <v>47</v>
      </c>
      <c r="K913" s="84">
        <v>59</v>
      </c>
      <c r="L913" s="84">
        <v>78</v>
      </c>
      <c r="M913" s="84">
        <v>68</v>
      </c>
      <c r="N913" s="84">
        <v>49</v>
      </c>
      <c r="O913" s="5">
        <f t="shared" si="59"/>
        <v>374.5</v>
      </c>
      <c r="P913" s="6">
        <f t="shared" si="58"/>
        <v>51</v>
      </c>
      <c r="Q913" s="5">
        <f t="shared" si="60"/>
        <v>844</v>
      </c>
      <c r="R913" s="5">
        <v>357.5</v>
      </c>
      <c r="S913" s="5">
        <v>862</v>
      </c>
      <c r="T913" s="5">
        <f t="shared" si="61"/>
        <v>18</v>
      </c>
    </row>
    <row r="914" spans="1:20">
      <c r="A914" s="1" t="s">
        <v>2845</v>
      </c>
      <c r="B914" s="1" t="s">
        <v>3198</v>
      </c>
      <c r="C914" s="1" t="s">
        <v>38</v>
      </c>
      <c r="D914" s="1" t="s">
        <v>2846</v>
      </c>
      <c r="E914" s="1" t="s">
        <v>2847</v>
      </c>
      <c r="F914" s="84">
        <v>97</v>
      </c>
      <c r="G914" s="84">
        <v>83</v>
      </c>
      <c r="H914" s="84">
        <v>82.5</v>
      </c>
      <c r="I914" s="84">
        <v>71</v>
      </c>
      <c r="J914" s="84">
        <v>49</v>
      </c>
      <c r="K914" s="84">
        <v>66</v>
      </c>
      <c r="L914" s="84">
        <v>45</v>
      </c>
      <c r="M914" s="84">
        <v>61</v>
      </c>
      <c r="N914" s="84">
        <v>51</v>
      </c>
      <c r="O914" s="5">
        <f t="shared" si="59"/>
        <v>448.5</v>
      </c>
      <c r="P914" s="6">
        <f t="shared" si="58"/>
        <v>24</v>
      </c>
      <c r="Q914" s="5">
        <f t="shared" si="60"/>
        <v>525</v>
      </c>
      <c r="R914" s="5">
        <v>436.5</v>
      </c>
      <c r="S914" s="5">
        <v>538</v>
      </c>
      <c r="T914" s="5">
        <f t="shared" si="61"/>
        <v>13</v>
      </c>
    </row>
    <row r="915" spans="1:20">
      <c r="A915" s="1" t="s">
        <v>2850</v>
      </c>
      <c r="B915" s="1" t="s">
        <v>3198</v>
      </c>
      <c r="C915" s="1" t="s">
        <v>38</v>
      </c>
      <c r="D915" s="1" t="s">
        <v>2851</v>
      </c>
      <c r="E915" s="1" t="s">
        <v>2852</v>
      </c>
      <c r="F915" s="84">
        <v>114</v>
      </c>
      <c r="G915" s="84">
        <v>102</v>
      </c>
      <c r="H915" s="84">
        <v>97.5</v>
      </c>
      <c r="I915" s="84">
        <v>70</v>
      </c>
      <c r="J915" s="84">
        <v>54</v>
      </c>
      <c r="K915" s="84">
        <v>76</v>
      </c>
      <c r="L915" s="84">
        <v>80</v>
      </c>
      <c r="M915" s="84">
        <v>77</v>
      </c>
      <c r="N915" s="84">
        <v>62</v>
      </c>
      <c r="O915" s="5">
        <f t="shared" si="59"/>
        <v>513.5</v>
      </c>
      <c r="P915" s="6">
        <f t="shared" si="58"/>
        <v>6</v>
      </c>
      <c r="Q915" s="5">
        <f t="shared" si="60"/>
        <v>194</v>
      </c>
      <c r="R915" s="5">
        <v>469.5</v>
      </c>
      <c r="S915" s="5">
        <v>368</v>
      </c>
      <c r="T915" s="5">
        <f t="shared" si="61"/>
        <v>174</v>
      </c>
    </row>
    <row r="916" spans="1:20">
      <c r="A916" s="1" t="s">
        <v>2839</v>
      </c>
      <c r="B916" s="1" t="s">
        <v>3198</v>
      </c>
      <c r="C916" s="1" t="s">
        <v>38</v>
      </c>
      <c r="D916" s="1" t="s">
        <v>3333</v>
      </c>
      <c r="E916" s="1" t="s">
        <v>2841</v>
      </c>
      <c r="F916" s="84">
        <v>108</v>
      </c>
      <c r="G916" s="84">
        <v>92</v>
      </c>
      <c r="H916" s="84">
        <v>81</v>
      </c>
      <c r="I916" s="84">
        <v>94</v>
      </c>
      <c r="J916" s="84">
        <v>69</v>
      </c>
      <c r="K916" s="84">
        <v>84</v>
      </c>
      <c r="L916" s="84">
        <v>65</v>
      </c>
      <c r="M916" s="84">
        <v>56</v>
      </c>
      <c r="N916" s="84">
        <v>70</v>
      </c>
      <c r="O916" s="5">
        <f t="shared" si="59"/>
        <v>528</v>
      </c>
      <c r="P916" s="6">
        <f t="shared" si="58"/>
        <v>4</v>
      </c>
      <c r="Q916" s="5">
        <f t="shared" si="60"/>
        <v>138</v>
      </c>
      <c r="R916" s="5">
        <v>545.5</v>
      </c>
      <c r="S916" s="5">
        <v>72</v>
      </c>
      <c r="T916" s="5">
        <f t="shared" si="61"/>
        <v>-66</v>
      </c>
    </row>
    <row r="917" spans="1:20">
      <c r="A917" s="1" t="s">
        <v>2854</v>
      </c>
      <c r="B917" s="1" t="s">
        <v>3198</v>
      </c>
      <c r="C917" s="1" t="s">
        <v>38</v>
      </c>
      <c r="D917" s="1" t="s">
        <v>2855</v>
      </c>
      <c r="E917" s="1" t="s">
        <v>2856</v>
      </c>
      <c r="F917" s="84">
        <v>105</v>
      </c>
      <c r="G917" s="84">
        <v>63</v>
      </c>
      <c r="H917" s="84">
        <v>100</v>
      </c>
      <c r="I917" s="84">
        <v>62</v>
      </c>
      <c r="J917" s="84">
        <v>62</v>
      </c>
      <c r="K917" s="84">
        <v>63</v>
      </c>
      <c r="L917" s="84">
        <v>73</v>
      </c>
      <c r="M917" s="84">
        <v>74</v>
      </c>
      <c r="N917" s="84">
        <v>57</v>
      </c>
      <c r="O917" s="5">
        <f t="shared" si="59"/>
        <v>455</v>
      </c>
      <c r="P917" s="6">
        <f t="shared" si="58"/>
        <v>19</v>
      </c>
      <c r="Q917" s="5">
        <f t="shared" si="60"/>
        <v>483</v>
      </c>
      <c r="R917" s="5">
        <v>479.5</v>
      </c>
      <c r="S917" s="5">
        <v>310</v>
      </c>
      <c r="T917" s="5">
        <f t="shared" si="61"/>
        <v>-173</v>
      </c>
    </row>
    <row r="918" spans="1:20">
      <c r="A918" s="1" t="s">
        <v>2857</v>
      </c>
      <c r="B918" s="1" t="s">
        <v>3198</v>
      </c>
      <c r="C918" s="1" t="s">
        <v>38</v>
      </c>
      <c r="D918" s="1" t="s">
        <v>2858</v>
      </c>
      <c r="E918" s="1" t="s">
        <v>2859</v>
      </c>
      <c r="F918" s="84">
        <v>107</v>
      </c>
      <c r="G918" s="84">
        <v>68</v>
      </c>
      <c r="H918" s="84">
        <v>73.5</v>
      </c>
      <c r="I918" s="84">
        <v>63</v>
      </c>
      <c r="J918" s="84">
        <v>57</v>
      </c>
      <c r="K918" s="84">
        <v>69</v>
      </c>
      <c r="L918" s="84">
        <v>69</v>
      </c>
      <c r="M918" s="84">
        <v>66</v>
      </c>
      <c r="N918" s="84">
        <v>50</v>
      </c>
      <c r="O918" s="5">
        <f t="shared" si="59"/>
        <v>437.5</v>
      </c>
      <c r="P918" s="6">
        <f t="shared" si="58"/>
        <v>26</v>
      </c>
      <c r="Q918" s="5">
        <f t="shared" si="60"/>
        <v>584</v>
      </c>
      <c r="R918" s="5">
        <v>428.5</v>
      </c>
      <c r="S918" s="5">
        <v>582</v>
      </c>
      <c r="T918" s="5">
        <f t="shared" si="61"/>
        <v>-2</v>
      </c>
    </row>
    <row r="919" spans="1:20">
      <c r="A919" s="1" t="s">
        <v>2860</v>
      </c>
      <c r="B919" s="1" t="s">
        <v>3198</v>
      </c>
      <c r="C919" s="1" t="s">
        <v>38</v>
      </c>
      <c r="D919" s="1" t="s">
        <v>2861</v>
      </c>
      <c r="E919" s="1" t="s">
        <v>2862</v>
      </c>
      <c r="F919" s="84">
        <v>106</v>
      </c>
      <c r="G919" s="84">
        <v>71</v>
      </c>
      <c r="H919" s="84">
        <v>98.5</v>
      </c>
      <c r="I919" s="84">
        <v>70</v>
      </c>
      <c r="J919" s="84">
        <v>50</v>
      </c>
      <c r="K919" s="84">
        <v>73</v>
      </c>
      <c r="L919" s="84">
        <v>62</v>
      </c>
      <c r="M919" s="84">
        <v>67</v>
      </c>
      <c r="N919" s="84">
        <v>54</v>
      </c>
      <c r="O919" s="5">
        <f t="shared" si="59"/>
        <v>468.5</v>
      </c>
      <c r="P919" s="6">
        <f t="shared" si="58"/>
        <v>13</v>
      </c>
      <c r="Q919" s="5">
        <f t="shared" si="60"/>
        <v>401</v>
      </c>
      <c r="R919" s="5">
        <v>446.5</v>
      </c>
      <c r="S919" s="5">
        <v>485</v>
      </c>
      <c r="T919" s="5">
        <f t="shared" si="61"/>
        <v>84</v>
      </c>
    </row>
    <row r="920" spans="1:20">
      <c r="A920" s="1" t="s">
        <v>2863</v>
      </c>
      <c r="B920" s="1" t="s">
        <v>3198</v>
      </c>
      <c r="C920" s="1" t="s">
        <v>38</v>
      </c>
      <c r="D920" s="1" t="s">
        <v>2864</v>
      </c>
      <c r="E920" s="1" t="s">
        <v>2865</v>
      </c>
      <c r="F920" s="84">
        <v>100</v>
      </c>
      <c r="G920" s="84">
        <v>61</v>
      </c>
      <c r="H920" s="84">
        <v>83</v>
      </c>
      <c r="I920" s="84">
        <v>36</v>
      </c>
      <c r="J920" s="84">
        <v>31</v>
      </c>
      <c r="K920" s="84">
        <v>64</v>
      </c>
      <c r="L920" s="84">
        <v>69</v>
      </c>
      <c r="M920" s="84">
        <v>63</v>
      </c>
      <c r="N920" s="84">
        <v>57</v>
      </c>
      <c r="O920" s="5">
        <f t="shared" si="59"/>
        <v>375</v>
      </c>
      <c r="P920" s="6">
        <f t="shared" si="58"/>
        <v>50</v>
      </c>
      <c r="Q920" s="5">
        <f t="shared" si="60"/>
        <v>841</v>
      </c>
      <c r="R920" s="5">
        <v>370.5</v>
      </c>
      <c r="S920" s="5">
        <v>840</v>
      </c>
      <c r="T920" s="5">
        <f t="shared" si="61"/>
        <v>-1</v>
      </c>
    </row>
    <row r="921" spans="1:20">
      <c r="A921" s="1" t="s">
        <v>2866</v>
      </c>
      <c r="B921" s="1" t="s">
        <v>3198</v>
      </c>
      <c r="C921" s="1" t="s">
        <v>38</v>
      </c>
      <c r="D921" s="1" t="s">
        <v>2867</v>
      </c>
      <c r="E921" s="1" t="s">
        <v>2868</v>
      </c>
      <c r="F921" s="84">
        <v>80</v>
      </c>
      <c r="G921" s="84">
        <v>54</v>
      </c>
      <c r="H921" s="84">
        <v>75.5</v>
      </c>
      <c r="I921" s="84">
        <v>80</v>
      </c>
      <c r="J921" s="84">
        <v>56</v>
      </c>
      <c r="K921" s="84">
        <v>84</v>
      </c>
      <c r="L921" s="84">
        <v>64</v>
      </c>
      <c r="M921" s="84">
        <v>65</v>
      </c>
      <c r="N921" s="84">
        <v>62</v>
      </c>
      <c r="O921" s="5">
        <f t="shared" si="59"/>
        <v>429.5</v>
      </c>
      <c r="P921" s="6">
        <f t="shared" si="58"/>
        <v>33</v>
      </c>
      <c r="Q921" s="5">
        <f t="shared" si="60"/>
        <v>626</v>
      </c>
      <c r="R921" s="5">
        <v>411.5</v>
      </c>
      <c r="S921" s="5">
        <v>674</v>
      </c>
      <c r="T921" s="5">
        <f t="shared" si="61"/>
        <v>48</v>
      </c>
    </row>
    <row r="922" spans="1:20">
      <c r="A922" s="1" t="s">
        <v>2869</v>
      </c>
      <c r="B922" s="1" t="s">
        <v>3198</v>
      </c>
      <c r="C922" s="1" t="s">
        <v>38</v>
      </c>
      <c r="D922" s="1" t="s">
        <v>2870</v>
      </c>
      <c r="E922" s="1" t="s">
        <v>2871</v>
      </c>
      <c r="F922" s="84">
        <v>103</v>
      </c>
      <c r="G922" s="84">
        <v>81</v>
      </c>
      <c r="H922" s="84">
        <v>107</v>
      </c>
      <c r="I922" s="84">
        <v>82</v>
      </c>
      <c r="J922" s="84">
        <v>49</v>
      </c>
      <c r="K922" s="84">
        <v>73</v>
      </c>
      <c r="L922" s="84">
        <v>64</v>
      </c>
      <c r="M922" s="84">
        <v>75</v>
      </c>
      <c r="N922" s="84">
        <v>60</v>
      </c>
      <c r="O922" s="5">
        <f t="shared" si="59"/>
        <v>495</v>
      </c>
      <c r="P922" s="6">
        <f t="shared" si="58"/>
        <v>8</v>
      </c>
      <c r="Q922" s="5">
        <f t="shared" si="60"/>
        <v>266</v>
      </c>
      <c r="R922" s="5">
        <v>485</v>
      </c>
      <c r="S922" s="5">
        <v>286</v>
      </c>
      <c r="T922" s="5">
        <f t="shared" si="61"/>
        <v>20</v>
      </c>
    </row>
    <row r="923" spans="1:20">
      <c r="A923" s="1" t="s">
        <v>2872</v>
      </c>
      <c r="B923" s="1" t="s">
        <v>3198</v>
      </c>
      <c r="C923" s="1" t="s">
        <v>38</v>
      </c>
      <c r="D923" s="1" t="s">
        <v>2873</v>
      </c>
      <c r="E923" s="1" t="s">
        <v>2874</v>
      </c>
      <c r="F923" s="84">
        <v>89</v>
      </c>
      <c r="G923" s="84">
        <v>69</v>
      </c>
      <c r="H923" s="84">
        <v>85</v>
      </c>
      <c r="I923" s="84">
        <v>73</v>
      </c>
      <c r="J923" s="84">
        <v>79</v>
      </c>
      <c r="K923" s="84">
        <v>81</v>
      </c>
      <c r="L923" s="84">
        <v>70</v>
      </c>
      <c r="M923" s="84">
        <v>88</v>
      </c>
      <c r="N923" s="84">
        <v>68</v>
      </c>
      <c r="O923" s="5">
        <f t="shared" si="59"/>
        <v>476</v>
      </c>
      <c r="P923" s="6">
        <f t="shared" si="58"/>
        <v>12</v>
      </c>
      <c r="Q923" s="5">
        <f t="shared" si="60"/>
        <v>358</v>
      </c>
      <c r="R923" s="5">
        <v>458.5</v>
      </c>
      <c r="S923" s="5">
        <v>421</v>
      </c>
      <c r="T923" s="5">
        <f t="shared" si="61"/>
        <v>63</v>
      </c>
    </row>
    <row r="924" spans="1:20">
      <c r="A924" s="1" t="s">
        <v>2875</v>
      </c>
      <c r="B924" s="1" t="s">
        <v>3198</v>
      </c>
      <c r="C924" s="1" t="s">
        <v>38</v>
      </c>
      <c r="D924" s="1" t="s">
        <v>2876</v>
      </c>
      <c r="E924" s="1" t="s">
        <v>2877</v>
      </c>
      <c r="F924" s="84">
        <v>98</v>
      </c>
      <c r="G924" s="84">
        <v>71</v>
      </c>
      <c r="H924" s="84">
        <v>83</v>
      </c>
      <c r="I924" s="84">
        <v>52</v>
      </c>
      <c r="J924" s="84">
        <v>53</v>
      </c>
      <c r="K924" s="84">
        <v>57</v>
      </c>
      <c r="L924" s="84">
        <v>59</v>
      </c>
      <c r="M924" s="84">
        <v>63</v>
      </c>
      <c r="N924" s="84">
        <v>59</v>
      </c>
      <c r="O924" s="5">
        <f t="shared" si="59"/>
        <v>414</v>
      </c>
      <c r="P924" s="6">
        <f t="shared" si="58"/>
        <v>40</v>
      </c>
      <c r="Q924" s="5">
        <f t="shared" si="60"/>
        <v>701</v>
      </c>
      <c r="R924" s="5">
        <v>386</v>
      </c>
      <c r="S924" s="5">
        <v>782</v>
      </c>
      <c r="T924" s="5">
        <f t="shared" si="61"/>
        <v>81</v>
      </c>
    </row>
    <row r="925" spans="1:20">
      <c r="A925" s="1" t="s">
        <v>2878</v>
      </c>
      <c r="B925" s="1" t="s">
        <v>3198</v>
      </c>
      <c r="C925" s="1" t="s">
        <v>38</v>
      </c>
      <c r="D925" s="1" t="s">
        <v>2879</v>
      </c>
      <c r="E925" s="1" t="s">
        <v>2880</v>
      </c>
      <c r="F925" s="84">
        <v>93</v>
      </c>
      <c r="G925" s="84">
        <v>71</v>
      </c>
      <c r="H925" s="84">
        <v>132.5</v>
      </c>
      <c r="I925" s="84">
        <v>55</v>
      </c>
      <c r="J925" s="84">
        <v>40</v>
      </c>
      <c r="K925" s="84">
        <v>62</v>
      </c>
      <c r="L925" s="84">
        <v>76</v>
      </c>
      <c r="M925" s="84">
        <v>75</v>
      </c>
      <c r="N925" s="84">
        <v>42</v>
      </c>
      <c r="O925" s="5">
        <f t="shared" si="59"/>
        <v>453.5</v>
      </c>
      <c r="P925" s="6">
        <f t="shared" si="58"/>
        <v>21</v>
      </c>
      <c r="Q925" s="5">
        <f t="shared" si="60"/>
        <v>491</v>
      </c>
      <c r="R925" s="5">
        <v>380</v>
      </c>
      <c r="S925" s="5">
        <v>806</v>
      </c>
      <c r="T925" s="5">
        <f t="shared" si="61"/>
        <v>315</v>
      </c>
    </row>
    <row r="926" spans="1:20">
      <c r="A926" s="1" t="s">
        <v>2881</v>
      </c>
      <c r="B926" s="1" t="s">
        <v>3198</v>
      </c>
      <c r="C926" s="1" t="s">
        <v>38</v>
      </c>
      <c r="D926" s="1" t="s">
        <v>2882</v>
      </c>
      <c r="E926" s="1" t="s">
        <v>2883</v>
      </c>
      <c r="F926" s="84">
        <v>99</v>
      </c>
      <c r="G926" s="84">
        <v>81</v>
      </c>
      <c r="H926" s="84">
        <v>84</v>
      </c>
      <c r="I926" s="84">
        <v>64</v>
      </c>
      <c r="J926" s="84">
        <v>49</v>
      </c>
      <c r="K926" s="84">
        <v>76</v>
      </c>
      <c r="L926" s="84">
        <v>75</v>
      </c>
      <c r="M926" s="84">
        <v>72</v>
      </c>
      <c r="N926" s="84">
        <v>44</v>
      </c>
      <c r="O926" s="5">
        <f t="shared" si="59"/>
        <v>453</v>
      </c>
      <c r="P926" s="6">
        <f t="shared" si="58"/>
        <v>22</v>
      </c>
      <c r="Q926" s="5">
        <f t="shared" si="60"/>
        <v>498</v>
      </c>
      <c r="R926" s="5">
        <v>450.5</v>
      </c>
      <c r="S926" s="5">
        <v>462</v>
      </c>
      <c r="T926" s="5">
        <f t="shared" si="61"/>
        <v>-36</v>
      </c>
    </row>
    <row r="927" spans="1:20">
      <c r="A927" s="1" t="s">
        <v>2884</v>
      </c>
      <c r="B927" s="1" t="s">
        <v>3198</v>
      </c>
      <c r="C927" s="1" t="s">
        <v>38</v>
      </c>
      <c r="D927" s="1" t="s">
        <v>2885</v>
      </c>
      <c r="E927" s="1" t="s">
        <v>2886</v>
      </c>
      <c r="F927" s="84">
        <v>97</v>
      </c>
      <c r="G927" s="84">
        <v>49</v>
      </c>
      <c r="H927" s="84">
        <v>101.5</v>
      </c>
      <c r="I927" s="84">
        <v>63</v>
      </c>
      <c r="J927" s="84">
        <v>41</v>
      </c>
      <c r="K927" s="84">
        <v>63</v>
      </c>
      <c r="L927" s="84">
        <v>62</v>
      </c>
      <c r="M927" s="84">
        <v>58</v>
      </c>
      <c r="N927" s="84">
        <v>46</v>
      </c>
      <c r="O927" s="5">
        <f t="shared" si="59"/>
        <v>414.5</v>
      </c>
      <c r="P927" s="6">
        <f t="shared" si="58"/>
        <v>39</v>
      </c>
      <c r="Q927" s="5">
        <f t="shared" si="60"/>
        <v>694</v>
      </c>
      <c r="R927" s="5">
        <v>401.5</v>
      </c>
      <c r="S927" s="5">
        <v>722</v>
      </c>
      <c r="T927" s="5">
        <f t="shared" si="61"/>
        <v>28</v>
      </c>
    </row>
    <row r="928" spans="1:20">
      <c r="A928" s="1" t="s">
        <v>2887</v>
      </c>
      <c r="B928" s="1" t="s">
        <v>3198</v>
      </c>
      <c r="C928" s="1" t="s">
        <v>38</v>
      </c>
      <c r="D928" s="1" t="s">
        <v>2888</v>
      </c>
      <c r="E928" s="1" t="s">
        <v>2889</v>
      </c>
      <c r="F928" s="84">
        <v>85</v>
      </c>
      <c r="G928" s="84">
        <v>63</v>
      </c>
      <c r="H928" s="84">
        <v>94</v>
      </c>
      <c r="I928" s="84">
        <v>50</v>
      </c>
      <c r="J928" s="84">
        <v>47</v>
      </c>
      <c r="K928" s="84">
        <v>64</v>
      </c>
      <c r="L928" s="84">
        <v>66</v>
      </c>
      <c r="M928" s="84">
        <v>75</v>
      </c>
      <c r="N928" s="84">
        <v>43</v>
      </c>
      <c r="O928" s="5">
        <f t="shared" si="59"/>
        <v>403</v>
      </c>
      <c r="P928" s="6">
        <f t="shared" si="58"/>
        <v>45</v>
      </c>
      <c r="Q928" s="5">
        <f t="shared" si="60"/>
        <v>751</v>
      </c>
      <c r="R928" s="5">
        <v>445</v>
      </c>
      <c r="S928" s="5">
        <v>498</v>
      </c>
      <c r="T928" s="5">
        <f t="shared" si="61"/>
        <v>-253</v>
      </c>
    </row>
    <row r="929" spans="1:20">
      <c r="A929" s="1" t="s">
        <v>2890</v>
      </c>
      <c r="B929" s="1" t="s">
        <v>3198</v>
      </c>
      <c r="C929" s="1" t="s">
        <v>38</v>
      </c>
      <c r="D929" s="1" t="s">
        <v>2891</v>
      </c>
      <c r="E929" s="1" t="s">
        <v>2892</v>
      </c>
      <c r="F929" s="84">
        <v>97</v>
      </c>
      <c r="G929" s="84">
        <v>71</v>
      </c>
      <c r="H929" s="84">
        <v>111</v>
      </c>
      <c r="I929" s="84">
        <v>53</v>
      </c>
      <c r="J929" s="84">
        <v>47</v>
      </c>
      <c r="K929" s="84">
        <v>51</v>
      </c>
      <c r="L929" s="84">
        <v>60</v>
      </c>
      <c r="M929" s="84">
        <v>57</v>
      </c>
      <c r="N929" s="84">
        <v>52</v>
      </c>
      <c r="O929" s="5">
        <f t="shared" si="59"/>
        <v>430</v>
      </c>
      <c r="P929" s="6">
        <f t="shared" si="58"/>
        <v>32</v>
      </c>
      <c r="Q929" s="5">
        <f t="shared" si="60"/>
        <v>624</v>
      </c>
      <c r="R929" s="5">
        <v>437</v>
      </c>
      <c r="S929" s="5">
        <v>536</v>
      </c>
      <c r="T929" s="5">
        <f t="shared" si="61"/>
        <v>-88</v>
      </c>
    </row>
    <row r="930" spans="1:20">
      <c r="A930" s="1" t="s">
        <v>2893</v>
      </c>
      <c r="B930" s="1" t="s">
        <v>3198</v>
      </c>
      <c r="C930" s="1" t="s">
        <v>38</v>
      </c>
      <c r="D930" s="1" t="s">
        <v>2894</v>
      </c>
      <c r="E930" s="1" t="s">
        <v>203</v>
      </c>
      <c r="F930" s="84">
        <v>112</v>
      </c>
      <c r="G930" s="84">
        <v>70</v>
      </c>
      <c r="H930" s="84">
        <v>108.5</v>
      </c>
      <c r="I930" s="84">
        <v>69</v>
      </c>
      <c r="J930" s="84">
        <v>55</v>
      </c>
      <c r="K930" s="84">
        <v>69</v>
      </c>
      <c r="L930" s="84">
        <v>69</v>
      </c>
      <c r="M930" s="84">
        <v>75</v>
      </c>
      <c r="N930" s="84">
        <v>48</v>
      </c>
      <c r="O930" s="5">
        <f t="shared" si="59"/>
        <v>483.5</v>
      </c>
      <c r="P930" s="6">
        <f t="shared" si="58"/>
        <v>10</v>
      </c>
      <c r="Q930" s="5">
        <f t="shared" si="60"/>
        <v>319</v>
      </c>
      <c r="R930" s="5">
        <v>475.5</v>
      </c>
      <c r="S930" s="5">
        <v>323</v>
      </c>
      <c r="T930" s="5">
        <f t="shared" si="61"/>
        <v>4</v>
      </c>
    </row>
    <row r="931" spans="1:20">
      <c r="A931" s="1" t="s">
        <v>2895</v>
      </c>
      <c r="B931" s="1" t="s">
        <v>3198</v>
      </c>
      <c r="C931" s="1" t="s">
        <v>38</v>
      </c>
      <c r="D931" s="1" t="s">
        <v>2896</v>
      </c>
      <c r="E931" s="1" t="s">
        <v>2897</v>
      </c>
      <c r="F931" s="84">
        <v>108</v>
      </c>
      <c r="G931" s="84">
        <v>51</v>
      </c>
      <c r="H931" s="84">
        <v>95</v>
      </c>
      <c r="I931" s="84">
        <v>44</v>
      </c>
      <c r="J931" s="84">
        <v>31</v>
      </c>
      <c r="K931" s="84">
        <v>61</v>
      </c>
      <c r="L931" s="84">
        <v>63</v>
      </c>
      <c r="M931" s="84">
        <v>56</v>
      </c>
      <c r="N931" s="84">
        <v>44</v>
      </c>
      <c r="O931" s="5">
        <f t="shared" si="59"/>
        <v>390</v>
      </c>
      <c r="P931" s="6">
        <f t="shared" si="58"/>
        <v>49</v>
      </c>
      <c r="Q931" s="5">
        <f t="shared" si="60"/>
        <v>802</v>
      </c>
      <c r="R931" s="5">
        <v>384</v>
      </c>
      <c r="S931" s="5">
        <v>793</v>
      </c>
      <c r="T931" s="5">
        <f t="shared" si="61"/>
        <v>-9</v>
      </c>
    </row>
    <row r="932" spans="1:20">
      <c r="A932" s="1" t="s">
        <v>2898</v>
      </c>
      <c r="B932" s="1" t="s">
        <v>3198</v>
      </c>
      <c r="C932" s="1" t="s">
        <v>38</v>
      </c>
      <c r="D932" s="1" t="s">
        <v>2899</v>
      </c>
      <c r="E932" s="1" t="s">
        <v>193</v>
      </c>
      <c r="F932" s="84">
        <v>105</v>
      </c>
      <c r="G932" s="84">
        <v>99</v>
      </c>
      <c r="H932" s="84">
        <v>114</v>
      </c>
      <c r="I932" s="84">
        <v>95</v>
      </c>
      <c r="J932" s="84">
        <v>62</v>
      </c>
      <c r="K932" s="84">
        <v>83</v>
      </c>
      <c r="L932" s="84">
        <v>74</v>
      </c>
      <c r="M932" s="84">
        <v>66</v>
      </c>
      <c r="N932" s="84">
        <v>56</v>
      </c>
      <c r="O932" s="5">
        <f t="shared" si="59"/>
        <v>558</v>
      </c>
      <c r="P932" s="6">
        <f t="shared" si="58"/>
        <v>2</v>
      </c>
      <c r="Q932" s="5">
        <f t="shared" si="60"/>
        <v>71</v>
      </c>
      <c r="R932" s="5">
        <v>547.5</v>
      </c>
      <c r="S932" s="5">
        <v>68</v>
      </c>
      <c r="T932" s="5">
        <f t="shared" si="61"/>
        <v>-3</v>
      </c>
    </row>
    <row r="933" spans="1:20">
      <c r="A933" s="1" t="s">
        <v>2900</v>
      </c>
      <c r="B933" s="1" t="s">
        <v>3198</v>
      </c>
      <c r="C933" s="1" t="s">
        <v>38</v>
      </c>
      <c r="D933" s="1" t="s">
        <v>2901</v>
      </c>
      <c r="E933" s="1" t="s">
        <v>2902</v>
      </c>
      <c r="F933" s="84">
        <v>120</v>
      </c>
      <c r="G933" s="84">
        <v>68</v>
      </c>
      <c r="H933" s="84">
        <v>89.5</v>
      </c>
      <c r="I933" s="84">
        <v>47</v>
      </c>
      <c r="J933" s="84">
        <v>74</v>
      </c>
      <c r="K933" s="84">
        <v>82</v>
      </c>
      <c r="L933" s="84">
        <v>73</v>
      </c>
      <c r="M933" s="84">
        <v>70</v>
      </c>
      <c r="N933" s="84">
        <v>39</v>
      </c>
      <c r="O933" s="5">
        <f t="shared" si="59"/>
        <v>480.5</v>
      </c>
      <c r="P933" s="6">
        <f t="shared" si="58"/>
        <v>11</v>
      </c>
      <c r="Q933" s="5">
        <f t="shared" si="60"/>
        <v>336</v>
      </c>
      <c r="R933" s="1">
        <v>497.5</v>
      </c>
      <c r="S933" s="1">
        <v>223</v>
      </c>
      <c r="T933" s="5">
        <f t="shared" si="61"/>
        <v>-113</v>
      </c>
    </row>
    <row r="934" spans="1:20">
      <c r="A934" s="1" t="s">
        <v>2903</v>
      </c>
      <c r="B934" s="1" t="s">
        <v>3198</v>
      </c>
      <c r="C934" s="1" t="s">
        <v>38</v>
      </c>
      <c r="D934" s="1" t="s">
        <v>2904</v>
      </c>
      <c r="E934" s="1" t="s">
        <v>2905</v>
      </c>
      <c r="F934" s="84">
        <v>99</v>
      </c>
      <c r="G934" s="84">
        <v>30</v>
      </c>
      <c r="H934" s="84">
        <v>88.5</v>
      </c>
      <c r="I934" s="84">
        <v>33</v>
      </c>
      <c r="J934" s="84">
        <v>23</v>
      </c>
      <c r="K934" s="84">
        <v>52</v>
      </c>
      <c r="L934" s="84">
        <v>52</v>
      </c>
      <c r="M934" s="84">
        <v>63</v>
      </c>
      <c r="N934" s="84">
        <v>67</v>
      </c>
      <c r="O934" s="5">
        <f t="shared" si="59"/>
        <v>325.5</v>
      </c>
      <c r="P934" s="6">
        <f t="shared" si="58"/>
        <v>55</v>
      </c>
      <c r="Q934" s="5">
        <f t="shared" si="60"/>
        <v>916</v>
      </c>
      <c r="R934" s="1">
        <v>316.5</v>
      </c>
      <c r="S934" s="1">
        <v>917</v>
      </c>
      <c r="T934" s="5">
        <f t="shared" si="61"/>
        <v>1</v>
      </c>
    </row>
    <row r="935" spans="1:20">
      <c r="A935" s="1" t="s">
        <v>2906</v>
      </c>
      <c r="B935" s="1" t="s">
        <v>3198</v>
      </c>
      <c r="C935" s="1" t="s">
        <v>38</v>
      </c>
      <c r="D935" s="1" t="s">
        <v>2907</v>
      </c>
      <c r="E935" s="1" t="s">
        <v>2908</v>
      </c>
      <c r="F935" s="84">
        <v>103</v>
      </c>
      <c r="G935" s="84">
        <v>72</v>
      </c>
      <c r="H935" s="84">
        <v>84.5</v>
      </c>
      <c r="I935" s="84">
        <v>80</v>
      </c>
      <c r="J935" s="84">
        <v>57</v>
      </c>
      <c r="K935" s="84">
        <v>63</v>
      </c>
      <c r="L935" s="84">
        <v>67</v>
      </c>
      <c r="M935" s="84">
        <v>68</v>
      </c>
      <c r="N935" s="84">
        <v>49</v>
      </c>
      <c r="O935" s="5">
        <f t="shared" si="59"/>
        <v>459.5</v>
      </c>
      <c r="P935" s="6">
        <f t="shared" si="58"/>
        <v>18</v>
      </c>
      <c r="Q935" s="5">
        <f t="shared" si="60"/>
        <v>458</v>
      </c>
      <c r="R935" s="1">
        <v>449.5</v>
      </c>
      <c r="S935" s="1">
        <v>468</v>
      </c>
      <c r="T935" s="5">
        <f t="shared" si="61"/>
        <v>10</v>
      </c>
    </row>
    <row r="936" spans="1:20">
      <c r="A936" s="1">
        <v>20181080</v>
      </c>
      <c r="B936" s="1" t="s">
        <v>3198</v>
      </c>
      <c r="C936" s="1" t="s">
        <v>38</v>
      </c>
      <c r="D936" s="1" t="s">
        <v>2909</v>
      </c>
      <c r="E936" s="1" t="s">
        <v>2910</v>
      </c>
      <c r="F936" s="84">
        <v>89</v>
      </c>
      <c r="G936" s="84">
        <v>25</v>
      </c>
      <c r="H936" s="84">
        <v>28</v>
      </c>
      <c r="I936" s="84">
        <v>18</v>
      </c>
      <c r="J936" s="84">
        <v>13</v>
      </c>
      <c r="K936" s="84">
        <v>14</v>
      </c>
      <c r="L936" s="84">
        <v>48</v>
      </c>
      <c r="M936" s="84">
        <v>57</v>
      </c>
      <c r="N936" s="84">
        <v>24</v>
      </c>
      <c r="O936" s="5">
        <f t="shared" si="59"/>
        <v>187</v>
      </c>
      <c r="P936" s="6">
        <f t="shared" si="58"/>
        <v>56</v>
      </c>
      <c r="Q936" s="5">
        <f t="shared" si="60"/>
        <v>934</v>
      </c>
      <c r="R936" s="1">
        <v>151.5</v>
      </c>
      <c r="S936" s="1">
        <v>935</v>
      </c>
      <c r="T936" s="5">
        <f t="shared" si="61"/>
        <v>1</v>
      </c>
    </row>
    <row r="937" spans="1:20">
      <c r="A937" s="1" t="s">
        <v>2911</v>
      </c>
      <c r="B937" s="1" t="s">
        <v>3199</v>
      </c>
      <c r="C937" s="1" t="s">
        <v>12</v>
      </c>
      <c r="D937" s="1" t="s">
        <v>2912</v>
      </c>
      <c r="E937" s="1" t="s">
        <v>51</v>
      </c>
      <c r="F937" s="84">
        <v>119</v>
      </c>
      <c r="G937" s="84">
        <v>122</v>
      </c>
      <c r="H937" s="84">
        <v>120.5</v>
      </c>
      <c r="I937" s="84">
        <v>81</v>
      </c>
      <c r="J937" s="84">
        <v>77</v>
      </c>
      <c r="K937" s="84">
        <v>74</v>
      </c>
      <c r="L937" s="84">
        <v>45</v>
      </c>
      <c r="M937" s="84">
        <v>68</v>
      </c>
      <c r="N937" s="84">
        <v>57</v>
      </c>
      <c r="O937" s="5">
        <f t="shared" si="59"/>
        <v>593.5</v>
      </c>
      <c r="P937" s="6">
        <f>RANK(O937,$O$937:$O$982)</f>
        <v>5</v>
      </c>
      <c r="Q937" s="5">
        <f>RANK(O937,$O$937:$O$1070)</f>
        <v>5</v>
      </c>
      <c r="R937" s="1">
        <v>589</v>
      </c>
      <c r="S937" s="1">
        <v>7</v>
      </c>
      <c r="T937" s="5">
        <f t="shared" si="61"/>
        <v>2</v>
      </c>
    </row>
    <row r="938" spans="1:20">
      <c r="A938" s="1" t="s">
        <v>2913</v>
      </c>
      <c r="B938" s="1" t="s">
        <v>3199</v>
      </c>
      <c r="C938" s="1" t="s">
        <v>12</v>
      </c>
      <c r="D938" s="1" t="s">
        <v>2914</v>
      </c>
      <c r="E938" s="1" t="s">
        <v>37</v>
      </c>
      <c r="F938" s="84">
        <v>121</v>
      </c>
      <c r="G938" s="84">
        <v>104</v>
      </c>
      <c r="H938" s="84">
        <v>100.5</v>
      </c>
      <c r="I938" s="84">
        <v>75</v>
      </c>
      <c r="J938" s="84">
        <v>81</v>
      </c>
      <c r="K938" s="84">
        <v>67</v>
      </c>
      <c r="L938" s="84">
        <v>52</v>
      </c>
      <c r="M938" s="84">
        <v>71</v>
      </c>
      <c r="N938" s="84">
        <v>49</v>
      </c>
      <c r="O938" s="5">
        <f t="shared" si="59"/>
        <v>548.5</v>
      </c>
      <c r="P938" s="6">
        <f t="shared" ref="P938:P982" si="62">RANK(O938,$O$937:$O$982)</f>
        <v>23</v>
      </c>
      <c r="Q938" s="5">
        <f t="shared" ref="Q938:Q1001" si="63">RANK(O938,$O$937:$O$1070)</f>
        <v>24</v>
      </c>
      <c r="R938" s="1">
        <v>556</v>
      </c>
      <c r="S938" s="1">
        <v>22</v>
      </c>
      <c r="T938" s="5">
        <f t="shared" si="61"/>
        <v>-2</v>
      </c>
    </row>
    <row r="939" spans="1:20">
      <c r="A939" s="1" t="s">
        <v>3113</v>
      </c>
      <c r="B939" s="1" t="s">
        <v>3199</v>
      </c>
      <c r="C939" s="1" t="s">
        <v>12</v>
      </c>
      <c r="D939" s="1" t="s">
        <v>2916</v>
      </c>
      <c r="E939" s="1" t="s">
        <v>44</v>
      </c>
      <c r="F939" s="84">
        <v>109</v>
      </c>
      <c r="G939" s="84">
        <v>102</v>
      </c>
      <c r="H939" s="84">
        <v>98.5</v>
      </c>
      <c r="I939" s="84">
        <v>63</v>
      </c>
      <c r="J939" s="84">
        <v>72</v>
      </c>
      <c r="K939" s="84">
        <v>75</v>
      </c>
      <c r="L939" s="84">
        <v>68</v>
      </c>
      <c r="M939" s="84">
        <v>75</v>
      </c>
      <c r="N939" s="84">
        <v>62</v>
      </c>
      <c r="O939" s="5">
        <f t="shared" si="59"/>
        <v>519.5</v>
      </c>
      <c r="P939" s="6">
        <f t="shared" si="62"/>
        <v>37</v>
      </c>
      <c r="Q939" s="5">
        <f t="shared" si="63"/>
        <v>43</v>
      </c>
      <c r="R939" s="1">
        <v>527</v>
      </c>
      <c r="S939" s="1">
        <v>37</v>
      </c>
      <c r="T939" s="5">
        <f t="shared" si="61"/>
        <v>-6</v>
      </c>
    </row>
    <row r="940" spans="1:20">
      <c r="A940" s="1" t="s">
        <v>2923</v>
      </c>
      <c r="B940" s="1" t="s">
        <v>3199</v>
      </c>
      <c r="C940" s="1" t="s">
        <v>12</v>
      </c>
      <c r="D940" s="1" t="s">
        <v>3258</v>
      </c>
      <c r="E940" s="1" t="s">
        <v>2925</v>
      </c>
      <c r="F940" s="84">
        <v>114</v>
      </c>
      <c r="G940" s="84">
        <v>110</v>
      </c>
      <c r="H940" s="84">
        <v>110</v>
      </c>
      <c r="I940" s="84">
        <v>73</v>
      </c>
      <c r="J940" s="84">
        <v>79</v>
      </c>
      <c r="K940" s="84">
        <v>74</v>
      </c>
      <c r="L940" s="84">
        <v>40</v>
      </c>
      <c r="M940" s="84">
        <v>49</v>
      </c>
      <c r="N940" s="84">
        <v>41</v>
      </c>
      <c r="O940" s="5">
        <f t="shared" si="59"/>
        <v>560</v>
      </c>
      <c r="P940" s="6">
        <f t="shared" si="62"/>
        <v>16</v>
      </c>
      <c r="Q940" s="5">
        <f t="shared" si="63"/>
        <v>17</v>
      </c>
      <c r="R940" s="1">
        <v>557</v>
      </c>
      <c r="S940" s="1">
        <v>21</v>
      </c>
      <c r="T940" s="5">
        <f t="shared" si="61"/>
        <v>4</v>
      </c>
    </row>
    <row r="941" spans="1:20">
      <c r="A941" s="1" t="s">
        <v>2920</v>
      </c>
      <c r="B941" s="1" t="s">
        <v>3199</v>
      </c>
      <c r="C941" s="1" t="s">
        <v>12</v>
      </c>
      <c r="D941" s="1" t="s">
        <v>2919</v>
      </c>
      <c r="E941" s="1" t="s">
        <v>2922</v>
      </c>
      <c r="F941" s="84">
        <v>102</v>
      </c>
      <c r="G941" s="84">
        <v>101</v>
      </c>
      <c r="H941" s="84">
        <v>105.5</v>
      </c>
      <c r="I941" s="84">
        <v>74</v>
      </c>
      <c r="J941" s="84">
        <v>62</v>
      </c>
      <c r="K941" s="84">
        <v>69</v>
      </c>
      <c r="L941" s="84">
        <v>35</v>
      </c>
      <c r="M941" s="84">
        <v>68</v>
      </c>
      <c r="N941" s="84">
        <v>43</v>
      </c>
      <c r="O941" s="5">
        <f t="shared" si="59"/>
        <v>513.5</v>
      </c>
      <c r="P941" s="6">
        <f t="shared" si="62"/>
        <v>40</v>
      </c>
      <c r="Q941" s="5">
        <f t="shared" si="63"/>
        <v>49</v>
      </c>
      <c r="R941" s="1">
        <v>512</v>
      </c>
      <c r="S941" s="1">
        <v>49</v>
      </c>
      <c r="T941" s="5">
        <f t="shared" si="61"/>
        <v>0</v>
      </c>
    </row>
    <row r="942" spans="1:20">
      <c r="A942" s="1" t="s">
        <v>1652</v>
      </c>
      <c r="B942" s="1" t="s">
        <v>3199</v>
      </c>
      <c r="C942" s="1" t="s">
        <v>12</v>
      </c>
      <c r="D942" s="1" t="s">
        <v>2921</v>
      </c>
      <c r="E942" s="1" t="s">
        <v>1653</v>
      </c>
      <c r="F942" s="84">
        <v>108</v>
      </c>
      <c r="G942" s="84">
        <v>97</v>
      </c>
      <c r="H942" s="84">
        <v>99</v>
      </c>
      <c r="I942" s="84">
        <v>73</v>
      </c>
      <c r="J942" s="84">
        <v>74</v>
      </c>
      <c r="K942" s="84">
        <v>66</v>
      </c>
      <c r="L942" s="84">
        <v>49</v>
      </c>
      <c r="M942" s="84">
        <v>71</v>
      </c>
      <c r="N942" s="84">
        <v>52</v>
      </c>
      <c r="O942" s="5">
        <f t="shared" si="59"/>
        <v>517</v>
      </c>
      <c r="P942" s="6">
        <f t="shared" si="62"/>
        <v>39</v>
      </c>
      <c r="Q942" s="5">
        <f t="shared" si="63"/>
        <v>45</v>
      </c>
      <c r="R942" s="1">
        <v>518.5</v>
      </c>
      <c r="S942" s="1">
        <v>42</v>
      </c>
      <c r="T942" s="5">
        <f t="shared" si="61"/>
        <v>-3</v>
      </c>
    </row>
    <row r="943" spans="1:20">
      <c r="A943" s="1" t="s">
        <v>2929</v>
      </c>
      <c r="B943" s="1" t="s">
        <v>3199</v>
      </c>
      <c r="C943" s="1" t="s">
        <v>12</v>
      </c>
      <c r="D943" s="1" t="s">
        <v>2924</v>
      </c>
      <c r="E943" s="1" t="s">
        <v>81</v>
      </c>
      <c r="F943" s="84">
        <v>112</v>
      </c>
      <c r="G943" s="84">
        <v>105</v>
      </c>
      <c r="H943" s="84">
        <v>101</v>
      </c>
      <c r="I943" s="84">
        <v>69</v>
      </c>
      <c r="J943" s="84">
        <v>62</v>
      </c>
      <c r="K943" s="84">
        <v>61</v>
      </c>
      <c r="L943" s="84">
        <v>46</v>
      </c>
      <c r="M943" s="84">
        <v>60</v>
      </c>
      <c r="N943" s="84">
        <v>51</v>
      </c>
      <c r="O943" s="5">
        <f t="shared" si="59"/>
        <v>510</v>
      </c>
      <c r="P943" s="6">
        <f t="shared" si="62"/>
        <v>41</v>
      </c>
      <c r="Q943" s="5">
        <f t="shared" si="63"/>
        <v>50</v>
      </c>
      <c r="R943" s="1">
        <v>547</v>
      </c>
      <c r="S943" s="1">
        <v>26</v>
      </c>
      <c r="T943" s="5">
        <f t="shared" si="61"/>
        <v>-24</v>
      </c>
    </row>
    <row r="944" spans="1:20">
      <c r="A944" s="1" t="s">
        <v>2933</v>
      </c>
      <c r="B944" s="1" t="s">
        <v>3199</v>
      </c>
      <c r="C944" s="1" t="s">
        <v>12</v>
      </c>
      <c r="D944" s="1" t="s">
        <v>2927</v>
      </c>
      <c r="E944" s="1" t="s">
        <v>64</v>
      </c>
      <c r="F944" s="84">
        <v>109</v>
      </c>
      <c r="G944" s="84">
        <v>100</v>
      </c>
      <c r="H944" s="84">
        <v>114</v>
      </c>
      <c r="I944" s="84">
        <v>80</v>
      </c>
      <c r="J944" s="84">
        <v>81</v>
      </c>
      <c r="K944" s="84">
        <v>82</v>
      </c>
      <c r="L944" s="84">
        <v>42</v>
      </c>
      <c r="M944" s="84">
        <v>66</v>
      </c>
      <c r="N944" s="84">
        <v>45</v>
      </c>
      <c r="O944" s="5">
        <f t="shared" si="59"/>
        <v>566</v>
      </c>
      <c r="P944" s="6">
        <f t="shared" si="62"/>
        <v>13</v>
      </c>
      <c r="Q944" s="5">
        <f t="shared" si="63"/>
        <v>14</v>
      </c>
      <c r="R944" s="1">
        <v>570.5</v>
      </c>
      <c r="S944" s="1">
        <v>14</v>
      </c>
      <c r="T944" s="5">
        <f t="shared" si="61"/>
        <v>0</v>
      </c>
    </row>
    <row r="945" spans="1:20">
      <c r="A945" s="1" t="s">
        <v>2941</v>
      </c>
      <c r="B945" s="1" t="s">
        <v>3199</v>
      </c>
      <c r="C945" s="1" t="s">
        <v>12</v>
      </c>
      <c r="D945" s="1" t="s">
        <v>2930</v>
      </c>
      <c r="E945" s="1" t="s">
        <v>99</v>
      </c>
      <c r="F945" s="84">
        <v>120</v>
      </c>
      <c r="G945" s="84">
        <v>108</v>
      </c>
      <c r="H945" s="84">
        <v>95.5</v>
      </c>
      <c r="I945" s="84">
        <v>77</v>
      </c>
      <c r="J945" s="84">
        <v>78</v>
      </c>
      <c r="K945" s="84">
        <v>77</v>
      </c>
      <c r="L945" s="84">
        <v>42</v>
      </c>
      <c r="M945" s="84">
        <v>69</v>
      </c>
      <c r="N945" s="84">
        <v>43</v>
      </c>
      <c r="O945" s="5">
        <f t="shared" si="59"/>
        <v>555.5</v>
      </c>
      <c r="P945" s="6">
        <f t="shared" si="62"/>
        <v>19</v>
      </c>
      <c r="Q945" s="5">
        <f t="shared" si="63"/>
        <v>20</v>
      </c>
      <c r="R945" s="1">
        <v>543.5</v>
      </c>
      <c r="S945" s="1">
        <v>28</v>
      </c>
      <c r="T945" s="5">
        <f t="shared" si="61"/>
        <v>8</v>
      </c>
    </row>
    <row r="946" spans="1:20">
      <c r="A946" s="1" t="s">
        <v>2943</v>
      </c>
      <c r="B946" s="1" t="s">
        <v>3199</v>
      </c>
      <c r="C946" s="1" t="s">
        <v>12</v>
      </c>
      <c r="D946" s="1" t="s">
        <v>2932</v>
      </c>
      <c r="E946" s="1" t="s">
        <v>70</v>
      </c>
      <c r="F946" s="84">
        <v>108</v>
      </c>
      <c r="G946" s="84">
        <v>105</v>
      </c>
      <c r="H946" s="84">
        <v>128</v>
      </c>
      <c r="I946" s="84">
        <v>71</v>
      </c>
      <c r="J946" s="84">
        <v>66</v>
      </c>
      <c r="K946" s="84">
        <v>67</v>
      </c>
      <c r="L946" s="84">
        <v>32</v>
      </c>
      <c r="M946" s="84">
        <v>42</v>
      </c>
      <c r="N946" s="84">
        <v>32</v>
      </c>
      <c r="O946" s="5">
        <f t="shared" si="59"/>
        <v>545</v>
      </c>
      <c r="P946" s="6">
        <f t="shared" si="62"/>
        <v>25</v>
      </c>
      <c r="Q946" s="5">
        <f t="shared" si="63"/>
        <v>27</v>
      </c>
      <c r="R946" s="1">
        <v>567.5</v>
      </c>
      <c r="S946" s="1">
        <v>17</v>
      </c>
      <c r="T946" s="5">
        <f t="shared" si="61"/>
        <v>-10</v>
      </c>
    </row>
    <row r="947" spans="1:20">
      <c r="A947" s="1" t="s">
        <v>2945</v>
      </c>
      <c r="B947" s="1" t="s">
        <v>3199</v>
      </c>
      <c r="C947" s="1" t="s">
        <v>12</v>
      </c>
      <c r="D947" s="1" t="s">
        <v>2934</v>
      </c>
      <c r="E947" s="1" t="s">
        <v>2946</v>
      </c>
      <c r="F947" s="84">
        <v>102</v>
      </c>
      <c r="G947" s="84">
        <v>109</v>
      </c>
      <c r="H947" s="84">
        <v>114</v>
      </c>
      <c r="I947" s="84">
        <v>74</v>
      </c>
      <c r="J947" s="84">
        <v>81</v>
      </c>
      <c r="K947" s="84">
        <v>65</v>
      </c>
      <c r="L947" s="84">
        <v>32</v>
      </c>
      <c r="M947" s="84">
        <v>65</v>
      </c>
      <c r="N947" s="84">
        <v>37</v>
      </c>
      <c r="O947" s="5">
        <f t="shared" si="59"/>
        <v>545</v>
      </c>
      <c r="P947" s="6">
        <f t="shared" si="62"/>
        <v>25</v>
      </c>
      <c r="Q947" s="5">
        <f t="shared" si="63"/>
        <v>27</v>
      </c>
      <c r="R947" s="1">
        <v>530.5</v>
      </c>
      <c r="S947" s="1">
        <v>36</v>
      </c>
      <c r="T947" s="5">
        <f t="shared" si="61"/>
        <v>9</v>
      </c>
    </row>
    <row r="948" spans="1:20">
      <c r="A948" s="1" t="s">
        <v>2947</v>
      </c>
      <c r="B948" s="1" t="s">
        <v>3199</v>
      </c>
      <c r="C948" s="1" t="s">
        <v>12</v>
      </c>
      <c r="D948" s="1" t="s">
        <v>2936</v>
      </c>
      <c r="E948" s="1" t="s">
        <v>14</v>
      </c>
      <c r="F948" s="84">
        <v>118</v>
      </c>
      <c r="G948" s="84">
        <v>112</v>
      </c>
      <c r="H948" s="84">
        <v>110.5</v>
      </c>
      <c r="I948" s="84">
        <v>89</v>
      </c>
      <c r="J948" s="84">
        <v>79</v>
      </c>
      <c r="K948" s="84">
        <v>65</v>
      </c>
      <c r="L948" s="84">
        <v>44</v>
      </c>
      <c r="M948" s="84">
        <v>72</v>
      </c>
      <c r="N948" s="84">
        <v>54</v>
      </c>
      <c r="O948" s="5">
        <f t="shared" si="59"/>
        <v>573.5</v>
      </c>
      <c r="P948" s="6">
        <f t="shared" si="62"/>
        <v>10</v>
      </c>
      <c r="Q948" s="5">
        <f t="shared" si="63"/>
        <v>11</v>
      </c>
      <c r="R948" s="1">
        <v>598.5</v>
      </c>
      <c r="S948" s="1">
        <v>5</v>
      </c>
      <c r="T948" s="5">
        <f t="shared" si="61"/>
        <v>-6</v>
      </c>
    </row>
    <row r="949" spans="1:20">
      <c r="A949" s="1" t="s">
        <v>2949</v>
      </c>
      <c r="B949" s="1" t="s">
        <v>3199</v>
      </c>
      <c r="C949" s="1" t="s">
        <v>12</v>
      </c>
      <c r="D949" s="1" t="s">
        <v>2939</v>
      </c>
      <c r="E949" s="1" t="s">
        <v>84</v>
      </c>
      <c r="F949" s="84">
        <v>107</v>
      </c>
      <c r="G949" s="84">
        <v>108</v>
      </c>
      <c r="H949" s="84">
        <v>109.5</v>
      </c>
      <c r="I949" s="84">
        <v>70</v>
      </c>
      <c r="J949" s="84">
        <v>76</v>
      </c>
      <c r="K949" s="84">
        <v>82</v>
      </c>
      <c r="L949" s="84">
        <v>47</v>
      </c>
      <c r="M949" s="84">
        <v>62</v>
      </c>
      <c r="N949" s="84">
        <v>43</v>
      </c>
      <c r="O949" s="5">
        <f t="shared" si="59"/>
        <v>552.5</v>
      </c>
      <c r="P949" s="6">
        <f t="shared" si="62"/>
        <v>20</v>
      </c>
      <c r="Q949" s="5">
        <f t="shared" si="63"/>
        <v>21</v>
      </c>
      <c r="R949" s="1">
        <v>589.5</v>
      </c>
      <c r="S949" s="1">
        <v>6</v>
      </c>
      <c r="T949" s="5">
        <f t="shared" si="61"/>
        <v>-15</v>
      </c>
    </row>
    <row r="950" spans="1:20">
      <c r="A950" s="1" t="s">
        <v>2954</v>
      </c>
      <c r="B950" s="1" t="s">
        <v>3199</v>
      </c>
      <c r="C950" s="1" t="s">
        <v>12</v>
      </c>
      <c r="D950" s="1" t="s">
        <v>2942</v>
      </c>
      <c r="E950" s="4" t="s">
        <v>79</v>
      </c>
      <c r="F950" s="84">
        <v>108</v>
      </c>
      <c r="G950" s="84">
        <v>114</v>
      </c>
      <c r="H950" s="84">
        <v>124.5</v>
      </c>
      <c r="I950" s="84">
        <v>75</v>
      </c>
      <c r="J950" s="84">
        <v>87</v>
      </c>
      <c r="K950" s="84">
        <v>73</v>
      </c>
      <c r="L950" s="84">
        <v>59</v>
      </c>
      <c r="M950" s="84">
        <v>76</v>
      </c>
      <c r="N950" s="84">
        <v>53</v>
      </c>
      <c r="O950" s="5">
        <f t="shared" si="59"/>
        <v>581.5</v>
      </c>
      <c r="P950" s="6">
        <f t="shared" si="62"/>
        <v>7</v>
      </c>
      <c r="Q950" s="5">
        <f t="shared" si="63"/>
        <v>8</v>
      </c>
      <c r="R950" s="5">
        <v>565.5</v>
      </c>
      <c r="S950" s="5">
        <v>18</v>
      </c>
      <c r="T950" s="5">
        <f t="shared" si="61"/>
        <v>10</v>
      </c>
    </row>
    <row r="951" spans="1:20">
      <c r="A951" s="1" t="s">
        <v>2958</v>
      </c>
      <c r="B951" s="1" t="s">
        <v>3199</v>
      </c>
      <c r="C951" s="1" t="s">
        <v>12</v>
      </c>
      <c r="D951" s="1" t="s">
        <v>2944</v>
      </c>
      <c r="E951" s="1" t="s">
        <v>36</v>
      </c>
      <c r="F951" s="84">
        <v>116</v>
      </c>
      <c r="G951" s="84">
        <v>116</v>
      </c>
      <c r="H951" s="84">
        <v>116</v>
      </c>
      <c r="I951" s="84">
        <v>76</v>
      </c>
      <c r="J951" s="84">
        <v>80</v>
      </c>
      <c r="K951" s="84">
        <v>76</v>
      </c>
      <c r="L951" s="84">
        <v>46</v>
      </c>
      <c r="M951" s="84">
        <v>60</v>
      </c>
      <c r="N951" s="84">
        <v>51</v>
      </c>
      <c r="O951" s="5">
        <f t="shared" si="59"/>
        <v>580</v>
      </c>
      <c r="P951" s="6">
        <f t="shared" si="62"/>
        <v>8</v>
      </c>
      <c r="Q951" s="5">
        <f t="shared" si="63"/>
        <v>9</v>
      </c>
      <c r="R951" s="1">
        <v>562.5</v>
      </c>
      <c r="S951" s="1">
        <v>19</v>
      </c>
      <c r="T951" s="5">
        <f t="shared" si="61"/>
        <v>10</v>
      </c>
    </row>
    <row r="952" spans="1:20">
      <c r="A952" s="1" t="s">
        <v>1563</v>
      </c>
      <c r="B952" s="1" t="s">
        <v>3199</v>
      </c>
      <c r="C952" s="1" t="s">
        <v>12</v>
      </c>
      <c r="D952" s="1" t="s">
        <v>3296</v>
      </c>
      <c r="E952" s="1" t="s">
        <v>94</v>
      </c>
      <c r="F952" s="84">
        <v>122</v>
      </c>
      <c r="G952" s="84">
        <v>115</v>
      </c>
      <c r="H952" s="84">
        <v>121</v>
      </c>
      <c r="I952" s="84">
        <v>77</v>
      </c>
      <c r="J952" s="84">
        <v>89</v>
      </c>
      <c r="K952" s="84">
        <v>77</v>
      </c>
      <c r="L952" s="84">
        <v>69</v>
      </c>
      <c r="M952" s="84">
        <v>83</v>
      </c>
      <c r="N952" s="84">
        <v>63</v>
      </c>
      <c r="O952" s="5">
        <f t="shared" si="59"/>
        <v>601</v>
      </c>
      <c r="P952" s="6">
        <f t="shared" si="62"/>
        <v>3</v>
      </c>
      <c r="Q952" s="5">
        <f t="shared" si="63"/>
        <v>3</v>
      </c>
      <c r="R952" s="1">
        <v>588.5</v>
      </c>
      <c r="S952" s="1">
        <v>8</v>
      </c>
      <c r="T952" s="5">
        <f t="shared" si="61"/>
        <v>5</v>
      </c>
    </row>
    <row r="953" spans="1:20">
      <c r="A953" s="1" t="s">
        <v>2960</v>
      </c>
      <c r="B953" s="1" t="s">
        <v>3199</v>
      </c>
      <c r="C953" s="1" t="s">
        <v>12</v>
      </c>
      <c r="D953" s="1" t="s">
        <v>2948</v>
      </c>
      <c r="E953" s="1" t="s">
        <v>32</v>
      </c>
      <c r="F953" s="84">
        <v>102</v>
      </c>
      <c r="G953" s="84">
        <v>110</v>
      </c>
      <c r="H953" s="84">
        <v>114.5</v>
      </c>
      <c r="I953" s="84">
        <v>67</v>
      </c>
      <c r="J953" s="84">
        <v>68</v>
      </c>
      <c r="K953" s="84">
        <v>67</v>
      </c>
      <c r="L953" s="84">
        <v>40</v>
      </c>
      <c r="M953" s="84">
        <v>63</v>
      </c>
      <c r="N953" s="84">
        <v>43</v>
      </c>
      <c r="O953" s="5">
        <f t="shared" si="59"/>
        <v>528.5</v>
      </c>
      <c r="P953" s="6">
        <f t="shared" si="62"/>
        <v>33</v>
      </c>
      <c r="Q953" s="5">
        <f t="shared" si="63"/>
        <v>35</v>
      </c>
      <c r="R953" s="1">
        <v>571</v>
      </c>
      <c r="S953" s="1">
        <v>13</v>
      </c>
      <c r="T953" s="5">
        <f t="shared" si="61"/>
        <v>-22</v>
      </c>
    </row>
    <row r="954" spans="1:20">
      <c r="A954" s="1" t="s">
        <v>2962</v>
      </c>
      <c r="B954" s="1" t="s">
        <v>3199</v>
      </c>
      <c r="C954" s="1" t="s">
        <v>12</v>
      </c>
      <c r="D954" s="1" t="s">
        <v>2950</v>
      </c>
      <c r="E954" s="1" t="s">
        <v>92</v>
      </c>
      <c r="F954" s="84">
        <v>108</v>
      </c>
      <c r="G954" s="84">
        <v>133</v>
      </c>
      <c r="H954" s="84">
        <v>106</v>
      </c>
      <c r="I954" s="84">
        <v>71</v>
      </c>
      <c r="J954" s="84">
        <v>70</v>
      </c>
      <c r="K954" s="84">
        <v>76</v>
      </c>
      <c r="L954" s="84">
        <v>38</v>
      </c>
      <c r="M954" s="84">
        <v>48</v>
      </c>
      <c r="N954" s="84">
        <v>49</v>
      </c>
      <c r="O954" s="5">
        <f t="shared" si="59"/>
        <v>564</v>
      </c>
      <c r="P954" s="6">
        <f t="shared" si="62"/>
        <v>14</v>
      </c>
      <c r="Q954" s="5">
        <f t="shared" si="63"/>
        <v>15</v>
      </c>
      <c r="R954" s="1">
        <v>535.5</v>
      </c>
      <c r="S954" s="1">
        <v>32</v>
      </c>
      <c r="T954" s="5">
        <f t="shared" si="61"/>
        <v>17</v>
      </c>
    </row>
    <row r="955" spans="1:20">
      <c r="A955" s="1" t="s">
        <v>2964</v>
      </c>
      <c r="B955" s="1" t="s">
        <v>3199</v>
      </c>
      <c r="C955" s="1" t="s">
        <v>12</v>
      </c>
      <c r="D955" s="1" t="s">
        <v>2952</v>
      </c>
      <c r="E955" s="1" t="s">
        <v>59</v>
      </c>
      <c r="F955" s="84">
        <v>110</v>
      </c>
      <c r="G955" s="84">
        <v>100</v>
      </c>
      <c r="H955" s="84">
        <v>111</v>
      </c>
      <c r="I955" s="84">
        <v>67</v>
      </c>
      <c r="J955" s="84">
        <v>72</v>
      </c>
      <c r="K955" s="84">
        <v>77</v>
      </c>
      <c r="L955" s="84">
        <v>42</v>
      </c>
      <c r="M955" s="84">
        <v>50</v>
      </c>
      <c r="N955" s="84">
        <v>39</v>
      </c>
      <c r="O955" s="5">
        <f t="shared" si="59"/>
        <v>537</v>
      </c>
      <c r="P955" s="6">
        <f t="shared" si="62"/>
        <v>28</v>
      </c>
      <c r="Q955" s="5">
        <f t="shared" si="63"/>
        <v>30</v>
      </c>
      <c r="R955" s="1">
        <v>575.5</v>
      </c>
      <c r="S955" s="1">
        <v>11</v>
      </c>
      <c r="T955" s="5">
        <f t="shared" si="61"/>
        <v>-19</v>
      </c>
    </row>
    <row r="956" spans="1:20">
      <c r="A956" s="1" t="s">
        <v>2966</v>
      </c>
      <c r="B956" s="1" t="s">
        <v>3199</v>
      </c>
      <c r="C956" s="1" t="s">
        <v>12</v>
      </c>
      <c r="D956" s="1" t="s">
        <v>2955</v>
      </c>
      <c r="E956" s="1" t="s">
        <v>127</v>
      </c>
      <c r="F956" s="84">
        <v>117</v>
      </c>
      <c r="G956" s="84">
        <v>93</v>
      </c>
      <c r="H956" s="84">
        <v>108.5</v>
      </c>
      <c r="I956" s="84">
        <v>79</v>
      </c>
      <c r="J956" s="84">
        <v>77</v>
      </c>
      <c r="K956" s="84">
        <v>71</v>
      </c>
      <c r="L956" s="84">
        <v>37</v>
      </c>
      <c r="M956" s="84">
        <v>60</v>
      </c>
      <c r="N956" s="84">
        <v>53</v>
      </c>
      <c r="O956" s="5">
        <f t="shared" si="59"/>
        <v>545.5</v>
      </c>
      <c r="P956" s="6">
        <f t="shared" si="62"/>
        <v>24</v>
      </c>
      <c r="Q956" s="5">
        <f t="shared" si="63"/>
        <v>26</v>
      </c>
      <c r="R956" s="1">
        <v>570</v>
      </c>
      <c r="S956" s="1">
        <v>15</v>
      </c>
      <c r="T956" s="5">
        <f t="shared" si="61"/>
        <v>-11</v>
      </c>
    </row>
    <row r="957" spans="1:20">
      <c r="A957" s="1" t="s">
        <v>2968</v>
      </c>
      <c r="B957" s="1" t="s">
        <v>3199</v>
      </c>
      <c r="C957" s="1" t="s">
        <v>12</v>
      </c>
      <c r="D957" s="1" t="s">
        <v>2957</v>
      </c>
      <c r="E957" s="1" t="s">
        <v>124</v>
      </c>
      <c r="F957" s="84">
        <v>100</v>
      </c>
      <c r="G957" s="84">
        <v>121</v>
      </c>
      <c r="H957" s="84">
        <v>88</v>
      </c>
      <c r="I957" s="84">
        <v>62</v>
      </c>
      <c r="J957" s="84">
        <v>79</v>
      </c>
      <c r="K957" s="84">
        <v>80</v>
      </c>
      <c r="L957" s="84">
        <v>51</v>
      </c>
      <c r="M957" s="84">
        <v>64</v>
      </c>
      <c r="N957" s="84">
        <v>61</v>
      </c>
      <c r="O957" s="5">
        <f t="shared" si="59"/>
        <v>530</v>
      </c>
      <c r="P957" s="6">
        <f t="shared" si="62"/>
        <v>32</v>
      </c>
      <c r="Q957" s="5">
        <f t="shared" si="63"/>
        <v>34</v>
      </c>
      <c r="R957" s="1">
        <v>513</v>
      </c>
      <c r="S957" s="1">
        <v>48</v>
      </c>
      <c r="T957" s="5">
        <f t="shared" si="61"/>
        <v>14</v>
      </c>
    </row>
    <row r="958" spans="1:20">
      <c r="A958" s="1" t="s">
        <v>2970</v>
      </c>
      <c r="B958" s="1" t="s">
        <v>3199</v>
      </c>
      <c r="C958" s="1" t="s">
        <v>12</v>
      </c>
      <c r="D958" s="1" t="s">
        <v>2959</v>
      </c>
      <c r="E958" s="1" t="s">
        <v>88</v>
      </c>
      <c r="F958" s="84">
        <v>101</v>
      </c>
      <c r="G958" s="84">
        <v>113</v>
      </c>
      <c r="H958" s="84">
        <v>81.5</v>
      </c>
      <c r="I958" s="84">
        <v>69</v>
      </c>
      <c r="J958" s="84">
        <v>66</v>
      </c>
      <c r="K958" s="84">
        <v>68</v>
      </c>
      <c r="L958" s="84">
        <v>48</v>
      </c>
      <c r="M958" s="84">
        <v>66</v>
      </c>
      <c r="N958" s="84">
        <v>58</v>
      </c>
      <c r="O958" s="5">
        <f t="shared" si="59"/>
        <v>498.5</v>
      </c>
      <c r="P958" s="6">
        <f t="shared" si="62"/>
        <v>43</v>
      </c>
      <c r="Q958" s="5">
        <f t="shared" si="63"/>
        <v>52</v>
      </c>
      <c r="R958" s="1">
        <v>527</v>
      </c>
      <c r="S958" s="1">
        <v>37</v>
      </c>
      <c r="T958" s="5">
        <f t="shared" si="61"/>
        <v>-15</v>
      </c>
    </row>
    <row r="959" spans="1:20">
      <c r="A959" s="1" t="s">
        <v>2974</v>
      </c>
      <c r="B959" s="1" t="s">
        <v>3199</v>
      </c>
      <c r="C959" s="1" t="s">
        <v>12</v>
      </c>
      <c r="D959" s="1" t="s">
        <v>2961</v>
      </c>
      <c r="E959" s="1" t="s">
        <v>142</v>
      </c>
      <c r="F959" s="84">
        <v>104</v>
      </c>
      <c r="G959" s="84">
        <v>83</v>
      </c>
      <c r="H959" s="84">
        <v>103.5</v>
      </c>
      <c r="I959" s="84">
        <v>68</v>
      </c>
      <c r="J959" s="84">
        <v>64</v>
      </c>
      <c r="K959" s="84">
        <v>61</v>
      </c>
      <c r="L959" s="84">
        <v>50</v>
      </c>
      <c r="M959" s="84">
        <v>59</v>
      </c>
      <c r="N959" s="84">
        <v>41</v>
      </c>
      <c r="O959" s="5">
        <f t="shared" si="59"/>
        <v>483.5</v>
      </c>
      <c r="P959" s="6">
        <f t="shared" si="62"/>
        <v>45</v>
      </c>
      <c r="Q959" s="5">
        <f t="shared" si="63"/>
        <v>67</v>
      </c>
      <c r="R959" s="1">
        <v>471</v>
      </c>
      <c r="S959" s="1">
        <v>83</v>
      </c>
      <c r="T959" s="5">
        <f t="shared" si="61"/>
        <v>16</v>
      </c>
    </row>
    <row r="960" spans="1:20">
      <c r="A960" s="1" t="s">
        <v>2976</v>
      </c>
      <c r="B960" s="1" t="s">
        <v>3199</v>
      </c>
      <c r="C960" s="1" t="s">
        <v>12</v>
      </c>
      <c r="D960" s="1" t="s">
        <v>2963</v>
      </c>
      <c r="E960" s="1" t="s">
        <v>21</v>
      </c>
      <c r="F960" s="84">
        <v>105</v>
      </c>
      <c r="G960" s="84">
        <v>117</v>
      </c>
      <c r="H960" s="84">
        <v>99</v>
      </c>
      <c r="I960" s="84">
        <v>79</v>
      </c>
      <c r="J960" s="84">
        <v>80</v>
      </c>
      <c r="K960" s="84">
        <v>76</v>
      </c>
      <c r="L960" s="84">
        <v>46</v>
      </c>
      <c r="M960" s="84">
        <v>70</v>
      </c>
      <c r="N960" s="84">
        <v>52</v>
      </c>
      <c r="O960" s="5">
        <f t="shared" si="59"/>
        <v>556</v>
      </c>
      <c r="P960" s="6">
        <f t="shared" si="62"/>
        <v>18</v>
      </c>
      <c r="Q960" s="5">
        <f t="shared" si="63"/>
        <v>19</v>
      </c>
      <c r="R960" s="1">
        <v>603</v>
      </c>
      <c r="S960" s="1">
        <v>4</v>
      </c>
      <c r="T960" s="5">
        <f t="shared" si="61"/>
        <v>-15</v>
      </c>
    </row>
    <row r="961" spans="1:20">
      <c r="A961" s="1" t="s">
        <v>2981</v>
      </c>
      <c r="B961" s="1" t="s">
        <v>3199</v>
      </c>
      <c r="C961" s="1" t="s">
        <v>12</v>
      </c>
      <c r="D961" s="1" t="s">
        <v>2965</v>
      </c>
      <c r="E961" s="1" t="s">
        <v>3307</v>
      </c>
      <c r="F961" s="84">
        <v>97</v>
      </c>
      <c r="G961" s="84">
        <v>96</v>
      </c>
      <c r="H961" s="84">
        <v>100</v>
      </c>
      <c r="I961" s="84">
        <v>69</v>
      </c>
      <c r="J961" s="84">
        <v>58</v>
      </c>
      <c r="K961" s="84">
        <v>69</v>
      </c>
      <c r="L961" s="84">
        <v>40</v>
      </c>
      <c r="M961" s="84">
        <v>70</v>
      </c>
      <c r="N961" s="84">
        <v>47</v>
      </c>
      <c r="O961" s="5">
        <f t="shared" si="59"/>
        <v>489</v>
      </c>
      <c r="P961" s="6">
        <f t="shared" si="62"/>
        <v>44</v>
      </c>
      <c r="Q961" s="5">
        <f t="shared" si="63"/>
        <v>60</v>
      </c>
      <c r="R961" s="1">
        <v>505</v>
      </c>
      <c r="S961" s="1">
        <v>54</v>
      </c>
      <c r="T961" s="5">
        <f t="shared" si="61"/>
        <v>-6</v>
      </c>
    </row>
    <row r="962" spans="1:20">
      <c r="A962" s="1" t="s">
        <v>2983</v>
      </c>
      <c r="B962" s="1" t="s">
        <v>3199</v>
      </c>
      <c r="C962" s="1" t="s">
        <v>12</v>
      </c>
      <c r="D962" s="1" t="s">
        <v>2967</v>
      </c>
      <c r="E962" s="1" t="s">
        <v>2985</v>
      </c>
      <c r="F962" s="84">
        <v>101</v>
      </c>
      <c r="G962" s="84">
        <v>101</v>
      </c>
      <c r="H962" s="84">
        <v>100.5</v>
      </c>
      <c r="I962" s="84">
        <v>75</v>
      </c>
      <c r="J962" s="84">
        <v>64</v>
      </c>
      <c r="K962" s="84">
        <v>65</v>
      </c>
      <c r="L962" s="84">
        <v>46</v>
      </c>
      <c r="M962" s="84">
        <v>57</v>
      </c>
      <c r="N962" s="84">
        <v>54</v>
      </c>
      <c r="O962" s="5">
        <f t="shared" si="59"/>
        <v>506.5</v>
      </c>
      <c r="P962" s="6">
        <f t="shared" si="62"/>
        <v>42</v>
      </c>
      <c r="Q962" s="5">
        <f t="shared" si="63"/>
        <v>51</v>
      </c>
      <c r="R962" s="1">
        <v>517</v>
      </c>
      <c r="S962" s="1">
        <v>43</v>
      </c>
      <c r="T962" s="5">
        <f t="shared" si="61"/>
        <v>-8</v>
      </c>
    </row>
    <row r="963" spans="1:20">
      <c r="A963" s="1" t="s">
        <v>2988</v>
      </c>
      <c r="B963" s="1" t="s">
        <v>3199</v>
      </c>
      <c r="C963" s="1" t="s">
        <v>12</v>
      </c>
      <c r="D963" s="1" t="s">
        <v>2969</v>
      </c>
      <c r="E963" s="1" t="s">
        <v>15</v>
      </c>
      <c r="F963" s="84">
        <v>111</v>
      </c>
      <c r="G963" s="84">
        <v>118</v>
      </c>
      <c r="H963" s="84">
        <v>140.5</v>
      </c>
      <c r="I963" s="84">
        <v>80</v>
      </c>
      <c r="J963" s="84">
        <v>81</v>
      </c>
      <c r="K963" s="84">
        <v>92</v>
      </c>
      <c r="L963" s="84">
        <v>47</v>
      </c>
      <c r="M963" s="84">
        <v>63</v>
      </c>
      <c r="N963" s="84">
        <v>53</v>
      </c>
      <c r="O963" s="5">
        <f t="shared" ref="O963:O1025" si="64">SUM(F963:K963)</f>
        <v>622.5</v>
      </c>
      <c r="P963" s="6">
        <f t="shared" si="62"/>
        <v>2</v>
      </c>
      <c r="Q963" s="5">
        <f t="shared" si="63"/>
        <v>2</v>
      </c>
      <c r="R963" s="1">
        <v>570</v>
      </c>
      <c r="S963" s="1">
        <v>15</v>
      </c>
      <c r="T963" s="5">
        <f t="shared" si="61"/>
        <v>13</v>
      </c>
    </row>
    <row r="964" spans="1:20">
      <c r="A964" s="1" t="s">
        <v>2990</v>
      </c>
      <c r="B964" s="1" t="s">
        <v>3199</v>
      </c>
      <c r="C964" s="1" t="s">
        <v>12</v>
      </c>
      <c r="D964" s="1" t="s">
        <v>2971</v>
      </c>
      <c r="E964" s="1" t="s">
        <v>102</v>
      </c>
      <c r="F964" s="84">
        <v>115</v>
      </c>
      <c r="G964" s="84">
        <v>101</v>
      </c>
      <c r="H964" s="84">
        <v>116.5</v>
      </c>
      <c r="I964" s="84">
        <v>77</v>
      </c>
      <c r="J964" s="84">
        <v>76</v>
      </c>
      <c r="K964" s="84">
        <v>74</v>
      </c>
      <c r="L964" s="84">
        <v>46</v>
      </c>
      <c r="M964" s="84">
        <v>77</v>
      </c>
      <c r="N964" s="84">
        <v>55</v>
      </c>
      <c r="O964" s="5">
        <f t="shared" si="64"/>
        <v>559.5</v>
      </c>
      <c r="P964" s="6">
        <f t="shared" si="62"/>
        <v>17</v>
      </c>
      <c r="Q964" s="5">
        <f t="shared" si="63"/>
        <v>18</v>
      </c>
      <c r="R964" s="1">
        <v>556</v>
      </c>
      <c r="S964" s="1">
        <v>22</v>
      </c>
      <c r="T964" s="5">
        <f t="shared" ref="T964:T1027" si="65">S964-Q964</f>
        <v>4</v>
      </c>
    </row>
    <row r="965" spans="1:20">
      <c r="A965" s="1" t="s">
        <v>2995</v>
      </c>
      <c r="B965" s="1" t="s">
        <v>3199</v>
      </c>
      <c r="C965" s="1" t="s">
        <v>12</v>
      </c>
      <c r="D965" s="1" t="s">
        <v>2973</v>
      </c>
      <c r="E965" s="1" t="s">
        <v>66</v>
      </c>
      <c r="F965" s="84">
        <v>108</v>
      </c>
      <c r="G965" s="84">
        <v>124</v>
      </c>
      <c r="H965" s="84">
        <v>109.5</v>
      </c>
      <c r="I965" s="84">
        <v>79</v>
      </c>
      <c r="J965" s="84">
        <v>77</v>
      </c>
      <c r="K965" s="84">
        <v>74</v>
      </c>
      <c r="L965" s="84">
        <v>44</v>
      </c>
      <c r="M965" s="84">
        <v>52</v>
      </c>
      <c r="N965" s="84">
        <v>30</v>
      </c>
      <c r="O965" s="5">
        <f t="shared" si="64"/>
        <v>571.5</v>
      </c>
      <c r="P965" s="6">
        <f t="shared" si="62"/>
        <v>11</v>
      </c>
      <c r="Q965" s="5">
        <f t="shared" si="63"/>
        <v>12</v>
      </c>
      <c r="R965" s="1">
        <v>532</v>
      </c>
      <c r="S965" s="1">
        <v>34</v>
      </c>
      <c r="T965" s="5">
        <f t="shared" si="65"/>
        <v>22</v>
      </c>
    </row>
    <row r="966" spans="1:20">
      <c r="A966" s="1" t="s">
        <v>3001</v>
      </c>
      <c r="B966" s="1" t="s">
        <v>3199</v>
      </c>
      <c r="C966" s="1" t="s">
        <v>12</v>
      </c>
      <c r="D966" s="1" t="s">
        <v>2975</v>
      </c>
      <c r="E966" s="1" t="s">
        <v>24</v>
      </c>
      <c r="F966" s="84">
        <v>121</v>
      </c>
      <c r="G966" s="84">
        <v>132</v>
      </c>
      <c r="H966" s="84">
        <v>104.5</v>
      </c>
      <c r="I966" s="84">
        <v>79</v>
      </c>
      <c r="J966" s="84">
        <v>84</v>
      </c>
      <c r="K966" s="84">
        <v>74</v>
      </c>
      <c r="L966" s="84">
        <v>35</v>
      </c>
      <c r="M966" s="84">
        <v>69</v>
      </c>
      <c r="N966" s="84">
        <v>55</v>
      </c>
      <c r="O966" s="5">
        <f t="shared" si="64"/>
        <v>594.5</v>
      </c>
      <c r="P966" s="6">
        <f t="shared" si="62"/>
        <v>4</v>
      </c>
      <c r="Q966" s="5">
        <f t="shared" si="63"/>
        <v>4</v>
      </c>
      <c r="R966" s="1">
        <v>619.5</v>
      </c>
      <c r="S966" s="1">
        <v>2</v>
      </c>
      <c r="T966" s="5">
        <f t="shared" si="65"/>
        <v>-2</v>
      </c>
    </row>
    <row r="967" spans="1:20">
      <c r="A967" s="1" t="s">
        <v>3003</v>
      </c>
      <c r="B967" s="1" t="s">
        <v>3199</v>
      </c>
      <c r="C967" s="1" t="s">
        <v>12</v>
      </c>
      <c r="D967" s="1" t="s">
        <v>2977</v>
      </c>
      <c r="E967" s="1" t="s">
        <v>116</v>
      </c>
      <c r="F967" s="84">
        <v>109</v>
      </c>
      <c r="G967" s="84">
        <v>123</v>
      </c>
      <c r="H967" s="84">
        <v>87.5</v>
      </c>
      <c r="I967" s="84">
        <v>81</v>
      </c>
      <c r="J967" s="84">
        <v>65</v>
      </c>
      <c r="K967" s="84">
        <v>66</v>
      </c>
      <c r="L967" s="84">
        <v>46</v>
      </c>
      <c r="M967" s="84">
        <v>60</v>
      </c>
      <c r="N967" s="84">
        <v>52</v>
      </c>
      <c r="O967" s="5">
        <f t="shared" si="64"/>
        <v>531.5</v>
      </c>
      <c r="P967" s="6">
        <f t="shared" si="62"/>
        <v>31</v>
      </c>
      <c r="Q967" s="5">
        <f t="shared" si="63"/>
        <v>33</v>
      </c>
      <c r="R967" s="1">
        <v>525</v>
      </c>
      <c r="S967" s="1">
        <v>39</v>
      </c>
      <c r="T967" s="5">
        <f t="shared" si="65"/>
        <v>6</v>
      </c>
    </row>
    <row r="968" spans="1:20">
      <c r="A968" s="1" t="s">
        <v>3006</v>
      </c>
      <c r="B968" s="1" t="s">
        <v>3199</v>
      </c>
      <c r="C968" s="1" t="s">
        <v>12</v>
      </c>
      <c r="D968" s="1" t="s">
        <v>2979</v>
      </c>
      <c r="E968" s="1" t="s">
        <v>41</v>
      </c>
      <c r="F968" s="84">
        <v>119</v>
      </c>
      <c r="G968" s="84">
        <v>129</v>
      </c>
      <c r="H968" s="84">
        <v>110.5</v>
      </c>
      <c r="I968" s="84">
        <v>62</v>
      </c>
      <c r="J968" s="84">
        <v>55</v>
      </c>
      <c r="K968" s="84">
        <v>69</v>
      </c>
      <c r="L968" s="84">
        <v>45</v>
      </c>
      <c r="M968" s="84">
        <v>67</v>
      </c>
      <c r="N968" s="84">
        <v>50</v>
      </c>
      <c r="O968" s="5">
        <f t="shared" si="64"/>
        <v>544.5</v>
      </c>
      <c r="P968" s="6">
        <f t="shared" si="62"/>
        <v>27</v>
      </c>
      <c r="Q968" s="5">
        <f t="shared" si="63"/>
        <v>29</v>
      </c>
      <c r="R968" s="1">
        <v>543.5</v>
      </c>
      <c r="S968" s="1">
        <v>28</v>
      </c>
      <c r="T968" s="5">
        <f t="shared" si="65"/>
        <v>-1</v>
      </c>
    </row>
    <row r="969" spans="1:20">
      <c r="A969" s="1" t="s">
        <v>3007</v>
      </c>
      <c r="B969" s="1" t="s">
        <v>3199</v>
      </c>
      <c r="C969" s="1" t="s">
        <v>12</v>
      </c>
      <c r="D969" s="1" t="s">
        <v>2982</v>
      </c>
      <c r="E969" s="1" t="s">
        <v>58</v>
      </c>
      <c r="F969" s="84">
        <v>116</v>
      </c>
      <c r="G969" s="84">
        <v>124</v>
      </c>
      <c r="H969" s="84">
        <v>113.5</v>
      </c>
      <c r="I969" s="84">
        <v>78</v>
      </c>
      <c r="J969" s="84">
        <v>71</v>
      </c>
      <c r="K969" s="84">
        <v>77</v>
      </c>
      <c r="L969" s="84">
        <v>75</v>
      </c>
      <c r="M969" s="84">
        <v>90</v>
      </c>
      <c r="N969" s="84">
        <v>69</v>
      </c>
      <c r="O969" s="5">
        <f t="shared" si="64"/>
        <v>579.5</v>
      </c>
      <c r="P969" s="6">
        <f t="shared" si="62"/>
        <v>9</v>
      </c>
      <c r="Q969" s="5">
        <f t="shared" si="63"/>
        <v>10</v>
      </c>
      <c r="R969" s="1">
        <v>620.5</v>
      </c>
      <c r="S969" s="1">
        <v>1</v>
      </c>
      <c r="T969" s="5">
        <f t="shared" si="65"/>
        <v>-9</v>
      </c>
    </row>
    <row r="970" spans="1:20">
      <c r="A970" s="1" t="s">
        <v>3182</v>
      </c>
      <c r="B970" s="1" t="s">
        <v>3199</v>
      </c>
      <c r="C970" s="1" t="s">
        <v>12</v>
      </c>
      <c r="D970" s="1" t="s">
        <v>2984</v>
      </c>
      <c r="E970" s="1" t="s">
        <v>112</v>
      </c>
      <c r="F970" s="84">
        <v>110</v>
      </c>
      <c r="G970" s="84">
        <v>93</v>
      </c>
      <c r="H970" s="84">
        <v>111.5</v>
      </c>
      <c r="I970" s="84">
        <v>70</v>
      </c>
      <c r="J970" s="84">
        <v>79</v>
      </c>
      <c r="K970" s="84">
        <v>63</v>
      </c>
      <c r="L970" s="84">
        <v>52</v>
      </c>
      <c r="M970" s="84">
        <v>65</v>
      </c>
      <c r="N970" s="84">
        <v>50</v>
      </c>
      <c r="O970" s="5">
        <f t="shared" si="64"/>
        <v>526.5</v>
      </c>
      <c r="P970" s="6">
        <f t="shared" si="62"/>
        <v>35</v>
      </c>
      <c r="Q970" s="5">
        <f t="shared" si="63"/>
        <v>37</v>
      </c>
      <c r="R970" s="1">
        <v>531</v>
      </c>
      <c r="S970" s="1">
        <v>35</v>
      </c>
      <c r="T970" s="5">
        <f t="shared" si="65"/>
        <v>-2</v>
      </c>
    </row>
    <row r="971" spans="1:20">
      <c r="A971" s="1" t="s">
        <v>3155</v>
      </c>
      <c r="B971" s="1" t="s">
        <v>3199</v>
      </c>
      <c r="C971" s="1" t="s">
        <v>12</v>
      </c>
      <c r="D971" s="1" t="s">
        <v>2987</v>
      </c>
      <c r="E971" s="1" t="s">
        <v>125</v>
      </c>
      <c r="F971" s="84">
        <v>112</v>
      </c>
      <c r="G971" s="84">
        <v>93</v>
      </c>
      <c r="H971" s="84">
        <v>110</v>
      </c>
      <c r="I971" s="84">
        <v>58</v>
      </c>
      <c r="J971" s="84">
        <v>78</v>
      </c>
      <c r="K971" s="84">
        <v>85</v>
      </c>
      <c r="L971" s="84">
        <v>52</v>
      </c>
      <c r="M971" s="84">
        <v>49</v>
      </c>
      <c r="N971" s="84">
        <v>40</v>
      </c>
      <c r="O971" s="5">
        <f t="shared" si="64"/>
        <v>536</v>
      </c>
      <c r="P971" s="6">
        <f t="shared" si="62"/>
        <v>30</v>
      </c>
      <c r="Q971" s="5">
        <f t="shared" si="63"/>
        <v>32</v>
      </c>
      <c r="R971" s="1">
        <v>498</v>
      </c>
      <c r="S971" s="1">
        <v>59</v>
      </c>
      <c r="T971" s="5">
        <f t="shared" si="65"/>
        <v>27</v>
      </c>
    </row>
    <row r="972" spans="1:20">
      <c r="A972" s="1" t="s">
        <v>3009</v>
      </c>
      <c r="B972" s="1" t="s">
        <v>3199</v>
      </c>
      <c r="C972" s="1" t="s">
        <v>12</v>
      </c>
      <c r="D972" s="1" t="s">
        <v>2989</v>
      </c>
      <c r="E972" s="1" t="s">
        <v>100</v>
      </c>
      <c r="F972" s="84">
        <v>106</v>
      </c>
      <c r="G972" s="84">
        <v>100</v>
      </c>
      <c r="H972" s="84">
        <v>115</v>
      </c>
      <c r="I972" s="84">
        <v>78</v>
      </c>
      <c r="J972" s="84">
        <v>87</v>
      </c>
      <c r="K972" s="84">
        <v>77</v>
      </c>
      <c r="L972" s="84">
        <v>52</v>
      </c>
      <c r="M972" s="84">
        <v>79</v>
      </c>
      <c r="N972" s="84">
        <v>54</v>
      </c>
      <c r="O972" s="5">
        <f t="shared" si="64"/>
        <v>563</v>
      </c>
      <c r="P972" s="6">
        <f t="shared" si="62"/>
        <v>15</v>
      </c>
      <c r="Q972" s="5">
        <f t="shared" si="63"/>
        <v>16</v>
      </c>
      <c r="R972" s="1">
        <v>585</v>
      </c>
      <c r="S972" s="1">
        <v>9</v>
      </c>
      <c r="T972" s="5">
        <f t="shared" si="65"/>
        <v>-7</v>
      </c>
    </row>
    <row r="973" spans="1:20">
      <c r="A973" s="1" t="s">
        <v>3102</v>
      </c>
      <c r="B973" s="1" t="s">
        <v>3199</v>
      </c>
      <c r="C973" s="1" t="s">
        <v>12</v>
      </c>
      <c r="D973" s="1" t="s">
        <v>2991</v>
      </c>
      <c r="E973" s="1" t="s">
        <v>164</v>
      </c>
      <c r="F973" s="84">
        <v>102</v>
      </c>
      <c r="G973" s="84">
        <v>129</v>
      </c>
      <c r="H973" s="84">
        <v>89.5</v>
      </c>
      <c r="I973" s="84">
        <v>71</v>
      </c>
      <c r="J973" s="84">
        <v>77</v>
      </c>
      <c r="K973" s="84">
        <v>83</v>
      </c>
      <c r="L973" s="84">
        <v>49</v>
      </c>
      <c r="M973" s="84">
        <v>67</v>
      </c>
      <c r="N973" s="84">
        <v>47</v>
      </c>
      <c r="O973" s="5">
        <f t="shared" si="64"/>
        <v>551.5</v>
      </c>
      <c r="P973" s="6">
        <f t="shared" si="62"/>
        <v>21</v>
      </c>
      <c r="Q973" s="5">
        <f t="shared" si="63"/>
        <v>22</v>
      </c>
      <c r="R973" s="1">
        <v>539</v>
      </c>
      <c r="S973" s="1">
        <v>31</v>
      </c>
      <c r="T973" s="5">
        <f t="shared" si="65"/>
        <v>9</v>
      </c>
    </row>
    <row r="974" spans="1:20">
      <c r="A974" s="1" t="s">
        <v>3010</v>
      </c>
      <c r="B974" s="1" t="s">
        <v>3199</v>
      </c>
      <c r="C974" s="1" t="s">
        <v>12</v>
      </c>
      <c r="D974" s="1" t="s">
        <v>2993</v>
      </c>
      <c r="E974" s="1" t="s">
        <v>149</v>
      </c>
      <c r="F974" s="84">
        <v>110</v>
      </c>
      <c r="G974" s="84">
        <v>104</v>
      </c>
      <c r="H974" s="84">
        <v>91.5</v>
      </c>
      <c r="I974" s="84">
        <v>74</v>
      </c>
      <c r="J974" s="84">
        <v>67</v>
      </c>
      <c r="K974" s="84">
        <v>71</v>
      </c>
      <c r="L974" s="84">
        <v>43</v>
      </c>
      <c r="M974" s="84">
        <v>64</v>
      </c>
      <c r="N974" s="84">
        <v>54</v>
      </c>
      <c r="O974" s="5">
        <f t="shared" si="64"/>
        <v>517.5</v>
      </c>
      <c r="P974" s="6">
        <f t="shared" si="62"/>
        <v>38</v>
      </c>
      <c r="Q974" s="5">
        <f t="shared" si="63"/>
        <v>44</v>
      </c>
      <c r="R974" s="1">
        <v>546</v>
      </c>
      <c r="S974" s="1">
        <v>27</v>
      </c>
      <c r="T974" s="5">
        <f t="shared" si="65"/>
        <v>-17</v>
      </c>
    </row>
    <row r="975" spans="1:20">
      <c r="A975" s="1" t="s">
        <v>3011</v>
      </c>
      <c r="B975" s="1" t="s">
        <v>3199</v>
      </c>
      <c r="C975" s="1" t="s">
        <v>12</v>
      </c>
      <c r="D975" s="1" t="s">
        <v>2996</v>
      </c>
      <c r="E975" s="1" t="s">
        <v>13</v>
      </c>
      <c r="F975" s="84">
        <v>123</v>
      </c>
      <c r="G975" s="84">
        <v>134</v>
      </c>
      <c r="H975" s="84">
        <v>122</v>
      </c>
      <c r="I975" s="84">
        <v>82</v>
      </c>
      <c r="J975" s="84">
        <v>87</v>
      </c>
      <c r="K975" s="84">
        <v>89</v>
      </c>
      <c r="L975" s="84">
        <v>48</v>
      </c>
      <c r="M975" s="84">
        <v>77</v>
      </c>
      <c r="N975" s="84">
        <v>60</v>
      </c>
      <c r="O975" s="5">
        <f t="shared" si="64"/>
        <v>637</v>
      </c>
      <c r="P975" s="6">
        <f t="shared" si="62"/>
        <v>1</v>
      </c>
      <c r="Q975" s="5">
        <f t="shared" si="63"/>
        <v>1</v>
      </c>
      <c r="R975" s="1">
        <v>608.5</v>
      </c>
      <c r="S975" s="1">
        <v>3</v>
      </c>
      <c r="T975" s="5">
        <f t="shared" si="65"/>
        <v>2</v>
      </c>
    </row>
    <row r="976" spans="1:20">
      <c r="A976" s="1" t="s">
        <v>3012</v>
      </c>
      <c r="B976" s="1" t="s">
        <v>3199</v>
      </c>
      <c r="C976" s="1" t="s">
        <v>12</v>
      </c>
      <c r="D976" s="1" t="s">
        <v>2998</v>
      </c>
      <c r="E976" s="1" t="s">
        <v>120</v>
      </c>
      <c r="F976" s="84">
        <v>99</v>
      </c>
      <c r="G976" s="84">
        <v>100</v>
      </c>
      <c r="H976" s="84">
        <v>100.5</v>
      </c>
      <c r="I976" s="84">
        <v>79</v>
      </c>
      <c r="J976" s="84">
        <v>73</v>
      </c>
      <c r="K976" s="84">
        <v>76</v>
      </c>
      <c r="L976" s="84">
        <v>47</v>
      </c>
      <c r="M976" s="84">
        <v>69</v>
      </c>
      <c r="N976" s="84">
        <v>59</v>
      </c>
      <c r="O976" s="5">
        <f t="shared" si="64"/>
        <v>527.5</v>
      </c>
      <c r="P976" s="6">
        <f t="shared" si="62"/>
        <v>34</v>
      </c>
      <c r="Q976" s="5">
        <f t="shared" si="63"/>
        <v>36</v>
      </c>
      <c r="R976" s="1">
        <v>550.5</v>
      </c>
      <c r="S976" s="1">
        <v>24</v>
      </c>
      <c r="T976" s="5">
        <f t="shared" si="65"/>
        <v>-12</v>
      </c>
    </row>
    <row r="977" spans="1:20">
      <c r="A977" s="1" t="s">
        <v>3013</v>
      </c>
      <c r="B977" s="1" t="s">
        <v>3199</v>
      </c>
      <c r="C977" s="1" t="s">
        <v>12</v>
      </c>
      <c r="D977" s="1" t="s">
        <v>3259</v>
      </c>
      <c r="E977" s="1" t="s">
        <v>90</v>
      </c>
      <c r="F977" s="84">
        <v>109</v>
      </c>
      <c r="G977" s="84">
        <v>116</v>
      </c>
      <c r="H977" s="84">
        <v>115.5</v>
      </c>
      <c r="I977" s="84">
        <v>71</v>
      </c>
      <c r="J977" s="84">
        <v>80</v>
      </c>
      <c r="K977" s="84">
        <v>77</v>
      </c>
      <c r="L977" s="84">
        <v>47</v>
      </c>
      <c r="M977" s="84">
        <v>57</v>
      </c>
      <c r="N977" s="84">
        <v>40</v>
      </c>
      <c r="O977" s="5">
        <f t="shared" si="64"/>
        <v>568.5</v>
      </c>
      <c r="P977" s="6">
        <f t="shared" si="62"/>
        <v>12</v>
      </c>
      <c r="Q977" s="5">
        <f t="shared" si="63"/>
        <v>13</v>
      </c>
      <c r="R977" s="1">
        <v>584</v>
      </c>
      <c r="S977" s="1">
        <v>10</v>
      </c>
      <c r="T977" s="5">
        <f t="shared" si="65"/>
        <v>-3</v>
      </c>
    </row>
    <row r="978" spans="1:20">
      <c r="A978" s="1" t="s">
        <v>3014</v>
      </c>
      <c r="B978" s="1" t="s">
        <v>3199</v>
      </c>
      <c r="C978" s="1" t="s">
        <v>12</v>
      </c>
      <c r="D978" s="1" t="s">
        <v>3002</v>
      </c>
      <c r="E978" s="1" t="s">
        <v>46</v>
      </c>
      <c r="F978" s="84">
        <v>113</v>
      </c>
      <c r="G978" s="84">
        <v>99</v>
      </c>
      <c r="H978" s="84">
        <v>107.5</v>
      </c>
      <c r="I978" s="84">
        <v>67</v>
      </c>
      <c r="J978" s="84">
        <v>66</v>
      </c>
      <c r="K978" s="84">
        <v>84</v>
      </c>
      <c r="L978" s="84">
        <v>46</v>
      </c>
      <c r="M978" s="84">
        <v>58</v>
      </c>
      <c r="N978" s="84">
        <v>48</v>
      </c>
      <c r="O978" s="5">
        <f t="shared" si="64"/>
        <v>536.5</v>
      </c>
      <c r="P978" s="6">
        <f t="shared" si="62"/>
        <v>29</v>
      </c>
      <c r="Q978" s="5">
        <f t="shared" si="63"/>
        <v>31</v>
      </c>
      <c r="R978" s="1">
        <v>540</v>
      </c>
      <c r="S978" s="1">
        <v>30</v>
      </c>
      <c r="T978" s="5">
        <f t="shared" si="65"/>
        <v>-1</v>
      </c>
    </row>
    <row r="979" spans="1:20">
      <c r="A979" s="1" t="s">
        <v>1548</v>
      </c>
      <c r="B979" s="1" t="s">
        <v>3199</v>
      </c>
      <c r="C979" s="1" t="s">
        <v>12</v>
      </c>
      <c r="D979" s="1" t="s">
        <v>3436</v>
      </c>
      <c r="E979" s="1" t="s">
        <v>130</v>
      </c>
      <c r="F979" s="84">
        <v>118</v>
      </c>
      <c r="G979" s="84">
        <v>123</v>
      </c>
      <c r="H979" s="84">
        <v>120.5</v>
      </c>
      <c r="I979" s="84">
        <v>79</v>
      </c>
      <c r="J979" s="84">
        <v>69</v>
      </c>
      <c r="K979" s="84">
        <v>73</v>
      </c>
      <c r="L979" s="84">
        <v>60</v>
      </c>
      <c r="M979" s="84">
        <v>83</v>
      </c>
      <c r="N979" s="84">
        <v>55</v>
      </c>
      <c r="O979" s="5">
        <f t="shared" si="64"/>
        <v>582.5</v>
      </c>
      <c r="P979" s="6">
        <f t="shared" si="62"/>
        <v>6</v>
      </c>
      <c r="Q979" s="5">
        <f t="shared" si="63"/>
        <v>7</v>
      </c>
      <c r="R979" s="1">
        <v>572</v>
      </c>
      <c r="S979" s="1">
        <v>12</v>
      </c>
      <c r="T979" s="5">
        <f t="shared" si="65"/>
        <v>5</v>
      </c>
    </row>
    <row r="980" spans="1:20">
      <c r="A980" s="1" t="s">
        <v>3043</v>
      </c>
      <c r="B980" s="1" t="s">
        <v>3199</v>
      </c>
      <c r="C980" s="1" t="s">
        <v>12</v>
      </c>
      <c r="D980" s="1" t="s">
        <v>3438</v>
      </c>
      <c r="E980" s="1" t="s">
        <v>95</v>
      </c>
      <c r="F980" s="84">
        <v>120</v>
      </c>
      <c r="G980" s="84">
        <v>114</v>
      </c>
      <c r="H980" s="84">
        <v>84.5</v>
      </c>
      <c r="I980" s="84">
        <v>81</v>
      </c>
      <c r="J980" s="84">
        <v>82</v>
      </c>
      <c r="K980" s="84">
        <v>70</v>
      </c>
      <c r="L980" s="84">
        <v>39</v>
      </c>
      <c r="M980" s="84">
        <v>63</v>
      </c>
      <c r="N980" s="84">
        <v>50</v>
      </c>
      <c r="O980" s="5">
        <f t="shared" si="64"/>
        <v>551.5</v>
      </c>
      <c r="P980" s="6">
        <f t="shared" si="62"/>
        <v>21</v>
      </c>
      <c r="Q980" s="5">
        <f t="shared" si="63"/>
        <v>22</v>
      </c>
      <c r="R980" s="1">
        <v>550</v>
      </c>
      <c r="S980" s="1">
        <v>25</v>
      </c>
      <c r="T980" s="5">
        <f t="shared" si="65"/>
        <v>3</v>
      </c>
    </row>
    <row r="981" spans="1:20">
      <c r="A981" s="1" t="s">
        <v>409</v>
      </c>
      <c r="B981" s="1" t="s">
        <v>3199</v>
      </c>
      <c r="C981" s="1" t="s">
        <v>12</v>
      </c>
      <c r="D981" s="1" t="s">
        <v>3439</v>
      </c>
      <c r="E981" s="1" t="s">
        <v>411</v>
      </c>
      <c r="F981" s="84">
        <v>113</v>
      </c>
      <c r="G981" s="84">
        <v>110</v>
      </c>
      <c r="H981" s="84">
        <v>97</v>
      </c>
      <c r="I981" s="84">
        <v>72</v>
      </c>
      <c r="J981" s="84">
        <v>64</v>
      </c>
      <c r="K981" s="84">
        <v>66</v>
      </c>
      <c r="L981" s="84">
        <v>42</v>
      </c>
      <c r="M981" s="84">
        <v>58</v>
      </c>
      <c r="N981" s="84">
        <v>51</v>
      </c>
      <c r="O981" s="5">
        <f t="shared" si="64"/>
        <v>522</v>
      </c>
      <c r="P981" s="6">
        <f t="shared" si="62"/>
        <v>36</v>
      </c>
      <c r="Q981" s="5">
        <f t="shared" si="63"/>
        <v>41</v>
      </c>
      <c r="R981" s="1">
        <v>519</v>
      </c>
      <c r="S981" s="1">
        <v>41</v>
      </c>
      <c r="T981" s="5">
        <f t="shared" si="65"/>
        <v>0</v>
      </c>
    </row>
    <row r="982" spans="1:20">
      <c r="A982" s="1" t="s">
        <v>3176</v>
      </c>
      <c r="B982" s="1" t="s">
        <v>3199</v>
      </c>
      <c r="C982" s="1" t="s">
        <v>12</v>
      </c>
      <c r="D982" s="1" t="s">
        <v>3440</v>
      </c>
      <c r="E982" s="1" t="s">
        <v>3178</v>
      </c>
      <c r="F982" s="84">
        <v>97</v>
      </c>
      <c r="G982" s="84">
        <v>70</v>
      </c>
      <c r="H982" s="84">
        <v>113.5</v>
      </c>
      <c r="I982" s="84">
        <v>56</v>
      </c>
      <c r="J982" s="84">
        <v>69</v>
      </c>
      <c r="K982" s="84">
        <v>62</v>
      </c>
      <c r="L982" s="84">
        <v>32</v>
      </c>
      <c r="M982" s="84">
        <v>63</v>
      </c>
      <c r="N982" s="84">
        <v>38</v>
      </c>
      <c r="O982" s="5">
        <f t="shared" si="64"/>
        <v>467.5</v>
      </c>
      <c r="P982" s="6">
        <f t="shared" si="62"/>
        <v>46</v>
      </c>
      <c r="Q982" s="5">
        <f t="shared" si="63"/>
        <v>78</v>
      </c>
      <c r="R982" s="1">
        <v>468.5</v>
      </c>
      <c r="S982" s="1">
        <v>86</v>
      </c>
      <c r="T982" s="5">
        <f t="shared" si="65"/>
        <v>8</v>
      </c>
    </row>
    <row r="983" spans="1:20">
      <c r="A983" s="1" t="s">
        <v>3015</v>
      </c>
      <c r="B983" s="1" t="s">
        <v>3199</v>
      </c>
      <c r="C983" s="1" t="s">
        <v>52</v>
      </c>
      <c r="D983" s="1" t="s">
        <v>3016</v>
      </c>
      <c r="E983" s="1" t="s">
        <v>3017</v>
      </c>
      <c r="F983" s="84">
        <v>96</v>
      </c>
      <c r="G983" s="84">
        <v>76</v>
      </c>
      <c r="H983" s="84">
        <v>87</v>
      </c>
      <c r="I983" s="84">
        <v>74</v>
      </c>
      <c r="J983" s="84">
        <v>56</v>
      </c>
      <c r="K983" s="84">
        <v>61</v>
      </c>
      <c r="L983" s="84">
        <v>46</v>
      </c>
      <c r="M983" s="84">
        <v>57</v>
      </c>
      <c r="N983" s="84">
        <v>52</v>
      </c>
      <c r="O983" s="5">
        <f t="shared" si="64"/>
        <v>450</v>
      </c>
      <c r="P983" s="6">
        <f>RANK(O983,$O$983:$O$1027)</f>
        <v>25</v>
      </c>
      <c r="Q983" s="5">
        <f t="shared" si="63"/>
        <v>96</v>
      </c>
      <c r="R983" s="1">
        <v>448.5</v>
      </c>
      <c r="S983" s="1">
        <v>108</v>
      </c>
      <c r="T983" s="5">
        <f t="shared" si="65"/>
        <v>12</v>
      </c>
    </row>
    <row r="984" spans="1:20">
      <c r="A984" s="1" t="s">
        <v>2915</v>
      </c>
      <c r="B984" s="1" t="s">
        <v>3199</v>
      </c>
      <c r="C984" s="1" t="s">
        <v>52</v>
      </c>
      <c r="D984" s="1" t="s">
        <v>3019</v>
      </c>
      <c r="E984" s="1" t="s">
        <v>2917</v>
      </c>
      <c r="F984" s="84">
        <v>101</v>
      </c>
      <c r="G984" s="84">
        <v>91</v>
      </c>
      <c r="H984" s="84">
        <v>90.5</v>
      </c>
      <c r="I984" s="84">
        <v>54</v>
      </c>
      <c r="J984" s="84">
        <v>69</v>
      </c>
      <c r="K984" s="84">
        <v>80</v>
      </c>
      <c r="L984" s="84">
        <v>50</v>
      </c>
      <c r="M984" s="84">
        <v>66</v>
      </c>
      <c r="N984" s="84">
        <v>44</v>
      </c>
      <c r="O984" s="5">
        <f t="shared" si="64"/>
        <v>485.5</v>
      </c>
      <c r="P984" s="6">
        <f t="shared" ref="P984:P1027" si="66">RANK(O984,$O$983:$O$1027)</f>
        <v>9</v>
      </c>
      <c r="Q984" s="5">
        <f t="shared" si="63"/>
        <v>63</v>
      </c>
      <c r="R984" s="1">
        <v>464</v>
      </c>
      <c r="S984" s="1">
        <v>91</v>
      </c>
      <c r="T984" s="5">
        <f t="shared" si="65"/>
        <v>28</v>
      </c>
    </row>
    <row r="985" spans="1:20">
      <c r="A985" s="1" t="s">
        <v>3018</v>
      </c>
      <c r="B985" s="1" t="s">
        <v>3199</v>
      </c>
      <c r="C985" s="1" t="s">
        <v>52</v>
      </c>
      <c r="D985" s="1" t="s">
        <v>3022</v>
      </c>
      <c r="E985" s="1" t="s">
        <v>3020</v>
      </c>
      <c r="F985" s="84">
        <v>101</v>
      </c>
      <c r="G985" s="84">
        <v>96</v>
      </c>
      <c r="H985" s="84">
        <v>78</v>
      </c>
      <c r="I985" s="84">
        <v>54</v>
      </c>
      <c r="J985" s="84">
        <v>57</v>
      </c>
      <c r="K985" s="84">
        <v>67</v>
      </c>
      <c r="L985" s="84">
        <v>30</v>
      </c>
      <c r="M985" s="84">
        <v>57</v>
      </c>
      <c r="N985" s="84">
        <v>45</v>
      </c>
      <c r="O985" s="5">
        <f t="shared" si="64"/>
        <v>453</v>
      </c>
      <c r="P985" s="6">
        <f t="shared" si="66"/>
        <v>24</v>
      </c>
      <c r="Q985" s="5">
        <f t="shared" si="63"/>
        <v>91</v>
      </c>
      <c r="R985" s="1">
        <v>443.5</v>
      </c>
      <c r="S985" s="1">
        <v>114</v>
      </c>
      <c r="T985" s="5">
        <f t="shared" si="65"/>
        <v>23</v>
      </c>
    </row>
    <row r="986" spans="1:20">
      <c r="A986" s="1" t="s">
        <v>2918</v>
      </c>
      <c r="B986" s="1" t="s">
        <v>3199</v>
      </c>
      <c r="C986" s="1" t="s">
        <v>52</v>
      </c>
      <c r="D986" s="1" t="s">
        <v>3025</v>
      </c>
      <c r="E986" s="1" t="s">
        <v>139</v>
      </c>
      <c r="F986" s="84">
        <v>103</v>
      </c>
      <c r="G986" s="84">
        <v>88</v>
      </c>
      <c r="H986" s="84">
        <v>99</v>
      </c>
      <c r="I986" s="84">
        <v>70</v>
      </c>
      <c r="J986" s="84">
        <v>55</v>
      </c>
      <c r="K986" s="84">
        <v>68</v>
      </c>
      <c r="L986" s="84">
        <v>40</v>
      </c>
      <c r="M986" s="84">
        <v>76</v>
      </c>
      <c r="N986" s="84">
        <v>43</v>
      </c>
      <c r="O986" s="5">
        <f t="shared" si="64"/>
        <v>483</v>
      </c>
      <c r="P986" s="6">
        <f t="shared" si="66"/>
        <v>13</v>
      </c>
      <c r="Q986" s="5">
        <f t="shared" si="63"/>
        <v>69</v>
      </c>
      <c r="R986" s="1">
        <v>514.5</v>
      </c>
      <c r="S986" s="1">
        <v>45</v>
      </c>
      <c r="T986" s="5">
        <f t="shared" si="65"/>
        <v>-24</v>
      </c>
    </row>
    <row r="987" spans="1:20">
      <c r="A987" s="1" t="s">
        <v>2287</v>
      </c>
      <c r="B987" s="1" t="s">
        <v>3199</v>
      </c>
      <c r="C987" s="1" t="s">
        <v>52</v>
      </c>
      <c r="D987" s="1" t="s">
        <v>3028</v>
      </c>
      <c r="E987" s="1" t="s">
        <v>2288</v>
      </c>
      <c r="F987" s="84">
        <v>113</v>
      </c>
      <c r="G987" s="84">
        <v>79</v>
      </c>
      <c r="H987" s="84">
        <v>102.5</v>
      </c>
      <c r="I987" s="84">
        <v>57</v>
      </c>
      <c r="J987" s="84">
        <v>48</v>
      </c>
      <c r="K987" s="84">
        <v>39</v>
      </c>
      <c r="L987" s="84">
        <v>35</v>
      </c>
      <c r="M987" s="84">
        <v>59</v>
      </c>
      <c r="N987" s="84">
        <v>49</v>
      </c>
      <c r="O987" s="5">
        <f t="shared" si="64"/>
        <v>438.5</v>
      </c>
      <c r="P987" s="6">
        <f t="shared" si="66"/>
        <v>33</v>
      </c>
      <c r="Q987" s="5">
        <f t="shared" si="63"/>
        <v>109</v>
      </c>
      <c r="R987" s="1">
        <v>433.5</v>
      </c>
      <c r="S987" s="1">
        <v>121</v>
      </c>
      <c r="T987" s="5">
        <f t="shared" si="65"/>
        <v>12</v>
      </c>
    </row>
    <row r="988" spans="1:20">
      <c r="A988" s="1" t="s">
        <v>3021</v>
      </c>
      <c r="B988" s="1" t="s">
        <v>3199</v>
      </c>
      <c r="C988" s="1" t="s">
        <v>52</v>
      </c>
      <c r="D988" s="1" t="s">
        <v>3031</v>
      </c>
      <c r="E988" s="1" t="s">
        <v>3023</v>
      </c>
      <c r="F988" s="84">
        <v>92</v>
      </c>
      <c r="G988" s="84">
        <v>50</v>
      </c>
      <c r="H988" s="84">
        <v>102</v>
      </c>
      <c r="I988" s="84">
        <v>62</v>
      </c>
      <c r="J988" s="84">
        <v>51</v>
      </c>
      <c r="K988" s="84">
        <v>70</v>
      </c>
      <c r="L988" s="84">
        <v>48</v>
      </c>
      <c r="M988" s="84">
        <v>61</v>
      </c>
      <c r="N988" s="84">
        <v>52</v>
      </c>
      <c r="O988" s="5">
        <f t="shared" si="64"/>
        <v>427</v>
      </c>
      <c r="P988" s="6">
        <f t="shared" si="66"/>
        <v>39</v>
      </c>
      <c r="Q988" s="5">
        <f t="shared" si="63"/>
        <v>117</v>
      </c>
      <c r="R988" s="1">
        <v>423.5</v>
      </c>
      <c r="S988" s="1">
        <v>127</v>
      </c>
      <c r="T988" s="5">
        <f t="shared" si="65"/>
        <v>10</v>
      </c>
    </row>
    <row r="989" spans="1:20">
      <c r="A989" s="1" t="s">
        <v>3024</v>
      </c>
      <c r="B989" s="1" t="s">
        <v>3199</v>
      </c>
      <c r="C989" s="1" t="s">
        <v>52</v>
      </c>
      <c r="D989" s="1" t="s">
        <v>3034</v>
      </c>
      <c r="E989" s="1" t="s">
        <v>3026</v>
      </c>
      <c r="F989" s="84">
        <v>110</v>
      </c>
      <c r="G989" s="84">
        <v>89</v>
      </c>
      <c r="H989" s="84">
        <v>76.5</v>
      </c>
      <c r="I989" s="84">
        <v>56</v>
      </c>
      <c r="J989" s="84">
        <v>57</v>
      </c>
      <c r="K989" s="84">
        <v>50</v>
      </c>
      <c r="L989" s="84">
        <v>24</v>
      </c>
      <c r="M989" s="84">
        <v>55</v>
      </c>
      <c r="N989" s="84">
        <v>42</v>
      </c>
      <c r="O989" s="5">
        <f t="shared" si="64"/>
        <v>438.5</v>
      </c>
      <c r="P989" s="6">
        <f t="shared" si="66"/>
        <v>33</v>
      </c>
      <c r="Q989" s="5">
        <f t="shared" si="63"/>
        <v>109</v>
      </c>
      <c r="R989" s="1">
        <v>439</v>
      </c>
      <c r="S989" s="1">
        <v>117</v>
      </c>
      <c r="T989" s="5">
        <f t="shared" si="65"/>
        <v>8</v>
      </c>
    </row>
    <row r="990" spans="1:20">
      <c r="A990" s="1" t="s">
        <v>2926</v>
      </c>
      <c r="B990" s="1" t="s">
        <v>3199</v>
      </c>
      <c r="C990" s="1" t="s">
        <v>52</v>
      </c>
      <c r="D990" s="1" t="s">
        <v>3037</v>
      </c>
      <c r="E990" s="1" t="s">
        <v>2928</v>
      </c>
      <c r="F990" s="84">
        <v>108</v>
      </c>
      <c r="G990" s="84">
        <v>97</v>
      </c>
      <c r="H990" s="84">
        <v>105</v>
      </c>
      <c r="I990" s="84">
        <v>71</v>
      </c>
      <c r="J990" s="84">
        <v>62</v>
      </c>
      <c r="K990" s="84">
        <v>78</v>
      </c>
      <c r="L990" s="84">
        <v>51</v>
      </c>
      <c r="M990" s="84">
        <v>57</v>
      </c>
      <c r="N990" s="84">
        <v>53</v>
      </c>
      <c r="O990" s="5">
        <f t="shared" si="64"/>
        <v>521</v>
      </c>
      <c r="P990" s="6">
        <f t="shared" si="66"/>
        <v>3</v>
      </c>
      <c r="Q990" s="5">
        <f t="shared" si="63"/>
        <v>42</v>
      </c>
      <c r="R990" s="1">
        <v>522.5</v>
      </c>
      <c r="S990" s="1">
        <v>40</v>
      </c>
      <c r="T990" s="5">
        <f t="shared" si="65"/>
        <v>-2</v>
      </c>
    </row>
    <row r="991" spans="1:20">
      <c r="A991" s="1" t="s">
        <v>3027</v>
      </c>
      <c r="B991" s="1" t="s">
        <v>3199</v>
      </c>
      <c r="C991" s="1" t="s">
        <v>52</v>
      </c>
      <c r="D991" s="1" t="s">
        <v>3039</v>
      </c>
      <c r="E991" s="1" t="s">
        <v>3029</v>
      </c>
      <c r="F991" s="84">
        <v>109</v>
      </c>
      <c r="G991" s="84">
        <v>65</v>
      </c>
      <c r="H991" s="84">
        <v>105.5</v>
      </c>
      <c r="I991" s="84">
        <v>52</v>
      </c>
      <c r="J991" s="84">
        <v>68</v>
      </c>
      <c r="K991" s="84">
        <v>59</v>
      </c>
      <c r="L991" s="84">
        <v>38</v>
      </c>
      <c r="M991" s="84">
        <v>53</v>
      </c>
      <c r="N991" s="84">
        <v>45</v>
      </c>
      <c r="O991" s="5">
        <f t="shared" si="64"/>
        <v>458.5</v>
      </c>
      <c r="P991" s="6">
        <f t="shared" si="66"/>
        <v>22</v>
      </c>
      <c r="Q991" s="5">
        <f t="shared" si="63"/>
        <v>88</v>
      </c>
      <c r="R991" s="1">
        <v>462.5</v>
      </c>
      <c r="S991" s="1">
        <v>94</v>
      </c>
      <c r="T991" s="5">
        <f t="shared" si="65"/>
        <v>6</v>
      </c>
    </row>
    <row r="992" spans="1:20">
      <c r="A992" s="1" t="s">
        <v>1218</v>
      </c>
      <c r="B992" s="1" t="s">
        <v>3199</v>
      </c>
      <c r="C992" s="1" t="s">
        <v>52</v>
      </c>
      <c r="D992" s="1" t="s">
        <v>3042</v>
      </c>
      <c r="E992" s="1" t="s">
        <v>1220</v>
      </c>
      <c r="F992" s="84">
        <v>100</v>
      </c>
      <c r="G992" s="84">
        <v>76</v>
      </c>
      <c r="H992" s="84">
        <v>88.5</v>
      </c>
      <c r="I992" s="84">
        <v>62</v>
      </c>
      <c r="J992" s="84">
        <v>51</v>
      </c>
      <c r="K992" s="84">
        <v>66</v>
      </c>
      <c r="L992" s="84">
        <v>43</v>
      </c>
      <c r="M992" s="84">
        <v>68</v>
      </c>
      <c r="N992" s="84">
        <v>43</v>
      </c>
      <c r="O992" s="5">
        <f t="shared" si="64"/>
        <v>443.5</v>
      </c>
      <c r="P992" s="6">
        <f t="shared" si="66"/>
        <v>29</v>
      </c>
      <c r="Q992" s="5">
        <f t="shared" si="63"/>
        <v>101</v>
      </c>
      <c r="R992" s="1">
        <v>425</v>
      </c>
      <c r="S992" s="1">
        <v>126</v>
      </c>
      <c r="T992" s="5">
        <f t="shared" si="65"/>
        <v>25</v>
      </c>
    </row>
    <row r="993" spans="1:20">
      <c r="A993" s="1" t="s">
        <v>3030</v>
      </c>
      <c r="B993" s="1" t="s">
        <v>3199</v>
      </c>
      <c r="C993" s="1" t="s">
        <v>52</v>
      </c>
      <c r="D993" s="1" t="s">
        <v>3044</v>
      </c>
      <c r="E993" s="1" t="s">
        <v>3032</v>
      </c>
      <c r="F993" s="84">
        <v>94</v>
      </c>
      <c r="G993" s="84">
        <v>83</v>
      </c>
      <c r="H993" s="84">
        <v>92</v>
      </c>
      <c r="I993" s="84">
        <v>61</v>
      </c>
      <c r="J993" s="84">
        <v>61</v>
      </c>
      <c r="K993" s="84">
        <v>70</v>
      </c>
      <c r="L993" s="84">
        <v>38</v>
      </c>
      <c r="M993" s="84">
        <v>65</v>
      </c>
      <c r="N993" s="84">
        <v>51</v>
      </c>
      <c r="O993" s="5">
        <f t="shared" si="64"/>
        <v>461</v>
      </c>
      <c r="P993" s="6">
        <f t="shared" si="66"/>
        <v>19</v>
      </c>
      <c r="Q993" s="5">
        <f t="shared" si="63"/>
        <v>82</v>
      </c>
      <c r="R993" s="1">
        <v>495</v>
      </c>
      <c r="S993" s="1">
        <v>62</v>
      </c>
      <c r="T993" s="5">
        <f t="shared" si="65"/>
        <v>-20</v>
      </c>
    </row>
    <row r="994" spans="1:20">
      <c r="A994" s="1" t="s">
        <v>3033</v>
      </c>
      <c r="B994" s="1" t="s">
        <v>3199</v>
      </c>
      <c r="C994" s="1" t="s">
        <v>52</v>
      </c>
      <c r="D994" s="1" t="s">
        <v>3046</v>
      </c>
      <c r="E994" s="1" t="s">
        <v>3035</v>
      </c>
      <c r="F994" s="84">
        <v>95</v>
      </c>
      <c r="G994" s="84">
        <v>77</v>
      </c>
      <c r="H994" s="84">
        <v>80.5</v>
      </c>
      <c r="I994" s="84">
        <v>62</v>
      </c>
      <c r="J994" s="84">
        <v>44</v>
      </c>
      <c r="K994" s="84">
        <v>75</v>
      </c>
      <c r="L994" s="84">
        <v>42</v>
      </c>
      <c r="M994" s="84">
        <v>64</v>
      </c>
      <c r="N994" s="84">
        <v>50</v>
      </c>
      <c r="O994" s="5">
        <f t="shared" si="64"/>
        <v>433.5</v>
      </c>
      <c r="P994" s="6">
        <f t="shared" si="66"/>
        <v>37</v>
      </c>
      <c r="Q994" s="5">
        <f t="shared" si="63"/>
        <v>113</v>
      </c>
      <c r="R994" s="1">
        <v>492.5</v>
      </c>
      <c r="S994" s="1">
        <v>66</v>
      </c>
      <c r="T994" s="5">
        <f t="shared" si="65"/>
        <v>-47</v>
      </c>
    </row>
    <row r="995" spans="1:20">
      <c r="A995" s="1" t="s">
        <v>3036</v>
      </c>
      <c r="B995" s="1" t="s">
        <v>3199</v>
      </c>
      <c r="C995" s="1" t="s">
        <v>52</v>
      </c>
      <c r="D995" s="1" t="s">
        <v>3049</v>
      </c>
      <c r="E995" s="1" t="s">
        <v>136</v>
      </c>
      <c r="F995" s="84">
        <v>110</v>
      </c>
      <c r="G995" s="84">
        <v>77</v>
      </c>
      <c r="H995" s="84">
        <v>84.5</v>
      </c>
      <c r="I995" s="84">
        <v>71</v>
      </c>
      <c r="J995" s="84">
        <v>80</v>
      </c>
      <c r="K995" s="84">
        <v>68</v>
      </c>
      <c r="L995" s="84">
        <v>43</v>
      </c>
      <c r="M995" s="84">
        <v>55</v>
      </c>
      <c r="N995" s="84">
        <v>23</v>
      </c>
      <c r="O995" s="5">
        <f t="shared" si="64"/>
        <v>490.5</v>
      </c>
      <c r="P995" s="6">
        <f t="shared" si="66"/>
        <v>8</v>
      </c>
      <c r="Q995" s="5">
        <f t="shared" si="63"/>
        <v>59</v>
      </c>
      <c r="R995" s="1">
        <v>470</v>
      </c>
      <c r="S995" s="1">
        <v>84</v>
      </c>
      <c r="T995" s="5">
        <f t="shared" si="65"/>
        <v>25</v>
      </c>
    </row>
    <row r="996" spans="1:20">
      <c r="A996" s="1" t="s">
        <v>3038</v>
      </c>
      <c r="B996" s="1" t="s">
        <v>3199</v>
      </c>
      <c r="C996" s="1" t="s">
        <v>52</v>
      </c>
      <c r="D996" s="1" t="s">
        <v>3051</v>
      </c>
      <c r="E996" s="1" t="s">
        <v>3040</v>
      </c>
      <c r="F996" s="84">
        <v>107</v>
      </c>
      <c r="G996" s="84">
        <v>73</v>
      </c>
      <c r="H996" s="84">
        <v>84</v>
      </c>
      <c r="I996" s="84">
        <v>69</v>
      </c>
      <c r="J996" s="84">
        <v>67</v>
      </c>
      <c r="K996" s="84">
        <v>61</v>
      </c>
      <c r="L996" s="84">
        <v>44</v>
      </c>
      <c r="M996" s="84">
        <v>65</v>
      </c>
      <c r="N996" s="84">
        <v>47</v>
      </c>
      <c r="O996" s="5">
        <f t="shared" si="64"/>
        <v>461</v>
      </c>
      <c r="P996" s="6">
        <f t="shared" si="66"/>
        <v>19</v>
      </c>
      <c r="Q996" s="5">
        <f t="shared" si="63"/>
        <v>82</v>
      </c>
      <c r="R996" s="1">
        <v>454.5</v>
      </c>
      <c r="S996" s="1">
        <v>104</v>
      </c>
      <c r="T996" s="5">
        <f t="shared" si="65"/>
        <v>22</v>
      </c>
    </row>
    <row r="997" spans="1:20">
      <c r="A997" s="1" t="s">
        <v>3041</v>
      </c>
      <c r="B997" s="1" t="s">
        <v>3199</v>
      </c>
      <c r="C997" s="1" t="s">
        <v>52</v>
      </c>
      <c r="D997" s="1" t="s">
        <v>3054</v>
      </c>
      <c r="E997" s="1" t="s">
        <v>129</v>
      </c>
      <c r="F997" s="84">
        <v>108</v>
      </c>
      <c r="G997" s="84">
        <v>87</v>
      </c>
      <c r="H997" s="84">
        <v>86.5</v>
      </c>
      <c r="I997" s="84">
        <v>66</v>
      </c>
      <c r="J997" s="84">
        <v>72</v>
      </c>
      <c r="K997" s="84">
        <v>66</v>
      </c>
      <c r="L997" s="84">
        <v>46</v>
      </c>
      <c r="M997" s="84">
        <v>66</v>
      </c>
      <c r="N997" s="84">
        <v>50</v>
      </c>
      <c r="O997" s="5">
        <f t="shared" si="64"/>
        <v>485.5</v>
      </c>
      <c r="P997" s="6">
        <f t="shared" si="66"/>
        <v>9</v>
      </c>
      <c r="Q997" s="5">
        <f t="shared" si="63"/>
        <v>63</v>
      </c>
      <c r="R997" s="1">
        <v>488</v>
      </c>
      <c r="S997" s="1">
        <v>71</v>
      </c>
      <c r="T997" s="5">
        <f t="shared" si="65"/>
        <v>8</v>
      </c>
    </row>
    <row r="998" spans="1:20">
      <c r="A998" s="1" t="s">
        <v>3045</v>
      </c>
      <c r="B998" s="1" t="s">
        <v>3199</v>
      </c>
      <c r="C998" s="1" t="s">
        <v>52</v>
      </c>
      <c r="D998" s="1" t="s">
        <v>3057</v>
      </c>
      <c r="E998" s="1" t="s">
        <v>3047</v>
      </c>
      <c r="F998" s="84">
        <v>100</v>
      </c>
      <c r="G998" s="84">
        <v>27</v>
      </c>
      <c r="H998" s="84">
        <v>95.5</v>
      </c>
      <c r="I998" s="84">
        <v>64</v>
      </c>
      <c r="J998" s="84">
        <v>57</v>
      </c>
      <c r="K998" s="84">
        <v>64</v>
      </c>
      <c r="L998" s="84">
        <v>40</v>
      </c>
      <c r="M998" s="84">
        <v>59</v>
      </c>
      <c r="N998" s="84">
        <v>51</v>
      </c>
      <c r="O998" s="5">
        <f t="shared" si="64"/>
        <v>407.5</v>
      </c>
      <c r="P998" s="6">
        <f t="shared" si="66"/>
        <v>43</v>
      </c>
      <c r="Q998" s="5">
        <f t="shared" si="63"/>
        <v>129</v>
      </c>
      <c r="R998" s="1">
        <v>408.5</v>
      </c>
      <c r="S998" s="1">
        <v>134</v>
      </c>
      <c r="T998" s="5">
        <f t="shared" si="65"/>
        <v>5</v>
      </c>
    </row>
    <row r="999" spans="1:20">
      <c r="A999" s="1" t="s">
        <v>3048</v>
      </c>
      <c r="B999" s="1" t="s">
        <v>3199</v>
      </c>
      <c r="C999" s="1" t="s">
        <v>52</v>
      </c>
      <c r="D999" s="1" t="s">
        <v>3060</v>
      </c>
      <c r="E999" s="1" t="s">
        <v>71</v>
      </c>
      <c r="F999" s="84">
        <v>111</v>
      </c>
      <c r="G999" s="84">
        <v>88</v>
      </c>
      <c r="H999" s="84">
        <v>89</v>
      </c>
      <c r="I999" s="84">
        <v>82</v>
      </c>
      <c r="J999" s="84">
        <v>73</v>
      </c>
      <c r="K999" s="84">
        <v>73</v>
      </c>
      <c r="L999" s="84">
        <v>34</v>
      </c>
      <c r="M999" s="84">
        <v>53</v>
      </c>
      <c r="N999" s="84">
        <v>55</v>
      </c>
      <c r="O999" s="5">
        <f t="shared" si="64"/>
        <v>516</v>
      </c>
      <c r="P999" s="6">
        <f t="shared" si="66"/>
        <v>4</v>
      </c>
      <c r="Q999" s="5">
        <f t="shared" si="63"/>
        <v>46</v>
      </c>
      <c r="R999" s="1">
        <v>511.5</v>
      </c>
      <c r="S999" s="1">
        <v>50</v>
      </c>
      <c r="T999" s="5">
        <f t="shared" si="65"/>
        <v>4</v>
      </c>
    </row>
    <row r="1000" spans="1:20">
      <c r="A1000" s="1"/>
      <c r="B1000" s="1" t="s">
        <v>3199</v>
      </c>
      <c r="C1000" s="1" t="s">
        <v>52</v>
      </c>
      <c r="D1000" s="1" t="s">
        <v>3063</v>
      </c>
      <c r="E1000" s="1" t="s">
        <v>3437</v>
      </c>
      <c r="F1000" s="84">
        <v>108</v>
      </c>
      <c r="G1000" s="84">
        <v>129</v>
      </c>
      <c r="H1000" s="84">
        <v>115.5</v>
      </c>
      <c r="I1000" s="84">
        <v>77</v>
      </c>
      <c r="J1000" s="84">
        <v>72</v>
      </c>
      <c r="K1000" s="84">
        <v>85</v>
      </c>
      <c r="L1000" s="84">
        <v>68</v>
      </c>
      <c r="M1000" s="84">
        <v>86</v>
      </c>
      <c r="N1000" s="84">
        <v>54</v>
      </c>
      <c r="O1000" s="5">
        <f t="shared" si="64"/>
        <v>586.5</v>
      </c>
      <c r="P1000" s="6">
        <f t="shared" si="66"/>
        <v>1</v>
      </c>
      <c r="Q1000" s="5">
        <f t="shared" si="63"/>
        <v>6</v>
      </c>
      <c r="R1000" s="1">
        <v>560.5</v>
      </c>
      <c r="S1000" s="1">
        <v>20</v>
      </c>
      <c r="T1000" s="5">
        <f t="shared" si="65"/>
        <v>14</v>
      </c>
    </row>
    <row r="1001" spans="1:20">
      <c r="A1001" s="1" t="s">
        <v>2972</v>
      </c>
      <c r="B1001" s="1" t="s">
        <v>3199</v>
      </c>
      <c r="C1001" s="1" t="s">
        <v>52</v>
      </c>
      <c r="D1001" s="1" t="s">
        <v>3066</v>
      </c>
      <c r="E1001" s="1" t="s">
        <v>96</v>
      </c>
      <c r="F1001" s="84">
        <v>109</v>
      </c>
      <c r="G1001" s="84">
        <v>83</v>
      </c>
      <c r="H1001" s="84">
        <v>109</v>
      </c>
      <c r="I1001" s="84">
        <v>71</v>
      </c>
      <c r="J1001" s="84">
        <v>68</v>
      </c>
      <c r="K1001" s="84">
        <v>76</v>
      </c>
      <c r="L1001" s="84">
        <v>36</v>
      </c>
      <c r="M1001" s="84">
        <v>55</v>
      </c>
      <c r="N1001" s="84">
        <v>49</v>
      </c>
      <c r="O1001" s="5">
        <f t="shared" si="64"/>
        <v>516</v>
      </c>
      <c r="P1001" s="6">
        <f t="shared" si="66"/>
        <v>4</v>
      </c>
      <c r="Q1001" s="5">
        <f t="shared" si="63"/>
        <v>46</v>
      </c>
      <c r="R1001" s="1">
        <v>510.5</v>
      </c>
      <c r="S1001" s="1">
        <v>51</v>
      </c>
      <c r="T1001" s="5">
        <f t="shared" si="65"/>
        <v>5</v>
      </c>
    </row>
    <row r="1002" spans="1:20">
      <c r="A1002" s="1" t="s">
        <v>3050</v>
      </c>
      <c r="B1002" s="1" t="s">
        <v>3199</v>
      </c>
      <c r="C1002" s="1" t="s">
        <v>52</v>
      </c>
      <c r="D1002" s="1" t="s">
        <v>3069</v>
      </c>
      <c r="E1002" s="1" t="s">
        <v>3052</v>
      </c>
      <c r="F1002" s="84">
        <v>103</v>
      </c>
      <c r="G1002" s="84">
        <v>81</v>
      </c>
      <c r="H1002" s="84">
        <v>86.5</v>
      </c>
      <c r="I1002" s="84">
        <v>76</v>
      </c>
      <c r="J1002" s="84">
        <v>63</v>
      </c>
      <c r="K1002" s="84">
        <v>67</v>
      </c>
      <c r="L1002" s="84">
        <v>46</v>
      </c>
      <c r="M1002" s="84">
        <v>57</v>
      </c>
      <c r="N1002" s="84">
        <v>35</v>
      </c>
      <c r="O1002" s="5">
        <f t="shared" si="64"/>
        <v>476.5</v>
      </c>
      <c r="P1002" s="6">
        <f t="shared" si="66"/>
        <v>15</v>
      </c>
      <c r="Q1002" s="5">
        <f t="shared" ref="Q1002:Q1065" si="67">RANK(O1002,$O$937:$O$1070)</f>
        <v>74</v>
      </c>
      <c r="R1002" s="1">
        <v>466</v>
      </c>
      <c r="S1002" s="1">
        <v>88</v>
      </c>
      <c r="T1002" s="5">
        <f t="shared" si="65"/>
        <v>14</v>
      </c>
    </row>
    <row r="1003" spans="1:20">
      <c r="A1003" s="1" t="s">
        <v>3053</v>
      </c>
      <c r="B1003" s="1" t="s">
        <v>3199</v>
      </c>
      <c r="C1003" s="1" t="s">
        <v>52</v>
      </c>
      <c r="D1003" s="1" t="s">
        <v>3072</v>
      </c>
      <c r="E1003" s="1" t="s">
        <v>3055</v>
      </c>
      <c r="F1003" s="84">
        <v>116</v>
      </c>
      <c r="G1003" s="84">
        <v>41</v>
      </c>
      <c r="H1003" s="84">
        <v>102.5</v>
      </c>
      <c r="I1003" s="84">
        <v>57</v>
      </c>
      <c r="J1003" s="84">
        <v>60</v>
      </c>
      <c r="K1003" s="84">
        <v>58</v>
      </c>
      <c r="L1003" s="84">
        <v>38</v>
      </c>
      <c r="M1003" s="84">
        <v>56</v>
      </c>
      <c r="N1003" s="84">
        <v>50</v>
      </c>
      <c r="O1003" s="5">
        <f t="shared" si="64"/>
        <v>434.5</v>
      </c>
      <c r="P1003" s="6">
        <f t="shared" si="66"/>
        <v>35</v>
      </c>
      <c r="Q1003" s="5">
        <f t="shared" si="67"/>
        <v>111</v>
      </c>
      <c r="R1003" s="1">
        <v>474.5</v>
      </c>
      <c r="S1003" s="1">
        <v>80</v>
      </c>
      <c r="T1003" s="5">
        <f t="shared" si="65"/>
        <v>-31</v>
      </c>
    </row>
    <row r="1004" spans="1:20">
      <c r="A1004" s="1" t="s">
        <v>3059</v>
      </c>
      <c r="B1004" s="1" t="s">
        <v>3199</v>
      </c>
      <c r="C1004" s="1" t="s">
        <v>52</v>
      </c>
      <c r="D1004" s="1" t="s">
        <v>3075</v>
      </c>
      <c r="E1004" s="1" t="s">
        <v>3061</v>
      </c>
      <c r="F1004" s="84">
        <v>92</v>
      </c>
      <c r="G1004" s="84">
        <v>63</v>
      </c>
      <c r="H1004" s="84">
        <v>94</v>
      </c>
      <c r="I1004" s="84">
        <v>58</v>
      </c>
      <c r="J1004" s="84">
        <v>66</v>
      </c>
      <c r="K1004" s="84">
        <v>55</v>
      </c>
      <c r="L1004" s="84">
        <v>29</v>
      </c>
      <c r="M1004" s="84">
        <v>57</v>
      </c>
      <c r="N1004" s="84">
        <v>41</v>
      </c>
      <c r="O1004" s="5">
        <f t="shared" si="64"/>
        <v>428</v>
      </c>
      <c r="P1004" s="6">
        <f t="shared" si="66"/>
        <v>38</v>
      </c>
      <c r="Q1004" s="5">
        <f t="shared" si="67"/>
        <v>115</v>
      </c>
      <c r="R1004" s="1">
        <v>418.5</v>
      </c>
      <c r="S1004" s="1">
        <v>131</v>
      </c>
      <c r="T1004" s="5">
        <f t="shared" si="65"/>
        <v>16</v>
      </c>
    </row>
    <row r="1005" spans="1:20">
      <c r="A1005" s="1" t="s">
        <v>3062</v>
      </c>
      <c r="B1005" s="1" t="s">
        <v>3199</v>
      </c>
      <c r="C1005" s="1" t="s">
        <v>52</v>
      </c>
      <c r="D1005" s="1" t="s">
        <v>3078</v>
      </c>
      <c r="E1005" s="1" t="s">
        <v>3064</v>
      </c>
      <c r="F1005" s="84">
        <v>94</v>
      </c>
      <c r="G1005" s="84">
        <v>46</v>
      </c>
      <c r="H1005" s="84">
        <v>84.5</v>
      </c>
      <c r="I1005" s="84">
        <v>64</v>
      </c>
      <c r="J1005" s="84">
        <v>62</v>
      </c>
      <c r="K1005" s="84">
        <v>67</v>
      </c>
      <c r="L1005" s="84">
        <v>32</v>
      </c>
      <c r="M1005" s="84">
        <v>56</v>
      </c>
      <c r="N1005" s="84">
        <v>26</v>
      </c>
      <c r="O1005" s="5">
        <f t="shared" si="64"/>
        <v>417.5</v>
      </c>
      <c r="P1005" s="6">
        <f t="shared" si="66"/>
        <v>41</v>
      </c>
      <c r="Q1005" s="5">
        <f t="shared" si="67"/>
        <v>123</v>
      </c>
      <c r="R1005" s="1">
        <v>393</v>
      </c>
      <c r="S1005" s="1">
        <v>136</v>
      </c>
      <c r="T1005" s="5">
        <f t="shared" si="65"/>
        <v>13</v>
      </c>
    </row>
    <row r="1006" spans="1:20">
      <c r="A1006" s="1" t="s">
        <v>1869</v>
      </c>
      <c r="B1006" s="1" t="s">
        <v>3199</v>
      </c>
      <c r="C1006" s="1" t="s">
        <v>52</v>
      </c>
      <c r="D1006" s="1" t="s">
        <v>3080</v>
      </c>
      <c r="E1006" s="1" t="s">
        <v>1871</v>
      </c>
      <c r="F1006" s="84">
        <v>96</v>
      </c>
      <c r="G1006" s="84">
        <v>61</v>
      </c>
      <c r="H1006" s="84">
        <v>70</v>
      </c>
      <c r="I1006" s="84">
        <v>51</v>
      </c>
      <c r="J1006" s="84">
        <v>61</v>
      </c>
      <c r="K1006" s="84">
        <v>55</v>
      </c>
      <c r="L1006" s="84">
        <v>38</v>
      </c>
      <c r="M1006" s="84">
        <v>66</v>
      </c>
      <c r="N1006" s="84">
        <v>46</v>
      </c>
      <c r="O1006" s="5">
        <f t="shared" si="64"/>
        <v>394</v>
      </c>
      <c r="P1006" s="6">
        <f t="shared" si="66"/>
        <v>44</v>
      </c>
      <c r="Q1006" s="5">
        <f t="shared" si="67"/>
        <v>132</v>
      </c>
      <c r="R1006" s="1">
        <v>395.5</v>
      </c>
      <c r="S1006" s="1">
        <v>135</v>
      </c>
      <c r="T1006" s="5">
        <f t="shared" si="65"/>
        <v>3</v>
      </c>
    </row>
    <row r="1007" spans="1:20">
      <c r="A1007" s="1" t="s">
        <v>333</v>
      </c>
      <c r="B1007" s="1" t="s">
        <v>3199</v>
      </c>
      <c r="C1007" s="1" t="s">
        <v>52</v>
      </c>
      <c r="D1007" s="1" t="s">
        <v>3085</v>
      </c>
      <c r="E1007" s="1" t="s">
        <v>334</v>
      </c>
      <c r="F1007" s="84">
        <v>102</v>
      </c>
      <c r="G1007" s="84">
        <v>81</v>
      </c>
      <c r="H1007" s="84">
        <v>82</v>
      </c>
      <c r="I1007" s="84">
        <v>76</v>
      </c>
      <c r="J1007" s="84">
        <v>57</v>
      </c>
      <c r="K1007" s="84">
        <v>58</v>
      </c>
      <c r="L1007" s="84">
        <v>49</v>
      </c>
      <c r="M1007" s="84">
        <v>71</v>
      </c>
      <c r="N1007" s="84">
        <v>54</v>
      </c>
      <c r="O1007" s="5">
        <f t="shared" si="64"/>
        <v>456</v>
      </c>
      <c r="P1007" s="6">
        <f t="shared" si="66"/>
        <v>23</v>
      </c>
      <c r="Q1007" s="5">
        <f t="shared" si="67"/>
        <v>89</v>
      </c>
      <c r="R1007" s="1">
        <v>488</v>
      </c>
      <c r="S1007" s="1">
        <v>71</v>
      </c>
      <c r="T1007" s="5">
        <f t="shared" si="65"/>
        <v>-18</v>
      </c>
    </row>
    <row r="1008" spans="1:20">
      <c r="A1008" s="1" t="s">
        <v>3068</v>
      </c>
      <c r="B1008" s="1" t="s">
        <v>3199</v>
      </c>
      <c r="C1008" s="1" t="s">
        <v>52</v>
      </c>
      <c r="D1008" s="1" t="s">
        <v>3088</v>
      </c>
      <c r="E1008" s="1" t="s">
        <v>3070</v>
      </c>
      <c r="F1008" s="84">
        <v>107</v>
      </c>
      <c r="G1008" s="84">
        <v>67</v>
      </c>
      <c r="H1008" s="84">
        <v>83.5</v>
      </c>
      <c r="I1008" s="84">
        <v>54</v>
      </c>
      <c r="J1008" s="84">
        <v>62</v>
      </c>
      <c r="K1008" s="84">
        <v>66</v>
      </c>
      <c r="L1008" s="84">
        <v>36</v>
      </c>
      <c r="M1008" s="84">
        <v>50</v>
      </c>
      <c r="N1008" s="84">
        <v>39</v>
      </c>
      <c r="O1008" s="5">
        <f t="shared" si="64"/>
        <v>439.5</v>
      </c>
      <c r="P1008" s="6">
        <f t="shared" si="66"/>
        <v>32</v>
      </c>
      <c r="Q1008" s="5">
        <f t="shared" si="67"/>
        <v>107</v>
      </c>
      <c r="R1008" s="1">
        <v>461</v>
      </c>
      <c r="S1008" s="1">
        <v>96</v>
      </c>
      <c r="T1008" s="5">
        <f t="shared" si="65"/>
        <v>-11</v>
      </c>
    </row>
    <row r="1009" spans="1:20">
      <c r="A1009" s="1" t="s">
        <v>815</v>
      </c>
      <c r="B1009" s="1" t="s">
        <v>3199</v>
      </c>
      <c r="C1009" s="1" t="s">
        <v>52</v>
      </c>
      <c r="D1009" s="1" t="s">
        <v>3090</v>
      </c>
      <c r="E1009" s="1" t="s">
        <v>817</v>
      </c>
      <c r="F1009" s="84">
        <v>114</v>
      </c>
      <c r="G1009" s="84">
        <v>84</v>
      </c>
      <c r="H1009" s="84">
        <v>99.5</v>
      </c>
      <c r="I1009" s="84">
        <v>64</v>
      </c>
      <c r="J1009" s="84">
        <v>60</v>
      </c>
      <c r="K1009" s="84">
        <v>61</v>
      </c>
      <c r="L1009" s="84">
        <v>48</v>
      </c>
      <c r="M1009" s="84">
        <v>74</v>
      </c>
      <c r="N1009" s="84">
        <v>46</v>
      </c>
      <c r="O1009" s="5">
        <f t="shared" si="64"/>
        <v>482.5</v>
      </c>
      <c r="P1009" s="6">
        <f t="shared" si="66"/>
        <v>14</v>
      </c>
      <c r="Q1009" s="5">
        <f t="shared" si="67"/>
        <v>70</v>
      </c>
      <c r="R1009" s="1">
        <v>466.5</v>
      </c>
      <c r="S1009" s="1">
        <v>87</v>
      </c>
      <c r="T1009" s="5">
        <f t="shared" si="65"/>
        <v>17</v>
      </c>
    </row>
    <row r="1010" spans="1:20">
      <c r="A1010" s="1" t="s">
        <v>2986</v>
      </c>
      <c r="B1010" s="1" t="s">
        <v>3199</v>
      </c>
      <c r="C1010" s="1" t="s">
        <v>52</v>
      </c>
      <c r="D1010" s="1" t="s">
        <v>3093</v>
      </c>
      <c r="E1010" s="1" t="s">
        <v>166</v>
      </c>
      <c r="F1010" s="84">
        <v>112</v>
      </c>
      <c r="G1010" s="84">
        <v>68</v>
      </c>
      <c r="H1010" s="84">
        <v>107</v>
      </c>
      <c r="I1010" s="84">
        <v>54</v>
      </c>
      <c r="J1010" s="84">
        <v>59</v>
      </c>
      <c r="K1010" s="84">
        <v>71</v>
      </c>
      <c r="L1010" s="84">
        <v>31</v>
      </c>
      <c r="M1010" s="84">
        <v>45</v>
      </c>
      <c r="N1010" s="84">
        <v>42</v>
      </c>
      <c r="O1010" s="5">
        <f t="shared" si="64"/>
        <v>471</v>
      </c>
      <c r="P1010" s="6">
        <f t="shared" si="66"/>
        <v>17</v>
      </c>
      <c r="Q1010" s="5">
        <f t="shared" si="67"/>
        <v>77</v>
      </c>
      <c r="R1010" s="1">
        <v>492.5</v>
      </c>
      <c r="S1010" s="1">
        <v>66</v>
      </c>
      <c r="T1010" s="5">
        <f t="shared" si="65"/>
        <v>-11</v>
      </c>
    </row>
    <row r="1011" spans="1:20">
      <c r="A1011" s="1" t="s">
        <v>3071</v>
      </c>
      <c r="B1011" s="1" t="s">
        <v>3199</v>
      </c>
      <c r="C1011" s="1" t="s">
        <v>52</v>
      </c>
      <c r="D1011" s="1" t="s">
        <v>3096</v>
      </c>
      <c r="E1011" s="1" t="s">
        <v>3073</v>
      </c>
      <c r="F1011" s="84">
        <v>91</v>
      </c>
      <c r="G1011" s="84">
        <v>54</v>
      </c>
      <c r="H1011" s="84">
        <v>115.5</v>
      </c>
      <c r="I1011" s="84">
        <v>55</v>
      </c>
      <c r="J1011" s="84">
        <v>51</v>
      </c>
      <c r="K1011" s="84">
        <v>58</v>
      </c>
      <c r="L1011" s="84">
        <v>34</v>
      </c>
      <c r="M1011" s="84">
        <v>58</v>
      </c>
      <c r="N1011" s="84">
        <v>34</v>
      </c>
      <c r="O1011" s="5">
        <f t="shared" si="64"/>
        <v>424.5</v>
      </c>
      <c r="P1011" s="6">
        <f t="shared" si="66"/>
        <v>40</v>
      </c>
      <c r="Q1011" s="5">
        <f t="shared" si="67"/>
        <v>120</v>
      </c>
      <c r="R1011" s="1">
        <v>473</v>
      </c>
      <c r="S1011" s="1">
        <v>81</v>
      </c>
      <c r="T1011" s="5">
        <f t="shared" si="65"/>
        <v>-39</v>
      </c>
    </row>
    <row r="1012" spans="1:20">
      <c r="A1012" s="1" t="s">
        <v>2992</v>
      </c>
      <c r="B1012" s="1" t="s">
        <v>3199</v>
      </c>
      <c r="C1012" s="1" t="s">
        <v>52</v>
      </c>
      <c r="D1012" s="1" t="s">
        <v>3098</v>
      </c>
      <c r="E1012" s="1" t="s">
        <v>2994</v>
      </c>
      <c r="F1012" s="84">
        <v>123</v>
      </c>
      <c r="G1012" s="84">
        <v>70</v>
      </c>
      <c r="H1012" s="84">
        <v>90.5</v>
      </c>
      <c r="I1012" s="84">
        <v>63</v>
      </c>
      <c r="J1012" s="84">
        <v>74</v>
      </c>
      <c r="K1012" s="84">
        <v>76</v>
      </c>
      <c r="L1012" s="84">
        <v>33</v>
      </c>
      <c r="M1012" s="84">
        <v>60</v>
      </c>
      <c r="N1012" s="84">
        <v>44</v>
      </c>
      <c r="O1012" s="5">
        <f t="shared" si="64"/>
        <v>496.5</v>
      </c>
      <c r="P1012" s="6">
        <f t="shared" si="66"/>
        <v>7</v>
      </c>
      <c r="Q1012" s="5">
        <f t="shared" si="67"/>
        <v>53</v>
      </c>
      <c r="R1012" s="1">
        <v>499</v>
      </c>
      <c r="S1012" s="1">
        <v>57</v>
      </c>
      <c r="T1012" s="5">
        <f t="shared" si="65"/>
        <v>4</v>
      </c>
    </row>
    <row r="1013" spans="1:20">
      <c r="A1013" s="1" t="s">
        <v>2997</v>
      </c>
      <c r="B1013" s="1" t="s">
        <v>3199</v>
      </c>
      <c r="C1013" s="1" t="s">
        <v>52</v>
      </c>
      <c r="D1013" s="1" t="s">
        <v>3100</v>
      </c>
      <c r="E1013" s="1" t="s">
        <v>161</v>
      </c>
      <c r="F1013" s="84">
        <v>99</v>
      </c>
      <c r="G1013" s="84">
        <v>82</v>
      </c>
      <c r="H1013" s="84">
        <v>90.5</v>
      </c>
      <c r="I1013" s="84">
        <v>72</v>
      </c>
      <c r="J1013" s="84">
        <v>64</v>
      </c>
      <c r="K1013" s="84">
        <v>64</v>
      </c>
      <c r="L1013" s="84">
        <v>48</v>
      </c>
      <c r="M1013" s="84">
        <v>63</v>
      </c>
      <c r="N1013" s="84">
        <v>58</v>
      </c>
      <c r="O1013" s="5">
        <f t="shared" si="64"/>
        <v>471.5</v>
      </c>
      <c r="P1013" s="6">
        <f t="shared" si="66"/>
        <v>16</v>
      </c>
      <c r="Q1013" s="5">
        <f t="shared" si="67"/>
        <v>76</v>
      </c>
      <c r="R1013" s="1">
        <v>475.5</v>
      </c>
      <c r="S1013" s="1">
        <v>77</v>
      </c>
      <c r="T1013" s="5">
        <f t="shared" si="65"/>
        <v>1</v>
      </c>
    </row>
    <row r="1014" spans="1:20">
      <c r="A1014" s="1" t="s">
        <v>3074</v>
      </c>
      <c r="B1014" s="1" t="s">
        <v>3199</v>
      </c>
      <c r="C1014" s="1" t="s">
        <v>52</v>
      </c>
      <c r="D1014" s="1" t="s">
        <v>3103</v>
      </c>
      <c r="E1014" s="1" t="s">
        <v>3076</v>
      </c>
      <c r="F1014" s="84">
        <v>105</v>
      </c>
      <c r="G1014" s="84">
        <v>98</v>
      </c>
      <c r="H1014" s="84">
        <v>75</v>
      </c>
      <c r="I1014" s="84">
        <v>63</v>
      </c>
      <c r="J1014" s="84">
        <v>72</v>
      </c>
      <c r="K1014" s="84">
        <v>71</v>
      </c>
      <c r="L1014" s="84">
        <v>26</v>
      </c>
      <c r="M1014" s="84">
        <v>60</v>
      </c>
      <c r="N1014" s="84">
        <v>43</v>
      </c>
      <c r="O1014" s="5">
        <f t="shared" si="64"/>
        <v>484</v>
      </c>
      <c r="P1014" s="6">
        <f t="shared" si="66"/>
        <v>12</v>
      </c>
      <c r="Q1014" s="5">
        <f t="shared" si="67"/>
        <v>66</v>
      </c>
      <c r="R1014" s="1">
        <v>442.5</v>
      </c>
      <c r="S1014" s="1">
        <v>115</v>
      </c>
      <c r="T1014" s="5">
        <f t="shared" si="65"/>
        <v>49</v>
      </c>
    </row>
    <row r="1015" spans="1:20">
      <c r="A1015" s="1" t="s">
        <v>3077</v>
      </c>
      <c r="B1015" s="1" t="s">
        <v>3199</v>
      </c>
      <c r="C1015" s="1" t="s">
        <v>52</v>
      </c>
      <c r="D1015" s="1" t="s">
        <v>3105</v>
      </c>
      <c r="E1015" s="1" t="s">
        <v>3079</v>
      </c>
      <c r="F1015" s="84">
        <v>102</v>
      </c>
      <c r="G1015" s="84">
        <v>83</v>
      </c>
      <c r="H1015" s="84">
        <v>75</v>
      </c>
      <c r="I1015" s="84">
        <v>61</v>
      </c>
      <c r="J1015" s="84">
        <v>58</v>
      </c>
      <c r="K1015" s="84">
        <v>66</v>
      </c>
      <c r="L1015" s="84">
        <v>39</v>
      </c>
      <c r="M1015" s="84">
        <v>76</v>
      </c>
      <c r="N1015" s="84">
        <v>63</v>
      </c>
      <c r="O1015" s="5">
        <f t="shared" si="64"/>
        <v>445</v>
      </c>
      <c r="P1015" s="6">
        <f t="shared" si="66"/>
        <v>27</v>
      </c>
      <c r="Q1015" s="5">
        <f t="shared" si="67"/>
        <v>99</v>
      </c>
      <c r="R1015" s="1">
        <v>460.5</v>
      </c>
      <c r="S1015" s="1">
        <v>97</v>
      </c>
      <c r="T1015" s="5">
        <f t="shared" si="65"/>
        <v>-2</v>
      </c>
    </row>
    <row r="1016" spans="1:20">
      <c r="A1016" s="1">
        <v>20181079</v>
      </c>
      <c r="B1016" s="1" t="s">
        <v>3199</v>
      </c>
      <c r="C1016" s="1" t="s">
        <v>52</v>
      </c>
      <c r="D1016" s="1" t="s">
        <v>3286</v>
      </c>
      <c r="E1016" s="1" t="s">
        <v>3287</v>
      </c>
      <c r="F1016" s="84">
        <v>99</v>
      </c>
      <c r="G1016" s="84">
        <v>73</v>
      </c>
      <c r="H1016" s="84">
        <v>111</v>
      </c>
      <c r="I1016" s="84">
        <v>58</v>
      </c>
      <c r="J1016" s="84">
        <v>45</v>
      </c>
      <c r="K1016" s="84">
        <v>57</v>
      </c>
      <c r="L1016" s="84">
        <v>40</v>
      </c>
      <c r="M1016" s="84">
        <v>50</v>
      </c>
      <c r="N1016" s="84">
        <v>23</v>
      </c>
      <c r="O1016" s="5">
        <f t="shared" si="64"/>
        <v>443</v>
      </c>
      <c r="P1016" s="6">
        <f t="shared" si="66"/>
        <v>31</v>
      </c>
      <c r="Q1016" s="5">
        <f t="shared" si="67"/>
        <v>103</v>
      </c>
      <c r="R1016" s="1">
        <v>455</v>
      </c>
      <c r="S1016" s="1">
        <v>103</v>
      </c>
      <c r="T1016" s="5">
        <f t="shared" si="65"/>
        <v>0</v>
      </c>
    </row>
    <row r="1017" spans="1:20">
      <c r="A1017" s="1" t="s">
        <v>3081</v>
      </c>
      <c r="B1017" s="1" t="s">
        <v>3199</v>
      </c>
      <c r="C1017" s="1" t="s">
        <v>52</v>
      </c>
      <c r="D1017" s="1" t="s">
        <v>3276</v>
      </c>
      <c r="E1017" s="4" t="s">
        <v>3083</v>
      </c>
      <c r="F1017" s="84">
        <v>98</v>
      </c>
      <c r="G1017" s="84">
        <v>78</v>
      </c>
      <c r="H1017" s="84">
        <v>89</v>
      </c>
      <c r="I1017" s="84">
        <v>61</v>
      </c>
      <c r="J1017" s="84">
        <v>61</v>
      </c>
      <c r="K1017" s="84">
        <v>62</v>
      </c>
      <c r="L1017" s="84">
        <v>27</v>
      </c>
      <c r="M1017" s="84">
        <v>60</v>
      </c>
      <c r="N1017" s="84">
        <v>56</v>
      </c>
      <c r="O1017" s="5">
        <f t="shared" si="64"/>
        <v>449</v>
      </c>
      <c r="P1017" s="6">
        <f t="shared" si="66"/>
        <v>26</v>
      </c>
      <c r="Q1017" s="5">
        <f t="shared" si="67"/>
        <v>97</v>
      </c>
      <c r="R1017" s="5">
        <v>497.5</v>
      </c>
      <c r="S1017" s="5">
        <v>60</v>
      </c>
      <c r="T1017" s="5">
        <f t="shared" si="65"/>
        <v>-37</v>
      </c>
    </row>
    <row r="1018" spans="1:20">
      <c r="A1018" s="1" t="s">
        <v>3084</v>
      </c>
      <c r="B1018" s="1" t="s">
        <v>3199</v>
      </c>
      <c r="C1018" s="1" t="s">
        <v>52</v>
      </c>
      <c r="D1018" s="1" t="s">
        <v>3285</v>
      </c>
      <c r="E1018" s="1" t="s">
        <v>3086</v>
      </c>
      <c r="F1018" s="84">
        <v>98</v>
      </c>
      <c r="G1018" s="84">
        <v>37</v>
      </c>
      <c r="H1018" s="84">
        <v>96</v>
      </c>
      <c r="I1018" s="84">
        <v>56</v>
      </c>
      <c r="J1018" s="84">
        <v>65</v>
      </c>
      <c r="K1018" s="84">
        <v>63</v>
      </c>
      <c r="L1018" s="84">
        <v>28</v>
      </c>
      <c r="M1018" s="84">
        <v>58</v>
      </c>
      <c r="N1018" s="84">
        <v>35</v>
      </c>
      <c r="O1018" s="5">
        <f t="shared" si="64"/>
        <v>415</v>
      </c>
      <c r="P1018" s="6">
        <f t="shared" si="66"/>
        <v>42</v>
      </c>
      <c r="Q1018" s="5">
        <f t="shared" si="67"/>
        <v>124</v>
      </c>
      <c r="R1018" s="1">
        <v>430.5</v>
      </c>
      <c r="S1018" s="1">
        <v>123</v>
      </c>
      <c r="T1018" s="5">
        <f t="shared" si="65"/>
        <v>-1</v>
      </c>
    </row>
    <row r="1019" spans="1:20">
      <c r="A1019" s="1" t="s">
        <v>3087</v>
      </c>
      <c r="B1019" s="1" t="s">
        <v>3199</v>
      </c>
      <c r="C1019" s="1" t="s">
        <v>52</v>
      </c>
      <c r="D1019" s="1" t="s">
        <v>3270</v>
      </c>
      <c r="E1019" s="4" t="s">
        <v>53</v>
      </c>
      <c r="F1019" s="84">
        <v>114</v>
      </c>
      <c r="G1019" s="84">
        <v>83</v>
      </c>
      <c r="H1019" s="84">
        <v>94</v>
      </c>
      <c r="I1019" s="84">
        <v>65</v>
      </c>
      <c r="J1019" s="84">
        <v>55</v>
      </c>
      <c r="K1019" s="84">
        <v>74</v>
      </c>
      <c r="L1019" s="84">
        <v>37</v>
      </c>
      <c r="M1019" s="84">
        <v>66</v>
      </c>
      <c r="N1019" s="84">
        <v>53</v>
      </c>
      <c r="O1019" s="5">
        <f t="shared" si="64"/>
        <v>485</v>
      </c>
      <c r="P1019" s="6">
        <f t="shared" si="66"/>
        <v>11</v>
      </c>
      <c r="Q1019" s="5">
        <f t="shared" si="67"/>
        <v>65</v>
      </c>
      <c r="R1019" s="5">
        <v>460</v>
      </c>
      <c r="S1019" s="5">
        <v>98</v>
      </c>
      <c r="T1019" s="5">
        <f t="shared" si="65"/>
        <v>33</v>
      </c>
    </row>
    <row r="1020" spans="1:20">
      <c r="A1020" s="1" t="s">
        <v>3089</v>
      </c>
      <c r="B1020" s="1" t="s">
        <v>3199</v>
      </c>
      <c r="C1020" s="1" t="s">
        <v>52</v>
      </c>
      <c r="D1020" s="1" t="s">
        <v>3279</v>
      </c>
      <c r="E1020" s="4" t="s">
        <v>3091</v>
      </c>
      <c r="F1020" s="84">
        <v>84</v>
      </c>
      <c r="G1020" s="84">
        <v>58</v>
      </c>
      <c r="H1020" s="84">
        <v>66.5</v>
      </c>
      <c r="I1020" s="84">
        <v>54</v>
      </c>
      <c r="J1020" s="84">
        <v>61</v>
      </c>
      <c r="K1020" s="84">
        <v>62</v>
      </c>
      <c r="L1020" s="84">
        <v>40</v>
      </c>
      <c r="M1020" s="84">
        <v>68</v>
      </c>
      <c r="N1020" s="84">
        <v>52</v>
      </c>
      <c r="O1020" s="5">
        <f t="shared" si="64"/>
        <v>385.5</v>
      </c>
      <c r="P1020" s="6">
        <f t="shared" si="66"/>
        <v>45</v>
      </c>
      <c r="Q1020" s="5">
        <f t="shared" si="67"/>
        <v>134</v>
      </c>
      <c r="R1020" s="5">
        <v>423.5</v>
      </c>
      <c r="S1020" s="5">
        <v>127</v>
      </c>
      <c r="T1020" s="5">
        <f t="shared" si="65"/>
        <v>-7</v>
      </c>
    </row>
    <row r="1021" spans="1:20">
      <c r="A1021" s="1" t="s">
        <v>3092</v>
      </c>
      <c r="B1021" s="1" t="s">
        <v>3199</v>
      </c>
      <c r="C1021" s="1" t="s">
        <v>52</v>
      </c>
      <c r="D1021" s="1" t="s">
        <v>3283</v>
      </c>
      <c r="E1021" s="4" t="s">
        <v>3094</v>
      </c>
      <c r="F1021" s="84">
        <v>103</v>
      </c>
      <c r="G1021" s="84">
        <v>63</v>
      </c>
      <c r="H1021" s="84">
        <v>91</v>
      </c>
      <c r="I1021" s="84">
        <v>62</v>
      </c>
      <c r="J1021" s="84">
        <v>63</v>
      </c>
      <c r="K1021" s="84">
        <v>52</v>
      </c>
      <c r="L1021" s="84">
        <v>30</v>
      </c>
      <c r="M1021" s="84">
        <v>60</v>
      </c>
      <c r="N1021" s="84">
        <v>53</v>
      </c>
      <c r="O1021" s="5">
        <f t="shared" si="64"/>
        <v>434</v>
      </c>
      <c r="P1021" s="6">
        <f t="shared" si="66"/>
        <v>36</v>
      </c>
      <c r="Q1021" s="5">
        <f t="shared" si="67"/>
        <v>112</v>
      </c>
      <c r="R1021" s="5">
        <v>435</v>
      </c>
      <c r="S1021" s="5">
        <v>119</v>
      </c>
      <c r="T1021" s="5">
        <f t="shared" si="65"/>
        <v>7</v>
      </c>
    </row>
    <row r="1022" spans="1:20">
      <c r="A1022" s="1" t="s">
        <v>3095</v>
      </c>
      <c r="B1022" s="1" t="s">
        <v>3199</v>
      </c>
      <c r="C1022" s="1" t="s">
        <v>52</v>
      </c>
      <c r="D1022" s="1" t="s">
        <v>3277</v>
      </c>
      <c r="E1022" s="1" t="s">
        <v>65</v>
      </c>
      <c r="F1022" s="84">
        <v>117</v>
      </c>
      <c r="G1022" s="84">
        <v>95</v>
      </c>
      <c r="H1022" s="84">
        <v>97</v>
      </c>
      <c r="I1022" s="84">
        <v>73</v>
      </c>
      <c r="J1022" s="84">
        <v>65</v>
      </c>
      <c r="K1022" s="84">
        <v>77</v>
      </c>
      <c r="L1022" s="84">
        <v>47</v>
      </c>
      <c r="M1022" s="84">
        <v>43</v>
      </c>
      <c r="N1022" s="84">
        <v>48</v>
      </c>
      <c r="O1022" s="5">
        <f t="shared" si="64"/>
        <v>524</v>
      </c>
      <c r="P1022" s="6">
        <f t="shared" si="66"/>
        <v>2</v>
      </c>
      <c r="Q1022" s="5">
        <f t="shared" si="67"/>
        <v>39</v>
      </c>
      <c r="R1022" s="1">
        <v>493.5</v>
      </c>
      <c r="S1022" s="1">
        <v>64</v>
      </c>
      <c r="T1022" s="5">
        <f t="shared" si="65"/>
        <v>25</v>
      </c>
    </row>
    <row r="1023" spans="1:20">
      <c r="A1023" s="1" t="s">
        <v>3097</v>
      </c>
      <c r="B1023" s="1" t="s">
        <v>3199</v>
      </c>
      <c r="C1023" s="1" t="s">
        <v>52</v>
      </c>
      <c r="D1023" s="1" t="s">
        <v>3284</v>
      </c>
      <c r="E1023" s="1" t="s">
        <v>158</v>
      </c>
      <c r="F1023" s="84">
        <v>99</v>
      </c>
      <c r="G1023" s="84">
        <v>68</v>
      </c>
      <c r="H1023" s="84">
        <v>79.5</v>
      </c>
      <c r="I1023" s="84">
        <v>59</v>
      </c>
      <c r="J1023" s="84">
        <v>63</v>
      </c>
      <c r="K1023" s="84">
        <v>76</v>
      </c>
      <c r="L1023" s="84">
        <v>40</v>
      </c>
      <c r="M1023" s="84">
        <v>67</v>
      </c>
      <c r="N1023" s="84">
        <v>53</v>
      </c>
      <c r="O1023" s="5">
        <f t="shared" si="64"/>
        <v>444.5</v>
      </c>
      <c r="P1023" s="6">
        <f t="shared" si="66"/>
        <v>28</v>
      </c>
      <c r="Q1023" s="5">
        <f t="shared" si="67"/>
        <v>100</v>
      </c>
      <c r="R1023" s="1">
        <v>452.5</v>
      </c>
      <c r="S1023" s="1">
        <v>105</v>
      </c>
      <c r="T1023" s="5">
        <f t="shared" si="65"/>
        <v>5</v>
      </c>
    </row>
    <row r="1024" spans="1:20">
      <c r="A1024" s="1" t="s">
        <v>3008</v>
      </c>
      <c r="B1024" s="1" t="s">
        <v>3199</v>
      </c>
      <c r="C1024" s="1" t="s">
        <v>52</v>
      </c>
      <c r="D1024" s="1" t="s">
        <v>3282</v>
      </c>
      <c r="E1024" s="1" t="s">
        <v>27</v>
      </c>
      <c r="F1024" s="84">
        <v>113</v>
      </c>
      <c r="G1024" s="84">
        <v>95</v>
      </c>
      <c r="H1024" s="84">
        <v>106.5</v>
      </c>
      <c r="I1024" s="84">
        <v>68</v>
      </c>
      <c r="J1024" s="84">
        <v>61</v>
      </c>
      <c r="K1024" s="84">
        <v>71</v>
      </c>
      <c r="L1024" s="84">
        <v>43</v>
      </c>
      <c r="M1024" s="84">
        <v>61</v>
      </c>
      <c r="N1024" s="84">
        <v>53</v>
      </c>
      <c r="O1024" s="5">
        <f t="shared" si="64"/>
        <v>514.5</v>
      </c>
      <c r="P1024" s="6">
        <f t="shared" si="66"/>
        <v>6</v>
      </c>
      <c r="Q1024" s="5">
        <f t="shared" si="67"/>
        <v>48</v>
      </c>
      <c r="R1024" s="1">
        <v>475.5</v>
      </c>
      <c r="S1024" s="1">
        <v>77</v>
      </c>
      <c r="T1024" s="5">
        <f t="shared" si="65"/>
        <v>29</v>
      </c>
    </row>
    <row r="1025" spans="1:20">
      <c r="A1025" s="1" t="s">
        <v>3099</v>
      </c>
      <c r="B1025" s="1" t="s">
        <v>3199</v>
      </c>
      <c r="C1025" s="1" t="s">
        <v>52</v>
      </c>
      <c r="D1025" s="1" t="s">
        <v>3275</v>
      </c>
      <c r="E1025" s="1" t="s">
        <v>3101</v>
      </c>
      <c r="F1025" s="84">
        <v>94</v>
      </c>
      <c r="G1025" s="84">
        <v>70</v>
      </c>
      <c r="H1025" s="84">
        <v>90.5</v>
      </c>
      <c r="I1025" s="84">
        <v>65</v>
      </c>
      <c r="J1025" s="84">
        <v>61</v>
      </c>
      <c r="K1025" s="84">
        <v>63</v>
      </c>
      <c r="L1025" s="84">
        <v>43</v>
      </c>
      <c r="M1025" s="84">
        <v>68</v>
      </c>
      <c r="N1025" s="84">
        <v>44</v>
      </c>
      <c r="O1025" s="5">
        <f t="shared" si="64"/>
        <v>443.5</v>
      </c>
      <c r="P1025" s="6">
        <f t="shared" si="66"/>
        <v>29</v>
      </c>
      <c r="Q1025" s="5">
        <f t="shared" si="67"/>
        <v>101</v>
      </c>
      <c r="R1025" s="1">
        <v>472</v>
      </c>
      <c r="S1025" s="1">
        <v>82</v>
      </c>
      <c r="T1025" s="5">
        <f t="shared" si="65"/>
        <v>-19</v>
      </c>
    </row>
    <row r="1026" spans="1:20">
      <c r="A1026" s="1" t="s">
        <v>2563</v>
      </c>
      <c r="B1026" s="1" t="s">
        <v>3199</v>
      </c>
      <c r="C1026" s="1" t="s">
        <v>52</v>
      </c>
      <c r="D1026" s="1" t="s">
        <v>3298</v>
      </c>
      <c r="E1026" s="1" t="s">
        <v>132</v>
      </c>
      <c r="F1026" s="84">
        <v>98</v>
      </c>
      <c r="G1026" s="84">
        <v>57</v>
      </c>
      <c r="H1026" s="84">
        <v>126</v>
      </c>
      <c r="I1026" s="84">
        <v>72</v>
      </c>
      <c r="J1026" s="84">
        <v>50</v>
      </c>
      <c r="K1026" s="84">
        <v>58</v>
      </c>
      <c r="L1026" s="84">
        <v>54</v>
      </c>
      <c r="M1026" s="84">
        <v>69</v>
      </c>
      <c r="N1026" s="84">
        <v>63</v>
      </c>
      <c r="O1026" s="5">
        <f t="shared" ref="O1026:O1070" si="68">SUM(F1026:K1026)</f>
        <v>461</v>
      </c>
      <c r="P1026" s="6">
        <f t="shared" si="66"/>
        <v>19</v>
      </c>
      <c r="Q1026" s="5">
        <f t="shared" si="67"/>
        <v>82</v>
      </c>
      <c r="R1026" s="1">
        <v>494</v>
      </c>
      <c r="S1026" s="1">
        <v>63</v>
      </c>
      <c r="T1026" s="5">
        <f t="shared" si="65"/>
        <v>-19</v>
      </c>
    </row>
    <row r="1027" spans="1:20">
      <c r="A1027" s="1" t="s">
        <v>3104</v>
      </c>
      <c r="B1027" s="1" t="s">
        <v>3199</v>
      </c>
      <c r="C1027" s="1" t="s">
        <v>52</v>
      </c>
      <c r="D1027" s="1" t="s">
        <v>3297</v>
      </c>
      <c r="E1027" s="1" t="s">
        <v>3106</v>
      </c>
      <c r="F1027" s="84">
        <v>106</v>
      </c>
      <c r="G1027" s="84">
        <v>69</v>
      </c>
      <c r="H1027" s="84">
        <v>93</v>
      </c>
      <c r="I1027" s="84">
        <v>63</v>
      </c>
      <c r="J1027" s="84">
        <v>65</v>
      </c>
      <c r="K1027" s="84">
        <v>66</v>
      </c>
      <c r="L1027" s="84">
        <v>38</v>
      </c>
      <c r="M1027" s="84">
        <v>65</v>
      </c>
      <c r="N1027" s="84">
        <v>52</v>
      </c>
      <c r="O1027" s="5">
        <f t="shared" si="68"/>
        <v>462</v>
      </c>
      <c r="P1027" s="6">
        <f t="shared" si="66"/>
        <v>18</v>
      </c>
      <c r="Q1027" s="5">
        <f t="shared" si="67"/>
        <v>81</v>
      </c>
      <c r="R1027" s="1">
        <v>448</v>
      </c>
      <c r="S1027" s="1">
        <v>109</v>
      </c>
      <c r="T1027" s="5">
        <f t="shared" si="65"/>
        <v>28</v>
      </c>
    </row>
    <row r="1028" spans="1:20">
      <c r="A1028" s="1" t="s">
        <v>3107</v>
      </c>
      <c r="B1028" s="1" t="s">
        <v>3199</v>
      </c>
      <c r="C1028" s="1" t="s">
        <v>25</v>
      </c>
      <c r="D1028" s="1" t="s">
        <v>3108</v>
      </c>
      <c r="E1028" s="1" t="s">
        <v>3109</v>
      </c>
      <c r="F1028" s="84">
        <v>108</v>
      </c>
      <c r="G1028" s="84">
        <v>81</v>
      </c>
      <c r="H1028" s="84">
        <v>99</v>
      </c>
      <c r="I1028" s="84">
        <v>56</v>
      </c>
      <c r="J1028" s="84">
        <v>52</v>
      </c>
      <c r="K1028" s="84">
        <v>65</v>
      </c>
      <c r="L1028" s="84">
        <v>38</v>
      </c>
      <c r="M1028" s="84">
        <v>62</v>
      </c>
      <c r="N1028" s="84">
        <v>48</v>
      </c>
      <c r="O1028" s="5">
        <f t="shared" si="68"/>
        <v>461</v>
      </c>
      <c r="P1028" s="6">
        <f>RANK(O1028,$O$1028:$O$1070)</f>
        <v>18</v>
      </c>
      <c r="Q1028" s="5">
        <f t="shared" si="67"/>
        <v>82</v>
      </c>
      <c r="R1028" s="1">
        <v>507.5</v>
      </c>
      <c r="S1028" s="1">
        <v>53</v>
      </c>
      <c r="T1028" s="5">
        <f t="shared" ref="T1028:T1070" si="69">S1028-Q1028</f>
        <v>-29</v>
      </c>
    </row>
    <row r="1029" spans="1:20">
      <c r="A1029" s="1" t="s">
        <v>3115</v>
      </c>
      <c r="B1029" s="1" t="s">
        <v>3199</v>
      </c>
      <c r="C1029" s="1" t="s">
        <v>25</v>
      </c>
      <c r="D1029" s="1" t="s">
        <v>3116</v>
      </c>
      <c r="E1029" s="1" t="s">
        <v>3117</v>
      </c>
      <c r="F1029" s="84">
        <v>95</v>
      </c>
      <c r="G1029" s="84">
        <v>85</v>
      </c>
      <c r="H1029" s="84">
        <v>83</v>
      </c>
      <c r="I1029" s="84">
        <v>76</v>
      </c>
      <c r="J1029" s="84">
        <v>54</v>
      </c>
      <c r="K1029" s="84">
        <v>60</v>
      </c>
      <c r="L1029" s="84">
        <v>47</v>
      </c>
      <c r="M1029" s="84">
        <v>59</v>
      </c>
      <c r="N1029" s="84">
        <v>50</v>
      </c>
      <c r="O1029" s="5">
        <f t="shared" si="68"/>
        <v>453</v>
      </c>
      <c r="P1029" s="6">
        <f t="shared" ref="P1029:P1070" si="70">RANK(O1029,$O$1028:$O$1070)</f>
        <v>22</v>
      </c>
      <c r="Q1029" s="5">
        <f t="shared" si="67"/>
        <v>91</v>
      </c>
      <c r="R1029" s="1">
        <v>481.5</v>
      </c>
      <c r="S1029" s="1">
        <v>74</v>
      </c>
      <c r="T1029" s="5">
        <f t="shared" si="69"/>
        <v>-17</v>
      </c>
    </row>
    <row r="1030" spans="1:20">
      <c r="A1030" s="1">
        <v>20180914</v>
      </c>
      <c r="B1030" s="1" t="s">
        <v>3199</v>
      </c>
      <c r="C1030" s="1" t="s">
        <v>25</v>
      </c>
      <c r="D1030" s="1" t="s">
        <v>3234</v>
      </c>
      <c r="E1030" s="1" t="s">
        <v>3235</v>
      </c>
      <c r="F1030" s="84">
        <v>105</v>
      </c>
      <c r="G1030" s="84">
        <v>103</v>
      </c>
      <c r="H1030" s="84">
        <v>92.5</v>
      </c>
      <c r="I1030" s="84">
        <v>69</v>
      </c>
      <c r="J1030" s="84">
        <v>63</v>
      </c>
      <c r="K1030" s="84">
        <v>64</v>
      </c>
      <c r="L1030" s="84">
        <v>44</v>
      </c>
      <c r="M1030" s="84">
        <v>56</v>
      </c>
      <c r="N1030" s="84">
        <v>46</v>
      </c>
      <c r="O1030" s="5">
        <f t="shared" si="68"/>
        <v>496.5</v>
      </c>
      <c r="P1030" s="6">
        <f t="shared" si="70"/>
        <v>4</v>
      </c>
      <c r="Q1030" s="5">
        <f t="shared" si="67"/>
        <v>53</v>
      </c>
      <c r="R1030" s="1">
        <v>457</v>
      </c>
      <c r="S1030" s="1">
        <v>101</v>
      </c>
      <c r="T1030" s="5">
        <f t="shared" si="69"/>
        <v>48</v>
      </c>
    </row>
    <row r="1031" spans="1:20">
      <c r="A1031" s="1" t="s">
        <v>3118</v>
      </c>
      <c r="B1031" s="1" t="s">
        <v>3199</v>
      </c>
      <c r="C1031" s="1" t="s">
        <v>25</v>
      </c>
      <c r="D1031" s="1" t="s">
        <v>3119</v>
      </c>
      <c r="E1031" s="1" t="s">
        <v>3120</v>
      </c>
      <c r="F1031" s="84">
        <v>106</v>
      </c>
      <c r="G1031" s="84">
        <v>31</v>
      </c>
      <c r="H1031" s="84">
        <v>89</v>
      </c>
      <c r="I1031" s="84">
        <v>50</v>
      </c>
      <c r="J1031" s="84">
        <v>74</v>
      </c>
      <c r="K1031" s="84">
        <v>38</v>
      </c>
      <c r="L1031" s="84">
        <v>46</v>
      </c>
      <c r="M1031" s="84">
        <v>44</v>
      </c>
      <c r="N1031" s="84">
        <v>56</v>
      </c>
      <c r="O1031" s="5">
        <f t="shared" si="68"/>
        <v>388</v>
      </c>
      <c r="P1031" s="6">
        <f t="shared" si="70"/>
        <v>43</v>
      </c>
      <c r="Q1031" s="5">
        <f t="shared" si="67"/>
        <v>133</v>
      </c>
      <c r="R1031" s="1">
        <v>465.5</v>
      </c>
      <c r="S1031" s="1">
        <v>89</v>
      </c>
      <c r="T1031" s="5">
        <f t="shared" si="69"/>
        <v>-44</v>
      </c>
    </row>
    <row r="1032" spans="1:20">
      <c r="A1032" s="1" t="s">
        <v>3121</v>
      </c>
      <c r="B1032" s="1" t="s">
        <v>3199</v>
      </c>
      <c r="C1032" s="1" t="s">
        <v>25</v>
      </c>
      <c r="D1032" s="1" t="s">
        <v>3122</v>
      </c>
      <c r="E1032" s="1" t="s">
        <v>3123</v>
      </c>
      <c r="F1032" s="84">
        <v>117</v>
      </c>
      <c r="G1032" s="84">
        <v>46</v>
      </c>
      <c r="H1032" s="84">
        <v>72.5</v>
      </c>
      <c r="I1032" s="84">
        <v>54</v>
      </c>
      <c r="J1032" s="84">
        <v>60</v>
      </c>
      <c r="K1032" s="84">
        <v>65</v>
      </c>
      <c r="L1032" s="84">
        <v>32</v>
      </c>
      <c r="M1032" s="84">
        <v>57</v>
      </c>
      <c r="N1032" s="84">
        <v>45</v>
      </c>
      <c r="O1032" s="5">
        <f t="shared" si="68"/>
        <v>414.5</v>
      </c>
      <c r="P1032" s="6">
        <f t="shared" si="70"/>
        <v>37</v>
      </c>
      <c r="Q1032" s="5">
        <f t="shared" si="67"/>
        <v>125</v>
      </c>
      <c r="R1032" s="1">
        <v>421.5</v>
      </c>
      <c r="S1032" s="1">
        <v>129</v>
      </c>
      <c r="T1032" s="5">
        <f t="shared" si="69"/>
        <v>4</v>
      </c>
    </row>
    <row r="1033" spans="1:20">
      <c r="A1033" s="1" t="s">
        <v>3124</v>
      </c>
      <c r="B1033" s="1" t="s">
        <v>3199</v>
      </c>
      <c r="C1033" s="1" t="s">
        <v>25</v>
      </c>
      <c r="D1033" s="1" t="s">
        <v>3125</v>
      </c>
      <c r="E1033" s="1" t="s">
        <v>3126</v>
      </c>
      <c r="F1033" s="84">
        <v>94</v>
      </c>
      <c r="G1033" s="84">
        <v>71</v>
      </c>
      <c r="H1033" s="84">
        <v>83</v>
      </c>
      <c r="I1033" s="84">
        <v>70</v>
      </c>
      <c r="J1033" s="84">
        <v>46</v>
      </c>
      <c r="K1033" s="84">
        <v>56</v>
      </c>
      <c r="L1033" s="84">
        <v>42</v>
      </c>
      <c r="M1033" s="84">
        <v>50</v>
      </c>
      <c r="N1033" s="84">
        <v>37</v>
      </c>
      <c r="O1033" s="5">
        <f t="shared" si="68"/>
        <v>420</v>
      </c>
      <c r="P1033" s="6">
        <f t="shared" si="70"/>
        <v>35</v>
      </c>
      <c r="Q1033" s="5">
        <f t="shared" si="67"/>
        <v>121</v>
      </c>
      <c r="R1033" s="1">
        <v>451.5</v>
      </c>
      <c r="S1033" s="1">
        <v>107</v>
      </c>
      <c r="T1033" s="5">
        <f t="shared" si="69"/>
        <v>-14</v>
      </c>
    </row>
    <row r="1034" spans="1:20">
      <c r="A1034" s="1" t="s">
        <v>3127</v>
      </c>
      <c r="B1034" s="1" t="s">
        <v>3199</v>
      </c>
      <c r="C1034" s="1" t="s">
        <v>25</v>
      </c>
      <c r="D1034" s="1" t="s">
        <v>3128</v>
      </c>
      <c r="E1034" s="1" t="s">
        <v>3129</v>
      </c>
      <c r="F1034" s="84">
        <v>93</v>
      </c>
      <c r="G1034" s="84">
        <v>84</v>
      </c>
      <c r="H1034" s="84">
        <v>70.5</v>
      </c>
      <c r="I1034" s="84">
        <v>65</v>
      </c>
      <c r="J1034" s="84">
        <v>59</v>
      </c>
      <c r="K1034" s="84">
        <v>54</v>
      </c>
      <c r="L1034" s="84">
        <v>44</v>
      </c>
      <c r="M1034" s="84">
        <v>58</v>
      </c>
      <c r="N1034" s="84">
        <v>49</v>
      </c>
      <c r="O1034" s="5">
        <f t="shared" si="68"/>
        <v>425.5</v>
      </c>
      <c r="P1034" s="6">
        <f t="shared" si="70"/>
        <v>33</v>
      </c>
      <c r="Q1034" s="5">
        <f t="shared" si="67"/>
        <v>118</v>
      </c>
      <c r="R1034" s="1">
        <v>456</v>
      </c>
      <c r="S1034" s="1">
        <v>102</v>
      </c>
      <c r="T1034" s="5">
        <f t="shared" si="69"/>
        <v>-16</v>
      </c>
    </row>
    <row r="1035" spans="1:20">
      <c r="A1035" s="1" t="s">
        <v>1676</v>
      </c>
      <c r="B1035" s="1" t="s">
        <v>3199</v>
      </c>
      <c r="C1035" s="1" t="s">
        <v>25</v>
      </c>
      <c r="D1035" s="1" t="s">
        <v>3233</v>
      </c>
      <c r="E1035" s="1" t="s">
        <v>1677</v>
      </c>
      <c r="F1035" s="84">
        <v>98</v>
      </c>
      <c r="G1035" s="84">
        <v>87</v>
      </c>
      <c r="H1035" s="84">
        <v>81</v>
      </c>
      <c r="I1035" s="84">
        <v>67</v>
      </c>
      <c r="J1035" s="84">
        <v>60</v>
      </c>
      <c r="K1035" s="84">
        <v>60</v>
      </c>
      <c r="L1035" s="84">
        <v>45</v>
      </c>
      <c r="M1035" s="84">
        <v>68</v>
      </c>
      <c r="N1035" s="84">
        <v>60</v>
      </c>
      <c r="O1035" s="5">
        <f t="shared" si="68"/>
        <v>453</v>
      </c>
      <c r="P1035" s="6">
        <f t="shared" si="70"/>
        <v>22</v>
      </c>
      <c r="Q1035" s="5">
        <f t="shared" si="67"/>
        <v>91</v>
      </c>
      <c r="R1035" s="1">
        <v>488</v>
      </c>
      <c r="S1035" s="1">
        <v>71</v>
      </c>
      <c r="T1035" s="5">
        <f t="shared" si="69"/>
        <v>-20</v>
      </c>
    </row>
    <row r="1036" spans="1:20">
      <c r="A1036" s="1" t="s">
        <v>3130</v>
      </c>
      <c r="B1036" s="1" t="s">
        <v>3199</v>
      </c>
      <c r="C1036" s="1" t="s">
        <v>25</v>
      </c>
      <c r="D1036" s="1" t="s">
        <v>3131</v>
      </c>
      <c r="E1036" s="1" t="s">
        <v>3132</v>
      </c>
      <c r="F1036" s="84">
        <v>100</v>
      </c>
      <c r="G1036" s="84">
        <v>61</v>
      </c>
      <c r="H1036" s="84">
        <v>79.5</v>
      </c>
      <c r="I1036" s="84">
        <v>71</v>
      </c>
      <c r="J1036" s="84">
        <v>66</v>
      </c>
      <c r="K1036" s="84">
        <v>63</v>
      </c>
      <c r="L1036" s="84">
        <v>39</v>
      </c>
      <c r="M1036" s="84">
        <v>59</v>
      </c>
      <c r="N1036" s="84">
        <v>49</v>
      </c>
      <c r="O1036" s="5">
        <f t="shared" si="68"/>
        <v>440.5</v>
      </c>
      <c r="P1036" s="6">
        <f t="shared" si="70"/>
        <v>27</v>
      </c>
      <c r="Q1036" s="5">
        <f t="shared" si="67"/>
        <v>104</v>
      </c>
      <c r="R1036" s="1">
        <v>412.5</v>
      </c>
      <c r="S1036" s="1">
        <v>133</v>
      </c>
      <c r="T1036" s="5">
        <f t="shared" si="69"/>
        <v>29</v>
      </c>
    </row>
    <row r="1037" spans="1:20">
      <c r="A1037" s="1" t="s">
        <v>3133</v>
      </c>
      <c r="B1037" s="1" t="s">
        <v>3199</v>
      </c>
      <c r="C1037" s="1" t="s">
        <v>25</v>
      </c>
      <c r="D1037" s="1" t="s">
        <v>3134</v>
      </c>
      <c r="E1037" s="1" t="s">
        <v>3135</v>
      </c>
      <c r="F1037" s="84">
        <v>102</v>
      </c>
      <c r="G1037" s="84">
        <v>42</v>
      </c>
      <c r="H1037" s="84">
        <v>80</v>
      </c>
      <c r="I1037" s="84">
        <v>64</v>
      </c>
      <c r="J1037" s="84">
        <v>72</v>
      </c>
      <c r="K1037" s="84">
        <v>54</v>
      </c>
      <c r="L1037" s="84">
        <v>46</v>
      </c>
      <c r="M1037" s="84">
        <v>69</v>
      </c>
      <c r="N1037" s="84">
        <v>48</v>
      </c>
      <c r="O1037" s="5">
        <f t="shared" si="68"/>
        <v>414</v>
      </c>
      <c r="P1037" s="6">
        <f t="shared" si="70"/>
        <v>38</v>
      </c>
      <c r="Q1037" s="5">
        <f t="shared" si="67"/>
        <v>126</v>
      </c>
      <c r="R1037" s="1">
        <v>446.5</v>
      </c>
      <c r="S1037" s="1">
        <v>111</v>
      </c>
      <c r="T1037" s="5">
        <f t="shared" si="69"/>
        <v>-15</v>
      </c>
    </row>
    <row r="1038" spans="1:20">
      <c r="A1038" s="1" t="s">
        <v>3136</v>
      </c>
      <c r="B1038" s="1" t="s">
        <v>3199</v>
      </c>
      <c r="C1038" s="1" t="s">
        <v>25</v>
      </c>
      <c r="D1038" s="1" t="s">
        <v>3137</v>
      </c>
      <c r="E1038" s="1" t="s">
        <v>3138</v>
      </c>
      <c r="F1038" s="84">
        <v>98</v>
      </c>
      <c r="G1038" s="84">
        <v>68</v>
      </c>
      <c r="H1038" s="84">
        <v>87</v>
      </c>
      <c r="I1038" s="84">
        <v>49</v>
      </c>
      <c r="J1038" s="84">
        <v>43</v>
      </c>
      <c r="K1038" s="84">
        <v>56</v>
      </c>
      <c r="L1038" s="84">
        <v>30</v>
      </c>
      <c r="M1038" s="84">
        <v>62</v>
      </c>
      <c r="N1038" s="84">
        <v>41</v>
      </c>
      <c r="O1038" s="5">
        <f t="shared" si="68"/>
        <v>401</v>
      </c>
      <c r="P1038" s="6">
        <f t="shared" si="70"/>
        <v>41</v>
      </c>
      <c r="Q1038" s="5">
        <f t="shared" si="67"/>
        <v>130</v>
      </c>
      <c r="R1038" s="1">
        <v>437</v>
      </c>
      <c r="S1038" s="1">
        <v>118</v>
      </c>
      <c r="T1038" s="5">
        <f t="shared" si="69"/>
        <v>-12</v>
      </c>
    </row>
    <row r="1039" spans="1:20">
      <c r="A1039" s="1" t="s">
        <v>3139</v>
      </c>
      <c r="B1039" s="1" t="s">
        <v>3199</v>
      </c>
      <c r="C1039" s="1" t="s">
        <v>25</v>
      </c>
      <c r="D1039" s="1" t="s">
        <v>3140</v>
      </c>
      <c r="E1039" s="1" t="s">
        <v>3141</v>
      </c>
      <c r="F1039" s="84">
        <v>111</v>
      </c>
      <c r="G1039" s="84">
        <v>83</v>
      </c>
      <c r="H1039" s="84">
        <v>96</v>
      </c>
      <c r="I1039" s="84">
        <v>69</v>
      </c>
      <c r="J1039" s="84">
        <v>72</v>
      </c>
      <c r="K1039" s="84">
        <v>62</v>
      </c>
      <c r="L1039" s="84">
        <v>43</v>
      </c>
      <c r="M1039" s="84">
        <v>71</v>
      </c>
      <c r="N1039" s="84">
        <v>58</v>
      </c>
      <c r="O1039" s="5">
        <f t="shared" si="68"/>
        <v>493</v>
      </c>
      <c r="P1039" s="6">
        <f t="shared" si="70"/>
        <v>7</v>
      </c>
      <c r="Q1039" s="5">
        <f t="shared" si="67"/>
        <v>57</v>
      </c>
      <c r="R1039" s="1">
        <v>516.5</v>
      </c>
      <c r="S1039" s="1">
        <v>44</v>
      </c>
      <c r="T1039" s="5">
        <f t="shared" si="69"/>
        <v>-13</v>
      </c>
    </row>
    <row r="1040" spans="1:20">
      <c r="A1040" s="1" t="s">
        <v>3142</v>
      </c>
      <c r="B1040" s="1" t="s">
        <v>3199</v>
      </c>
      <c r="C1040" s="1" t="s">
        <v>25</v>
      </c>
      <c r="D1040" s="1" t="s">
        <v>3143</v>
      </c>
      <c r="E1040" s="1" t="s">
        <v>3144</v>
      </c>
      <c r="F1040" s="84">
        <v>109</v>
      </c>
      <c r="G1040" s="84">
        <v>72</v>
      </c>
      <c r="H1040" s="84">
        <v>81.5</v>
      </c>
      <c r="I1040" s="84">
        <v>72</v>
      </c>
      <c r="J1040" s="84">
        <v>60</v>
      </c>
      <c r="K1040" s="84">
        <v>60</v>
      </c>
      <c r="L1040" s="84">
        <v>38</v>
      </c>
      <c r="M1040" s="84">
        <v>63</v>
      </c>
      <c r="N1040" s="84">
        <v>54</v>
      </c>
      <c r="O1040" s="5">
        <f t="shared" si="68"/>
        <v>454.5</v>
      </c>
      <c r="P1040" s="6">
        <f t="shared" si="70"/>
        <v>21</v>
      </c>
      <c r="Q1040" s="5">
        <f t="shared" si="67"/>
        <v>90</v>
      </c>
      <c r="R1040" s="1">
        <v>464</v>
      </c>
      <c r="S1040" s="1">
        <v>91</v>
      </c>
      <c r="T1040" s="5">
        <f t="shared" si="69"/>
        <v>1</v>
      </c>
    </row>
    <row r="1041" spans="1:20">
      <c r="A1041" s="1" t="s">
        <v>3145</v>
      </c>
      <c r="B1041" s="1" t="s">
        <v>3199</v>
      </c>
      <c r="C1041" s="1" t="s">
        <v>25</v>
      </c>
      <c r="D1041" s="1" t="s">
        <v>3146</v>
      </c>
      <c r="E1041" s="1" t="s">
        <v>3147</v>
      </c>
      <c r="F1041" s="84">
        <v>95</v>
      </c>
      <c r="G1041" s="84">
        <v>80</v>
      </c>
      <c r="H1041" s="84">
        <v>75.5</v>
      </c>
      <c r="I1041" s="84">
        <v>73</v>
      </c>
      <c r="J1041" s="84">
        <v>66</v>
      </c>
      <c r="K1041" s="84">
        <v>50</v>
      </c>
      <c r="L1041" s="84">
        <v>52</v>
      </c>
      <c r="M1041" s="84">
        <v>66</v>
      </c>
      <c r="N1041" s="84">
        <v>51</v>
      </c>
      <c r="O1041" s="5">
        <f t="shared" si="68"/>
        <v>439.5</v>
      </c>
      <c r="P1041" s="6">
        <f t="shared" si="70"/>
        <v>30</v>
      </c>
      <c r="Q1041" s="5">
        <f t="shared" si="67"/>
        <v>107</v>
      </c>
      <c r="R1041" s="1">
        <v>452</v>
      </c>
      <c r="S1041" s="1">
        <v>106</v>
      </c>
      <c r="T1041" s="5">
        <f t="shared" si="69"/>
        <v>-1</v>
      </c>
    </row>
    <row r="1042" spans="1:20">
      <c r="A1042" s="1" t="s">
        <v>3148</v>
      </c>
      <c r="B1042" s="1" t="s">
        <v>3199</v>
      </c>
      <c r="C1042" s="1" t="s">
        <v>25</v>
      </c>
      <c r="D1042" s="1" t="s">
        <v>3149</v>
      </c>
      <c r="E1042" s="1" t="s">
        <v>3150</v>
      </c>
      <c r="F1042" s="84">
        <v>108</v>
      </c>
      <c r="G1042" s="84">
        <v>65</v>
      </c>
      <c r="H1042" s="84">
        <v>81</v>
      </c>
      <c r="I1042" s="84">
        <v>56</v>
      </c>
      <c r="J1042" s="84">
        <v>70</v>
      </c>
      <c r="K1042" s="84">
        <v>48</v>
      </c>
      <c r="L1042" s="84">
        <v>47</v>
      </c>
      <c r="M1042" s="84">
        <v>67</v>
      </c>
      <c r="N1042" s="84">
        <v>47</v>
      </c>
      <c r="O1042" s="5">
        <f t="shared" si="68"/>
        <v>428</v>
      </c>
      <c r="P1042" s="6">
        <f t="shared" si="70"/>
        <v>32</v>
      </c>
      <c r="Q1042" s="5">
        <f t="shared" si="67"/>
        <v>115</v>
      </c>
      <c r="R1042" s="1">
        <v>425.5</v>
      </c>
      <c r="S1042" s="1">
        <v>125</v>
      </c>
      <c r="T1042" s="5">
        <f t="shared" si="69"/>
        <v>10</v>
      </c>
    </row>
    <row r="1043" spans="1:20">
      <c r="A1043" s="1" t="s">
        <v>3151</v>
      </c>
      <c r="B1043" s="1" t="s">
        <v>3199</v>
      </c>
      <c r="C1043" s="1" t="s">
        <v>25</v>
      </c>
      <c r="D1043" s="1" t="s">
        <v>3152</v>
      </c>
      <c r="E1043" s="1" t="s">
        <v>26</v>
      </c>
      <c r="F1043" s="84">
        <v>108</v>
      </c>
      <c r="G1043" s="84">
        <v>101</v>
      </c>
      <c r="H1043" s="84">
        <v>84.5</v>
      </c>
      <c r="I1043" s="84">
        <v>71</v>
      </c>
      <c r="J1043" s="84">
        <v>58</v>
      </c>
      <c r="K1043" s="84">
        <v>71</v>
      </c>
      <c r="L1043" s="84">
        <v>30</v>
      </c>
      <c r="M1043" s="84">
        <v>50</v>
      </c>
      <c r="N1043" s="84">
        <v>43</v>
      </c>
      <c r="O1043" s="5">
        <f t="shared" si="68"/>
        <v>493.5</v>
      </c>
      <c r="P1043" s="6">
        <f t="shared" si="70"/>
        <v>6</v>
      </c>
      <c r="Q1043" s="5">
        <f t="shared" si="67"/>
        <v>56</v>
      </c>
      <c r="R1043" s="1">
        <v>500.5</v>
      </c>
      <c r="S1043" s="1">
        <v>56</v>
      </c>
      <c r="T1043" s="5">
        <f t="shared" si="69"/>
        <v>0</v>
      </c>
    </row>
    <row r="1044" spans="1:20">
      <c r="A1044" s="1" t="s">
        <v>3153</v>
      </c>
      <c r="B1044" s="1" t="s">
        <v>3199</v>
      </c>
      <c r="C1044" s="1" t="s">
        <v>25</v>
      </c>
      <c r="D1044" s="1" t="s">
        <v>3154</v>
      </c>
      <c r="E1044" s="1" t="s">
        <v>103</v>
      </c>
      <c r="F1044" s="84">
        <v>94</v>
      </c>
      <c r="G1044" s="84">
        <v>79</v>
      </c>
      <c r="H1044" s="84">
        <v>101</v>
      </c>
      <c r="I1044" s="84">
        <v>70</v>
      </c>
      <c r="J1044" s="84">
        <v>47</v>
      </c>
      <c r="K1044" s="84">
        <v>60</v>
      </c>
      <c r="L1044" s="84">
        <v>38</v>
      </c>
      <c r="M1044" s="84">
        <v>58</v>
      </c>
      <c r="N1044" s="84">
        <v>45</v>
      </c>
      <c r="O1044" s="5">
        <f t="shared" si="68"/>
        <v>451</v>
      </c>
      <c r="P1044" s="6">
        <f t="shared" si="70"/>
        <v>25</v>
      </c>
      <c r="Q1044" s="5">
        <f t="shared" si="67"/>
        <v>95</v>
      </c>
      <c r="R1044" s="1">
        <v>458</v>
      </c>
      <c r="S1044" s="1">
        <v>100</v>
      </c>
      <c r="T1044" s="5">
        <f t="shared" si="69"/>
        <v>5</v>
      </c>
    </row>
    <row r="1045" spans="1:20">
      <c r="A1045" s="1" t="s">
        <v>3157</v>
      </c>
      <c r="B1045" s="1" t="s">
        <v>3199</v>
      </c>
      <c r="C1045" s="1" t="s">
        <v>25</v>
      </c>
      <c r="D1045" s="1" t="s">
        <v>3158</v>
      </c>
      <c r="E1045" s="1" t="s">
        <v>3159</v>
      </c>
      <c r="F1045" s="84">
        <v>105</v>
      </c>
      <c r="G1045" s="84">
        <v>63</v>
      </c>
      <c r="H1045" s="84">
        <v>86</v>
      </c>
      <c r="I1045" s="84">
        <v>70</v>
      </c>
      <c r="J1045" s="84">
        <v>69</v>
      </c>
      <c r="K1045" s="84">
        <v>66</v>
      </c>
      <c r="L1045" s="84">
        <v>48</v>
      </c>
      <c r="M1045" s="84">
        <v>55</v>
      </c>
      <c r="N1045" s="84">
        <v>43</v>
      </c>
      <c r="O1045" s="5">
        <f t="shared" si="68"/>
        <v>459</v>
      </c>
      <c r="P1045" s="6">
        <f t="shared" si="70"/>
        <v>20</v>
      </c>
      <c r="Q1045" s="5">
        <f t="shared" si="67"/>
        <v>87</v>
      </c>
      <c r="R1045" s="1">
        <v>470</v>
      </c>
      <c r="S1045" s="1">
        <v>84</v>
      </c>
      <c r="T1045" s="5">
        <f t="shared" si="69"/>
        <v>-3</v>
      </c>
    </row>
    <row r="1046" spans="1:20">
      <c r="A1046" s="1" t="s">
        <v>3160</v>
      </c>
      <c r="B1046" s="1" t="s">
        <v>3199</v>
      </c>
      <c r="C1046" s="1" t="s">
        <v>25</v>
      </c>
      <c r="D1046" s="1" t="s">
        <v>3161</v>
      </c>
      <c r="E1046" s="1" t="s">
        <v>134</v>
      </c>
      <c r="F1046" s="84">
        <v>96</v>
      </c>
      <c r="G1046" s="84">
        <v>55</v>
      </c>
      <c r="H1046" s="84">
        <v>96.5</v>
      </c>
      <c r="I1046" s="84">
        <v>64</v>
      </c>
      <c r="J1046" s="84">
        <v>65</v>
      </c>
      <c r="K1046" s="84">
        <v>76</v>
      </c>
      <c r="L1046" s="84">
        <v>41</v>
      </c>
      <c r="M1046" s="84">
        <v>54</v>
      </c>
      <c r="N1046" s="84">
        <v>51</v>
      </c>
      <c r="O1046" s="5">
        <f t="shared" si="68"/>
        <v>452.5</v>
      </c>
      <c r="P1046" s="6">
        <f t="shared" si="70"/>
        <v>24</v>
      </c>
      <c r="Q1046" s="5">
        <f t="shared" si="67"/>
        <v>94</v>
      </c>
      <c r="R1046" s="1">
        <v>496.5</v>
      </c>
      <c r="S1046" s="1">
        <v>61</v>
      </c>
      <c r="T1046" s="5">
        <f t="shared" si="69"/>
        <v>-33</v>
      </c>
    </row>
    <row r="1047" spans="1:20">
      <c r="A1047" s="1" t="s">
        <v>3162</v>
      </c>
      <c r="B1047" s="1" t="s">
        <v>3199</v>
      </c>
      <c r="C1047" s="1" t="s">
        <v>25</v>
      </c>
      <c r="D1047" s="1" t="s">
        <v>3163</v>
      </c>
      <c r="E1047" s="1" t="s">
        <v>3164</v>
      </c>
      <c r="F1047" s="84">
        <v>90</v>
      </c>
      <c r="G1047" s="84">
        <v>98</v>
      </c>
      <c r="H1047" s="84">
        <v>78.5</v>
      </c>
      <c r="I1047" s="84">
        <v>65</v>
      </c>
      <c r="J1047" s="84">
        <v>57</v>
      </c>
      <c r="K1047" s="84">
        <v>57</v>
      </c>
      <c r="L1047" s="84">
        <v>43</v>
      </c>
      <c r="M1047" s="84">
        <v>72</v>
      </c>
      <c r="N1047" s="84">
        <v>57</v>
      </c>
      <c r="O1047" s="5">
        <f t="shared" si="68"/>
        <v>445.5</v>
      </c>
      <c r="P1047" s="6">
        <f t="shared" si="70"/>
        <v>26</v>
      </c>
      <c r="Q1047" s="5">
        <f t="shared" si="67"/>
        <v>98</v>
      </c>
      <c r="R1047" s="1">
        <v>499</v>
      </c>
      <c r="S1047" s="1">
        <v>57</v>
      </c>
      <c r="T1047" s="5">
        <f t="shared" si="69"/>
        <v>-41</v>
      </c>
    </row>
    <row r="1048" spans="1:20">
      <c r="A1048" s="1" t="s">
        <v>3165</v>
      </c>
      <c r="B1048" s="1" t="s">
        <v>3199</v>
      </c>
      <c r="C1048" s="1" t="s">
        <v>25</v>
      </c>
      <c r="D1048" s="1" t="s">
        <v>3166</v>
      </c>
      <c r="E1048" s="1" t="s">
        <v>151</v>
      </c>
      <c r="F1048" s="84">
        <v>118</v>
      </c>
      <c r="G1048" s="84">
        <v>54</v>
      </c>
      <c r="H1048" s="84">
        <v>98</v>
      </c>
      <c r="I1048" s="84">
        <v>71</v>
      </c>
      <c r="J1048" s="84">
        <v>66</v>
      </c>
      <c r="K1048" s="84">
        <v>75</v>
      </c>
      <c r="L1048" s="84">
        <v>39</v>
      </c>
      <c r="M1048" s="84">
        <v>71</v>
      </c>
      <c r="N1048" s="84">
        <v>58</v>
      </c>
      <c r="O1048" s="5">
        <f t="shared" si="68"/>
        <v>482</v>
      </c>
      <c r="P1048" s="6">
        <f t="shared" si="70"/>
        <v>12</v>
      </c>
      <c r="Q1048" s="5">
        <f t="shared" si="67"/>
        <v>71</v>
      </c>
      <c r="R1048" s="1">
        <v>514</v>
      </c>
      <c r="S1048" s="1">
        <v>47</v>
      </c>
      <c r="T1048" s="5">
        <f t="shared" si="69"/>
        <v>-24</v>
      </c>
    </row>
    <row r="1049" spans="1:20">
      <c r="A1049" s="1" t="s">
        <v>3167</v>
      </c>
      <c r="B1049" s="1" t="s">
        <v>3199</v>
      </c>
      <c r="C1049" s="1" t="s">
        <v>25</v>
      </c>
      <c r="D1049" s="1" t="s">
        <v>3168</v>
      </c>
      <c r="E1049" s="1" t="s">
        <v>163</v>
      </c>
      <c r="F1049" s="84">
        <v>94</v>
      </c>
      <c r="G1049" s="84">
        <v>108</v>
      </c>
      <c r="H1049" s="84">
        <v>106.5</v>
      </c>
      <c r="I1049" s="84">
        <v>66</v>
      </c>
      <c r="J1049" s="84">
        <v>73</v>
      </c>
      <c r="K1049" s="84">
        <v>48</v>
      </c>
      <c r="L1049" s="84">
        <v>42</v>
      </c>
      <c r="M1049" s="84">
        <v>58</v>
      </c>
      <c r="N1049" s="84">
        <v>44</v>
      </c>
      <c r="O1049" s="5">
        <f t="shared" si="68"/>
        <v>495.5</v>
      </c>
      <c r="P1049" s="6">
        <f t="shared" si="70"/>
        <v>5</v>
      </c>
      <c r="Q1049" s="5">
        <f t="shared" si="67"/>
        <v>55</v>
      </c>
      <c r="R1049" s="1">
        <v>478.5</v>
      </c>
      <c r="S1049" s="1">
        <v>76</v>
      </c>
      <c r="T1049" s="5">
        <f t="shared" si="69"/>
        <v>21</v>
      </c>
    </row>
    <row r="1050" spans="1:20">
      <c r="A1050" s="1" t="s">
        <v>3169</v>
      </c>
      <c r="B1050" s="1" t="s">
        <v>3199</v>
      </c>
      <c r="C1050" s="1" t="s">
        <v>25</v>
      </c>
      <c r="D1050" s="1" t="s">
        <v>3170</v>
      </c>
      <c r="E1050" s="1" t="s">
        <v>3171</v>
      </c>
      <c r="F1050" s="84">
        <v>108</v>
      </c>
      <c r="G1050" s="84">
        <v>86</v>
      </c>
      <c r="H1050" s="84">
        <v>95.5</v>
      </c>
      <c r="I1050" s="84">
        <v>74</v>
      </c>
      <c r="J1050" s="84">
        <v>65</v>
      </c>
      <c r="K1050" s="84">
        <v>58</v>
      </c>
      <c r="L1050" s="84">
        <v>42</v>
      </c>
      <c r="M1050" s="84">
        <v>66</v>
      </c>
      <c r="N1050" s="84">
        <v>52</v>
      </c>
      <c r="O1050" s="5">
        <f t="shared" si="68"/>
        <v>486.5</v>
      </c>
      <c r="P1050" s="6">
        <f t="shared" si="70"/>
        <v>10</v>
      </c>
      <c r="Q1050" s="5">
        <f t="shared" si="67"/>
        <v>62</v>
      </c>
      <c r="R1050" s="1">
        <v>510.5</v>
      </c>
      <c r="S1050" s="1">
        <v>51</v>
      </c>
      <c r="T1050" s="5">
        <f t="shared" si="69"/>
        <v>-11</v>
      </c>
    </row>
    <row r="1051" spans="1:20">
      <c r="A1051" s="1" t="s">
        <v>3172</v>
      </c>
      <c r="B1051" s="1" t="s">
        <v>3199</v>
      </c>
      <c r="C1051" s="1" t="s">
        <v>25</v>
      </c>
      <c r="D1051" s="1" t="s">
        <v>3173</v>
      </c>
      <c r="E1051" s="1" t="s">
        <v>45</v>
      </c>
      <c r="F1051" s="84">
        <v>90</v>
      </c>
      <c r="G1051" s="84">
        <v>79</v>
      </c>
      <c r="H1051" s="84">
        <v>101.5</v>
      </c>
      <c r="I1051" s="84">
        <v>64</v>
      </c>
      <c r="J1051" s="84">
        <v>39</v>
      </c>
      <c r="K1051" s="84">
        <v>40</v>
      </c>
      <c r="L1051" s="84">
        <v>42</v>
      </c>
      <c r="M1051" s="84">
        <v>57</v>
      </c>
      <c r="N1051" s="84">
        <v>51</v>
      </c>
      <c r="O1051" s="5">
        <f t="shared" si="68"/>
        <v>413.5</v>
      </c>
      <c r="P1051" s="6">
        <f t="shared" si="70"/>
        <v>40</v>
      </c>
      <c r="Q1051" s="5">
        <f t="shared" si="67"/>
        <v>128</v>
      </c>
      <c r="R1051" s="1">
        <v>462</v>
      </c>
      <c r="S1051" s="1">
        <v>95</v>
      </c>
      <c r="T1051" s="5">
        <f t="shared" si="69"/>
        <v>-33</v>
      </c>
    </row>
    <row r="1052" spans="1:20">
      <c r="A1052" s="1" t="s">
        <v>3174</v>
      </c>
      <c r="B1052" s="1" t="s">
        <v>3199</v>
      </c>
      <c r="C1052" s="1" t="s">
        <v>25</v>
      </c>
      <c r="D1052" s="1" t="s">
        <v>3175</v>
      </c>
      <c r="E1052" s="1" t="s">
        <v>140</v>
      </c>
      <c r="F1052" s="84">
        <v>111</v>
      </c>
      <c r="G1052" s="84">
        <v>61</v>
      </c>
      <c r="H1052" s="84">
        <v>123</v>
      </c>
      <c r="I1052" s="84">
        <v>65</v>
      </c>
      <c r="J1052" s="84">
        <v>69</v>
      </c>
      <c r="K1052" s="84">
        <v>64</v>
      </c>
      <c r="L1052" s="84">
        <v>38</v>
      </c>
      <c r="M1052" s="84">
        <v>64</v>
      </c>
      <c r="N1052" s="84">
        <v>57</v>
      </c>
      <c r="O1052" s="5">
        <f t="shared" si="68"/>
        <v>493</v>
      </c>
      <c r="P1052" s="6">
        <f t="shared" si="70"/>
        <v>7</v>
      </c>
      <c r="Q1052" s="5">
        <f t="shared" si="67"/>
        <v>57</v>
      </c>
      <c r="R1052" s="1">
        <v>493</v>
      </c>
      <c r="S1052" s="1">
        <v>65</v>
      </c>
      <c r="T1052" s="5">
        <f t="shared" si="69"/>
        <v>8</v>
      </c>
    </row>
    <row r="1053" spans="1:20">
      <c r="A1053" s="1" t="s">
        <v>3179</v>
      </c>
      <c r="B1053" s="1" t="s">
        <v>3199</v>
      </c>
      <c r="C1053" s="1" t="s">
        <v>25</v>
      </c>
      <c r="D1053" s="1" t="s">
        <v>3180</v>
      </c>
      <c r="E1053" s="1" t="s">
        <v>3181</v>
      </c>
      <c r="F1053" s="84">
        <v>115</v>
      </c>
      <c r="G1053" s="84">
        <v>99</v>
      </c>
      <c r="H1053" s="84">
        <v>104</v>
      </c>
      <c r="I1053" s="84">
        <v>68</v>
      </c>
      <c r="J1053" s="84">
        <v>68</v>
      </c>
      <c r="K1053" s="84">
        <v>71</v>
      </c>
      <c r="L1053" s="84">
        <v>49</v>
      </c>
      <c r="M1053" s="84">
        <v>56</v>
      </c>
      <c r="N1053" s="84">
        <v>51</v>
      </c>
      <c r="O1053" s="5">
        <f t="shared" si="68"/>
        <v>525</v>
      </c>
      <c r="P1053" s="6">
        <f t="shared" si="70"/>
        <v>2</v>
      </c>
      <c r="Q1053" s="5">
        <f t="shared" si="67"/>
        <v>38</v>
      </c>
      <c r="R1053" s="1">
        <v>514.5</v>
      </c>
      <c r="S1053" s="1">
        <v>45</v>
      </c>
      <c r="T1053" s="5">
        <f t="shared" si="69"/>
        <v>7</v>
      </c>
    </row>
    <row r="1054" spans="1:20">
      <c r="A1054" s="1" t="s">
        <v>2354</v>
      </c>
      <c r="B1054" s="1" t="s">
        <v>3199</v>
      </c>
      <c r="C1054" s="1" t="s">
        <v>25</v>
      </c>
      <c r="D1054" s="1" t="s">
        <v>3183</v>
      </c>
      <c r="E1054" s="4" t="s">
        <v>2356</v>
      </c>
      <c r="F1054" s="84">
        <v>115</v>
      </c>
      <c r="G1054" s="84">
        <v>103</v>
      </c>
      <c r="H1054" s="85">
        <v>111</v>
      </c>
      <c r="I1054" s="84">
        <v>76</v>
      </c>
      <c r="J1054" s="84">
        <v>52</v>
      </c>
      <c r="K1054" s="84">
        <v>67</v>
      </c>
      <c r="L1054" s="84">
        <v>37</v>
      </c>
      <c r="M1054" s="84">
        <v>68</v>
      </c>
      <c r="N1054" s="84">
        <v>49</v>
      </c>
      <c r="O1054" s="5">
        <f t="shared" si="68"/>
        <v>524</v>
      </c>
      <c r="P1054" s="6">
        <f t="shared" si="70"/>
        <v>3</v>
      </c>
      <c r="Q1054" s="5">
        <f t="shared" si="67"/>
        <v>39</v>
      </c>
      <c r="R1054" s="5">
        <v>490.5</v>
      </c>
      <c r="S1054" s="5">
        <v>69</v>
      </c>
      <c r="T1054" s="5">
        <f t="shared" si="69"/>
        <v>30</v>
      </c>
    </row>
    <row r="1055" spans="1:20">
      <c r="A1055" s="1" t="s">
        <v>3184</v>
      </c>
      <c r="B1055" s="1" t="s">
        <v>3199</v>
      </c>
      <c r="C1055" s="1" t="s">
        <v>25</v>
      </c>
      <c r="D1055" s="1" t="s">
        <v>3185</v>
      </c>
      <c r="E1055" s="1" t="s">
        <v>3186</v>
      </c>
      <c r="F1055" s="84">
        <v>105</v>
      </c>
      <c r="G1055" s="84">
        <v>64</v>
      </c>
      <c r="H1055" s="84">
        <v>109.5</v>
      </c>
      <c r="I1055" s="84">
        <v>62</v>
      </c>
      <c r="J1055" s="84">
        <v>66</v>
      </c>
      <c r="K1055" s="84">
        <v>66</v>
      </c>
      <c r="L1055" s="84">
        <v>36</v>
      </c>
      <c r="M1055" s="84">
        <v>64</v>
      </c>
      <c r="N1055" s="84">
        <v>54</v>
      </c>
      <c r="O1055" s="5">
        <f t="shared" si="68"/>
        <v>472.5</v>
      </c>
      <c r="P1055" s="6">
        <f t="shared" si="70"/>
        <v>15</v>
      </c>
      <c r="Q1055" s="5">
        <f t="shared" si="67"/>
        <v>75</v>
      </c>
      <c r="R1055" s="1">
        <v>463</v>
      </c>
      <c r="S1055" s="1">
        <v>93</v>
      </c>
      <c r="T1055" s="5">
        <f t="shared" si="69"/>
        <v>18</v>
      </c>
    </row>
    <row r="1056" spans="1:20">
      <c r="A1056" s="1" t="s">
        <v>3187</v>
      </c>
      <c r="B1056" s="1" t="s">
        <v>3199</v>
      </c>
      <c r="C1056" s="1" t="s">
        <v>25</v>
      </c>
      <c r="D1056" s="1" t="s">
        <v>3188</v>
      </c>
      <c r="E1056" s="1" t="s">
        <v>3189</v>
      </c>
      <c r="F1056" s="84">
        <v>108</v>
      </c>
      <c r="G1056" s="84">
        <v>59</v>
      </c>
      <c r="H1056" s="84">
        <v>92</v>
      </c>
      <c r="I1056" s="84">
        <v>59</v>
      </c>
      <c r="J1056" s="84">
        <v>65</v>
      </c>
      <c r="K1056" s="84">
        <v>57</v>
      </c>
      <c r="L1056" s="84">
        <v>34</v>
      </c>
      <c r="M1056" s="84">
        <v>54</v>
      </c>
      <c r="N1056" s="84">
        <v>51</v>
      </c>
      <c r="O1056" s="5">
        <f t="shared" si="68"/>
        <v>440</v>
      </c>
      <c r="P1056" s="6">
        <f t="shared" si="70"/>
        <v>29</v>
      </c>
      <c r="Q1056" s="5">
        <f t="shared" si="67"/>
        <v>106</v>
      </c>
      <c r="R1056" s="1">
        <v>442</v>
      </c>
      <c r="S1056" s="1">
        <v>116</v>
      </c>
      <c r="T1056" s="5">
        <f t="shared" si="69"/>
        <v>10</v>
      </c>
    </row>
    <row r="1057" spans="1:20">
      <c r="A1057" s="1" t="s">
        <v>3190</v>
      </c>
      <c r="B1057" s="1" t="s">
        <v>3199</v>
      </c>
      <c r="C1057" s="1" t="s">
        <v>25</v>
      </c>
      <c r="D1057" s="1" t="s">
        <v>3191</v>
      </c>
      <c r="E1057" s="1" t="s">
        <v>3192</v>
      </c>
      <c r="F1057" s="84">
        <v>100</v>
      </c>
      <c r="G1057" s="84">
        <v>59</v>
      </c>
      <c r="H1057" s="84">
        <v>66</v>
      </c>
      <c r="I1057" s="84">
        <v>59</v>
      </c>
      <c r="J1057" s="84">
        <v>60</v>
      </c>
      <c r="K1057" s="84">
        <v>70</v>
      </c>
      <c r="L1057" s="84">
        <v>33</v>
      </c>
      <c r="M1057" s="84">
        <v>62</v>
      </c>
      <c r="N1057" s="84">
        <v>47</v>
      </c>
      <c r="O1057" s="5">
        <f t="shared" si="68"/>
        <v>414</v>
      </c>
      <c r="P1057" s="6">
        <f t="shared" si="70"/>
        <v>38</v>
      </c>
      <c r="Q1057" s="5">
        <f t="shared" si="67"/>
        <v>126</v>
      </c>
      <c r="R1057" s="1">
        <v>415</v>
      </c>
      <c r="S1057" s="1">
        <v>132</v>
      </c>
      <c r="T1057" s="5">
        <f t="shared" si="69"/>
        <v>6</v>
      </c>
    </row>
    <row r="1058" spans="1:20">
      <c r="A1058" s="1" t="s">
        <v>3193</v>
      </c>
      <c r="B1058" s="1" t="s">
        <v>3199</v>
      </c>
      <c r="C1058" s="1" t="s">
        <v>25</v>
      </c>
      <c r="D1058" s="1" t="s">
        <v>3194</v>
      </c>
      <c r="E1058" s="1" t="s">
        <v>3195</v>
      </c>
      <c r="F1058" s="84">
        <v>99</v>
      </c>
      <c r="G1058" s="84">
        <v>52</v>
      </c>
      <c r="H1058" s="84">
        <v>90.5</v>
      </c>
      <c r="I1058" s="84">
        <v>72</v>
      </c>
      <c r="J1058" s="84">
        <v>66</v>
      </c>
      <c r="K1058" s="84">
        <v>61</v>
      </c>
      <c r="L1058" s="84">
        <v>33</v>
      </c>
      <c r="M1058" s="84">
        <v>51</v>
      </c>
      <c r="N1058" s="84">
        <v>59</v>
      </c>
      <c r="O1058" s="5">
        <f t="shared" si="68"/>
        <v>440.5</v>
      </c>
      <c r="P1058" s="6">
        <f t="shared" si="70"/>
        <v>27</v>
      </c>
      <c r="Q1058" s="5">
        <f t="shared" si="67"/>
        <v>104</v>
      </c>
      <c r="R1058" s="1">
        <v>446.5</v>
      </c>
      <c r="S1058" s="1">
        <v>111</v>
      </c>
      <c r="T1058" s="5">
        <f t="shared" si="69"/>
        <v>7</v>
      </c>
    </row>
    <row r="1059" spans="1:20">
      <c r="A1059" s="1" t="s">
        <v>489</v>
      </c>
      <c r="B1059" s="1" t="s">
        <v>3199</v>
      </c>
      <c r="C1059" s="4" t="s">
        <v>25</v>
      </c>
      <c r="D1059" s="1" t="s">
        <v>3243</v>
      </c>
      <c r="E1059" s="4" t="s">
        <v>490</v>
      </c>
      <c r="F1059" s="84">
        <v>103</v>
      </c>
      <c r="G1059" s="84">
        <v>46</v>
      </c>
      <c r="H1059" s="84">
        <v>95.5</v>
      </c>
      <c r="I1059" s="84">
        <v>56</v>
      </c>
      <c r="J1059" s="84">
        <v>68</v>
      </c>
      <c r="K1059" s="84">
        <v>61</v>
      </c>
      <c r="L1059" s="84">
        <v>32</v>
      </c>
      <c r="M1059" s="84">
        <v>54</v>
      </c>
      <c r="N1059" s="84">
        <v>34</v>
      </c>
      <c r="O1059" s="5">
        <f t="shared" si="68"/>
        <v>429.5</v>
      </c>
      <c r="P1059" s="6">
        <f t="shared" si="70"/>
        <v>31</v>
      </c>
      <c r="Q1059" s="5">
        <f t="shared" si="67"/>
        <v>114</v>
      </c>
      <c r="R1059" s="5">
        <v>432</v>
      </c>
      <c r="S1059" s="5">
        <v>122</v>
      </c>
      <c r="T1059" s="5">
        <f t="shared" si="69"/>
        <v>8</v>
      </c>
    </row>
    <row r="1060" spans="1:20">
      <c r="A1060" s="1" t="s">
        <v>3004</v>
      </c>
      <c r="B1060" s="1" t="s">
        <v>3199</v>
      </c>
      <c r="C1060" s="1" t="s">
        <v>25</v>
      </c>
      <c r="D1060" s="1" t="s">
        <v>3268</v>
      </c>
      <c r="E1060" s="1" t="s">
        <v>3005</v>
      </c>
      <c r="F1060" s="84">
        <v>112</v>
      </c>
      <c r="G1060" s="84">
        <v>67</v>
      </c>
      <c r="H1060" s="84">
        <v>86.5</v>
      </c>
      <c r="I1060" s="84">
        <v>79</v>
      </c>
      <c r="J1060" s="84">
        <v>65</v>
      </c>
      <c r="K1060" s="84">
        <v>72</v>
      </c>
      <c r="L1060" s="84">
        <v>56</v>
      </c>
      <c r="M1060" s="84">
        <v>72</v>
      </c>
      <c r="N1060" s="84">
        <v>55</v>
      </c>
      <c r="O1060" s="5">
        <f t="shared" si="68"/>
        <v>481.5</v>
      </c>
      <c r="P1060" s="6">
        <f t="shared" si="70"/>
        <v>13</v>
      </c>
      <c r="Q1060" s="5">
        <f t="shared" si="67"/>
        <v>72</v>
      </c>
      <c r="R1060" s="1">
        <v>491.5</v>
      </c>
      <c r="S1060" s="1">
        <v>68</v>
      </c>
      <c r="T1060" s="5">
        <f t="shared" si="69"/>
        <v>-4</v>
      </c>
    </row>
    <row r="1061" spans="1:20">
      <c r="A1061" s="1" t="s">
        <v>2931</v>
      </c>
      <c r="B1061" s="1" t="s">
        <v>3199</v>
      </c>
      <c r="C1061" s="1" t="s">
        <v>25</v>
      </c>
      <c r="D1061" s="1" t="s">
        <v>3269</v>
      </c>
      <c r="E1061" s="1" t="s">
        <v>93</v>
      </c>
      <c r="F1061" s="84">
        <v>106</v>
      </c>
      <c r="G1061" s="84">
        <v>78</v>
      </c>
      <c r="H1061" s="84">
        <v>81.5</v>
      </c>
      <c r="I1061" s="84">
        <v>78</v>
      </c>
      <c r="J1061" s="84">
        <v>60</v>
      </c>
      <c r="K1061" s="84">
        <v>59</v>
      </c>
      <c r="L1061" s="84">
        <v>36</v>
      </c>
      <c r="M1061" s="84">
        <v>44</v>
      </c>
      <c r="N1061" s="84">
        <v>45</v>
      </c>
      <c r="O1061" s="5">
        <f t="shared" si="68"/>
        <v>462.5</v>
      </c>
      <c r="P1061" s="6">
        <f t="shared" si="70"/>
        <v>17</v>
      </c>
      <c r="Q1061" s="5">
        <f t="shared" si="67"/>
        <v>80</v>
      </c>
      <c r="R1061" s="1">
        <v>481</v>
      </c>
      <c r="S1061" s="1">
        <v>75</v>
      </c>
      <c r="T1061" s="5">
        <f t="shared" si="69"/>
        <v>-5</v>
      </c>
    </row>
    <row r="1062" spans="1:20">
      <c r="A1062" s="1" t="s">
        <v>2935</v>
      </c>
      <c r="B1062" s="1" t="s">
        <v>3199</v>
      </c>
      <c r="C1062" s="1" t="s">
        <v>25</v>
      </c>
      <c r="D1062" s="1" t="s">
        <v>3273</v>
      </c>
      <c r="E1062" s="1" t="s">
        <v>2937</v>
      </c>
      <c r="F1062" s="84">
        <v>110</v>
      </c>
      <c r="G1062" s="84">
        <v>79</v>
      </c>
      <c r="H1062" s="84">
        <v>86.5</v>
      </c>
      <c r="I1062" s="84">
        <v>65</v>
      </c>
      <c r="J1062" s="84">
        <v>60</v>
      </c>
      <c r="K1062" s="84">
        <v>78</v>
      </c>
      <c r="L1062" s="84">
        <v>52</v>
      </c>
      <c r="M1062" s="84">
        <v>66</v>
      </c>
      <c r="N1062" s="84">
        <v>47</v>
      </c>
      <c r="O1062" s="5">
        <f t="shared" si="68"/>
        <v>478.5</v>
      </c>
      <c r="P1062" s="6">
        <f t="shared" si="70"/>
        <v>14</v>
      </c>
      <c r="Q1062" s="5">
        <f t="shared" si="67"/>
        <v>73</v>
      </c>
      <c r="R1062" s="1">
        <v>446.5</v>
      </c>
      <c r="S1062" s="1">
        <v>111</v>
      </c>
      <c r="T1062" s="5">
        <f t="shared" si="69"/>
        <v>38</v>
      </c>
    </row>
    <row r="1063" spans="1:20">
      <c r="A1063" s="1" t="s">
        <v>2951</v>
      </c>
      <c r="B1063" s="1" t="s">
        <v>3199</v>
      </c>
      <c r="C1063" s="1" t="s">
        <v>25</v>
      </c>
      <c r="D1063" s="1" t="s">
        <v>3267</v>
      </c>
      <c r="E1063" s="1" t="s">
        <v>2953</v>
      </c>
      <c r="F1063" s="84">
        <v>108</v>
      </c>
      <c r="G1063" s="84">
        <v>104</v>
      </c>
      <c r="H1063" s="84">
        <v>88.5</v>
      </c>
      <c r="I1063" s="84">
        <v>68</v>
      </c>
      <c r="J1063" s="84">
        <v>45</v>
      </c>
      <c r="K1063" s="84">
        <v>74</v>
      </c>
      <c r="L1063" s="84">
        <v>41</v>
      </c>
      <c r="M1063" s="84">
        <v>74</v>
      </c>
      <c r="N1063" s="84">
        <v>56</v>
      </c>
      <c r="O1063" s="5">
        <f t="shared" si="68"/>
        <v>487.5</v>
      </c>
      <c r="P1063" s="6">
        <f t="shared" si="70"/>
        <v>9</v>
      </c>
      <c r="Q1063" s="5">
        <f t="shared" si="67"/>
        <v>61</v>
      </c>
      <c r="R1063" s="1">
        <v>475</v>
      </c>
      <c r="S1063" s="1">
        <v>79</v>
      </c>
      <c r="T1063" s="5">
        <f t="shared" si="69"/>
        <v>18</v>
      </c>
    </row>
    <row r="1064" spans="1:20">
      <c r="A1064" s="1" t="s">
        <v>2956</v>
      </c>
      <c r="B1064" s="1" t="s">
        <v>3199</v>
      </c>
      <c r="C1064" s="1" t="s">
        <v>25</v>
      </c>
      <c r="D1064" s="1" t="s">
        <v>3281</v>
      </c>
      <c r="E1064" s="1" t="s">
        <v>157</v>
      </c>
      <c r="F1064" s="84">
        <v>99</v>
      </c>
      <c r="G1064" s="84">
        <v>51</v>
      </c>
      <c r="H1064" s="84">
        <v>77.5</v>
      </c>
      <c r="I1064" s="84">
        <v>70</v>
      </c>
      <c r="J1064" s="84">
        <v>72</v>
      </c>
      <c r="K1064" s="84">
        <v>56</v>
      </c>
      <c r="L1064" s="84">
        <v>43</v>
      </c>
      <c r="M1064" s="84">
        <v>61</v>
      </c>
      <c r="N1064" s="84">
        <v>51</v>
      </c>
      <c r="O1064" s="5">
        <f t="shared" si="68"/>
        <v>425.5</v>
      </c>
      <c r="P1064" s="6">
        <f t="shared" si="70"/>
        <v>33</v>
      </c>
      <c r="Q1064" s="5">
        <f t="shared" si="67"/>
        <v>118</v>
      </c>
      <c r="R1064" s="1">
        <v>447.5</v>
      </c>
      <c r="S1064" s="1">
        <v>110</v>
      </c>
      <c r="T1064" s="5">
        <f t="shared" si="69"/>
        <v>-8</v>
      </c>
    </row>
    <row r="1065" spans="1:20">
      <c r="A1065" s="1" t="s">
        <v>2938</v>
      </c>
      <c r="B1065" s="1" t="s">
        <v>3199</v>
      </c>
      <c r="C1065" s="1" t="s">
        <v>25</v>
      </c>
      <c r="D1065" s="1" t="s">
        <v>3280</v>
      </c>
      <c r="E1065" s="4" t="s">
        <v>2940</v>
      </c>
      <c r="F1065" s="84">
        <v>109</v>
      </c>
      <c r="G1065" s="84">
        <v>93</v>
      </c>
      <c r="H1065" s="84">
        <v>75.5</v>
      </c>
      <c r="I1065" s="84">
        <v>63</v>
      </c>
      <c r="J1065" s="84">
        <v>70</v>
      </c>
      <c r="K1065" s="84">
        <v>55</v>
      </c>
      <c r="L1065" s="84">
        <v>38</v>
      </c>
      <c r="M1065" s="84">
        <v>59</v>
      </c>
      <c r="N1065" s="84">
        <v>47</v>
      </c>
      <c r="O1065" s="5">
        <f t="shared" si="68"/>
        <v>465.5</v>
      </c>
      <c r="P1065" s="6">
        <f t="shared" si="70"/>
        <v>16</v>
      </c>
      <c r="Q1065" s="5">
        <f t="shared" si="67"/>
        <v>79</v>
      </c>
      <c r="R1065" s="5">
        <v>464.5</v>
      </c>
      <c r="S1065" s="5">
        <v>90</v>
      </c>
      <c r="T1065" s="5">
        <f t="shared" si="69"/>
        <v>11</v>
      </c>
    </row>
    <row r="1066" spans="1:20">
      <c r="A1066" s="1" t="s">
        <v>2978</v>
      </c>
      <c r="B1066" s="1" t="s">
        <v>3199</v>
      </c>
      <c r="C1066" s="1" t="s">
        <v>25</v>
      </c>
      <c r="D1066" s="1" t="s">
        <v>3274</v>
      </c>
      <c r="E1066" s="4" t="s">
        <v>2980</v>
      </c>
      <c r="F1066" s="84">
        <v>114</v>
      </c>
      <c r="G1066" s="84">
        <v>97</v>
      </c>
      <c r="H1066" s="84">
        <v>71.5</v>
      </c>
      <c r="I1066" s="84">
        <v>51</v>
      </c>
      <c r="J1066" s="84">
        <v>68</v>
      </c>
      <c r="K1066" s="84">
        <v>58</v>
      </c>
      <c r="L1066" s="84">
        <v>55</v>
      </c>
      <c r="M1066" s="84">
        <v>67</v>
      </c>
      <c r="N1066" s="84">
        <v>42</v>
      </c>
      <c r="O1066" s="5">
        <f t="shared" si="68"/>
        <v>459.5</v>
      </c>
      <c r="P1066" s="6">
        <f t="shared" si="70"/>
        <v>19</v>
      </c>
      <c r="Q1066" s="5">
        <f t="shared" ref="Q1066:Q1070" si="71">RANK(O1066,$O$937:$O$1070)</f>
        <v>86</v>
      </c>
      <c r="R1066" s="5">
        <v>460</v>
      </c>
      <c r="S1066" s="5">
        <v>98</v>
      </c>
      <c r="T1066" s="5">
        <f t="shared" si="69"/>
        <v>12</v>
      </c>
    </row>
    <row r="1067" spans="1:20">
      <c r="A1067" s="1">
        <v>20181089</v>
      </c>
      <c r="B1067" s="1" t="s">
        <v>3199</v>
      </c>
      <c r="C1067" s="1" t="s">
        <v>25</v>
      </c>
      <c r="D1067" s="1" t="s">
        <v>3271</v>
      </c>
      <c r="E1067" s="1" t="s">
        <v>3272</v>
      </c>
      <c r="F1067" s="84">
        <v>104</v>
      </c>
      <c r="G1067" s="84">
        <v>97</v>
      </c>
      <c r="H1067" s="84">
        <v>97.5</v>
      </c>
      <c r="I1067" s="84">
        <v>71</v>
      </c>
      <c r="J1067" s="84">
        <v>71</v>
      </c>
      <c r="K1067" s="84">
        <v>43</v>
      </c>
      <c r="L1067" s="84">
        <v>30</v>
      </c>
      <c r="M1067" s="84">
        <v>37</v>
      </c>
      <c r="N1067" s="84">
        <v>48</v>
      </c>
      <c r="O1067" s="5">
        <f t="shared" si="68"/>
        <v>483.5</v>
      </c>
      <c r="P1067" s="6">
        <f t="shared" si="70"/>
        <v>11</v>
      </c>
      <c r="Q1067" s="5">
        <f t="shared" si="71"/>
        <v>67</v>
      </c>
      <c r="R1067" s="1">
        <v>502.5</v>
      </c>
      <c r="S1067" s="1">
        <v>55</v>
      </c>
      <c r="T1067" s="5">
        <f t="shared" si="69"/>
        <v>-12</v>
      </c>
    </row>
    <row r="1068" spans="1:20">
      <c r="A1068" s="1" t="s">
        <v>407</v>
      </c>
      <c r="B1068" s="1" t="s">
        <v>3199</v>
      </c>
      <c r="C1068" s="1" t="s">
        <v>25</v>
      </c>
      <c r="D1068" s="1" t="s">
        <v>3278</v>
      </c>
      <c r="E1068" s="1" t="s">
        <v>408</v>
      </c>
      <c r="F1068" s="84">
        <v>117</v>
      </c>
      <c r="G1068" s="84">
        <v>110</v>
      </c>
      <c r="H1068" s="84">
        <v>97.5</v>
      </c>
      <c r="I1068" s="84">
        <v>76</v>
      </c>
      <c r="J1068" s="84">
        <v>71</v>
      </c>
      <c r="K1068" s="84">
        <v>76</v>
      </c>
      <c r="L1068" s="84">
        <v>63</v>
      </c>
      <c r="M1068" s="84">
        <v>74</v>
      </c>
      <c r="N1068" s="84">
        <v>58</v>
      </c>
      <c r="O1068" s="5">
        <f t="shared" si="68"/>
        <v>547.5</v>
      </c>
      <c r="P1068" s="6">
        <f t="shared" si="70"/>
        <v>1</v>
      </c>
      <c r="Q1068" s="5">
        <f t="shared" si="71"/>
        <v>25</v>
      </c>
      <c r="R1068" s="1">
        <v>532.5</v>
      </c>
      <c r="S1068" s="1">
        <v>33</v>
      </c>
      <c r="T1068" s="5">
        <f t="shared" si="69"/>
        <v>8</v>
      </c>
    </row>
    <row r="1069" spans="1:20">
      <c r="A1069" s="1" t="s">
        <v>2305</v>
      </c>
      <c r="B1069" s="1" t="s">
        <v>3199</v>
      </c>
      <c r="C1069" s="1" t="s">
        <v>25</v>
      </c>
      <c r="D1069" s="1" t="s">
        <v>3299</v>
      </c>
      <c r="E1069" s="1" t="s">
        <v>2306</v>
      </c>
      <c r="F1069" s="84">
        <v>99</v>
      </c>
      <c r="G1069" s="84">
        <v>63</v>
      </c>
      <c r="H1069" s="84">
        <v>82.5</v>
      </c>
      <c r="I1069" s="84">
        <v>67</v>
      </c>
      <c r="J1069" s="84">
        <v>61</v>
      </c>
      <c r="K1069" s="84">
        <v>47</v>
      </c>
      <c r="L1069" s="84">
        <v>55</v>
      </c>
      <c r="M1069" s="84">
        <v>79</v>
      </c>
      <c r="N1069" s="84">
        <v>52</v>
      </c>
      <c r="O1069" s="5">
        <f t="shared" si="68"/>
        <v>419.5</v>
      </c>
      <c r="P1069" s="6">
        <f t="shared" si="70"/>
        <v>36</v>
      </c>
      <c r="Q1069" s="5">
        <f t="shared" si="71"/>
        <v>122</v>
      </c>
      <c r="R1069" s="1">
        <v>421.5</v>
      </c>
      <c r="S1069" s="1">
        <v>129</v>
      </c>
      <c r="T1069" s="5">
        <f t="shared" si="69"/>
        <v>7</v>
      </c>
    </row>
    <row r="1070" spans="1:20">
      <c r="A1070" s="1" t="s">
        <v>2602</v>
      </c>
      <c r="B1070" s="1" t="s">
        <v>3199</v>
      </c>
      <c r="C1070" s="1" t="s">
        <v>25</v>
      </c>
      <c r="D1070" s="1" t="s">
        <v>3309</v>
      </c>
      <c r="E1070" s="1" t="s">
        <v>2603</v>
      </c>
      <c r="F1070" s="84">
        <v>95</v>
      </c>
      <c r="G1070" s="84">
        <v>83</v>
      </c>
      <c r="H1070" s="84">
        <v>55</v>
      </c>
      <c r="I1070" s="84">
        <v>62</v>
      </c>
      <c r="J1070" s="84">
        <v>57</v>
      </c>
      <c r="K1070" s="84">
        <v>47</v>
      </c>
      <c r="L1070" s="84">
        <v>48</v>
      </c>
      <c r="M1070" s="84">
        <v>67</v>
      </c>
      <c r="N1070" s="84">
        <v>43</v>
      </c>
      <c r="O1070" s="5">
        <f t="shared" si="68"/>
        <v>399</v>
      </c>
      <c r="P1070" s="6">
        <f t="shared" si="70"/>
        <v>42</v>
      </c>
      <c r="Q1070" s="5">
        <f t="shared" si="71"/>
        <v>131</v>
      </c>
      <c r="R1070" s="1">
        <v>429</v>
      </c>
      <c r="S1070" s="1">
        <v>124</v>
      </c>
      <c r="T1070" s="5">
        <f t="shared" si="69"/>
        <v>-7</v>
      </c>
    </row>
    <row r="1073" spans="1:20">
      <c r="A1073" s="3" t="s">
        <v>3450</v>
      </c>
    </row>
    <row r="1074" spans="1:20">
      <c r="A1074" s="1" t="s">
        <v>1718</v>
      </c>
      <c r="B1074" s="1"/>
      <c r="C1074" s="4" t="s">
        <v>3467</v>
      </c>
      <c r="D1074" s="1" t="s">
        <v>427</v>
      </c>
      <c r="E1074" s="4" t="s">
        <v>3493</v>
      </c>
      <c r="F1074" s="84"/>
      <c r="G1074" s="84"/>
      <c r="H1074" s="85"/>
      <c r="I1074" s="84"/>
      <c r="J1074" s="84"/>
      <c r="K1074" s="84"/>
      <c r="L1074" s="84"/>
      <c r="M1074" s="84"/>
      <c r="N1074" s="84"/>
      <c r="O1074" s="5">
        <f t="shared" ref="O1074:O1081" si="72">SUM(F1074:K1074)</f>
        <v>0</v>
      </c>
      <c r="P1074" s="6" t="e">
        <f>RANK(O1074,$O$58:$O$112)</f>
        <v>#N/A</v>
      </c>
      <c r="Q1074" s="5" t="e">
        <f>RANK(O1074,$O$3:$O$936)</f>
        <v>#N/A</v>
      </c>
      <c r="R1074" s="5">
        <v>456.5</v>
      </c>
      <c r="S1074" s="5">
        <v>430</v>
      </c>
      <c r="T1074" s="5"/>
    </row>
    <row r="1075" spans="1:20">
      <c r="A1075" s="1" t="s">
        <v>794</v>
      </c>
      <c r="B1075" s="1"/>
      <c r="C1075" s="4" t="s">
        <v>3468</v>
      </c>
      <c r="D1075" s="1" t="s">
        <v>795</v>
      </c>
      <c r="E1075" s="4" t="s">
        <v>796</v>
      </c>
      <c r="F1075" s="84"/>
      <c r="G1075" s="84"/>
      <c r="H1075" s="84"/>
      <c r="I1075" s="84"/>
      <c r="J1075" s="84"/>
      <c r="K1075" s="84"/>
      <c r="L1075" s="84"/>
      <c r="M1075" s="84"/>
      <c r="N1075" s="84"/>
      <c r="O1075" s="5">
        <f t="shared" si="72"/>
        <v>0</v>
      </c>
      <c r="P1075" s="6" t="e">
        <f>RANK(O1075,$O$170:$O$223)</f>
        <v>#N/A</v>
      </c>
      <c r="Q1075" s="5" t="e">
        <f>RANK(O1075,$O$3:$O$936)</f>
        <v>#N/A</v>
      </c>
      <c r="R1075" s="5">
        <v>556</v>
      </c>
      <c r="S1075" s="5">
        <v>50</v>
      </c>
      <c r="T1075" s="5" t="e">
        <f t="shared" ref="T1075:T1081" si="73">S1075-Q1075</f>
        <v>#N/A</v>
      </c>
    </row>
    <row r="1076" spans="1:20">
      <c r="A1076" s="1" t="s">
        <v>843</v>
      </c>
      <c r="B1076" s="1"/>
      <c r="C1076" s="4" t="s">
        <v>3468</v>
      </c>
      <c r="D1076" s="1" t="s">
        <v>844</v>
      </c>
      <c r="E1076" s="4" t="s">
        <v>3494</v>
      </c>
      <c r="F1076" s="84"/>
      <c r="G1076" s="84"/>
      <c r="H1076" s="84"/>
      <c r="I1076" s="84"/>
      <c r="J1076" s="84"/>
      <c r="K1076" s="84"/>
      <c r="L1076" s="84"/>
      <c r="M1076" s="84"/>
      <c r="N1076" s="84"/>
      <c r="O1076" s="5">
        <f t="shared" si="72"/>
        <v>0</v>
      </c>
      <c r="P1076" s="6" t="e">
        <f>RANK(O1076,$O$170:$O$223)</f>
        <v>#N/A</v>
      </c>
      <c r="Q1076" s="5" t="e">
        <f>RANK(O1076,$O$3:$O$936)</f>
        <v>#N/A</v>
      </c>
      <c r="R1076" s="5">
        <v>421.5</v>
      </c>
      <c r="S1076" s="5">
        <v>627</v>
      </c>
      <c r="T1076" s="5" t="e">
        <f t="shared" si="73"/>
        <v>#N/A</v>
      </c>
    </row>
    <row r="1077" spans="1:20">
      <c r="A1077" s="1" t="s">
        <v>1355</v>
      </c>
      <c r="B1077" s="1"/>
      <c r="C1077" s="4" t="s">
        <v>3469</v>
      </c>
      <c r="D1077" s="1" t="s">
        <v>1356</v>
      </c>
      <c r="E1077" s="4" t="s">
        <v>3496</v>
      </c>
      <c r="F1077" s="84"/>
      <c r="G1077" s="84"/>
      <c r="H1077" s="84"/>
      <c r="I1077" s="84"/>
      <c r="J1077" s="84"/>
      <c r="K1077" s="84"/>
      <c r="L1077" s="84"/>
      <c r="M1077" s="84"/>
      <c r="N1077" s="84"/>
      <c r="O1077" s="5">
        <f t="shared" si="72"/>
        <v>0</v>
      </c>
      <c r="P1077" s="6" t="e">
        <f>RANK(O1077,$O$392:$O$444)</f>
        <v>#N/A</v>
      </c>
      <c r="Q1077" s="5" t="e">
        <f>RANK(O1077,$O$3:$O$936)</f>
        <v>#N/A</v>
      </c>
      <c r="R1077" s="5">
        <v>427</v>
      </c>
      <c r="S1077" s="5">
        <v>593</v>
      </c>
      <c r="T1077" s="5" t="e">
        <f t="shared" si="73"/>
        <v>#N/A</v>
      </c>
    </row>
    <row r="1078" spans="1:20">
      <c r="A1078" s="1" t="s">
        <v>1498</v>
      </c>
      <c r="B1078" s="1"/>
      <c r="C1078" s="4" t="s">
        <v>3469</v>
      </c>
      <c r="D1078" s="1" t="s">
        <v>1499</v>
      </c>
      <c r="E1078" s="4" t="s">
        <v>3497</v>
      </c>
      <c r="F1078" s="84"/>
      <c r="G1078" s="84"/>
      <c r="H1078" s="84"/>
      <c r="I1078" s="84"/>
      <c r="J1078" s="84"/>
      <c r="K1078" s="84"/>
      <c r="L1078" s="84"/>
      <c r="M1078" s="84"/>
      <c r="N1078" s="84"/>
      <c r="O1078" s="5">
        <f t="shared" si="72"/>
        <v>0</v>
      </c>
      <c r="P1078" s="6" t="e">
        <f>RANK(O1078,$O$392:$O$444)</f>
        <v>#N/A</v>
      </c>
      <c r="Q1078" s="5" t="e">
        <f>RANK(O1078,$O$3:$O$936)</f>
        <v>#N/A</v>
      </c>
      <c r="R1078" s="5">
        <v>418.5</v>
      </c>
      <c r="S1078" s="5">
        <v>649</v>
      </c>
      <c r="T1078" s="5" t="e">
        <f t="shared" si="73"/>
        <v>#N/A</v>
      </c>
    </row>
    <row r="1079" spans="1:20">
      <c r="A1079" s="1" t="s">
        <v>3110</v>
      </c>
      <c r="B1079" s="1"/>
      <c r="C1079" s="1" t="s">
        <v>3470</v>
      </c>
      <c r="D1079" s="1" t="s">
        <v>3111</v>
      </c>
      <c r="E1079" s="4" t="s">
        <v>3499</v>
      </c>
      <c r="F1079" s="84"/>
      <c r="G1079" s="84"/>
      <c r="H1079" s="84"/>
      <c r="I1079" s="84"/>
      <c r="J1079" s="84"/>
      <c r="K1079" s="84"/>
      <c r="L1079" s="84"/>
      <c r="M1079" s="84"/>
      <c r="N1079" s="84"/>
      <c r="O1079" s="5">
        <f t="shared" si="72"/>
        <v>0</v>
      </c>
      <c r="P1079" s="6" t="e">
        <f>RANK(O1079,$O$1028:$O$1070)</f>
        <v>#N/A</v>
      </c>
      <c r="Q1079" s="5" t="e">
        <f>RANK(O1079,$O$937:$O$1070)</f>
        <v>#N/A</v>
      </c>
      <c r="R1079" s="5">
        <v>490</v>
      </c>
      <c r="S1079" s="5">
        <v>70</v>
      </c>
      <c r="T1079" s="5" t="e">
        <f t="shared" si="73"/>
        <v>#N/A</v>
      </c>
    </row>
    <row r="1080" spans="1:20">
      <c r="A1080" s="1" t="s">
        <v>1091</v>
      </c>
      <c r="B1080" s="1"/>
      <c r="C1080" s="4" t="s">
        <v>3471</v>
      </c>
      <c r="D1080" s="1" t="s">
        <v>1092</v>
      </c>
      <c r="E1080" s="4" t="s">
        <v>3500</v>
      </c>
      <c r="F1080" s="84"/>
      <c r="G1080" s="84"/>
      <c r="H1080" s="84">
        <v>85</v>
      </c>
      <c r="I1080" s="84">
        <v>34</v>
      </c>
      <c r="J1080" s="84">
        <v>24</v>
      </c>
      <c r="K1080" s="84">
        <v>47</v>
      </c>
      <c r="L1080" s="84">
        <v>52</v>
      </c>
      <c r="M1080" s="84">
        <v>61</v>
      </c>
      <c r="N1080" s="84">
        <v>38</v>
      </c>
      <c r="O1080" s="5">
        <f t="shared" si="72"/>
        <v>190</v>
      </c>
      <c r="P1080" s="6" t="e">
        <f>RANK(O1080,$O$281:$O$336)</f>
        <v>#N/A</v>
      </c>
      <c r="Q1080" s="5" t="e">
        <f>RANK(O1080,$O$3:$O$936)</f>
        <v>#N/A</v>
      </c>
      <c r="R1080" s="5">
        <v>347.5</v>
      </c>
      <c r="S1080" s="5">
        <v>886</v>
      </c>
      <c r="T1080" s="5" t="e">
        <f t="shared" si="73"/>
        <v>#N/A</v>
      </c>
    </row>
    <row r="1081" spans="1:20">
      <c r="A1081" s="1" t="s">
        <v>3065</v>
      </c>
      <c r="B1081" s="1"/>
      <c r="C1081" s="1" t="s">
        <v>3472</v>
      </c>
      <c r="D1081" s="1" t="s">
        <v>3082</v>
      </c>
      <c r="E1081" s="1" t="s">
        <v>3501</v>
      </c>
      <c r="F1081" s="84">
        <v>110</v>
      </c>
      <c r="G1081" s="84">
        <v>62</v>
      </c>
      <c r="H1081" s="84">
        <v>87.5</v>
      </c>
      <c r="I1081" s="84"/>
      <c r="J1081" s="84"/>
      <c r="K1081" s="84"/>
      <c r="L1081" s="84"/>
      <c r="M1081" s="84"/>
      <c r="N1081" s="84"/>
      <c r="O1081" s="5">
        <f t="shared" si="72"/>
        <v>259.5</v>
      </c>
      <c r="P1081" s="6" t="e">
        <f>RANK(O1081,$O$983:$O$1027)</f>
        <v>#N/A</v>
      </c>
      <c r="Q1081" s="5" t="e">
        <f>RANK(O1081,$O$937:$O$1070)</f>
        <v>#N/A</v>
      </c>
      <c r="R1081" s="1">
        <v>435</v>
      </c>
      <c r="S1081" s="1">
        <v>119</v>
      </c>
      <c r="T1081" s="5" t="e">
        <f t="shared" si="73"/>
        <v>#N/A</v>
      </c>
    </row>
  </sheetData>
  <protectedRanges>
    <protectedRange sqref="F930 F45:F53 F3:F43" name="区域1_11_1_1"/>
    <protectedRange sqref="G930 G45:G53 G3:G43" name="区域1_12_13"/>
    <protectedRange sqref="H930 H45:H53 H3:H43" name="区域1_13_13_1"/>
    <protectedRange sqref="I930 I45:I53 I3:I43" name="区域1_14_13_1"/>
    <protectedRange sqref="J930 J45:J53 J3:J43" name="区域1_15_13"/>
    <protectedRange sqref="K45:N53 K930:N930 K3:N43" name="区域1_16_13_1"/>
    <protectedRange sqref="F1054 F54:F103 F1074" name="区域1_11_14_1"/>
    <protectedRange sqref="G1054 G54:G103 G1074" name="区域1_12_14"/>
    <protectedRange sqref="H1054 H54:H103 H1074" name="区域1_13_14_1"/>
    <protectedRange sqref="I1054 I54:I103 I1074" name="区域1_14_14_1"/>
    <protectedRange sqref="J1054 J54:J103 J1074" name="区域1_15_14"/>
    <protectedRange sqref="K1054:N1054 K54:N103 K1074:N1074" name="区域1_16_14_1"/>
    <protectedRange sqref="F104:F126" name="区域1_11_15_2"/>
    <protectedRange sqref="G104:G126" name="区域1_12_15_1"/>
    <protectedRange sqref="H104:H126" name="区域1_13_15_2"/>
    <protectedRange sqref="I104:I126" name="区域1_14_15_2"/>
    <protectedRange sqref="J104:J126" name="区域1_15_15_1"/>
    <protectedRange sqref="K104:N126" name="区域1_16_15_2"/>
    <protectedRange sqref="F127:F157" name="区域1_11_16_2"/>
    <protectedRange sqref="G127:G157" name="区域1_12_16_1"/>
    <protectedRange sqref="H127:H157" name="区域1_13_16_2"/>
    <protectedRange sqref="I127:I157" name="区域1_14_16_2"/>
    <protectedRange sqref="J127:J157" name="区域1_15_16_1"/>
    <protectedRange sqref="K127:N157" name="区域1_16_16_1"/>
    <protectedRange sqref="F158" name="区域1_11_17_2"/>
    <protectedRange sqref="G158" name="区域1_12_17_1"/>
    <protectedRange sqref="H158" name="区域1_13_17_2"/>
    <protectedRange sqref="I158" name="区域1_14_17_2"/>
    <protectedRange sqref="J158" name="区域1_15_17_1"/>
    <protectedRange sqref="K158:N158" name="区域1_16_17_1"/>
    <protectedRange sqref="F1021 F159:F210 F1075" name="区域1_11_17_1"/>
    <protectedRange sqref="G1021 G159:G210 G1075" name="区域1_12_17"/>
    <protectedRange sqref="H1021 H159:H210 H1075" name="区域1_13_17_1"/>
    <protectedRange sqref="I1021 I159:I210 I1075" name="区域1_14_17_1"/>
    <protectedRange sqref="J1021 J159:J210 J1075" name="区域1_15_17"/>
    <protectedRange sqref="K1021:N1021 K159:N210 K1075:N1075" name="区域1_16_17"/>
    <protectedRange sqref="F211" name="区域1_11_18_1"/>
    <protectedRange sqref="G211" name="区域1_12_18"/>
    <protectedRange sqref="H211" name="区域1_13_18_1"/>
    <protectedRange sqref="I211" name="区域1_14_18_1"/>
    <protectedRange sqref="J211" name="区域1_15_18"/>
    <protectedRange sqref="K211:N211" name="区域1_16_18"/>
    <protectedRange sqref="F1059 F246:F259 F212:F244 F1076" name="区域1_11_18_2"/>
    <protectedRange sqref="G1059 G246:G259 G212:G244 G1076" name="区域1_12_18_1"/>
    <protectedRange sqref="H1059 H246:H259 H212:H244 H1076" name="区域1_13_18_2"/>
    <protectedRange sqref="I1059 I246:I259 I212:I244 I1076" name="区域1_14_18_2"/>
    <protectedRange sqref="J1059 J246:J259 J212:J244 J1076" name="区域1_15_18_1"/>
    <protectedRange sqref="K246:N259 K1059:N1059 K212:N244 K1076:N1076" name="区域1_16_18_1"/>
    <protectedRange sqref="F260:F262" name="区域1_11_19_1"/>
    <protectedRange sqref="G260:G262" name="区域1_12_19"/>
    <protectedRange sqref="H260:H262" name="区域1_13_19_1"/>
    <protectedRange sqref="I260:I262" name="区域1_14_19_1"/>
    <protectedRange sqref="J260:J262" name="区域1_15_19"/>
    <protectedRange sqref="K260:N262" name="区域1_16_19"/>
    <protectedRange sqref="F245" name="区域1_11_21"/>
    <protectedRange sqref="G245" name="区域1_12_21"/>
    <protectedRange sqref="H245" name="区域1_13_21"/>
    <protectedRange sqref="I245" name="区域1_14_21"/>
    <protectedRange sqref="J245" name="区域1_15_21"/>
    <protectedRange sqref="K245:N245" name="区域1_16_21"/>
    <protectedRange sqref="F263:F310 F1080" name="区域1_11_19_2"/>
    <protectedRange sqref="G263:G310 G1080" name="区域1_12_19_1"/>
    <protectedRange sqref="H263:H310 H1080" name="区域1_13_19_2"/>
    <protectedRange sqref="I263:I310 I1080" name="区域1_14_19_2"/>
    <protectedRange sqref="J263:J310 J1080" name="区域1_15_19_1"/>
    <protectedRange sqref="K263:N310 K1080:N1080" name="区域1_16_19_1"/>
    <protectedRange sqref="F311:F313" name="区域1_11_20"/>
    <protectedRange sqref="G311:G313" name="区域1_12_20"/>
    <protectedRange sqref="H311:H313" name="区域1_13_20"/>
    <protectedRange sqref="I311:I313" name="区域1_14_20"/>
    <protectedRange sqref="J311:J313" name="区域1_15_20"/>
    <protectedRange sqref="K311:N313" name="区域1_16_20"/>
    <protectedRange sqref="F923 F314:F362" name="区域1_11_20_1"/>
    <protectedRange sqref="G923 G314:G362" name="区域1_12_20_1"/>
    <protectedRange sqref="H923 H314:H362" name="区域1_13_20_1"/>
    <protectedRange sqref="I923 I314:I362" name="区域1_14_20_1"/>
    <protectedRange sqref="J923 J314:J362" name="区域1_15_20_1"/>
    <protectedRange sqref="K923:N923 K314:N362" name="区域1_16_20_1"/>
    <protectedRange sqref="F931 F363:F364" name="区域1_11_21_1"/>
    <protectedRange sqref="G931 G363:G364" name="区域1_12_21_1"/>
    <protectedRange sqref="H931 H363:H364" name="区域1_13_21_1"/>
    <protectedRange sqref="I931 I363:I364" name="区域1_14_21_1"/>
    <protectedRange sqref="J931 J363:J364" name="区域1_15_21_1"/>
    <protectedRange sqref="K931:N931 K363:N364" name="区域1_16_21_1"/>
    <protectedRange sqref="F954 F365:F409 F1077" name="区域1_11_21_2"/>
    <protectedRange sqref="G954 G365:G409 G1077" name="区域1_12_21_2"/>
    <protectedRange sqref="H954 H365:H409 H1077" name="区域1_13_21_2"/>
    <protectedRange sqref="I954 I365:I409 I1077" name="区域1_14_21_2"/>
    <protectedRange sqref="J954 J365:J409 J1077" name="区域1_15_21_2"/>
    <protectedRange sqref="K954:N954 K365:N409 K1077:N1077" name="区域1_16_21_2"/>
    <protectedRange sqref="F410:F414" name="区域1_11_22"/>
    <protectedRange sqref="G410:G414" name="区域1_12_22"/>
    <protectedRange sqref="H410:H414" name="区域1_13_22"/>
    <protectedRange sqref="I410:I414" name="区域1_14_22"/>
    <protectedRange sqref="J410:J414" name="区域1_15_22"/>
    <protectedRange sqref="K410:N414" name="区域1_16_22"/>
    <protectedRange sqref="F415:F461 F1078" name="区域1_11_22_1"/>
    <protectedRange sqref="G415:G461 G1078" name="区域1_12_22_1"/>
    <protectedRange sqref="H415:H461 H1078" name="区域1_13_22_1"/>
    <protectedRange sqref="I415:I461 I1078" name="区域1_14_22_1"/>
    <protectedRange sqref="J415:J461 J1078" name="区域1_15_22_1"/>
    <protectedRange sqref="K415:N461 K1078:N1078" name="区域1_16_22_1"/>
    <protectedRange sqref="F462:F466" name="区域1_11_23"/>
    <protectedRange sqref="G462:G466" name="区域1_12_23"/>
    <protectedRange sqref="H462:H466" name="区域1_13_23"/>
    <protectedRange sqref="I462:I466" name="区域1_14_23"/>
    <protectedRange sqref="J462:J466" name="区域1_15_23"/>
    <protectedRange sqref="K462:N466" name="区域1_16_23"/>
    <protectedRange sqref="F467:F511 F1017 F950 F44 F1079" name="区域1_11_23_1"/>
    <protectedRange sqref="G467:G511 G1017 G950 G44 G1079" name="区域1_12_23_1"/>
    <protectedRange sqref="H467:H511 H1017 H950 H44 H1079" name="区域1_13_23_1"/>
    <protectedRange sqref="I467:I511 I1017 I950 I44 I1079" name="区域1_14_23_1"/>
    <protectedRange sqref="J467:J511 J1017 J950 J44 J1079" name="区域1_15_23_1"/>
    <protectedRange sqref="K467:N511 K44:N44 K1017:N1017 K950:N950 K1079:N1079" name="区域1_16_23_1"/>
    <protectedRange sqref="F512:F516" name="区域1_11_24"/>
    <protectedRange sqref="G512:G516" name="区域1_12_24"/>
    <protectedRange sqref="I512:I516" name="区域1_14_24"/>
    <protectedRange sqref="J512:J516" name="区域1_15_24"/>
    <protectedRange sqref="K512:N516" name="区域1_16_24"/>
    <protectedRange sqref="F610 F517:F560" name="区域1_11_24_1"/>
    <protectedRange sqref="G610 G517:G560" name="区域1_12_24_1"/>
    <protectedRange sqref="I610 I517:I560" name="区域1_14_24_1"/>
    <protectedRange sqref="J610 J517:J560" name="区域1_15_24_1"/>
    <protectedRange sqref="K610:N610 K517:N560" name="区域1_16_24_1"/>
    <protectedRange sqref="F561:F565" name="区域1_11_25"/>
    <protectedRange sqref="G561:G565" name="区域1_12_25"/>
    <protectedRange sqref="I561:I565" name="区域1_14_25"/>
    <protectedRange sqref="J561:J565" name="区域1_15_25"/>
    <protectedRange sqref="K561:N565" name="区域1_16_25"/>
    <protectedRange sqref="F566:F609 F611:F615" name="区域1_11_25_1"/>
    <protectedRange sqref="G566:G609 G611:G615" name="区域1_12_25_1"/>
    <protectedRange sqref="I566:I609 I611:I615" name="区域1_14_25_1"/>
    <protectedRange sqref="J566:J609 J611:J615" name="区域1_15_25_1"/>
    <protectedRange sqref="K566:N609 K611:N615" name="区域1_16_25_1"/>
    <protectedRange sqref="F616:F620" name="区域1_11_26"/>
    <protectedRange sqref="G616:G620" name="区域1_12_26"/>
    <protectedRange sqref="H616:H620" name="区域1_13_26"/>
    <protectedRange sqref="I616:I620" name="区域1_14_26"/>
    <protectedRange sqref="J616:J620" name="区域1_15_26"/>
    <protectedRange sqref="K616:N620" name="区域1_16_26"/>
    <protectedRange sqref="F953 F621:F648" name="区域1_11_26_1"/>
    <protectedRange sqref="G953 G621:G648" name="区域1_12_26_1"/>
    <protectedRange sqref="H953 H621:H648" name="区域1_13_26_1"/>
    <protectedRange sqref="I953 I621:I648" name="区域1_14_26_1"/>
    <protectedRange sqref="J953 J621:J648" name="区域1_15_26_1"/>
    <protectedRange sqref="K621:N648 K953:N953" name="区域1_16_26_1"/>
  </protectedRanges>
  <autoFilter ref="A2:T1070"/>
  <mergeCells count="1">
    <mergeCell ref="A1:T1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X40"/>
  <sheetViews>
    <sheetView zoomScale="106" zoomScaleNormal="106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H44" sqref="H44"/>
    </sheetView>
  </sheetViews>
  <sheetFormatPr defaultRowHeight="21.75" customHeight="1"/>
  <cols>
    <col min="1" max="1" width="5" style="30" customWidth="1"/>
    <col min="2" max="2" width="10.375" style="31" customWidth="1"/>
    <col min="3" max="19" width="8" style="31" customWidth="1"/>
    <col min="20" max="24" width="8" style="9" customWidth="1"/>
    <col min="25" max="256" width="9" style="9"/>
    <col min="257" max="257" width="8" style="9" customWidth="1"/>
    <col min="258" max="258" width="11.25" style="9" customWidth="1"/>
    <col min="259" max="279" width="11.75" style="9" customWidth="1"/>
    <col min="280" max="280" width="14.375" style="9" customWidth="1"/>
    <col min="281" max="512" width="9" style="9"/>
    <col min="513" max="513" width="8" style="9" customWidth="1"/>
    <col min="514" max="514" width="11.25" style="9" customWidth="1"/>
    <col min="515" max="535" width="11.75" style="9" customWidth="1"/>
    <col min="536" max="536" width="14.375" style="9" customWidth="1"/>
    <col min="537" max="768" width="9" style="9"/>
    <col min="769" max="769" width="8" style="9" customWidth="1"/>
    <col min="770" max="770" width="11.25" style="9" customWidth="1"/>
    <col min="771" max="791" width="11.75" style="9" customWidth="1"/>
    <col min="792" max="792" width="14.375" style="9" customWidth="1"/>
    <col min="793" max="1024" width="9" style="9"/>
    <col min="1025" max="1025" width="8" style="9" customWidth="1"/>
    <col min="1026" max="1026" width="11.25" style="9" customWidth="1"/>
    <col min="1027" max="1047" width="11.75" style="9" customWidth="1"/>
    <col min="1048" max="1048" width="14.375" style="9" customWidth="1"/>
    <col min="1049" max="1280" width="9" style="9"/>
    <col min="1281" max="1281" width="8" style="9" customWidth="1"/>
    <col min="1282" max="1282" width="11.25" style="9" customWidth="1"/>
    <col min="1283" max="1303" width="11.75" style="9" customWidth="1"/>
    <col min="1304" max="1304" width="14.375" style="9" customWidth="1"/>
    <col min="1305" max="1536" width="9" style="9"/>
    <col min="1537" max="1537" width="8" style="9" customWidth="1"/>
    <col min="1538" max="1538" width="11.25" style="9" customWidth="1"/>
    <col min="1539" max="1559" width="11.75" style="9" customWidth="1"/>
    <col min="1560" max="1560" width="14.375" style="9" customWidth="1"/>
    <col min="1561" max="1792" width="9" style="9"/>
    <col min="1793" max="1793" width="8" style="9" customWidth="1"/>
    <col min="1794" max="1794" width="11.25" style="9" customWidth="1"/>
    <col min="1795" max="1815" width="11.75" style="9" customWidth="1"/>
    <col min="1816" max="1816" width="14.375" style="9" customWidth="1"/>
    <col min="1817" max="2048" width="9" style="9"/>
    <col min="2049" max="2049" width="8" style="9" customWidth="1"/>
    <col min="2050" max="2050" width="11.25" style="9" customWidth="1"/>
    <col min="2051" max="2071" width="11.75" style="9" customWidth="1"/>
    <col min="2072" max="2072" width="14.375" style="9" customWidth="1"/>
    <col min="2073" max="2304" width="9" style="9"/>
    <col min="2305" max="2305" width="8" style="9" customWidth="1"/>
    <col min="2306" max="2306" width="11.25" style="9" customWidth="1"/>
    <col min="2307" max="2327" width="11.75" style="9" customWidth="1"/>
    <col min="2328" max="2328" width="14.375" style="9" customWidth="1"/>
    <col min="2329" max="2560" width="9" style="9"/>
    <col min="2561" max="2561" width="8" style="9" customWidth="1"/>
    <col min="2562" max="2562" width="11.25" style="9" customWidth="1"/>
    <col min="2563" max="2583" width="11.75" style="9" customWidth="1"/>
    <col min="2584" max="2584" width="14.375" style="9" customWidth="1"/>
    <col min="2585" max="2816" width="9" style="9"/>
    <col min="2817" max="2817" width="8" style="9" customWidth="1"/>
    <col min="2818" max="2818" width="11.25" style="9" customWidth="1"/>
    <col min="2819" max="2839" width="11.75" style="9" customWidth="1"/>
    <col min="2840" max="2840" width="14.375" style="9" customWidth="1"/>
    <col min="2841" max="3072" width="9" style="9"/>
    <col min="3073" max="3073" width="8" style="9" customWidth="1"/>
    <col min="3074" max="3074" width="11.25" style="9" customWidth="1"/>
    <col min="3075" max="3095" width="11.75" style="9" customWidth="1"/>
    <col min="3096" max="3096" width="14.375" style="9" customWidth="1"/>
    <col min="3097" max="3328" width="9" style="9"/>
    <col min="3329" max="3329" width="8" style="9" customWidth="1"/>
    <col min="3330" max="3330" width="11.25" style="9" customWidth="1"/>
    <col min="3331" max="3351" width="11.75" style="9" customWidth="1"/>
    <col min="3352" max="3352" width="14.375" style="9" customWidth="1"/>
    <col min="3353" max="3584" width="9" style="9"/>
    <col min="3585" max="3585" width="8" style="9" customWidth="1"/>
    <col min="3586" max="3586" width="11.25" style="9" customWidth="1"/>
    <col min="3587" max="3607" width="11.75" style="9" customWidth="1"/>
    <col min="3608" max="3608" width="14.375" style="9" customWidth="1"/>
    <col min="3609" max="3840" width="9" style="9"/>
    <col min="3841" max="3841" width="8" style="9" customWidth="1"/>
    <col min="3842" max="3842" width="11.25" style="9" customWidth="1"/>
    <col min="3843" max="3863" width="11.75" style="9" customWidth="1"/>
    <col min="3864" max="3864" width="14.375" style="9" customWidth="1"/>
    <col min="3865" max="4096" width="9" style="9"/>
    <col min="4097" max="4097" width="8" style="9" customWidth="1"/>
    <col min="4098" max="4098" width="11.25" style="9" customWidth="1"/>
    <col min="4099" max="4119" width="11.75" style="9" customWidth="1"/>
    <col min="4120" max="4120" width="14.375" style="9" customWidth="1"/>
    <col min="4121" max="4352" width="9" style="9"/>
    <col min="4353" max="4353" width="8" style="9" customWidth="1"/>
    <col min="4354" max="4354" width="11.25" style="9" customWidth="1"/>
    <col min="4355" max="4375" width="11.75" style="9" customWidth="1"/>
    <col min="4376" max="4376" width="14.375" style="9" customWidth="1"/>
    <col min="4377" max="4608" width="9" style="9"/>
    <col min="4609" max="4609" width="8" style="9" customWidth="1"/>
    <col min="4610" max="4610" width="11.25" style="9" customWidth="1"/>
    <col min="4611" max="4631" width="11.75" style="9" customWidth="1"/>
    <col min="4632" max="4632" width="14.375" style="9" customWidth="1"/>
    <col min="4633" max="4864" width="9" style="9"/>
    <col min="4865" max="4865" width="8" style="9" customWidth="1"/>
    <col min="4866" max="4866" width="11.25" style="9" customWidth="1"/>
    <col min="4867" max="4887" width="11.75" style="9" customWidth="1"/>
    <col min="4888" max="4888" width="14.375" style="9" customWidth="1"/>
    <col min="4889" max="5120" width="9" style="9"/>
    <col min="5121" max="5121" width="8" style="9" customWidth="1"/>
    <col min="5122" max="5122" width="11.25" style="9" customWidth="1"/>
    <col min="5123" max="5143" width="11.75" style="9" customWidth="1"/>
    <col min="5144" max="5144" width="14.375" style="9" customWidth="1"/>
    <col min="5145" max="5376" width="9" style="9"/>
    <col min="5377" max="5377" width="8" style="9" customWidth="1"/>
    <col min="5378" max="5378" width="11.25" style="9" customWidth="1"/>
    <col min="5379" max="5399" width="11.75" style="9" customWidth="1"/>
    <col min="5400" max="5400" width="14.375" style="9" customWidth="1"/>
    <col min="5401" max="5632" width="9" style="9"/>
    <col min="5633" max="5633" width="8" style="9" customWidth="1"/>
    <col min="5634" max="5634" width="11.25" style="9" customWidth="1"/>
    <col min="5635" max="5655" width="11.75" style="9" customWidth="1"/>
    <col min="5656" max="5656" width="14.375" style="9" customWidth="1"/>
    <col min="5657" max="5888" width="9" style="9"/>
    <col min="5889" max="5889" width="8" style="9" customWidth="1"/>
    <col min="5890" max="5890" width="11.25" style="9" customWidth="1"/>
    <col min="5891" max="5911" width="11.75" style="9" customWidth="1"/>
    <col min="5912" max="5912" width="14.375" style="9" customWidth="1"/>
    <col min="5913" max="6144" width="9" style="9"/>
    <col min="6145" max="6145" width="8" style="9" customWidth="1"/>
    <col min="6146" max="6146" width="11.25" style="9" customWidth="1"/>
    <col min="6147" max="6167" width="11.75" style="9" customWidth="1"/>
    <col min="6168" max="6168" width="14.375" style="9" customWidth="1"/>
    <col min="6169" max="6400" width="9" style="9"/>
    <col min="6401" max="6401" width="8" style="9" customWidth="1"/>
    <col min="6402" max="6402" width="11.25" style="9" customWidth="1"/>
    <col min="6403" max="6423" width="11.75" style="9" customWidth="1"/>
    <col min="6424" max="6424" width="14.375" style="9" customWidth="1"/>
    <col min="6425" max="6656" width="9" style="9"/>
    <col min="6657" max="6657" width="8" style="9" customWidth="1"/>
    <col min="6658" max="6658" width="11.25" style="9" customWidth="1"/>
    <col min="6659" max="6679" width="11.75" style="9" customWidth="1"/>
    <col min="6680" max="6680" width="14.375" style="9" customWidth="1"/>
    <col min="6681" max="6912" width="9" style="9"/>
    <col min="6913" max="6913" width="8" style="9" customWidth="1"/>
    <col min="6914" max="6914" width="11.25" style="9" customWidth="1"/>
    <col min="6915" max="6935" width="11.75" style="9" customWidth="1"/>
    <col min="6936" max="6936" width="14.375" style="9" customWidth="1"/>
    <col min="6937" max="7168" width="9" style="9"/>
    <col min="7169" max="7169" width="8" style="9" customWidth="1"/>
    <col min="7170" max="7170" width="11.25" style="9" customWidth="1"/>
    <col min="7171" max="7191" width="11.75" style="9" customWidth="1"/>
    <col min="7192" max="7192" width="14.375" style="9" customWidth="1"/>
    <col min="7193" max="7424" width="9" style="9"/>
    <col min="7425" max="7425" width="8" style="9" customWidth="1"/>
    <col min="7426" max="7426" width="11.25" style="9" customWidth="1"/>
    <col min="7427" max="7447" width="11.75" style="9" customWidth="1"/>
    <col min="7448" max="7448" width="14.375" style="9" customWidth="1"/>
    <col min="7449" max="7680" width="9" style="9"/>
    <col min="7681" max="7681" width="8" style="9" customWidth="1"/>
    <col min="7682" max="7682" width="11.25" style="9" customWidth="1"/>
    <col min="7683" max="7703" width="11.75" style="9" customWidth="1"/>
    <col min="7704" max="7704" width="14.375" style="9" customWidth="1"/>
    <col min="7705" max="7936" width="9" style="9"/>
    <col min="7937" max="7937" width="8" style="9" customWidth="1"/>
    <col min="7938" max="7938" width="11.25" style="9" customWidth="1"/>
    <col min="7939" max="7959" width="11.75" style="9" customWidth="1"/>
    <col min="7960" max="7960" width="14.375" style="9" customWidth="1"/>
    <col min="7961" max="8192" width="9" style="9"/>
    <col min="8193" max="8193" width="8" style="9" customWidth="1"/>
    <col min="8194" max="8194" width="11.25" style="9" customWidth="1"/>
    <col min="8195" max="8215" width="11.75" style="9" customWidth="1"/>
    <col min="8216" max="8216" width="14.375" style="9" customWidth="1"/>
    <col min="8217" max="8448" width="9" style="9"/>
    <col min="8449" max="8449" width="8" style="9" customWidth="1"/>
    <col min="8450" max="8450" width="11.25" style="9" customWidth="1"/>
    <col min="8451" max="8471" width="11.75" style="9" customWidth="1"/>
    <col min="8472" max="8472" width="14.375" style="9" customWidth="1"/>
    <col min="8473" max="8704" width="9" style="9"/>
    <col min="8705" max="8705" width="8" style="9" customWidth="1"/>
    <col min="8706" max="8706" width="11.25" style="9" customWidth="1"/>
    <col min="8707" max="8727" width="11.75" style="9" customWidth="1"/>
    <col min="8728" max="8728" width="14.375" style="9" customWidth="1"/>
    <col min="8729" max="8960" width="9" style="9"/>
    <col min="8961" max="8961" width="8" style="9" customWidth="1"/>
    <col min="8962" max="8962" width="11.25" style="9" customWidth="1"/>
    <col min="8963" max="8983" width="11.75" style="9" customWidth="1"/>
    <col min="8984" max="8984" width="14.375" style="9" customWidth="1"/>
    <col min="8985" max="9216" width="9" style="9"/>
    <col min="9217" max="9217" width="8" style="9" customWidth="1"/>
    <col min="9218" max="9218" width="11.25" style="9" customWidth="1"/>
    <col min="9219" max="9239" width="11.75" style="9" customWidth="1"/>
    <col min="9240" max="9240" width="14.375" style="9" customWidth="1"/>
    <col min="9241" max="9472" width="9" style="9"/>
    <col min="9473" max="9473" width="8" style="9" customWidth="1"/>
    <col min="9474" max="9474" width="11.25" style="9" customWidth="1"/>
    <col min="9475" max="9495" width="11.75" style="9" customWidth="1"/>
    <col min="9496" max="9496" width="14.375" style="9" customWidth="1"/>
    <col min="9497" max="9728" width="9" style="9"/>
    <col min="9729" max="9729" width="8" style="9" customWidth="1"/>
    <col min="9730" max="9730" width="11.25" style="9" customWidth="1"/>
    <col min="9731" max="9751" width="11.75" style="9" customWidth="1"/>
    <col min="9752" max="9752" width="14.375" style="9" customWidth="1"/>
    <col min="9753" max="9984" width="9" style="9"/>
    <col min="9985" max="9985" width="8" style="9" customWidth="1"/>
    <col min="9986" max="9986" width="11.25" style="9" customWidth="1"/>
    <col min="9987" max="10007" width="11.75" style="9" customWidth="1"/>
    <col min="10008" max="10008" width="14.375" style="9" customWidth="1"/>
    <col min="10009" max="10240" width="9" style="9"/>
    <col min="10241" max="10241" width="8" style="9" customWidth="1"/>
    <col min="10242" max="10242" width="11.25" style="9" customWidth="1"/>
    <col min="10243" max="10263" width="11.75" style="9" customWidth="1"/>
    <col min="10264" max="10264" width="14.375" style="9" customWidth="1"/>
    <col min="10265" max="10496" width="9" style="9"/>
    <col min="10497" max="10497" width="8" style="9" customWidth="1"/>
    <col min="10498" max="10498" width="11.25" style="9" customWidth="1"/>
    <col min="10499" max="10519" width="11.75" style="9" customWidth="1"/>
    <col min="10520" max="10520" width="14.375" style="9" customWidth="1"/>
    <col min="10521" max="10752" width="9" style="9"/>
    <col min="10753" max="10753" width="8" style="9" customWidth="1"/>
    <col min="10754" max="10754" width="11.25" style="9" customWidth="1"/>
    <col min="10755" max="10775" width="11.75" style="9" customWidth="1"/>
    <col min="10776" max="10776" width="14.375" style="9" customWidth="1"/>
    <col min="10777" max="11008" width="9" style="9"/>
    <col min="11009" max="11009" width="8" style="9" customWidth="1"/>
    <col min="11010" max="11010" width="11.25" style="9" customWidth="1"/>
    <col min="11011" max="11031" width="11.75" style="9" customWidth="1"/>
    <col min="11032" max="11032" width="14.375" style="9" customWidth="1"/>
    <col min="11033" max="11264" width="9" style="9"/>
    <col min="11265" max="11265" width="8" style="9" customWidth="1"/>
    <col min="11266" max="11266" width="11.25" style="9" customWidth="1"/>
    <col min="11267" max="11287" width="11.75" style="9" customWidth="1"/>
    <col min="11288" max="11288" width="14.375" style="9" customWidth="1"/>
    <col min="11289" max="11520" width="9" style="9"/>
    <col min="11521" max="11521" width="8" style="9" customWidth="1"/>
    <col min="11522" max="11522" width="11.25" style="9" customWidth="1"/>
    <col min="11523" max="11543" width="11.75" style="9" customWidth="1"/>
    <col min="11544" max="11544" width="14.375" style="9" customWidth="1"/>
    <col min="11545" max="11776" width="9" style="9"/>
    <col min="11777" max="11777" width="8" style="9" customWidth="1"/>
    <col min="11778" max="11778" width="11.25" style="9" customWidth="1"/>
    <col min="11779" max="11799" width="11.75" style="9" customWidth="1"/>
    <col min="11800" max="11800" width="14.375" style="9" customWidth="1"/>
    <col min="11801" max="12032" width="9" style="9"/>
    <col min="12033" max="12033" width="8" style="9" customWidth="1"/>
    <col min="12034" max="12034" width="11.25" style="9" customWidth="1"/>
    <col min="12035" max="12055" width="11.75" style="9" customWidth="1"/>
    <col min="12056" max="12056" width="14.375" style="9" customWidth="1"/>
    <col min="12057" max="12288" width="9" style="9"/>
    <col min="12289" max="12289" width="8" style="9" customWidth="1"/>
    <col min="12290" max="12290" width="11.25" style="9" customWidth="1"/>
    <col min="12291" max="12311" width="11.75" style="9" customWidth="1"/>
    <col min="12312" max="12312" width="14.375" style="9" customWidth="1"/>
    <col min="12313" max="12544" width="9" style="9"/>
    <col min="12545" max="12545" width="8" style="9" customWidth="1"/>
    <col min="12546" max="12546" width="11.25" style="9" customWidth="1"/>
    <col min="12547" max="12567" width="11.75" style="9" customWidth="1"/>
    <col min="12568" max="12568" width="14.375" style="9" customWidth="1"/>
    <col min="12569" max="12800" width="9" style="9"/>
    <col min="12801" max="12801" width="8" style="9" customWidth="1"/>
    <col min="12802" max="12802" width="11.25" style="9" customWidth="1"/>
    <col min="12803" max="12823" width="11.75" style="9" customWidth="1"/>
    <col min="12824" max="12824" width="14.375" style="9" customWidth="1"/>
    <col min="12825" max="13056" width="9" style="9"/>
    <col min="13057" max="13057" width="8" style="9" customWidth="1"/>
    <col min="13058" max="13058" width="11.25" style="9" customWidth="1"/>
    <col min="13059" max="13079" width="11.75" style="9" customWidth="1"/>
    <col min="13080" max="13080" width="14.375" style="9" customWidth="1"/>
    <col min="13081" max="13312" width="9" style="9"/>
    <col min="13313" max="13313" width="8" style="9" customWidth="1"/>
    <col min="13314" max="13314" width="11.25" style="9" customWidth="1"/>
    <col min="13315" max="13335" width="11.75" style="9" customWidth="1"/>
    <col min="13336" max="13336" width="14.375" style="9" customWidth="1"/>
    <col min="13337" max="13568" width="9" style="9"/>
    <col min="13569" max="13569" width="8" style="9" customWidth="1"/>
    <col min="13570" max="13570" width="11.25" style="9" customWidth="1"/>
    <col min="13571" max="13591" width="11.75" style="9" customWidth="1"/>
    <col min="13592" max="13592" width="14.375" style="9" customWidth="1"/>
    <col min="13593" max="13824" width="9" style="9"/>
    <col min="13825" max="13825" width="8" style="9" customWidth="1"/>
    <col min="13826" max="13826" width="11.25" style="9" customWidth="1"/>
    <col min="13827" max="13847" width="11.75" style="9" customWidth="1"/>
    <col min="13848" max="13848" width="14.375" style="9" customWidth="1"/>
    <col min="13849" max="14080" width="9" style="9"/>
    <col min="14081" max="14081" width="8" style="9" customWidth="1"/>
    <col min="14082" max="14082" width="11.25" style="9" customWidth="1"/>
    <col min="14083" max="14103" width="11.75" style="9" customWidth="1"/>
    <col min="14104" max="14104" width="14.375" style="9" customWidth="1"/>
    <col min="14105" max="14336" width="9" style="9"/>
    <col min="14337" max="14337" width="8" style="9" customWidth="1"/>
    <col min="14338" max="14338" width="11.25" style="9" customWidth="1"/>
    <col min="14339" max="14359" width="11.75" style="9" customWidth="1"/>
    <col min="14360" max="14360" width="14.375" style="9" customWidth="1"/>
    <col min="14361" max="14592" width="9" style="9"/>
    <col min="14593" max="14593" width="8" style="9" customWidth="1"/>
    <col min="14594" max="14594" width="11.25" style="9" customWidth="1"/>
    <col min="14595" max="14615" width="11.75" style="9" customWidth="1"/>
    <col min="14616" max="14616" width="14.375" style="9" customWidth="1"/>
    <col min="14617" max="14848" width="9" style="9"/>
    <col min="14849" max="14849" width="8" style="9" customWidth="1"/>
    <col min="14850" max="14850" width="11.25" style="9" customWidth="1"/>
    <col min="14851" max="14871" width="11.75" style="9" customWidth="1"/>
    <col min="14872" max="14872" width="14.375" style="9" customWidth="1"/>
    <col min="14873" max="15104" width="9" style="9"/>
    <col min="15105" max="15105" width="8" style="9" customWidth="1"/>
    <col min="15106" max="15106" width="11.25" style="9" customWidth="1"/>
    <col min="15107" max="15127" width="11.75" style="9" customWidth="1"/>
    <col min="15128" max="15128" width="14.375" style="9" customWidth="1"/>
    <col min="15129" max="15360" width="9" style="9"/>
    <col min="15361" max="15361" width="8" style="9" customWidth="1"/>
    <col min="15362" max="15362" width="11.25" style="9" customWidth="1"/>
    <col min="15363" max="15383" width="11.75" style="9" customWidth="1"/>
    <col min="15384" max="15384" width="14.375" style="9" customWidth="1"/>
    <col min="15385" max="15616" width="9" style="9"/>
    <col min="15617" max="15617" width="8" style="9" customWidth="1"/>
    <col min="15618" max="15618" width="11.25" style="9" customWidth="1"/>
    <col min="15619" max="15639" width="11.75" style="9" customWidth="1"/>
    <col min="15640" max="15640" width="14.375" style="9" customWidth="1"/>
    <col min="15641" max="15872" width="9" style="9"/>
    <col min="15873" max="15873" width="8" style="9" customWidth="1"/>
    <col min="15874" max="15874" width="11.25" style="9" customWidth="1"/>
    <col min="15875" max="15895" width="11.75" style="9" customWidth="1"/>
    <col min="15896" max="15896" width="14.375" style="9" customWidth="1"/>
    <col min="15897" max="16128" width="9" style="9"/>
    <col min="16129" max="16129" width="8" style="9" customWidth="1"/>
    <col min="16130" max="16130" width="11.25" style="9" customWidth="1"/>
    <col min="16131" max="16151" width="11.75" style="9" customWidth="1"/>
    <col min="16152" max="16152" width="14.375" style="9" customWidth="1"/>
    <col min="16153" max="16384" width="9" style="9"/>
  </cols>
  <sheetData>
    <row r="1" spans="1:24" ht="21.75" customHeight="1">
      <c r="A1" s="179" t="s">
        <v>3454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</row>
    <row r="2" spans="1:24" ht="21.75" customHeight="1">
      <c r="A2" s="26" t="s">
        <v>3200</v>
      </c>
      <c r="B2" s="95" t="s">
        <v>0</v>
      </c>
      <c r="C2" s="95">
        <v>1801</v>
      </c>
      <c r="D2" s="95">
        <v>1802</v>
      </c>
      <c r="E2" s="95">
        <v>1803</v>
      </c>
      <c r="F2" s="95">
        <v>1804</v>
      </c>
      <c r="G2" s="95">
        <v>1805</v>
      </c>
      <c r="H2" s="95">
        <v>1806</v>
      </c>
      <c r="I2" s="95">
        <v>1807</v>
      </c>
      <c r="J2" s="95">
        <v>1808</v>
      </c>
      <c r="K2" s="95">
        <v>1809</v>
      </c>
      <c r="L2" s="95">
        <v>1810</v>
      </c>
      <c r="M2" s="95">
        <v>1811</v>
      </c>
      <c r="N2" s="95">
        <v>1812</v>
      </c>
      <c r="O2" s="95">
        <v>1813</v>
      </c>
      <c r="P2" s="95">
        <v>1814</v>
      </c>
      <c r="Q2" s="95">
        <v>1815</v>
      </c>
      <c r="R2" s="95">
        <v>1816</v>
      </c>
      <c r="S2" s="95">
        <v>1817</v>
      </c>
      <c r="T2" s="95" t="s">
        <v>3221</v>
      </c>
      <c r="U2" s="95">
        <v>1818</v>
      </c>
      <c r="V2" s="95">
        <v>1819</v>
      </c>
      <c r="W2" s="95">
        <v>1820</v>
      </c>
      <c r="X2" s="95" t="s">
        <v>3222</v>
      </c>
    </row>
    <row r="3" spans="1:24" ht="21.75" customHeight="1">
      <c r="A3" s="176" t="s">
        <v>3201</v>
      </c>
      <c r="B3" s="95" t="s">
        <v>3202</v>
      </c>
      <c r="C3" s="96" t="s">
        <v>3364</v>
      </c>
      <c r="D3" s="96" t="s">
        <v>3365</v>
      </c>
      <c r="E3" s="96" t="s">
        <v>3365</v>
      </c>
      <c r="F3" s="96" t="s">
        <v>3366</v>
      </c>
      <c r="G3" s="96" t="s">
        <v>3367</v>
      </c>
      <c r="H3" s="96" t="s">
        <v>3367</v>
      </c>
      <c r="I3" s="96" t="s">
        <v>3364</v>
      </c>
      <c r="J3" s="96" t="s">
        <v>3368</v>
      </c>
      <c r="K3" s="96" t="s">
        <v>3369</v>
      </c>
      <c r="L3" s="96" t="s">
        <v>3369</v>
      </c>
      <c r="M3" s="96" t="s">
        <v>3370</v>
      </c>
      <c r="N3" s="96" t="s">
        <v>3370</v>
      </c>
      <c r="O3" s="96" t="s">
        <v>3371</v>
      </c>
      <c r="P3" s="96" t="s">
        <v>3372</v>
      </c>
      <c r="Q3" s="96" t="s">
        <v>3373</v>
      </c>
      <c r="R3" s="96" t="s">
        <v>3371</v>
      </c>
      <c r="S3" s="96" t="s">
        <v>3372</v>
      </c>
      <c r="T3" s="95"/>
      <c r="U3" s="96" t="s">
        <v>3374</v>
      </c>
      <c r="V3" s="96" t="s">
        <v>3366</v>
      </c>
      <c r="W3" s="96" t="s">
        <v>3374</v>
      </c>
      <c r="X3" s="95"/>
    </row>
    <row r="4" spans="1:24" ht="21.75" customHeight="1">
      <c r="A4" s="176"/>
      <c r="B4" s="27" t="s">
        <v>3203</v>
      </c>
      <c r="C4" s="27">
        <f>AVERAGEIFS(总表!$F:$F,总表!$C:$C,"1801")</f>
        <v>99.945454545454552</v>
      </c>
      <c r="D4" s="27">
        <f>AVERAGEIFS(总表!$F:$F,总表!$C:$C,"1802")</f>
        <v>102.47272727272727</v>
      </c>
      <c r="E4" s="27">
        <f>AVERAGEIFS(总表!$F:$F,总表!$C:$C,"1803")</f>
        <v>101.57894736842105</v>
      </c>
      <c r="F4" s="27">
        <f>AVERAGEIFS(总表!$F:$F,总表!$C:$C,"1804")</f>
        <v>100.05555555555556</v>
      </c>
      <c r="G4" s="27">
        <f>AVERAGEIFS(总表!$F:$F,总表!$C:$C,"1805")</f>
        <v>103.07017543859649</v>
      </c>
      <c r="H4" s="27">
        <f>AVERAGEIFS(总表!$F:$F,总表!$C:$C,"1806")</f>
        <v>101.58928571428571</v>
      </c>
      <c r="I4" s="27">
        <f>AVERAGEIFS(总表!$F:$F,总表!$C:$C,"1807")</f>
        <v>103.10909090909091</v>
      </c>
      <c r="J4" s="27">
        <f>AVERAGEIFS(总表!$F:$F,总表!$C:$C,"1808")</f>
        <v>98.830188679245282</v>
      </c>
      <c r="K4" s="27">
        <f>AVERAGEIFS(总表!$F:$F,总表!$C:$C,"1809")</f>
        <v>109.01923076923077</v>
      </c>
      <c r="L4" s="27">
        <f>AVERAGEIFS(总表!$F:$F,总表!$C:$C,"1810")</f>
        <v>105.9</v>
      </c>
      <c r="M4" s="27">
        <f>AVERAGEIFS(总表!$F:$F,总表!$C:$C,"1811")</f>
        <v>103</v>
      </c>
      <c r="N4" s="27">
        <f>AVERAGEIFS(总表!$F:$F,总表!$C:$C,"1812")</f>
        <v>102.64912280701755</v>
      </c>
      <c r="O4" s="27">
        <f>AVERAGEIFS(总表!$F:$F,总表!$C:$C,"1813")</f>
        <v>101.23214285714286</v>
      </c>
      <c r="P4" s="27">
        <f>AVERAGEIFS(总表!$F:$F,总表!$C:$C,"1814")</f>
        <v>99.490909090909085</v>
      </c>
      <c r="Q4" s="27">
        <f>AVERAGEIFS(总表!$F:$F,总表!$C:$C,"1815")</f>
        <v>95.381818181818176</v>
      </c>
      <c r="R4" s="27">
        <f>AVERAGEIFS(总表!$F:$F,总表!$C:$C,"1816")</f>
        <v>99.517857142857139</v>
      </c>
      <c r="S4" s="27">
        <f>AVERAGEIFS(总表!$F:$F,总表!$C:$C,"1817")</f>
        <v>98.696428571428569</v>
      </c>
      <c r="T4" s="27">
        <f>AVERAGEIFS(总表!$F:$F,总表!$B:$B,"理科")</f>
        <v>101.46252676659529</v>
      </c>
      <c r="U4" s="27">
        <f>AVERAGEIFS(总表!$F:$F,总表!$C:$C,"1818")</f>
        <v>110.23913043478261</v>
      </c>
      <c r="V4" s="27">
        <f>AVERAGEIFS(总表!$F:$F,总表!$C:$C,"1819")</f>
        <v>103.42222222222222</v>
      </c>
      <c r="W4" s="27">
        <f>AVERAGEIFS(总表!$F:$F,总表!$C:$C,"1820")</f>
        <v>103.97674418604652</v>
      </c>
      <c r="X4" s="27">
        <f>AVERAGEIFS(总表!$F:$F,总表!$B:$B,"文科")</f>
        <v>105.94029850746269</v>
      </c>
    </row>
    <row r="5" spans="1:24" ht="21.75" customHeight="1">
      <c r="A5" s="176"/>
      <c r="B5" s="27" t="s">
        <v>3204</v>
      </c>
      <c r="C5" s="28">
        <f t="shared" ref="C5:S5" si="0">RANK(C4,$C$4:$S$4)</f>
        <v>12</v>
      </c>
      <c r="D5" s="28">
        <f t="shared" si="0"/>
        <v>7</v>
      </c>
      <c r="E5" s="28">
        <f t="shared" si="0"/>
        <v>9</v>
      </c>
      <c r="F5" s="28">
        <f t="shared" si="0"/>
        <v>11</v>
      </c>
      <c r="G5" s="28">
        <f t="shared" si="0"/>
        <v>4</v>
      </c>
      <c r="H5" s="28">
        <f t="shared" si="0"/>
        <v>8</v>
      </c>
      <c r="I5" s="28">
        <f t="shared" si="0"/>
        <v>3</v>
      </c>
      <c r="J5" s="28">
        <f t="shared" si="0"/>
        <v>15</v>
      </c>
      <c r="K5" s="28">
        <f t="shared" si="0"/>
        <v>1</v>
      </c>
      <c r="L5" s="28">
        <f t="shared" si="0"/>
        <v>2</v>
      </c>
      <c r="M5" s="28">
        <f t="shared" si="0"/>
        <v>5</v>
      </c>
      <c r="N5" s="28">
        <f t="shared" si="0"/>
        <v>6</v>
      </c>
      <c r="O5" s="28">
        <f t="shared" si="0"/>
        <v>10</v>
      </c>
      <c r="P5" s="28">
        <f t="shared" si="0"/>
        <v>14</v>
      </c>
      <c r="Q5" s="28">
        <f t="shared" si="0"/>
        <v>17</v>
      </c>
      <c r="R5" s="28">
        <f t="shared" si="0"/>
        <v>13</v>
      </c>
      <c r="S5" s="28">
        <f t="shared" si="0"/>
        <v>16</v>
      </c>
      <c r="T5" s="95"/>
      <c r="U5" s="28">
        <f>RANK(U4,$U$4:$W$4)</f>
        <v>1</v>
      </c>
      <c r="V5" s="28">
        <f>RANK(V4,$U$4:$W$4)</f>
        <v>3</v>
      </c>
      <c r="W5" s="28">
        <f>RANK(W4,$U$4:$W$4)</f>
        <v>2</v>
      </c>
      <c r="X5" s="95"/>
    </row>
    <row r="6" spans="1:24" ht="21.75" customHeight="1">
      <c r="A6" s="176"/>
      <c r="B6" s="95" t="s">
        <v>3205</v>
      </c>
      <c r="C6" s="29">
        <f>COUNTIFS(总表!$C:$C,C2,总表!$F:$F,"&gt;=120")/COUNTIFS(总表!$C:$C,C2,总表!$F:$F,"&gt;=0")</f>
        <v>3.6363636363636362E-2</v>
      </c>
      <c r="D6" s="29">
        <f>COUNTIFS(总表!$C:$C,D2,总表!$F:$F,"&gt;=120")/COUNTIFS(总表!$C:$C,D2,总表!$F:$F,"&gt;=0")</f>
        <v>3.6363636363636362E-2</v>
      </c>
      <c r="E6" s="29">
        <f>COUNTIFS(总表!$C:$C,E2,总表!$F:$F,"&gt;=120")/COUNTIFS(总表!$C:$C,E2,总表!$F:$F,"&gt;=0")</f>
        <v>1.7543859649122806E-2</v>
      </c>
      <c r="F6" s="29">
        <f>COUNTIFS(总表!$C:$C,F2,总表!$F:$F,"&gt;=120")/COUNTIFS(总表!$C:$C,F2,总表!$F:$F,"&gt;=0")</f>
        <v>1.8518518518518517E-2</v>
      </c>
      <c r="G6" s="29">
        <f>COUNTIFS(总表!$C:$C,G2,总表!$F:$F,"&gt;=120")/COUNTIFS(总表!$C:$C,G2,总表!$F:$F,"&gt;=0")</f>
        <v>3.5087719298245612E-2</v>
      </c>
      <c r="H6" s="29">
        <f>COUNTIFS(总表!$C:$C,H2,总表!$F:$F,"&gt;=120")/COUNTIFS(总表!$C:$C,H2,总表!$F:$F,"&gt;=0")</f>
        <v>0</v>
      </c>
      <c r="I6" s="29">
        <f>COUNTIFS(总表!$C:$C,I2,总表!$F:$F,"&gt;=120")/COUNTIFS(总表!$C:$C,I2,总表!$F:$F,"&gt;=0")</f>
        <v>5.4545454545454543E-2</v>
      </c>
      <c r="J6" s="29">
        <f>COUNTIFS(总表!$C:$C,J2,总表!$F:$F,"&gt;=120")/COUNTIFS(总表!$C:$C,J2,总表!$F:$F,"&gt;=0")</f>
        <v>0</v>
      </c>
      <c r="K6" s="29">
        <f>COUNTIFS(总表!$C:$C,K2,总表!$F:$F,"&gt;=120")/COUNTIFS(总表!$C:$C,K2,总表!$F:$F,"&gt;=0")</f>
        <v>9.6153846153846159E-2</v>
      </c>
      <c r="L6" s="29">
        <f>COUNTIFS(总表!$C:$C,L2,总表!$F:$F,"&gt;=120")/COUNTIFS(总表!$C:$C,L2,总表!$F:$F,"&gt;=0")</f>
        <v>0.06</v>
      </c>
      <c r="M6" s="29">
        <f>COUNTIFS(总表!$C:$C,M2,总表!$F:$F,"&gt;=120")/COUNTIFS(总表!$C:$C,M2,总表!$F:$F,"&gt;=0")</f>
        <v>1.8181818181818181E-2</v>
      </c>
      <c r="N6" s="29">
        <f>COUNTIFS(总表!$C:$C,N2,总表!$F:$F,"&gt;=120")/COUNTIFS(总表!$C:$C,N2,总表!$F:$F,"&gt;=0")</f>
        <v>7.0175438596491224E-2</v>
      </c>
      <c r="O6" s="29">
        <f>COUNTIFS(总表!$C:$C,O2,总表!$F:$F,"&gt;=120")/COUNTIFS(总表!$C:$C,O2,总表!$F:$F,"&gt;=0")</f>
        <v>3.5714285714285712E-2</v>
      </c>
      <c r="P6" s="29">
        <f>COUNTIFS(总表!$C:$C,P2,总表!$F:$F,"&gt;=120")/COUNTIFS(总表!$C:$C,P2,总表!$F:$F,"&gt;=0")</f>
        <v>0</v>
      </c>
      <c r="Q6" s="29">
        <f>COUNTIFS(总表!$C:$C,Q2,总表!$F:$F,"&gt;=120")/COUNTIFS(总表!$C:$C,Q2,总表!$F:$F,"&gt;=0")</f>
        <v>0</v>
      </c>
      <c r="R6" s="29">
        <f>COUNTIFS(总表!$C:$C,R2,总表!$F:$F,"&gt;=120")/COUNTIFS(总表!$C:$C,R2,总表!$F:$F,"&gt;=0")</f>
        <v>3.5714285714285712E-2</v>
      </c>
      <c r="S6" s="29">
        <f>COUNTIFS(总表!$C:$C,S2,总表!$F:$F,"&gt;=120")/COUNTIFS(总表!$C:$C,S2,总表!$F:$F,"&gt;=0")</f>
        <v>1.7857142857142856E-2</v>
      </c>
      <c r="T6" s="29">
        <f>COUNTIFS(总表!$B:$B,T2,总表!$F:$F,"&gt;=120")/COUNTIFS(总表!$B:$B,T2,总表!$F:$F,"&gt;=0")</f>
        <v>3.1049250535331904E-2</v>
      </c>
      <c r="U6" s="29">
        <f>COUNTIFS(总表!$C:$C,U2,总表!$F:$F,"&gt;=120")/COUNTIFS(总表!$C:$C,U2,总表!$F:$F,"&gt;=0")</f>
        <v>0.13043478260869565</v>
      </c>
      <c r="V6" s="29">
        <f>COUNTIFS(总表!$C:$C,V2,总表!$F:$F,"&gt;=120")/COUNTIFS(总表!$C:$C,V2,总表!$F:$F,"&gt;=0")</f>
        <v>2.2222222222222223E-2</v>
      </c>
      <c r="W6" s="29">
        <f>COUNTIFS(总表!$C:$C,W2,总表!$F:$F,"&gt;=120")/COUNTIFS(总表!$C:$C,W2,总表!$F:$F,"&gt;=0")</f>
        <v>0</v>
      </c>
      <c r="X6" s="29">
        <f>COUNTIFS(总表!$B:$B,X2,总表!$F:$F,"&gt;=120")/COUNTIFS(总表!$B:$B,X2,总表!$F:$F,"&gt;=0")</f>
        <v>5.2238805970149252E-2</v>
      </c>
    </row>
    <row r="7" spans="1:24" ht="21.75" customHeight="1">
      <c r="A7" s="176"/>
      <c r="B7" s="95" t="s">
        <v>3206</v>
      </c>
      <c r="C7" s="29">
        <f>COUNTIFS(总表!$C:$C,C2,总表!$F:$F,"&gt;=90")/COUNTIFS(总表!$C:$C,C2,总表!$F:$F,"&gt;=0")</f>
        <v>0.8545454545454545</v>
      </c>
      <c r="D7" s="29">
        <f>COUNTIFS(总表!$C:$C,D2,总表!$F:$F,"&gt;=90")/COUNTIFS(总表!$C:$C,D2,总表!$F:$F,"&gt;=0")</f>
        <v>0.90909090909090906</v>
      </c>
      <c r="E7" s="29">
        <f>COUNTIFS(总表!$C:$C,E2,总表!$F:$F,"&gt;=90")/COUNTIFS(总表!$C:$C,E2,总表!$F:$F,"&gt;=0")</f>
        <v>0.92982456140350878</v>
      </c>
      <c r="F7" s="29">
        <f>COUNTIFS(总表!$C:$C,F2,总表!$F:$F,"&gt;=90")/COUNTIFS(总表!$C:$C,F2,总表!$F:$F,"&gt;=0")</f>
        <v>0.85185185185185186</v>
      </c>
      <c r="G7" s="29">
        <f>COUNTIFS(总表!$C:$C,G2,总表!$F:$F,"&gt;=90")/COUNTIFS(总表!$C:$C,G2,总表!$F:$F,"&gt;=0")</f>
        <v>0.94736842105263153</v>
      </c>
      <c r="H7" s="29">
        <f>COUNTIFS(总表!$C:$C,H2,总表!$F:$F,"&gt;=90")/COUNTIFS(总表!$C:$C,H2,总表!$F:$F,"&gt;=0")</f>
        <v>0.9107142857142857</v>
      </c>
      <c r="I7" s="29">
        <f>COUNTIFS(总表!$C:$C,I2,总表!$F:$F,"&gt;=90")/COUNTIFS(总表!$C:$C,I2,总表!$F:$F,"&gt;=0")</f>
        <v>0.96363636363636362</v>
      </c>
      <c r="J7" s="29">
        <f>COUNTIFS(总表!$C:$C,J2,总表!$F:$F,"&gt;=90")/COUNTIFS(总表!$C:$C,J2,总表!$F:$F,"&gt;=0")</f>
        <v>0.8867924528301887</v>
      </c>
      <c r="K7" s="29">
        <f>COUNTIFS(总表!$C:$C,K2,总表!$F:$F,"&gt;=90")/COUNTIFS(总表!$C:$C,K2,总表!$F:$F,"&gt;=0")</f>
        <v>1</v>
      </c>
      <c r="L7" s="29">
        <f>COUNTIFS(总表!$C:$C,L2,总表!$F:$F,"&gt;=90")/COUNTIFS(总表!$C:$C,L2,总表!$F:$F,"&gt;=0")</f>
        <v>0.98</v>
      </c>
      <c r="M7" s="29">
        <f>COUNTIFS(总表!$C:$C,M2,总表!$F:$F,"&gt;=90")/COUNTIFS(总表!$C:$C,M2,总表!$F:$F,"&gt;=0")</f>
        <v>0.94545454545454544</v>
      </c>
      <c r="N7" s="29">
        <f>COUNTIFS(总表!$C:$C,N2,总表!$F:$F,"&gt;=90")/COUNTIFS(总表!$C:$C,N2,总表!$F:$F,"&gt;=0")</f>
        <v>0.94736842105263153</v>
      </c>
      <c r="O7" s="29">
        <f>COUNTIFS(总表!$C:$C,O2,总表!$F:$F,"&gt;=90")/COUNTIFS(总表!$C:$C,O2,总表!$F:$F,"&gt;=0")</f>
        <v>0.8928571428571429</v>
      </c>
      <c r="P7" s="29">
        <f>COUNTIFS(总表!$C:$C,P2,总表!$F:$F,"&gt;=90")/COUNTIFS(总表!$C:$C,P2,总表!$F:$F,"&gt;=0")</f>
        <v>0.81818181818181823</v>
      </c>
      <c r="Q7" s="29">
        <f>COUNTIFS(总表!$C:$C,Q2,总表!$F:$F,"&gt;=90")/COUNTIFS(总表!$C:$C,Q2,总表!$F:$F,"&gt;=0")</f>
        <v>0.70909090909090911</v>
      </c>
      <c r="R7" s="29">
        <f>COUNTIFS(总表!$C:$C,R2,总表!$F:$F,"&gt;=90")/COUNTIFS(总表!$C:$C,R2,总表!$F:$F,"&gt;=0")</f>
        <v>0.8571428571428571</v>
      </c>
      <c r="S7" s="29">
        <f>COUNTIFS(总表!$C:$C,S2,总表!$F:$F,"&gt;=90")/COUNTIFS(总表!$C:$C,S2,总表!$F:$F,"&gt;=0")</f>
        <v>0.7857142857142857</v>
      </c>
      <c r="T7" s="29">
        <f>COUNTIFS(总表!$B:$B,T2,总表!$F:$F,"&gt;=90")/COUNTIFS(总表!$B:$B,T2,总表!$F:$F,"&gt;=0")</f>
        <v>0.89293361884368305</v>
      </c>
      <c r="U7" s="29">
        <f>COUNTIFS(总表!$C:$C,U2,总表!$F:$F,"&gt;=90")/COUNTIFS(总表!$C:$C,U2,总表!$F:$F,"&gt;=0")</f>
        <v>1</v>
      </c>
      <c r="V7" s="29">
        <f>COUNTIFS(总表!$C:$C,V2,总表!$F:$F,"&gt;=90")/COUNTIFS(总表!$C:$C,V2,总表!$F:$F,"&gt;=0")</f>
        <v>0.97777777777777775</v>
      </c>
      <c r="W7" s="29">
        <f>COUNTIFS(总表!$C:$C,W2,总表!$F:$F,"&gt;=90")/COUNTIFS(总表!$C:$C,W2,总表!$F:$F,"&gt;=0")</f>
        <v>1</v>
      </c>
      <c r="X7" s="29">
        <f>COUNTIFS(总表!$B:$B,X2,总表!$F:$F,"&gt;=90")/COUNTIFS(总表!$B:$B,X2,总表!$F:$F,"&gt;=0")</f>
        <v>0.9925373134328358</v>
      </c>
    </row>
    <row r="8" spans="1:24" ht="21.75" customHeight="1">
      <c r="A8" s="176"/>
      <c r="B8" s="95" t="s">
        <v>3207</v>
      </c>
      <c r="C8" s="28">
        <f>RANK(C7,$C$7:$S$7)</f>
        <v>13</v>
      </c>
      <c r="D8" s="28">
        <f t="shared" ref="D8:S8" si="1">RANK(D7,$C$7:$S$7)</f>
        <v>9</v>
      </c>
      <c r="E8" s="28">
        <f t="shared" si="1"/>
        <v>7</v>
      </c>
      <c r="F8" s="28">
        <f t="shared" si="1"/>
        <v>14</v>
      </c>
      <c r="G8" s="28">
        <f t="shared" si="1"/>
        <v>4</v>
      </c>
      <c r="H8" s="28">
        <f t="shared" si="1"/>
        <v>8</v>
      </c>
      <c r="I8" s="28">
        <f t="shared" si="1"/>
        <v>3</v>
      </c>
      <c r="J8" s="28">
        <f t="shared" si="1"/>
        <v>11</v>
      </c>
      <c r="K8" s="28">
        <f t="shared" si="1"/>
        <v>1</v>
      </c>
      <c r="L8" s="28">
        <f t="shared" si="1"/>
        <v>2</v>
      </c>
      <c r="M8" s="28">
        <f t="shared" si="1"/>
        <v>6</v>
      </c>
      <c r="N8" s="28">
        <f t="shared" si="1"/>
        <v>4</v>
      </c>
      <c r="O8" s="28">
        <f t="shared" si="1"/>
        <v>10</v>
      </c>
      <c r="P8" s="28">
        <f t="shared" si="1"/>
        <v>15</v>
      </c>
      <c r="Q8" s="28">
        <f t="shared" si="1"/>
        <v>17</v>
      </c>
      <c r="R8" s="28">
        <f t="shared" si="1"/>
        <v>12</v>
      </c>
      <c r="S8" s="28">
        <f t="shared" si="1"/>
        <v>16</v>
      </c>
      <c r="T8" s="29"/>
      <c r="U8" s="28">
        <f>RANK(U7,$U$7:$W$7)</f>
        <v>1</v>
      </c>
      <c r="V8" s="28">
        <f>RANK(V7,$U$7:$W$7)</f>
        <v>3</v>
      </c>
      <c r="W8" s="28">
        <f>RANK(W7,$U$7:$W$7)</f>
        <v>1</v>
      </c>
      <c r="X8" s="29"/>
    </row>
    <row r="9" spans="1:24" ht="21.75" customHeight="1">
      <c r="A9" s="176" t="s">
        <v>3208</v>
      </c>
      <c r="B9" s="95" t="s">
        <v>3202</v>
      </c>
      <c r="C9" s="96" t="s">
        <v>3375</v>
      </c>
      <c r="D9" s="96" t="s">
        <v>3375</v>
      </c>
      <c r="E9" s="96" t="s">
        <v>3376</v>
      </c>
      <c r="F9" s="96" t="s">
        <v>3376</v>
      </c>
      <c r="G9" s="96" t="s">
        <v>3377</v>
      </c>
      <c r="H9" s="96" t="s">
        <v>3377</v>
      </c>
      <c r="I9" s="96" t="s">
        <v>3378</v>
      </c>
      <c r="J9" s="96" t="s">
        <v>3378</v>
      </c>
      <c r="K9" s="96" t="s">
        <v>3379</v>
      </c>
      <c r="L9" s="96" t="s">
        <v>3380</v>
      </c>
      <c r="M9" s="96" t="s">
        <v>3381</v>
      </c>
      <c r="N9" s="96" t="s">
        <v>3305</v>
      </c>
      <c r="O9" s="96" t="s">
        <v>3382</v>
      </c>
      <c r="P9" s="96" t="s">
        <v>3382</v>
      </c>
      <c r="Q9" s="96" t="s">
        <v>3383</v>
      </c>
      <c r="R9" s="96" t="s">
        <v>3305</v>
      </c>
      <c r="S9" s="96" t="s">
        <v>3383</v>
      </c>
      <c r="T9" s="96"/>
      <c r="U9" s="96" t="s">
        <v>3384</v>
      </c>
      <c r="V9" s="96" t="s">
        <v>3385</v>
      </c>
      <c r="W9" s="96" t="s">
        <v>3385</v>
      </c>
      <c r="X9" s="95"/>
    </row>
    <row r="10" spans="1:24" ht="21.75" customHeight="1">
      <c r="A10" s="176"/>
      <c r="B10" s="27" t="s">
        <v>3203</v>
      </c>
      <c r="C10" s="27">
        <f>AVERAGEIFS(总表!$G:$G,总表!$C:$C,"1801")</f>
        <v>69.872727272727275</v>
      </c>
      <c r="D10" s="27">
        <f>AVERAGEIFS(总表!$G:$G,总表!$C:$C,"1802")</f>
        <v>68.418181818181822</v>
      </c>
      <c r="E10" s="27">
        <f>AVERAGEIFS(总表!$G:$G,总表!$C:$C,"1803")</f>
        <v>74.350877192982452</v>
      </c>
      <c r="F10" s="27">
        <f>AVERAGEIFS(总表!$G:$G,总表!$C:$C,"1804")</f>
        <v>74.370370370370367</v>
      </c>
      <c r="G10" s="27">
        <f>AVERAGEIFS(总表!$G:$G,总表!$C:$C,"1805")</f>
        <v>71.10526315789474</v>
      </c>
      <c r="H10" s="27">
        <f>AVERAGEIFS(总表!$G:$G,总表!$C:$C,"1806")</f>
        <v>75.910714285714292</v>
      </c>
      <c r="I10" s="27">
        <f>AVERAGEIFS(总表!$G:$G,总表!$C:$C,"1807")</f>
        <v>69.654545454545456</v>
      </c>
      <c r="J10" s="27">
        <f>AVERAGEIFS(总表!$G:$G,总表!$C:$C,"1808")</f>
        <v>69.169811320754718</v>
      </c>
      <c r="K10" s="27">
        <f>AVERAGEIFS(总表!$G:$G,总表!$C:$C,"1809")</f>
        <v>105.01923076923077</v>
      </c>
      <c r="L10" s="27">
        <f>AVERAGEIFS(总表!$G:$G,总表!$C:$C,"1810")</f>
        <v>92.34</v>
      </c>
      <c r="M10" s="27">
        <f>AVERAGEIFS(总表!$G:$G,总表!$C:$C,"1811")</f>
        <v>71.672727272727272</v>
      </c>
      <c r="N10" s="27">
        <f>AVERAGEIFS(总表!$G:$G,总表!$C:$C,"1812")</f>
        <v>69.035087719298247</v>
      </c>
      <c r="O10" s="27">
        <f>AVERAGEIFS(总表!$G:$G,总表!$C:$C,"1813")</f>
        <v>64.946428571428569</v>
      </c>
      <c r="P10" s="27">
        <f>AVERAGEIFS(总表!$G:$G,总表!$C:$C,"1814")</f>
        <v>65.945454545454552</v>
      </c>
      <c r="Q10" s="27">
        <f>AVERAGEIFS(总表!$G:$G,总表!$C:$C,"1815")</f>
        <v>71.618181818181824</v>
      </c>
      <c r="R10" s="27">
        <f>AVERAGEIFS(总表!$G:$G,总表!$C:$C,"1816")</f>
        <v>73.035714285714292</v>
      </c>
      <c r="S10" s="27">
        <f>AVERAGEIFS(总表!$G:$G,总表!$C:$C,"1817")</f>
        <v>66.964285714285708</v>
      </c>
      <c r="T10" s="27">
        <f>AVERAGEIFS(总表!$G:$G,总表!$B:$B,"理科")</f>
        <v>73.510706638115636</v>
      </c>
      <c r="U10" s="27">
        <f>AVERAGEIFS(总表!$G:$G,总表!$C:$C,"1818")</f>
        <v>109.3695652173913</v>
      </c>
      <c r="V10" s="27">
        <f>AVERAGEIFS(总表!$G:$G,总表!$C:$C,"1819")</f>
        <v>74.577777777777783</v>
      </c>
      <c r="W10" s="27">
        <f>AVERAGEIFS(总表!$G:$G,总表!$C:$C,"1820")</f>
        <v>75.511627906976742</v>
      </c>
      <c r="X10" s="27">
        <f>AVERAGEIFS(总表!$G:$G,总表!$B:$B,"文科")</f>
        <v>86.820895522388057</v>
      </c>
    </row>
    <row r="11" spans="1:24" ht="21.75" customHeight="1">
      <c r="A11" s="176"/>
      <c r="B11" s="27" t="s">
        <v>3204</v>
      </c>
      <c r="C11" s="28">
        <f t="shared" ref="C11:S11" si="2">RANK(C10,$C$10:$S$10)</f>
        <v>10</v>
      </c>
      <c r="D11" s="28">
        <f t="shared" si="2"/>
        <v>14</v>
      </c>
      <c r="E11" s="28">
        <f t="shared" si="2"/>
        <v>5</v>
      </c>
      <c r="F11" s="28">
        <f t="shared" si="2"/>
        <v>4</v>
      </c>
      <c r="G11" s="28">
        <f t="shared" si="2"/>
        <v>9</v>
      </c>
      <c r="H11" s="28">
        <f t="shared" si="2"/>
        <v>3</v>
      </c>
      <c r="I11" s="28">
        <f t="shared" si="2"/>
        <v>11</v>
      </c>
      <c r="J11" s="28">
        <f t="shared" si="2"/>
        <v>12</v>
      </c>
      <c r="K11" s="28">
        <f t="shared" si="2"/>
        <v>1</v>
      </c>
      <c r="L11" s="28">
        <f t="shared" si="2"/>
        <v>2</v>
      </c>
      <c r="M11" s="28">
        <f t="shared" si="2"/>
        <v>7</v>
      </c>
      <c r="N11" s="28">
        <f t="shared" si="2"/>
        <v>13</v>
      </c>
      <c r="O11" s="28">
        <f t="shared" si="2"/>
        <v>17</v>
      </c>
      <c r="P11" s="28">
        <f t="shared" si="2"/>
        <v>16</v>
      </c>
      <c r="Q11" s="28">
        <f t="shared" si="2"/>
        <v>8</v>
      </c>
      <c r="R11" s="28">
        <f t="shared" si="2"/>
        <v>6</v>
      </c>
      <c r="S11" s="28">
        <f t="shared" si="2"/>
        <v>15</v>
      </c>
      <c r="T11" s="28"/>
      <c r="U11" s="28">
        <f>RANK(U10,$U$10:$W$10)</f>
        <v>1</v>
      </c>
      <c r="V11" s="28">
        <f>RANK(V10,$U$10:$W$10)</f>
        <v>3</v>
      </c>
      <c r="W11" s="28">
        <f>RANK(W10,$U$10:$W$10)</f>
        <v>2</v>
      </c>
      <c r="X11" s="28"/>
    </row>
    <row r="12" spans="1:24" ht="21.75" customHeight="1">
      <c r="A12" s="176"/>
      <c r="B12" s="95" t="s">
        <v>3205</v>
      </c>
      <c r="C12" s="29">
        <f>COUNTIFS(总表!$C:$C,C2,总表!$G:$G,"&gt;=120")/COUNTIFS(总表!$C:$C,C2,总表!$G:$G,"&gt;=0")</f>
        <v>0</v>
      </c>
      <c r="D12" s="29">
        <f>COUNTIFS(总表!$C:$C,D2,总表!$G:$G,"&gt;=120")/COUNTIFS(总表!$C:$C,D2,总表!$G:$G,"&gt;=0")</f>
        <v>0</v>
      </c>
      <c r="E12" s="29">
        <f>COUNTIFS(总表!$C:$C,E2,总表!$G:$G,"&gt;=120")/COUNTIFS(总表!$C:$C,E2,总表!$G:$G,"&gt;=0")</f>
        <v>1.7543859649122806E-2</v>
      </c>
      <c r="F12" s="29">
        <f>COUNTIFS(总表!$C:$C,F2,总表!$G:$G,"&gt;=120")/COUNTIFS(总表!$C:$C,F2,总表!$G:$G,"&gt;=0")</f>
        <v>0</v>
      </c>
      <c r="G12" s="29">
        <f>COUNTIFS(总表!$C:$C,G2,总表!$G:$G,"&gt;=120")/COUNTIFS(总表!$C:$C,G2,总表!$G:$G,"&gt;=0")</f>
        <v>0</v>
      </c>
      <c r="H12" s="29">
        <f>COUNTIFS(总表!$C:$C,H2,总表!$G:$G,"&gt;=120")/COUNTIFS(总表!$C:$C,H2,总表!$G:$G,"&gt;=0")</f>
        <v>1.7857142857142856E-2</v>
      </c>
      <c r="I12" s="29">
        <f>COUNTIFS(总表!$C:$C,I2,总表!$G:$G,"&gt;=120")/COUNTIFS(总表!$C:$C,I2,总表!$G:$G,"&gt;=0")</f>
        <v>0</v>
      </c>
      <c r="J12" s="29">
        <f>COUNTIFS(总表!$C:$C,J2,总表!$G:$G,"&gt;=120")/COUNTIFS(总表!$C:$C,J2,总表!$G:$G,"&gt;=0")</f>
        <v>3.7735849056603772E-2</v>
      </c>
      <c r="K12" s="29">
        <f>COUNTIFS(总表!$C:$C,K2,总表!$G:$G,"&gt;=120")/COUNTIFS(总表!$C:$C,K2,总表!$G:$G,"&gt;=0")</f>
        <v>0.17307692307692307</v>
      </c>
      <c r="L12" s="29">
        <f>COUNTIFS(总表!$C:$C,L2,总表!$G:$G,"&gt;=120")/COUNTIFS(总表!$C:$C,L2,总表!$G:$G,"&gt;=0")</f>
        <v>0</v>
      </c>
      <c r="M12" s="29">
        <f>COUNTIFS(总表!$C:$C,M2,总表!$G:$G,"&gt;=120")/COUNTIFS(总表!$C:$C,M2,总表!$G:$G,"&gt;=0")</f>
        <v>0</v>
      </c>
      <c r="N12" s="29">
        <f>COUNTIFS(总表!$C:$C,N2,总表!$G:$G,"&gt;=120")/COUNTIFS(总表!$C:$C,N2,总表!$G:$G,"&gt;=0")</f>
        <v>0</v>
      </c>
      <c r="O12" s="29">
        <f>COUNTIFS(总表!$C:$C,O2,总表!$G:$G,"&gt;=120")/COUNTIFS(总表!$C:$C,O2,总表!$G:$G,"&gt;=0")</f>
        <v>0</v>
      </c>
      <c r="P12" s="29">
        <f>COUNTIFS(总表!$C:$C,P2,总表!$G:$G,"&gt;=120")/COUNTIFS(总表!$C:$C,P2,总表!$G:$G,"&gt;=0")</f>
        <v>0</v>
      </c>
      <c r="Q12" s="29">
        <f>COUNTIFS(总表!$C:$C,Q2,总表!$G:$G,"&gt;=120")/COUNTIFS(总表!$C:$C,Q2,总表!$G:$G,"&gt;=0")</f>
        <v>0</v>
      </c>
      <c r="R12" s="29">
        <f>COUNTIFS(总表!$C:$C,R2,总表!$G:$G,"&gt;=120")/COUNTIFS(总表!$C:$C,R2,总表!$G:$G,"&gt;=0")</f>
        <v>0</v>
      </c>
      <c r="S12" s="29">
        <f>COUNTIFS(总表!$C:$C,S2,总表!$G:$G,"&gt;=120")/COUNTIFS(总表!$C:$C,S2,总表!$G:$G,"&gt;=0")</f>
        <v>0</v>
      </c>
      <c r="T12" s="29">
        <f>COUNTIFS(总表!$B:$B,T2,总表!$G:$G,"&gt;=120")/COUNTIFS(总表!$B:$B,T2,总表!$G:$G,"&gt;=0")</f>
        <v>1.3918629550321198E-2</v>
      </c>
      <c r="U12" s="29">
        <f>COUNTIFS(总表!$C:$C,U2,总表!$G:$G,"&gt;=120")/COUNTIFS(总表!$C:$C,U2,总表!$G:$G,"&gt;=0")</f>
        <v>0.2391304347826087</v>
      </c>
      <c r="V12" s="29">
        <f>COUNTIFS(总表!$C:$C,V2,总表!$G:$G,"&gt;=120")/COUNTIFS(总表!$C:$C,V2,总表!$G:$G,"&gt;=0")</f>
        <v>2.2222222222222223E-2</v>
      </c>
      <c r="W12" s="29">
        <f>COUNTIFS(总表!$C:$C,W2,总表!$G:$G,"&gt;=120")/COUNTIFS(总表!$C:$C,W2,总表!$G:$G,"&gt;=0")</f>
        <v>0</v>
      </c>
      <c r="X12" s="29">
        <f>COUNTIFS(总表!$B:$B,X2,总表!$G:$G,"&gt;=120")/COUNTIFS(总表!$B:$B,X2,总表!$G:$G,"&gt;=0")</f>
        <v>8.9552238805970144E-2</v>
      </c>
    </row>
    <row r="13" spans="1:24" ht="21.75" customHeight="1">
      <c r="A13" s="176"/>
      <c r="B13" s="95" t="s">
        <v>3206</v>
      </c>
      <c r="C13" s="29">
        <f>COUNTIFS(总表!$C:$C,C2,总表!$G:$G,"&gt;=90")/COUNTIFS(总表!$C:$C,C2,总表!$G:$G,"&gt;=0")</f>
        <v>0.12727272727272726</v>
      </c>
      <c r="D13" s="29">
        <f>COUNTIFS(总表!$C:$C,D2,总表!$G:$G,"&gt;=90")/COUNTIFS(总表!$C:$C,D2,总表!$G:$G,"&gt;=0")</f>
        <v>5.4545454545454543E-2</v>
      </c>
      <c r="E13" s="29">
        <f>COUNTIFS(总表!$C:$C,E2,总表!$G:$G,"&gt;=90")/COUNTIFS(总表!$C:$C,E2,总表!$G:$G,"&gt;=0")</f>
        <v>0.19298245614035087</v>
      </c>
      <c r="F13" s="29">
        <f>COUNTIFS(总表!$C:$C,F2,总表!$G:$G,"&gt;=90")/COUNTIFS(总表!$C:$C,F2,总表!$G:$G,"&gt;=0")</f>
        <v>0.18518518518518517</v>
      </c>
      <c r="G13" s="29">
        <f>COUNTIFS(总表!$C:$C,G2,总表!$G:$G,"&gt;=90")/COUNTIFS(总表!$C:$C,G2,总表!$G:$G,"&gt;=0")</f>
        <v>0.21052631578947367</v>
      </c>
      <c r="H13" s="29">
        <f>COUNTIFS(总表!$C:$C,H2,总表!$G:$G,"&gt;=90")/COUNTIFS(总表!$C:$C,H2,总表!$G:$G,"&gt;=0")</f>
        <v>0.23214285714285715</v>
      </c>
      <c r="I13" s="29">
        <f>COUNTIFS(总表!$C:$C,I2,总表!$G:$G,"&gt;=90")/COUNTIFS(总表!$C:$C,I2,总表!$G:$G,"&gt;=0")</f>
        <v>0.16363636363636364</v>
      </c>
      <c r="J13" s="29">
        <f>COUNTIFS(总表!$C:$C,J2,总表!$G:$G,"&gt;=90")/COUNTIFS(总表!$C:$C,J2,总表!$G:$G,"&gt;=0")</f>
        <v>0.16981132075471697</v>
      </c>
      <c r="K13" s="29">
        <f>COUNTIFS(总表!$C:$C,K2,总表!$G:$G,"&gt;=90")/COUNTIFS(总表!$C:$C,K2,总表!$G:$G,"&gt;=0")</f>
        <v>0.76923076923076927</v>
      </c>
      <c r="L13" s="29">
        <f>COUNTIFS(总表!$C:$C,L2,总表!$G:$G,"&gt;=90")/COUNTIFS(总表!$C:$C,L2,总表!$G:$G,"&gt;=0")</f>
        <v>0.6</v>
      </c>
      <c r="M13" s="29">
        <f>COUNTIFS(总表!$C:$C,M2,总表!$G:$G,"&gt;=90")/COUNTIFS(总表!$C:$C,M2,总表!$G:$G,"&gt;=0")</f>
        <v>0.10909090909090909</v>
      </c>
      <c r="N13" s="29">
        <f>COUNTIFS(总表!$C:$C,N2,总表!$G:$G,"&gt;=90")/COUNTIFS(总表!$C:$C,N2,总表!$G:$G,"&gt;=0")</f>
        <v>0.12280701754385964</v>
      </c>
      <c r="O13" s="29">
        <f>COUNTIFS(总表!$C:$C,O2,总表!$G:$G,"&gt;=90")/COUNTIFS(总表!$C:$C,O2,总表!$G:$G,"&gt;=0")</f>
        <v>5.3571428571428568E-2</v>
      </c>
      <c r="P13" s="29">
        <f>COUNTIFS(总表!$C:$C,P2,总表!$G:$G,"&gt;=90")/COUNTIFS(总表!$C:$C,P2,总表!$G:$G,"&gt;=0")</f>
        <v>9.0909090909090912E-2</v>
      </c>
      <c r="Q13" s="29">
        <f>COUNTIFS(总表!$C:$C,Q2,总表!$G:$G,"&gt;=90")/COUNTIFS(总表!$C:$C,Q2,总表!$G:$G,"&gt;=0")</f>
        <v>0.12727272727272726</v>
      </c>
      <c r="R13" s="29">
        <f>COUNTIFS(总表!$C:$C,R2,总表!$G:$G,"&gt;=90")/COUNTIFS(总表!$C:$C,R2,总表!$G:$G,"&gt;=0")</f>
        <v>0.2857142857142857</v>
      </c>
      <c r="S13" s="29">
        <f>COUNTIFS(总表!$C:$C,S2,总表!$G:$G,"&gt;=90")/COUNTIFS(总表!$C:$C,S2,总表!$G:$G,"&gt;=0")</f>
        <v>0.125</v>
      </c>
      <c r="T13" s="29">
        <f>COUNTIFS(总表!$B:$B,T2,总表!$G:$G,"&gt;=90")/COUNTIFS(总表!$B:$B,T2,总表!$G:$G,"&gt;=0")</f>
        <v>0.20877944325481798</v>
      </c>
      <c r="U13" s="29">
        <f>COUNTIFS(总表!$C:$C,U2,总表!$G:$G,"&gt;=90")/COUNTIFS(总表!$C:$C,U2,总表!$G:$G,"&gt;=0")</f>
        <v>0.95652173913043481</v>
      </c>
      <c r="V13" s="29">
        <f>COUNTIFS(总表!$C:$C,V2,总表!$G:$G,"&gt;=90")/COUNTIFS(总表!$C:$C,V2,总表!$G:$G,"&gt;=0")</f>
        <v>0.15555555555555556</v>
      </c>
      <c r="W13" s="29">
        <f>COUNTIFS(总表!$C:$C,W2,总表!$G:$G,"&gt;=90")/COUNTIFS(总表!$C:$C,W2,总表!$G:$G,"&gt;=0")</f>
        <v>0.2558139534883721</v>
      </c>
      <c r="X13" s="29">
        <f>COUNTIFS(总表!$B:$B,X2,总表!$G:$G,"&gt;=90")/COUNTIFS(总表!$B:$B,X2,总表!$G:$G,"&gt;=0")</f>
        <v>0.46268656716417911</v>
      </c>
    </row>
    <row r="14" spans="1:24" ht="21.75" customHeight="1">
      <c r="A14" s="176"/>
      <c r="B14" s="95" t="s">
        <v>3207</v>
      </c>
      <c r="C14" s="28">
        <f>RANK(C13,$C$13:$S$13)</f>
        <v>10</v>
      </c>
      <c r="D14" s="28">
        <f t="shared" ref="D14:S14" si="3">RANK(D13,$C$13:$S$13)</f>
        <v>16</v>
      </c>
      <c r="E14" s="28">
        <f t="shared" si="3"/>
        <v>6</v>
      </c>
      <c r="F14" s="28">
        <f t="shared" si="3"/>
        <v>7</v>
      </c>
      <c r="G14" s="28">
        <f t="shared" si="3"/>
        <v>5</v>
      </c>
      <c r="H14" s="28">
        <f t="shared" si="3"/>
        <v>4</v>
      </c>
      <c r="I14" s="28">
        <f t="shared" si="3"/>
        <v>9</v>
      </c>
      <c r="J14" s="28">
        <f t="shared" si="3"/>
        <v>8</v>
      </c>
      <c r="K14" s="28">
        <f t="shared" si="3"/>
        <v>1</v>
      </c>
      <c r="L14" s="28">
        <f t="shared" si="3"/>
        <v>2</v>
      </c>
      <c r="M14" s="28">
        <f t="shared" si="3"/>
        <v>14</v>
      </c>
      <c r="N14" s="28">
        <f t="shared" si="3"/>
        <v>13</v>
      </c>
      <c r="O14" s="28">
        <f t="shared" si="3"/>
        <v>17</v>
      </c>
      <c r="P14" s="28">
        <f t="shared" si="3"/>
        <v>15</v>
      </c>
      <c r="Q14" s="28">
        <f t="shared" si="3"/>
        <v>10</v>
      </c>
      <c r="R14" s="28">
        <f t="shared" si="3"/>
        <v>3</v>
      </c>
      <c r="S14" s="28">
        <f t="shared" si="3"/>
        <v>12</v>
      </c>
      <c r="T14" s="29"/>
      <c r="U14" s="28">
        <f>RANK(U13,$U$13:$W$13)</f>
        <v>1</v>
      </c>
      <c r="V14" s="28">
        <f>RANK(V13,$U$13:$W$13)</f>
        <v>3</v>
      </c>
      <c r="W14" s="28">
        <f>RANK(W13,$U$13:$W$13)</f>
        <v>2</v>
      </c>
      <c r="X14" s="29"/>
    </row>
    <row r="15" spans="1:24" ht="21.75" customHeight="1">
      <c r="A15" s="176" t="s">
        <v>3209</v>
      </c>
      <c r="B15" s="95" t="s">
        <v>3202</v>
      </c>
      <c r="C15" s="96" t="s">
        <v>3386</v>
      </c>
      <c r="D15" s="96" t="s">
        <v>3386</v>
      </c>
      <c r="E15" s="96" t="s">
        <v>3304</v>
      </c>
      <c r="F15" s="96" t="s">
        <v>3387</v>
      </c>
      <c r="G15" s="96" t="s">
        <v>3388</v>
      </c>
      <c r="H15" s="96" t="s">
        <v>3388</v>
      </c>
      <c r="I15" s="96" t="s">
        <v>3304</v>
      </c>
      <c r="J15" s="96" t="s">
        <v>3389</v>
      </c>
      <c r="K15" s="96" t="s">
        <v>3390</v>
      </c>
      <c r="L15" s="96" t="s">
        <v>3391</v>
      </c>
      <c r="M15" s="96" t="s">
        <v>3387</v>
      </c>
      <c r="N15" s="96" t="s">
        <v>3392</v>
      </c>
      <c r="O15" s="96" t="s">
        <v>3392</v>
      </c>
      <c r="P15" s="96" t="s">
        <v>3393</v>
      </c>
      <c r="Q15" s="96" t="s">
        <v>3391</v>
      </c>
      <c r="R15" s="96" t="s">
        <v>3394</v>
      </c>
      <c r="S15" s="96" t="s">
        <v>3394</v>
      </c>
      <c r="T15" s="96"/>
      <c r="U15" s="96" t="s">
        <v>3395</v>
      </c>
      <c r="V15" s="96" t="s">
        <v>3396</v>
      </c>
      <c r="W15" s="96" t="s">
        <v>3396</v>
      </c>
      <c r="X15" s="95"/>
    </row>
    <row r="16" spans="1:24" ht="21.75" customHeight="1">
      <c r="A16" s="176"/>
      <c r="B16" s="27" t="s">
        <v>3203</v>
      </c>
      <c r="C16" s="27">
        <f>AVERAGEIFS(总表!$H:$H,总表!$C:$C,"1801")</f>
        <v>88.6</v>
      </c>
      <c r="D16" s="27">
        <f>AVERAGEIFS(总表!$H:$H,总表!$C:$C,"1802")</f>
        <v>88.645454545454541</v>
      </c>
      <c r="E16" s="27">
        <f>AVERAGEIFS(总表!$H:$H,总表!$C:$C,"1803")</f>
        <v>88.640350877192986</v>
      </c>
      <c r="F16" s="27">
        <f>AVERAGEIFS(总表!$H:$H,总表!$C:$C,"1804")</f>
        <v>89.277777777777771</v>
      </c>
      <c r="G16" s="27">
        <f>AVERAGEIFS(总表!$H:$H,总表!$C:$C,"1805")</f>
        <v>85.05263157894737</v>
      </c>
      <c r="H16" s="27">
        <f>AVERAGEIFS(总表!$H:$H,总表!$C:$C,"1806")</f>
        <v>84.366071428571431</v>
      </c>
      <c r="I16" s="27">
        <f>AVERAGEIFS(总表!$H:$H,总表!$C:$C,"1807")</f>
        <v>85.981818181818184</v>
      </c>
      <c r="J16" s="27">
        <f>AVERAGEIFS(总表!$H:$H,总表!$C:$C,"1808")</f>
        <v>89.839622641509436</v>
      </c>
      <c r="K16" s="27">
        <f>AVERAGEIFS(总表!$H:$H,总表!$C:$C,"1809")</f>
        <v>110.625</v>
      </c>
      <c r="L16" s="27">
        <f>AVERAGEIFS(总表!$H:$H,总表!$C:$C,"1810")</f>
        <v>107.43</v>
      </c>
      <c r="M16" s="27">
        <f>AVERAGEIFS(总表!$H:$H,总表!$C:$C,"1811")</f>
        <v>89.627272727272725</v>
      </c>
      <c r="N16" s="27">
        <f>AVERAGEIFS(总表!$H:$H,总表!$C:$C,"1812")</f>
        <v>90.684210526315795</v>
      </c>
      <c r="O16" s="27">
        <f>AVERAGEIFS(总表!$H:$H,总表!$C:$C,"1813")</f>
        <v>90.419642857142861</v>
      </c>
      <c r="P16" s="27">
        <f>AVERAGEIFS(总表!$H:$H,总表!$C:$C,"1814")</f>
        <v>87</v>
      </c>
      <c r="Q16" s="27">
        <f>AVERAGEIFS(总表!$H:$H,总表!$C:$C,"1815")</f>
        <v>86.963636363636368</v>
      </c>
      <c r="R16" s="27">
        <f>AVERAGEIFS(总表!$H:$H,总表!$C:$C,"1816")</f>
        <v>91.857142857142861</v>
      </c>
      <c r="S16" s="27">
        <f>AVERAGEIFS(总表!$H:$H,总表!$C:$C,"1817")</f>
        <v>89.625</v>
      </c>
      <c r="T16" s="27">
        <f>AVERAGEIFS(总表!$H:$H,总表!$B:$B,"理科")</f>
        <v>90.687366167023555</v>
      </c>
      <c r="U16" s="27">
        <f>AVERAGEIFS(总表!$H:$H,总表!$C:$C,"1818")</f>
        <v>107.42391304347827</v>
      </c>
      <c r="V16" s="27">
        <f>AVERAGEIFS(总表!$H:$H,总表!$C:$C,"1819")</f>
        <v>92.6</v>
      </c>
      <c r="W16" s="27">
        <f>AVERAGEIFS(总表!$H:$H,总表!$C:$C,"1820")</f>
        <v>88.151162790697668</v>
      </c>
      <c r="X16" s="27">
        <f>AVERAGEIFS(总表!$H:$H,总表!$B:$B,"文科")</f>
        <v>96.261194029850742</v>
      </c>
    </row>
    <row r="17" spans="1:24" ht="21.75" customHeight="1">
      <c r="A17" s="176"/>
      <c r="B17" s="27" t="s">
        <v>3204</v>
      </c>
      <c r="C17" s="28">
        <f t="shared" ref="C17:S17" si="4">RANK(C16,$C$16:$S$16)</f>
        <v>12</v>
      </c>
      <c r="D17" s="28">
        <f t="shared" si="4"/>
        <v>10</v>
      </c>
      <c r="E17" s="28">
        <f t="shared" si="4"/>
        <v>11</v>
      </c>
      <c r="F17" s="28">
        <f t="shared" si="4"/>
        <v>9</v>
      </c>
      <c r="G17" s="28">
        <f t="shared" si="4"/>
        <v>16</v>
      </c>
      <c r="H17" s="28">
        <f t="shared" si="4"/>
        <v>17</v>
      </c>
      <c r="I17" s="28">
        <f t="shared" si="4"/>
        <v>15</v>
      </c>
      <c r="J17" s="28">
        <f t="shared" si="4"/>
        <v>6</v>
      </c>
      <c r="K17" s="28">
        <f t="shared" si="4"/>
        <v>1</v>
      </c>
      <c r="L17" s="28">
        <f t="shared" si="4"/>
        <v>2</v>
      </c>
      <c r="M17" s="28">
        <f t="shared" si="4"/>
        <v>7</v>
      </c>
      <c r="N17" s="28">
        <f t="shared" si="4"/>
        <v>4</v>
      </c>
      <c r="O17" s="28">
        <f t="shared" si="4"/>
        <v>5</v>
      </c>
      <c r="P17" s="28">
        <f t="shared" si="4"/>
        <v>13</v>
      </c>
      <c r="Q17" s="28">
        <f t="shared" si="4"/>
        <v>14</v>
      </c>
      <c r="R17" s="28">
        <f t="shared" si="4"/>
        <v>3</v>
      </c>
      <c r="S17" s="28">
        <f t="shared" si="4"/>
        <v>8</v>
      </c>
      <c r="T17" s="28"/>
      <c r="U17" s="28">
        <f>RANK(U16,$U$16:$W$16)</f>
        <v>1</v>
      </c>
      <c r="V17" s="28">
        <f>RANK(V16,$U$16:$W$16)</f>
        <v>2</v>
      </c>
      <c r="W17" s="28">
        <f>RANK(W16,$U$16:$W$16)</f>
        <v>3</v>
      </c>
      <c r="X17" s="28"/>
    </row>
    <row r="18" spans="1:24" ht="21.75" customHeight="1">
      <c r="A18" s="176"/>
      <c r="B18" s="95" t="s">
        <v>3205</v>
      </c>
      <c r="C18" s="29">
        <f>COUNTIFS(总表!$C:$C,C2,总表!$H:$H,"&gt;=120")/COUNTIFS(总表!$C:$C,C2,总表!$H:$H,"&gt;=0")</f>
        <v>0</v>
      </c>
      <c r="D18" s="29">
        <f>COUNTIFS(总表!$C:$C,D2,总表!$H:$H,"&gt;=120")/COUNTIFS(总表!$C:$C,D2,总表!$H:$H,"&gt;=0")</f>
        <v>3.6363636363636362E-2</v>
      </c>
      <c r="E18" s="29">
        <f>COUNTIFS(总表!$C:$C,E2,总表!$H:$H,"&gt;=120")/COUNTIFS(总表!$C:$C,E2,总表!$H:$H,"&gt;=0")</f>
        <v>0</v>
      </c>
      <c r="F18" s="29">
        <f>COUNTIFS(总表!$C:$C,F2,总表!$H:$H,"&gt;=120")/COUNTIFS(总表!$C:$C,F2,总表!$H:$H,"&gt;=0")</f>
        <v>1.8518518518518517E-2</v>
      </c>
      <c r="G18" s="29">
        <f>COUNTIFS(总表!$C:$C,G2,总表!$H:$H,"&gt;=120")/COUNTIFS(总表!$C:$C,G2,总表!$H:$H,"&gt;=0")</f>
        <v>0</v>
      </c>
      <c r="H18" s="29">
        <f>COUNTIFS(总表!$C:$C,H2,总表!$H:$H,"&gt;=120")/COUNTIFS(总表!$C:$C,H2,总表!$H:$H,"&gt;=0")</f>
        <v>0</v>
      </c>
      <c r="I18" s="29">
        <f>COUNTIFS(总表!$C:$C,I2,总表!$H:$H,"&gt;=120")/COUNTIFS(总表!$C:$C,I2,总表!$H:$H,"&gt;=0")</f>
        <v>0</v>
      </c>
      <c r="J18" s="29">
        <f>COUNTIFS(总表!$C:$C,J2,总表!$H:$H,"&gt;=120")/COUNTIFS(总表!$C:$C,J2,总表!$H:$H,"&gt;=0")</f>
        <v>3.7735849056603772E-2</v>
      </c>
      <c r="K18" s="29">
        <f>COUNTIFS(总表!$C:$C,K2,总表!$H:$H,"&gt;=120")/COUNTIFS(总表!$C:$C,K2,总表!$H:$H,"&gt;=0")</f>
        <v>0.25</v>
      </c>
      <c r="L18" s="29">
        <f>COUNTIFS(总表!$C:$C,L2,总表!$H:$H,"&gt;=120")/COUNTIFS(总表!$C:$C,L2,总表!$H:$H,"&gt;=0")</f>
        <v>0.16</v>
      </c>
      <c r="M18" s="29">
        <f>COUNTIFS(总表!$C:$C,M2,总表!$H:$H,"&gt;=120")/COUNTIFS(总表!$C:$C,M2,总表!$H:$H,"&gt;=0")</f>
        <v>0</v>
      </c>
      <c r="N18" s="29">
        <f>COUNTIFS(总表!$C:$C,N2,总表!$H:$H,"&gt;=120")/COUNTIFS(总表!$C:$C,N2,总表!$H:$H,"&gt;=0")</f>
        <v>3.5087719298245612E-2</v>
      </c>
      <c r="O18" s="29">
        <f>COUNTIFS(总表!$C:$C,O2,总表!$H:$H,"&gt;=120")/COUNTIFS(总表!$C:$C,O2,总表!$H:$H,"&gt;=0")</f>
        <v>1.7857142857142856E-2</v>
      </c>
      <c r="P18" s="29">
        <f>COUNTIFS(总表!$C:$C,P2,总表!$H:$H,"&gt;=120")/COUNTIFS(总表!$C:$C,P2,总表!$H:$H,"&gt;=0")</f>
        <v>0</v>
      </c>
      <c r="Q18" s="29">
        <f>COUNTIFS(总表!$C:$C,Q2,总表!$H:$H,"&gt;=120")/COUNTIFS(总表!$C:$C,Q2,总表!$H:$H,"&gt;=0")</f>
        <v>0</v>
      </c>
      <c r="R18" s="29">
        <f>COUNTIFS(总表!$C:$C,R2,总表!$H:$H,"&gt;=120")/COUNTIFS(总表!$C:$C,R2,总表!$H:$H,"&gt;=0")</f>
        <v>1.7857142857142856E-2</v>
      </c>
      <c r="S18" s="29">
        <f>COUNTIFS(总表!$C:$C,S2,总表!$H:$H,"&gt;=120")/COUNTIFS(总表!$C:$C,S2,总表!$H:$H,"&gt;=0")</f>
        <v>1.7857142857142856E-2</v>
      </c>
      <c r="T18" s="29">
        <f>COUNTIFS(总表!$B:$B,T2,总表!$H:$H,"&gt;=120")/COUNTIFS(总表!$B:$B,T2,总表!$H:$H,"&gt;=0")</f>
        <v>3.3190578158458245E-2</v>
      </c>
      <c r="U18" s="29">
        <f>COUNTIFS(总表!$C:$C,U2,总表!$H:$H,"&gt;=120")/COUNTIFS(总表!$C:$C,U2,总表!$H:$H,"&gt;=0")</f>
        <v>0.15217391304347827</v>
      </c>
      <c r="V18" s="29">
        <f>COUNTIFS(总表!$C:$C,V2,总表!$H:$H,"&gt;=120")/COUNTIFS(总表!$C:$C,V2,总表!$H:$H,"&gt;=0")</f>
        <v>2.2222222222222223E-2</v>
      </c>
      <c r="W18" s="29">
        <f>COUNTIFS(总表!$C:$C,W2,总表!$H:$H,"&gt;=120")/COUNTIFS(总表!$C:$C,W2,总表!$H:$H,"&gt;=0")</f>
        <v>2.3255813953488372E-2</v>
      </c>
      <c r="X18" s="29">
        <f>COUNTIFS(总表!$B:$B,X2,总表!$H:$H,"&gt;=120")/COUNTIFS(总表!$B:$B,X2,总表!$H:$H,"&gt;=0")</f>
        <v>6.7164179104477612E-2</v>
      </c>
    </row>
    <row r="19" spans="1:24" ht="21.75" customHeight="1">
      <c r="A19" s="176"/>
      <c r="B19" s="95" t="s">
        <v>3206</v>
      </c>
      <c r="C19" s="29">
        <f>COUNTIFS(总表!$C:$C,C2,总表!$H:$H,"&gt;=90")/COUNTIFS(总表!$C:$C,C2,总表!$H:$H,"&gt;=0")</f>
        <v>0.52727272727272723</v>
      </c>
      <c r="D19" s="29">
        <f>COUNTIFS(总表!$C:$C,D2,总表!$H:$H,"&gt;=90")/COUNTIFS(总表!$C:$C,D2,总表!$H:$H,"&gt;=0")</f>
        <v>0.41818181818181815</v>
      </c>
      <c r="E19" s="29">
        <f>COUNTIFS(总表!$C:$C,E2,总表!$H:$H,"&gt;=90")/COUNTIFS(总表!$C:$C,E2,总表!$H:$H,"&gt;=0")</f>
        <v>0.50877192982456143</v>
      </c>
      <c r="F19" s="29">
        <f>COUNTIFS(总表!$C:$C,F2,总表!$H:$H,"&gt;=90")/COUNTIFS(总表!$C:$C,F2,总表!$H:$H,"&gt;=0")</f>
        <v>0.5</v>
      </c>
      <c r="G19" s="29">
        <f>COUNTIFS(总表!$C:$C,G2,总表!$H:$H,"&gt;=90")/COUNTIFS(总表!$C:$C,G2,总表!$H:$H,"&gt;=0")</f>
        <v>0.50877192982456143</v>
      </c>
      <c r="H19" s="29">
        <f>COUNTIFS(总表!$C:$C,H2,总表!$H:$H,"&gt;=90")/COUNTIFS(总表!$C:$C,H2,总表!$H:$H,"&gt;=0")</f>
        <v>0.32142857142857145</v>
      </c>
      <c r="I19" s="29">
        <f>COUNTIFS(总表!$C:$C,I2,总表!$H:$H,"&gt;=90")/COUNTIFS(总表!$C:$C,I2,总表!$H:$H,"&gt;=0")</f>
        <v>0.36363636363636365</v>
      </c>
      <c r="J19" s="29">
        <f>COUNTIFS(总表!$C:$C,J2,总表!$H:$H,"&gt;=90")/COUNTIFS(总表!$C:$C,J2,总表!$H:$H,"&gt;=0")</f>
        <v>0.47169811320754718</v>
      </c>
      <c r="K19" s="29">
        <f>COUNTIFS(总表!$C:$C,K2,总表!$H:$H,"&gt;=90")/COUNTIFS(总表!$C:$C,K2,总表!$H:$H,"&gt;=0")</f>
        <v>0.96153846153846156</v>
      </c>
      <c r="L19" s="29">
        <f>COUNTIFS(总表!$C:$C,L2,总表!$H:$H,"&gt;=90")/COUNTIFS(总表!$C:$C,L2,总表!$H:$H,"&gt;=0")</f>
        <v>0.96</v>
      </c>
      <c r="M19" s="29">
        <f>COUNTIFS(总表!$C:$C,M2,总表!$H:$H,"&gt;=90")/COUNTIFS(总表!$C:$C,M2,总表!$H:$H,"&gt;=0")</f>
        <v>0.49090909090909091</v>
      </c>
      <c r="N19" s="29">
        <f>COUNTIFS(总表!$C:$C,N2,总表!$H:$H,"&gt;=90")/COUNTIFS(总表!$C:$C,N2,总表!$H:$H,"&gt;=0")</f>
        <v>0.54385964912280704</v>
      </c>
      <c r="O19" s="29">
        <f>COUNTIFS(总表!$C:$C,O2,总表!$H:$H,"&gt;=90")/COUNTIFS(总表!$C:$C,O2,总表!$H:$H,"&gt;=0")</f>
        <v>0.5</v>
      </c>
      <c r="P19" s="29">
        <f>COUNTIFS(总表!$C:$C,P2,总表!$H:$H,"&gt;=90")/COUNTIFS(总表!$C:$C,P2,总表!$H:$H,"&gt;=0")</f>
        <v>0.41818181818181815</v>
      </c>
      <c r="Q19" s="29">
        <f>COUNTIFS(总表!$C:$C,Q2,总表!$H:$H,"&gt;=90")/COUNTIFS(总表!$C:$C,Q2,总表!$H:$H,"&gt;=0")</f>
        <v>0.43636363636363634</v>
      </c>
      <c r="R19" s="29">
        <f>COUNTIFS(总表!$C:$C,R2,总表!$H:$H,"&gt;=90")/COUNTIFS(总表!$C:$C,R2,总表!$H:$H,"&gt;=0")</f>
        <v>0.5892857142857143</v>
      </c>
      <c r="S19" s="29">
        <f>COUNTIFS(总表!$C:$C,S2,总表!$H:$H,"&gt;=90")/COUNTIFS(总表!$C:$C,S2,总表!$H:$H,"&gt;=0")</f>
        <v>0.5178571428571429</v>
      </c>
      <c r="T19" s="29">
        <f>COUNTIFS(总表!$B:$B,T2,总表!$H:$H,"&gt;=90")/COUNTIFS(总表!$B:$B,T2,总表!$H:$H,"&gt;=0")</f>
        <v>0.52783725910064239</v>
      </c>
      <c r="U19" s="29">
        <f>COUNTIFS(总表!$C:$C,U2,总表!$H:$H,"&gt;=90")/COUNTIFS(总表!$C:$C,U2,总表!$H:$H,"&gt;=0")</f>
        <v>0.89130434782608692</v>
      </c>
      <c r="V19" s="29">
        <f>COUNTIFS(总表!$C:$C,V2,总表!$H:$H,"&gt;=90")/COUNTIFS(总表!$C:$C,V2,总表!$H:$H,"&gt;=0")</f>
        <v>0.57777777777777772</v>
      </c>
      <c r="W19" s="29">
        <f>COUNTIFS(总表!$C:$C,W2,总表!$H:$H,"&gt;=90")/COUNTIFS(总表!$C:$C,W2,总表!$H:$H,"&gt;=0")</f>
        <v>0.41860465116279072</v>
      </c>
      <c r="X19" s="29">
        <f>COUNTIFS(总表!$B:$B,X2,总表!$H:$H,"&gt;=90")/COUNTIFS(总表!$B:$B,X2,总表!$H:$H,"&gt;=0")</f>
        <v>0.63432835820895528</v>
      </c>
    </row>
    <row r="20" spans="1:24" ht="21.75" customHeight="1">
      <c r="A20" s="176"/>
      <c r="B20" s="95" t="s">
        <v>3207</v>
      </c>
      <c r="C20" s="28">
        <f>RANK(C19,$C$19:$S$19)</f>
        <v>5</v>
      </c>
      <c r="D20" s="28">
        <f t="shared" ref="D20:S20" si="5">RANK(D19,$C$19:$S$19)</f>
        <v>14</v>
      </c>
      <c r="E20" s="28">
        <f t="shared" si="5"/>
        <v>7</v>
      </c>
      <c r="F20" s="28">
        <f t="shared" si="5"/>
        <v>9</v>
      </c>
      <c r="G20" s="28">
        <f t="shared" si="5"/>
        <v>7</v>
      </c>
      <c r="H20" s="28">
        <f t="shared" si="5"/>
        <v>17</v>
      </c>
      <c r="I20" s="28">
        <f t="shared" si="5"/>
        <v>16</v>
      </c>
      <c r="J20" s="28">
        <f t="shared" si="5"/>
        <v>12</v>
      </c>
      <c r="K20" s="28">
        <f t="shared" si="5"/>
        <v>1</v>
      </c>
      <c r="L20" s="28">
        <f t="shared" si="5"/>
        <v>2</v>
      </c>
      <c r="M20" s="28">
        <f t="shared" si="5"/>
        <v>11</v>
      </c>
      <c r="N20" s="28">
        <f t="shared" si="5"/>
        <v>4</v>
      </c>
      <c r="O20" s="28">
        <f t="shared" si="5"/>
        <v>9</v>
      </c>
      <c r="P20" s="28">
        <f t="shared" si="5"/>
        <v>14</v>
      </c>
      <c r="Q20" s="28">
        <f t="shared" si="5"/>
        <v>13</v>
      </c>
      <c r="R20" s="28">
        <f t="shared" si="5"/>
        <v>3</v>
      </c>
      <c r="S20" s="28">
        <f t="shared" si="5"/>
        <v>6</v>
      </c>
      <c r="T20" s="29"/>
      <c r="U20" s="28">
        <f>RANK(U19,$U$19:$W$19)</f>
        <v>1</v>
      </c>
      <c r="V20" s="28">
        <f>RANK(V19,$U$19:$W$19)</f>
        <v>2</v>
      </c>
      <c r="W20" s="28">
        <f>RANK(W19,$U$19:$W$19)</f>
        <v>3</v>
      </c>
      <c r="X20" s="29"/>
    </row>
    <row r="21" spans="1:24" ht="21.75" customHeight="1">
      <c r="A21" s="176" t="s">
        <v>3463</v>
      </c>
      <c r="B21" s="95" t="s">
        <v>3202</v>
      </c>
      <c r="C21" s="96" t="s">
        <v>3397</v>
      </c>
      <c r="D21" s="96" t="s">
        <v>3397</v>
      </c>
      <c r="E21" s="96" t="s">
        <v>3398</v>
      </c>
      <c r="F21" s="96" t="s">
        <v>3398</v>
      </c>
      <c r="G21" s="96" t="s">
        <v>3399</v>
      </c>
      <c r="H21" s="96" t="s">
        <v>3399</v>
      </c>
      <c r="I21" s="96" t="s">
        <v>3400</v>
      </c>
      <c r="J21" s="96" t="s">
        <v>3400</v>
      </c>
      <c r="K21" s="96" t="s">
        <v>3401</v>
      </c>
      <c r="L21" s="96" t="s">
        <v>3402</v>
      </c>
      <c r="M21" s="96" t="s">
        <v>3403</v>
      </c>
      <c r="N21" s="96" t="s">
        <v>3404</v>
      </c>
      <c r="O21" s="96" t="s">
        <v>3402</v>
      </c>
      <c r="P21" s="96" t="s">
        <v>3405</v>
      </c>
      <c r="Q21" s="96" t="s">
        <v>3406</v>
      </c>
      <c r="R21" s="96" t="s">
        <v>3405</v>
      </c>
      <c r="S21" s="96" t="s">
        <v>3406</v>
      </c>
      <c r="T21" s="96"/>
      <c r="U21" s="96" t="s">
        <v>3407</v>
      </c>
      <c r="V21" s="96" t="s">
        <v>3407</v>
      </c>
      <c r="W21" s="96" t="s">
        <v>3408</v>
      </c>
      <c r="X21" s="95"/>
    </row>
    <row r="22" spans="1:24" ht="21.75" customHeight="1">
      <c r="A22" s="176"/>
      <c r="B22" s="27" t="s">
        <v>3203</v>
      </c>
      <c r="C22" s="27">
        <f>AVERAGEIFS(总表!$I:$I,总表!$C:$C,"1801")</f>
        <v>65.927272727272722</v>
      </c>
      <c r="D22" s="27">
        <f>AVERAGEIFS(总表!$I:$I,总表!$C:$C,"1802")</f>
        <v>65.436363636363637</v>
      </c>
      <c r="E22" s="27">
        <f>AVERAGEIFS(总表!$I:$I,总表!$C:$C,"1803")</f>
        <v>65.561403508771932</v>
      </c>
      <c r="F22" s="27">
        <f>AVERAGEIFS(总表!$I:$I,总表!$C:$C,"1804")</f>
        <v>65.907407407407405</v>
      </c>
      <c r="G22" s="27">
        <f>AVERAGEIFS(总表!$I:$I,总表!$C:$C,"1805")</f>
        <v>63.649122807017541</v>
      </c>
      <c r="H22" s="27">
        <f>AVERAGEIFS(总表!$I:$I,总表!$C:$C,"1806")</f>
        <v>63.946428571428569</v>
      </c>
      <c r="I22" s="27">
        <f>AVERAGEIFS(总表!$I:$I,总表!$C:$C,"1807")</f>
        <v>63.290909090909089</v>
      </c>
      <c r="J22" s="27">
        <f>AVERAGEIFS(总表!$I:$I,总表!$C:$C,"1808")</f>
        <v>65.584905660377359</v>
      </c>
      <c r="K22" s="27">
        <f>AVERAGEIFS(总表!$I:$I,总表!$C:$C,"1809")</f>
        <v>94.384615384615387</v>
      </c>
      <c r="L22" s="27">
        <f>AVERAGEIFS(总表!$I:$I,总表!$C:$C,"1810")</f>
        <v>82.02</v>
      </c>
      <c r="M22" s="27">
        <f>AVERAGEIFS(总表!$I:$I,总表!$C:$C,"1811")</f>
        <v>63.618181818181817</v>
      </c>
      <c r="N22" s="27">
        <f>AVERAGEIFS(总表!$I:$I,总表!$C:$C,"1812")</f>
        <v>64.561403508771932</v>
      </c>
      <c r="O22" s="27">
        <f>AVERAGEIFS(总表!$I:$I,总表!$C:$C,"1813")</f>
        <v>62.071428571428569</v>
      </c>
      <c r="P22" s="27">
        <f>AVERAGEIFS(总表!$I:$I,总表!$C:$C,"1814")</f>
        <v>64.599999999999994</v>
      </c>
      <c r="Q22" s="27">
        <f>AVERAGEIFS(总表!$I:$I,总表!$C:$C,"1815")</f>
        <v>66.436363636363637</v>
      </c>
      <c r="R22" s="27">
        <f>AVERAGEIFS(总表!$I:$I,总表!$C:$C,"1816")</f>
        <v>67.75</v>
      </c>
      <c r="S22" s="27">
        <f>AVERAGEIFS(总表!$I:$I,总表!$C:$C,"1817")</f>
        <v>63.714285714285715</v>
      </c>
      <c r="T22" s="27">
        <f>AVERAGEIFS(总表!$I:$I,总表!$B:$B,"理科")</f>
        <v>67.36616702355461</v>
      </c>
      <c r="U22" s="27">
        <f>AVERAGEIFS(总表!$I:$I,总表!$C:$C,"1818")</f>
        <v>73.413043478260875</v>
      </c>
      <c r="V22" s="27">
        <f>AVERAGEIFS(总表!$I:$I,总表!$C:$C,"1819")</f>
        <v>63.533333333333331</v>
      </c>
      <c r="W22" s="27">
        <f>AVERAGEIFS(总表!$I:$I,总表!$C:$C,"1820")</f>
        <v>66.116279069767444</v>
      </c>
      <c r="X22" s="27">
        <f>AVERAGEIFS(总表!$I:$I,总表!$B:$B,"文科")</f>
        <v>67.753731343283576</v>
      </c>
    </row>
    <row r="23" spans="1:24" ht="21.75" customHeight="1">
      <c r="A23" s="176"/>
      <c r="B23" s="27" t="s">
        <v>3204</v>
      </c>
      <c r="C23" s="28">
        <f t="shared" ref="C23:S23" si="6">RANK(C22,$C$22:$S$22)</f>
        <v>5</v>
      </c>
      <c r="D23" s="28">
        <f t="shared" si="6"/>
        <v>9</v>
      </c>
      <c r="E23" s="28">
        <f t="shared" si="6"/>
        <v>8</v>
      </c>
      <c r="F23" s="28">
        <f t="shared" si="6"/>
        <v>6</v>
      </c>
      <c r="G23" s="28">
        <f t="shared" si="6"/>
        <v>14</v>
      </c>
      <c r="H23" s="28">
        <f t="shared" si="6"/>
        <v>12</v>
      </c>
      <c r="I23" s="28">
        <f t="shared" si="6"/>
        <v>16</v>
      </c>
      <c r="J23" s="28">
        <f t="shared" si="6"/>
        <v>7</v>
      </c>
      <c r="K23" s="28">
        <f t="shared" si="6"/>
        <v>1</v>
      </c>
      <c r="L23" s="28">
        <f t="shared" si="6"/>
        <v>2</v>
      </c>
      <c r="M23" s="28">
        <f t="shared" si="6"/>
        <v>15</v>
      </c>
      <c r="N23" s="28">
        <f t="shared" si="6"/>
        <v>11</v>
      </c>
      <c r="O23" s="28">
        <f t="shared" si="6"/>
        <v>17</v>
      </c>
      <c r="P23" s="28">
        <f t="shared" si="6"/>
        <v>10</v>
      </c>
      <c r="Q23" s="28">
        <f t="shared" si="6"/>
        <v>4</v>
      </c>
      <c r="R23" s="28">
        <f t="shared" si="6"/>
        <v>3</v>
      </c>
      <c r="S23" s="28">
        <f t="shared" si="6"/>
        <v>13</v>
      </c>
      <c r="T23" s="28"/>
      <c r="U23" s="28">
        <f>RANK(U22,$U$22:$W$22)</f>
        <v>1</v>
      </c>
      <c r="V23" s="28">
        <f>RANK(V22,$U$22:$W$22)</f>
        <v>3</v>
      </c>
      <c r="W23" s="28">
        <f>RANK(W22,$U$22:$W$22)</f>
        <v>2</v>
      </c>
      <c r="X23" s="28"/>
    </row>
    <row r="24" spans="1:24" ht="21.75" customHeight="1">
      <c r="A24" s="176"/>
      <c r="B24" s="95" t="s">
        <v>3205</v>
      </c>
      <c r="C24" s="29">
        <f>COUNTIFS(总表!$C:$C,C2,总表!$I:$I,"&gt;=88")/COUNTIFS(总表!$C:$C,C2,总表!$I:$I,"&gt;=0")</f>
        <v>7.2727272727272724E-2</v>
      </c>
      <c r="D24" s="29">
        <f>COUNTIFS(总表!$C:$C,D2,总表!$I:$I,"&gt;=88")/COUNTIFS(总表!$C:$C,D2,总表!$I:$I,"&gt;=0")</f>
        <v>0.10909090909090909</v>
      </c>
      <c r="E24" s="29">
        <f>COUNTIFS(总表!$C:$C,E2,总表!$I:$I,"&gt;=88")/COUNTIFS(总表!$C:$C,E2,总表!$I:$I,"&gt;=0")</f>
        <v>3.5087719298245612E-2</v>
      </c>
      <c r="F24" s="29">
        <f>COUNTIFS(总表!$C:$C,F2,总表!$I:$I,"&gt;=88")/COUNTIFS(总表!$C:$C,F2,总表!$I:$I,"&gt;=0")</f>
        <v>5.5555555555555552E-2</v>
      </c>
      <c r="G24" s="29">
        <f>COUNTIFS(总表!$C:$C,G2,总表!$I:$I,"&gt;=88")/COUNTIFS(总表!$C:$C,G2,总表!$I:$I,"&gt;=0")</f>
        <v>7.0175438596491224E-2</v>
      </c>
      <c r="H24" s="29">
        <f>COUNTIFS(总表!$C:$C,H2,总表!$I:$I,"&gt;=88")/COUNTIFS(总表!$C:$C,H2,总表!$I:$I,"&gt;=0")</f>
        <v>8.9285714285714288E-2</v>
      </c>
      <c r="I24" s="29">
        <f>COUNTIFS(总表!$C:$C,I2,总表!$I:$I,"&gt;=88")/COUNTIFS(总表!$C:$C,I2,总表!$I:$I,"&gt;=0")</f>
        <v>1.8181818181818181E-2</v>
      </c>
      <c r="J24" s="29">
        <f>COUNTIFS(总表!$C:$C,J2,总表!$I:$I,"&gt;=88")/COUNTIFS(总表!$C:$C,J2,总表!$I:$I,"&gt;=0")</f>
        <v>7.5471698113207544E-2</v>
      </c>
      <c r="K24" s="29">
        <f>COUNTIFS(总表!$C:$C,K2,总表!$I:$I,"&gt;=88")/COUNTIFS(总表!$C:$C,K2,总表!$I:$I,"&gt;=0")</f>
        <v>0.82692307692307687</v>
      </c>
      <c r="L24" s="29">
        <f>COUNTIFS(总表!$C:$C,L2,总表!$I:$I,"&gt;=88")/COUNTIFS(总表!$C:$C,L2,总表!$I:$I,"&gt;=0")</f>
        <v>0.28000000000000003</v>
      </c>
      <c r="M24" s="29">
        <f>COUNTIFS(总表!$C:$C,M2,总表!$I:$I,"&gt;=88")/COUNTIFS(总表!$C:$C,M2,总表!$I:$I,"&gt;=0")</f>
        <v>0</v>
      </c>
      <c r="N24" s="29">
        <f>COUNTIFS(总表!$C:$C,N2,总表!$I:$I,"&gt;=88")/COUNTIFS(总表!$C:$C,N2,总表!$I:$I,"&gt;=0")</f>
        <v>3.5087719298245612E-2</v>
      </c>
      <c r="O24" s="29">
        <f>COUNTIFS(总表!$C:$C,O2,总表!$I:$I,"&gt;=88")/COUNTIFS(总表!$C:$C,O2,总表!$I:$I,"&gt;=0")</f>
        <v>7.1428571428571425E-2</v>
      </c>
      <c r="P24" s="29">
        <f>COUNTIFS(总表!$C:$C,P2,总表!$I:$I,"&gt;=88")/COUNTIFS(总表!$C:$C,P2,总表!$I:$I,"&gt;=0")</f>
        <v>5.4545454545454543E-2</v>
      </c>
      <c r="Q24" s="29">
        <f>COUNTIFS(总表!$C:$C,Q2,总表!$I:$I,"&gt;=88")/COUNTIFS(总表!$C:$C,Q2,总表!$I:$I,"&gt;=0")</f>
        <v>0.10909090909090909</v>
      </c>
      <c r="R24" s="29">
        <f>COUNTIFS(总表!$C:$C,R2,总表!$I:$I,"&gt;=88")/COUNTIFS(总表!$C:$C,R2,总表!$I:$I,"&gt;=0")</f>
        <v>0.125</v>
      </c>
      <c r="S24" s="29">
        <f>COUNTIFS(总表!$C:$C,S2,总表!$I:$I,"&gt;=88")/COUNTIFS(总表!$C:$C,S2,总表!$I:$I,"&gt;=0")</f>
        <v>8.9285714285714288E-2</v>
      </c>
      <c r="T24" s="29">
        <f>COUNTIFS(总表!$B:$B,T2,总表!$I:$I,"&gt;=88")/COUNTIFS(总表!$B:$B,T2,总表!$I:$I,"&gt;=0")</f>
        <v>0.12098501070663811</v>
      </c>
      <c r="U24" s="29">
        <f>COUNTIFS(总表!$C:$C,U2,总表!$I:$I,"&gt;=80")/COUNTIFS(总表!$C:$C,U2,总表!$I:$I,"&gt;=0")</f>
        <v>0.15217391304347827</v>
      </c>
      <c r="V24" s="29">
        <f>COUNTIFS(总表!$C:$C,V2,总表!$I:$I,"&gt;=80")/COUNTIFS(总表!$C:$C,V2,总表!$I:$I,"&gt;=0")</f>
        <v>2.2222222222222223E-2</v>
      </c>
      <c r="W24" s="29">
        <f>COUNTIFS(总表!$C:$C,W2,总表!$I:$I,"&gt;=80")/COUNTIFS(总表!$C:$C,W2,总表!$I:$I,"&gt;=0")</f>
        <v>0</v>
      </c>
      <c r="X24" s="29">
        <f>COUNTIFS(总表!$B:$B,X2,总表!$I:$I,"&gt;=80")/COUNTIFS(总表!$B:$B,X2,总表!$I:$I,"&gt;=0")</f>
        <v>5.9701492537313432E-2</v>
      </c>
    </row>
    <row r="25" spans="1:24" ht="21.75" customHeight="1">
      <c r="A25" s="176"/>
      <c r="B25" s="95" t="s">
        <v>3206</v>
      </c>
      <c r="C25" s="29">
        <f>COUNTIFS(总表!$C:$C,C2,总表!$I:$I,"&gt;=66")/COUNTIFS(总表!$C:$C,C2,总表!$I:$I,"&gt;=0")</f>
        <v>0.54545454545454541</v>
      </c>
      <c r="D25" s="29">
        <f>COUNTIFS(总表!$C:$C,D2,总表!$I:$I,"&gt;=66")/COUNTIFS(总表!$C:$C,D2,总表!$I:$I,"&gt;=0")</f>
        <v>0.38181818181818183</v>
      </c>
      <c r="E25" s="29">
        <f>COUNTIFS(总表!$C:$C,E2,总表!$I:$I,"&gt;=66")/COUNTIFS(总表!$C:$C,E2,总表!$I:$I,"&gt;=0")</f>
        <v>0.50877192982456143</v>
      </c>
      <c r="F25" s="29">
        <f>COUNTIFS(总表!$C:$C,F2,总表!$I:$I,"&gt;=66")/COUNTIFS(总表!$C:$C,F2,总表!$I:$I,"&gt;=0")</f>
        <v>0.5</v>
      </c>
      <c r="G25" s="29">
        <f>COUNTIFS(总表!$C:$C,G2,总表!$I:$I,"&gt;=66")/COUNTIFS(总表!$C:$C,G2,总表!$I:$I,"&gt;=0")</f>
        <v>0.43859649122807015</v>
      </c>
      <c r="H25" s="29">
        <f>COUNTIFS(总表!$C:$C,H2,总表!$I:$I,"&gt;=66")/COUNTIFS(总表!$C:$C,H2,总表!$I:$I,"&gt;=0")</f>
        <v>0.48214285714285715</v>
      </c>
      <c r="I25" s="29">
        <f>COUNTIFS(总表!$C:$C,I2,总表!$I:$I,"&gt;=66")/COUNTIFS(总表!$C:$C,I2,总表!$I:$I,"&gt;=0")</f>
        <v>0.47272727272727272</v>
      </c>
      <c r="J25" s="29">
        <f>COUNTIFS(总表!$C:$C,J2,总表!$I:$I,"&gt;=66")/COUNTIFS(总表!$C:$C,J2,总表!$I:$I,"&gt;=0")</f>
        <v>0.49056603773584906</v>
      </c>
      <c r="K25" s="29">
        <f>COUNTIFS(总表!$C:$C,K2,总表!$I:$I,"&gt;=66")/COUNTIFS(总表!$C:$C,K2,总表!$I:$I,"&gt;=0")</f>
        <v>1</v>
      </c>
      <c r="L25" s="29">
        <f>COUNTIFS(总表!$C:$C,L2,总表!$I:$I,"&gt;=66")/COUNTIFS(总表!$C:$C,L2,总表!$I:$I,"&gt;=0")</f>
        <v>0.94</v>
      </c>
      <c r="M25" s="29">
        <f>COUNTIFS(总表!$C:$C,M2,总表!$I:$I,"&gt;=66")/COUNTIFS(总表!$C:$C,M2,总表!$I:$I,"&gt;=0")</f>
        <v>0.49090909090909091</v>
      </c>
      <c r="N25" s="29">
        <f>COUNTIFS(总表!$C:$C,N2,总表!$I:$I,"&gt;=66")/COUNTIFS(总表!$C:$C,N2,总表!$I:$I,"&gt;=0")</f>
        <v>0.45614035087719296</v>
      </c>
      <c r="O25" s="29">
        <f>COUNTIFS(总表!$C:$C,O2,总表!$I:$I,"&gt;=66")/COUNTIFS(总表!$C:$C,O2,总表!$I:$I,"&gt;=0")</f>
        <v>0.44642857142857145</v>
      </c>
      <c r="P25" s="29">
        <f>COUNTIFS(总表!$C:$C,P2,总表!$I:$I,"&gt;=66")/COUNTIFS(总表!$C:$C,P2,总表!$I:$I,"&gt;=0")</f>
        <v>0.43636363636363634</v>
      </c>
      <c r="Q25" s="29">
        <f>COUNTIFS(总表!$C:$C,Q2,总表!$I:$I,"&gt;=66")/COUNTIFS(总表!$C:$C,Q2,总表!$I:$I,"&gt;=0")</f>
        <v>0.58181818181818179</v>
      </c>
      <c r="R25" s="29">
        <f>COUNTIFS(总表!$C:$C,R2,总表!$I:$I,"&gt;=66")/COUNTIFS(总表!$C:$C,R2,总表!$I:$I,"&gt;=0")</f>
        <v>0.5892857142857143</v>
      </c>
      <c r="S25" s="29">
        <f>COUNTIFS(总表!$C:$C,S2,总表!$I:$I,"&gt;=66")/COUNTIFS(总表!$C:$C,S2,总表!$I:$I,"&gt;=0")</f>
        <v>0.4107142857142857</v>
      </c>
      <c r="T25" s="29">
        <f>COUNTIFS(总表!$B:$B,T2,总表!$I:$I,"&gt;=66")/COUNTIFS(总表!$B:$B,T2,总表!$I:$I,"&gt;=0")</f>
        <v>0.53533190578158463</v>
      </c>
      <c r="U25" s="29">
        <f>COUNTIFS(总表!$C:$C,U2,总表!$I:$I,"&gt;=60")/COUNTIFS(总表!$C:$C,U2,总表!$I:$I,"&gt;=0")</f>
        <v>0.95652173913043481</v>
      </c>
      <c r="V25" s="29">
        <f>COUNTIFS(总表!$C:$C,V2,总表!$I:$I,"&gt;=60")/COUNTIFS(总表!$C:$C,V2,总表!$I:$I,"&gt;=0")</f>
        <v>0.66666666666666663</v>
      </c>
      <c r="W25" s="29">
        <f>COUNTIFS(总表!$C:$C,W2,总表!$I:$I,"&gt;=60")/COUNTIFS(总表!$C:$C,W2,总表!$I:$I,"&gt;=0")</f>
        <v>0.79069767441860461</v>
      </c>
      <c r="X25" s="29">
        <f>COUNTIFS(总表!$B:$B,X2,总表!$I:$I,"&gt;=60")/COUNTIFS(总表!$B:$B,X2,总表!$I:$I,"&gt;=0")</f>
        <v>0.80597014925373134</v>
      </c>
    </row>
    <row r="26" spans="1:24" ht="21.75" customHeight="1">
      <c r="A26" s="176"/>
      <c r="B26" s="95" t="s">
        <v>3207</v>
      </c>
      <c r="C26" s="28">
        <f>RANK(C25,$C$25:$S$25)</f>
        <v>5</v>
      </c>
      <c r="D26" s="28">
        <f t="shared" ref="D26:S26" si="7">RANK(D25,$C$25:$S$25)</f>
        <v>17</v>
      </c>
      <c r="E26" s="28">
        <f t="shared" si="7"/>
        <v>6</v>
      </c>
      <c r="F26" s="28">
        <f t="shared" si="7"/>
        <v>7</v>
      </c>
      <c r="G26" s="28">
        <f t="shared" si="7"/>
        <v>14</v>
      </c>
      <c r="H26" s="28">
        <f t="shared" si="7"/>
        <v>10</v>
      </c>
      <c r="I26" s="28">
        <f t="shared" si="7"/>
        <v>11</v>
      </c>
      <c r="J26" s="28">
        <f t="shared" si="7"/>
        <v>9</v>
      </c>
      <c r="K26" s="28">
        <f t="shared" si="7"/>
        <v>1</v>
      </c>
      <c r="L26" s="28">
        <f t="shared" si="7"/>
        <v>2</v>
      </c>
      <c r="M26" s="28">
        <f t="shared" si="7"/>
        <v>8</v>
      </c>
      <c r="N26" s="28">
        <f t="shared" si="7"/>
        <v>12</v>
      </c>
      <c r="O26" s="28">
        <f t="shared" si="7"/>
        <v>13</v>
      </c>
      <c r="P26" s="28">
        <f t="shared" si="7"/>
        <v>15</v>
      </c>
      <c r="Q26" s="28">
        <f t="shared" si="7"/>
        <v>4</v>
      </c>
      <c r="R26" s="28">
        <f t="shared" si="7"/>
        <v>3</v>
      </c>
      <c r="S26" s="28">
        <f t="shared" si="7"/>
        <v>16</v>
      </c>
      <c r="T26" s="29"/>
      <c r="U26" s="28">
        <f>RANK(U25,$U$25:$W$25)</f>
        <v>1</v>
      </c>
      <c r="V26" s="28">
        <f>RANK(V25,$U$25:$W$25)</f>
        <v>3</v>
      </c>
      <c r="W26" s="28">
        <f>RANK(W25,$U$25:$W$25)</f>
        <v>2</v>
      </c>
      <c r="X26" s="29"/>
    </row>
    <row r="27" spans="1:24" ht="21.75" customHeight="1">
      <c r="A27" s="176" t="s">
        <v>3441</v>
      </c>
      <c r="B27" s="95" t="s">
        <v>3202</v>
      </c>
      <c r="C27" s="96" t="s">
        <v>3409</v>
      </c>
      <c r="D27" s="96" t="s">
        <v>3409</v>
      </c>
      <c r="E27" s="96" t="s">
        <v>3410</v>
      </c>
      <c r="F27" s="96" t="s">
        <v>3410</v>
      </c>
      <c r="G27" s="96" t="s">
        <v>3411</v>
      </c>
      <c r="H27" s="96" t="s">
        <v>3411</v>
      </c>
      <c r="I27" s="96" t="s">
        <v>3412</v>
      </c>
      <c r="J27" s="96" t="s">
        <v>3412</v>
      </c>
      <c r="K27" s="96" t="s">
        <v>3413</v>
      </c>
      <c r="L27" s="96" t="s">
        <v>3303</v>
      </c>
      <c r="M27" s="96" t="s">
        <v>3413</v>
      </c>
      <c r="N27" s="96" t="s">
        <v>3414</v>
      </c>
      <c r="O27" s="96" t="s">
        <v>3414</v>
      </c>
      <c r="P27" s="96" t="s">
        <v>3415</v>
      </c>
      <c r="Q27" s="96" t="s">
        <v>3415</v>
      </c>
      <c r="R27" s="96" t="s">
        <v>3416</v>
      </c>
      <c r="S27" s="96" t="s">
        <v>3416</v>
      </c>
      <c r="T27" s="96"/>
      <c r="U27" s="96" t="s">
        <v>3417</v>
      </c>
      <c r="V27" s="96" t="s">
        <v>3418</v>
      </c>
      <c r="W27" s="96" t="s">
        <v>3419</v>
      </c>
      <c r="X27" s="95"/>
    </row>
    <row r="28" spans="1:24" ht="21.75" customHeight="1">
      <c r="A28" s="176"/>
      <c r="B28" s="27" t="s">
        <v>3203</v>
      </c>
      <c r="C28" s="27">
        <f>AVERAGEIFS(总表!$J:$J,总表!$C:$C,"1801")</f>
        <v>51.672727272727272</v>
      </c>
      <c r="D28" s="27">
        <f>AVERAGEIFS(总表!$J:$J,总表!$C:$C,"1802")</f>
        <v>52.836363636363636</v>
      </c>
      <c r="E28" s="27">
        <f>AVERAGEIFS(总表!$J:$J,总表!$C:$C,"1803")</f>
        <v>55.228070175438596</v>
      </c>
      <c r="F28" s="27">
        <f>AVERAGEIFS(总表!$J:$J,总表!$C:$C,"1804")</f>
        <v>54.166666666666664</v>
      </c>
      <c r="G28" s="27">
        <f>AVERAGEIFS(总表!$J:$J,总表!$C:$C,"1805")</f>
        <v>54.912280701754383</v>
      </c>
      <c r="H28" s="27">
        <f>AVERAGEIFS(总表!$J:$J,总表!$C:$C,"1806")</f>
        <v>54.857142857142854</v>
      </c>
      <c r="I28" s="27">
        <f>AVERAGEIFS(总表!$J:$J,总表!$C:$C,"1807")</f>
        <v>56.018181818181816</v>
      </c>
      <c r="J28" s="27">
        <f>AVERAGEIFS(总表!$J:$J,总表!$C:$C,"1808")</f>
        <v>49.849056603773583</v>
      </c>
      <c r="K28" s="27">
        <f>AVERAGEIFS(总表!$J:$J,总表!$C:$C,"1809")</f>
        <v>78.384615384615387</v>
      </c>
      <c r="L28" s="27">
        <f>AVERAGEIFS(总表!$J:$J,总表!$C:$C,"1810")</f>
        <v>74.42</v>
      </c>
      <c r="M28" s="27">
        <f>AVERAGEIFS(总表!$J:$J,总表!$C:$C,"1811")</f>
        <v>53.254545454545458</v>
      </c>
      <c r="N28" s="27">
        <f>AVERAGEIFS(总表!$J:$J,总表!$C:$C,"1812")</f>
        <v>53.684210526315788</v>
      </c>
      <c r="O28" s="27">
        <f>AVERAGEIFS(总表!$J:$J,总表!$C:$C,"1813")</f>
        <v>53.982142857142854</v>
      </c>
      <c r="P28" s="27">
        <f>AVERAGEIFS(总表!$J:$J,总表!$C:$C,"1814")</f>
        <v>50.418181818181822</v>
      </c>
      <c r="Q28" s="27">
        <f>AVERAGEIFS(总表!$J:$J,总表!$C:$C,"1815")</f>
        <v>52.81818181818182</v>
      </c>
      <c r="R28" s="27">
        <f>AVERAGEIFS(总表!$J:$J,总表!$C:$C,"1816")</f>
        <v>52.589285714285715</v>
      </c>
      <c r="S28" s="27">
        <f>AVERAGEIFS(总表!$J:$J,总表!$C:$C,"1817")</f>
        <v>50.696428571428569</v>
      </c>
      <c r="T28" s="27">
        <f>AVERAGEIFS(总表!$J:$J,总表!$B:$B,"理科")</f>
        <v>55.692719486081373</v>
      </c>
      <c r="U28" s="27">
        <f>AVERAGEIFS(总表!$J:$J,总表!$C:$C,"1818")</f>
        <v>74.108695652173907</v>
      </c>
      <c r="V28" s="27">
        <f>AVERAGEIFS(总表!$J:$J,总表!$C:$C,"1819")</f>
        <v>61.155555555555559</v>
      </c>
      <c r="W28" s="27">
        <f>AVERAGEIFS(总表!$J:$J,总表!$C:$C,"1820")</f>
        <v>62.093023255813954</v>
      </c>
      <c r="X28" s="27">
        <f>AVERAGEIFS(总表!$J:$J,总表!$B:$B,"文科")</f>
        <v>65.902985074626869</v>
      </c>
    </row>
    <row r="29" spans="1:24" ht="21.75" customHeight="1">
      <c r="A29" s="176"/>
      <c r="B29" s="27" t="s">
        <v>3204</v>
      </c>
      <c r="C29" s="28">
        <f t="shared" ref="C29:S29" si="8">RANK(C28,$C$28:$S$28)</f>
        <v>14</v>
      </c>
      <c r="D29" s="28">
        <f t="shared" si="8"/>
        <v>11</v>
      </c>
      <c r="E29" s="28">
        <f t="shared" si="8"/>
        <v>4</v>
      </c>
      <c r="F29" s="28">
        <f t="shared" si="8"/>
        <v>7</v>
      </c>
      <c r="G29" s="28">
        <f t="shared" si="8"/>
        <v>5</v>
      </c>
      <c r="H29" s="28">
        <f t="shared" si="8"/>
        <v>6</v>
      </c>
      <c r="I29" s="28">
        <f t="shared" si="8"/>
        <v>3</v>
      </c>
      <c r="J29" s="28">
        <f t="shared" si="8"/>
        <v>17</v>
      </c>
      <c r="K29" s="28">
        <f t="shared" si="8"/>
        <v>1</v>
      </c>
      <c r="L29" s="28">
        <f t="shared" si="8"/>
        <v>2</v>
      </c>
      <c r="M29" s="28">
        <f t="shared" si="8"/>
        <v>10</v>
      </c>
      <c r="N29" s="28">
        <f t="shared" si="8"/>
        <v>9</v>
      </c>
      <c r="O29" s="28">
        <f t="shared" si="8"/>
        <v>8</v>
      </c>
      <c r="P29" s="28">
        <f t="shared" si="8"/>
        <v>16</v>
      </c>
      <c r="Q29" s="28">
        <f t="shared" si="8"/>
        <v>12</v>
      </c>
      <c r="R29" s="28">
        <f t="shared" si="8"/>
        <v>13</v>
      </c>
      <c r="S29" s="28">
        <f t="shared" si="8"/>
        <v>15</v>
      </c>
      <c r="T29" s="28"/>
      <c r="U29" s="28">
        <f>RANK(U28,$U$28:$W$28)</f>
        <v>1</v>
      </c>
      <c r="V29" s="28">
        <f>RANK(V28,$U$28:$W$28)</f>
        <v>3</v>
      </c>
      <c r="W29" s="28">
        <f>RANK(W28,$U$28:$W$28)</f>
        <v>2</v>
      </c>
      <c r="X29" s="28"/>
    </row>
    <row r="30" spans="1:24" ht="21.75" customHeight="1">
      <c r="A30" s="176"/>
      <c r="B30" s="95" t="s">
        <v>3205</v>
      </c>
      <c r="C30" s="29">
        <f>COUNTIFS(总表!$C:$C,C2,总表!$J:$J,"&gt;=80")/COUNTIFS(总表!$C:$C,C2,总表!$J:$J,"&gt;=0")</f>
        <v>0</v>
      </c>
      <c r="D30" s="29">
        <f>COUNTIFS(总表!$C:$C,D2,总表!$J:$J,"&gt;=80")/COUNTIFS(总表!$C:$C,D2,总表!$J:$J,"&gt;=0")</f>
        <v>0</v>
      </c>
      <c r="E30" s="29">
        <f>COUNTIFS(总表!$C:$C,E2,总表!$J:$J,"&gt;=80")/COUNTIFS(总表!$C:$C,E2,总表!$J:$J,"&gt;=0")</f>
        <v>5.2631578947368418E-2</v>
      </c>
      <c r="F30" s="29">
        <f>COUNTIFS(总表!$C:$C,F2,总表!$J:$J,"&gt;=80")/COUNTIFS(总表!$C:$C,F2,总表!$J:$J,"&gt;=0")</f>
        <v>1.8518518518518517E-2</v>
      </c>
      <c r="G30" s="29">
        <f>COUNTIFS(总表!$C:$C,G2,总表!$J:$J,"&gt;=80")/COUNTIFS(总表!$C:$C,G2,总表!$J:$J,"&gt;=0")</f>
        <v>0</v>
      </c>
      <c r="H30" s="29">
        <f>COUNTIFS(总表!$C:$C,H2,总表!$J:$J,"&gt;=80")/COUNTIFS(总表!$C:$C,H2,总表!$J:$J,"&gt;=0")</f>
        <v>1.7857142857142856E-2</v>
      </c>
      <c r="I30" s="29">
        <f>COUNTIFS(总表!$C:$C,I2,总表!$J:$J,"&gt;=80")/COUNTIFS(总表!$C:$C,I2,总表!$J:$J,"&gt;=0")</f>
        <v>1.8181818181818181E-2</v>
      </c>
      <c r="J30" s="29">
        <f>COUNTIFS(总表!$C:$C,J2,总表!$J:$J,"&gt;=80")/COUNTIFS(总表!$C:$C,J2,总表!$J:$J,"&gt;=0")</f>
        <v>0</v>
      </c>
      <c r="K30" s="29">
        <f>COUNTIFS(总表!$C:$C,K2,总表!$J:$J,"&gt;=80")/COUNTIFS(总表!$C:$C,K2,总表!$J:$J,"&gt;=0")</f>
        <v>0.48076923076923078</v>
      </c>
      <c r="L30" s="29">
        <f>COUNTIFS(总表!$C:$C,L2,总表!$J:$J,"&gt;=80")/COUNTIFS(总表!$C:$C,L2,总表!$J:$J,"&gt;=0")</f>
        <v>0.24</v>
      </c>
      <c r="M30" s="29">
        <f>COUNTIFS(总表!$C:$C,M2,总表!$J:$J,"&gt;=80")/COUNTIFS(总表!$C:$C,M2,总表!$J:$J,"&gt;=0")</f>
        <v>0</v>
      </c>
      <c r="N30" s="29">
        <f>COUNTIFS(总表!$C:$C,N2,总表!$J:$J,"&gt;=80")/COUNTIFS(总表!$C:$C,N2,总表!$J:$J,"&gt;=0")</f>
        <v>0</v>
      </c>
      <c r="O30" s="29">
        <f>COUNTIFS(总表!$C:$C,O2,总表!$J:$J,"&gt;=80")/COUNTIFS(总表!$C:$C,O2,总表!$J:$J,"&gt;=0")</f>
        <v>3.5714285714285712E-2</v>
      </c>
      <c r="P30" s="29">
        <f>COUNTIFS(总表!$C:$C,P2,总表!$J:$J,"&gt;=80")/COUNTIFS(总表!$C:$C,P2,总表!$J:$J,"&gt;=0")</f>
        <v>0</v>
      </c>
      <c r="Q30" s="29">
        <f>COUNTIFS(总表!$C:$C,Q2,总表!$J:$J,"&gt;=80")/COUNTIFS(总表!$C:$C,Q2,总表!$J:$J,"&gt;=0")</f>
        <v>0</v>
      </c>
      <c r="R30" s="29">
        <f>COUNTIFS(总表!$C:$C,R2,总表!$J:$J,"&gt;=80")/COUNTIFS(总表!$C:$C,R2,总表!$J:$J,"&gt;=0")</f>
        <v>3.5714285714285712E-2</v>
      </c>
      <c r="S30" s="29">
        <f>COUNTIFS(总表!$C:$C,S2,总表!$J:$J,"&gt;=80")/COUNTIFS(总表!$C:$C,S2,总表!$J:$J,"&gt;=0")</f>
        <v>1.7857142857142856E-2</v>
      </c>
      <c r="T30" s="29">
        <f>COUNTIFS(总表!$B:$B,T2,总表!$J:$J,"&gt;=80")/COUNTIFS(总表!$B:$B,T2,总表!$J:$J,"&gt;=0")</f>
        <v>5.1391862955032119E-2</v>
      </c>
      <c r="U30" s="29">
        <f>COUNTIFS(总表!$C:$C,U2,总表!$J:$J,"&gt;=80")/COUNTIFS(总表!$C:$C,U2,总表!$J:$J,"&gt;=0")</f>
        <v>0.28260869565217389</v>
      </c>
      <c r="V30" s="29">
        <f>COUNTIFS(总表!$C:$C,V2,总表!$J:$J,"&gt;=80")/COUNTIFS(总表!$C:$C,V2,总表!$J:$J,"&gt;=0")</f>
        <v>2.2222222222222223E-2</v>
      </c>
      <c r="W30" s="29">
        <f>COUNTIFS(总表!$C:$C,W2,总表!$J:$J,"&gt;=80")/COUNTIFS(总表!$C:$C,W2,总表!$J:$J,"&gt;=0")</f>
        <v>0</v>
      </c>
      <c r="X30" s="29">
        <f>COUNTIFS(总表!$B:$B,X2,总表!$J:$J,"&gt;=80")/COUNTIFS(总表!$B:$B,X2,总表!$J:$J,"&gt;=0")</f>
        <v>0.1044776119402985</v>
      </c>
    </row>
    <row r="31" spans="1:24" ht="21.75" customHeight="1">
      <c r="A31" s="176"/>
      <c r="B31" s="95" t="s">
        <v>3206</v>
      </c>
      <c r="C31" s="29">
        <f>COUNTIFS(总表!$C:$C,C2,总表!$J:$J,"&gt;=60")/COUNTIFS(总表!$C:$C,C2,总表!$J:$J,"&gt;=0")</f>
        <v>0.23636363636363636</v>
      </c>
      <c r="D31" s="29">
        <f>COUNTIFS(总表!$C:$C,D2,总表!$J:$J,"&gt;=60")/COUNTIFS(总表!$C:$C,D2,总表!$J:$J,"&gt;=0")</f>
        <v>0.29090909090909089</v>
      </c>
      <c r="E31" s="29">
        <f>COUNTIFS(总表!$C:$C,E2,总表!$J:$J,"&gt;=60")/COUNTIFS(总表!$C:$C,E2,总表!$J:$J,"&gt;=0")</f>
        <v>0.33333333333333331</v>
      </c>
      <c r="F31" s="29">
        <f>COUNTIFS(总表!$C:$C,F2,总表!$J:$J,"&gt;=60")/COUNTIFS(总表!$C:$C,F2,总表!$J:$J,"&gt;=0")</f>
        <v>0.27777777777777779</v>
      </c>
      <c r="G31" s="29">
        <f>COUNTIFS(总表!$C:$C,G2,总表!$J:$J,"&gt;=60")/COUNTIFS(总表!$C:$C,G2,总表!$J:$J,"&gt;=0")</f>
        <v>0.38596491228070173</v>
      </c>
      <c r="H31" s="29">
        <f>COUNTIFS(总表!$C:$C,H2,总表!$J:$J,"&gt;=60")/COUNTIFS(总表!$C:$C,H2,总表!$J:$J,"&gt;=0")</f>
        <v>0.32142857142857145</v>
      </c>
      <c r="I31" s="29">
        <f>COUNTIFS(总表!$C:$C,I2,总表!$J:$J,"&gt;=60")/COUNTIFS(总表!$C:$C,I2,总表!$J:$J,"&gt;=0")</f>
        <v>0.43636363636363634</v>
      </c>
      <c r="J31" s="29">
        <f>COUNTIFS(总表!$C:$C,J2,总表!$J:$J,"&gt;=60")/COUNTIFS(总表!$C:$C,J2,总表!$J:$J,"&gt;=0")</f>
        <v>0.28301886792452829</v>
      </c>
      <c r="K31" s="29">
        <f>COUNTIFS(总表!$C:$C,K2,总表!$J:$J,"&gt;=60")/COUNTIFS(总表!$C:$C,K2,总表!$J:$J,"&gt;=0")</f>
        <v>1</v>
      </c>
      <c r="L31" s="29">
        <f>COUNTIFS(总表!$C:$C,L2,总表!$J:$J,"&gt;=60")/COUNTIFS(总表!$C:$C,L2,总表!$J:$J,"&gt;=0")</f>
        <v>0.96</v>
      </c>
      <c r="M31" s="29">
        <f>COUNTIFS(总表!$C:$C,M2,总表!$J:$J,"&gt;=60")/COUNTIFS(总表!$C:$C,M2,总表!$J:$J,"&gt;=0")</f>
        <v>0.29090909090909089</v>
      </c>
      <c r="N31" s="29">
        <f>COUNTIFS(总表!$C:$C,N2,总表!$J:$J,"&gt;=60")/COUNTIFS(总表!$C:$C,N2,总表!$J:$J,"&gt;=0")</f>
        <v>0.31578947368421051</v>
      </c>
      <c r="O31" s="29">
        <f>COUNTIFS(总表!$C:$C,O2,总表!$J:$J,"&gt;=60")/COUNTIFS(总表!$C:$C,O2,总表!$J:$J,"&gt;=0")</f>
        <v>0.26785714285714285</v>
      </c>
      <c r="P31" s="29">
        <f>COUNTIFS(总表!$C:$C,P2,总表!$J:$J,"&gt;=60")/COUNTIFS(总表!$C:$C,P2,总表!$J:$J,"&gt;=0")</f>
        <v>0.25454545454545452</v>
      </c>
      <c r="Q31" s="29">
        <f>COUNTIFS(总表!$C:$C,Q2,总表!$J:$J,"&gt;=60")/COUNTIFS(总表!$C:$C,Q2,总表!$J:$J,"&gt;=0")</f>
        <v>0.29090909090909089</v>
      </c>
      <c r="R31" s="29">
        <f>COUNTIFS(总表!$C:$C,R2,总表!$J:$J,"&gt;=60")/COUNTIFS(总表!$C:$C,R2,总表!$J:$J,"&gt;=0")</f>
        <v>0.25</v>
      </c>
      <c r="S31" s="29">
        <f>COUNTIFS(总表!$C:$C,S2,总表!$J:$J,"&gt;=60")/COUNTIFS(总表!$C:$C,S2,总表!$J:$J,"&gt;=0")</f>
        <v>0.21428571428571427</v>
      </c>
      <c r="T31" s="29">
        <f>COUNTIFS(总表!$B:$B,T2,总表!$J:$J,"&gt;=60")/COUNTIFS(总表!$B:$B,T2,总表!$J:$J,"&gt;=0")</f>
        <v>0.37152034261241967</v>
      </c>
      <c r="U31" s="29">
        <f>COUNTIFS(总表!$C:$C,U2,总表!$J:$J,"&gt;=60")/COUNTIFS(总表!$C:$C,U2,总表!$J:$J,"&gt;=0")</f>
        <v>0.95652173913043481</v>
      </c>
      <c r="V31" s="29">
        <f>COUNTIFS(总表!$C:$C,V2,总表!$J:$J,"&gt;=60")/COUNTIFS(总表!$C:$C,V2,总表!$J:$J,"&gt;=0")</f>
        <v>0.64444444444444449</v>
      </c>
      <c r="W31" s="29">
        <f>COUNTIFS(总表!$C:$C,W2,总表!$J:$J,"&gt;=60")/COUNTIFS(总表!$C:$C,W2,总表!$J:$J,"&gt;=0")</f>
        <v>0.72093023255813948</v>
      </c>
      <c r="X31" s="29">
        <f>COUNTIFS(总表!$B:$B,X2,总表!$J:$J,"&gt;=60")/COUNTIFS(总表!$B:$B,X2,总表!$J:$J,"&gt;=0")</f>
        <v>0.77611940298507465</v>
      </c>
    </row>
    <row r="32" spans="1:24" ht="21.75" customHeight="1">
      <c r="A32" s="176"/>
      <c r="B32" s="95" t="s">
        <v>3207</v>
      </c>
      <c r="C32" s="28">
        <f>RANK(C31,$C$31:$S$31)</f>
        <v>16</v>
      </c>
      <c r="D32" s="28">
        <f t="shared" ref="D32:S32" si="9">RANK(D31,$C$31:$S$31)</f>
        <v>8</v>
      </c>
      <c r="E32" s="28">
        <f t="shared" si="9"/>
        <v>5</v>
      </c>
      <c r="F32" s="28">
        <f t="shared" si="9"/>
        <v>12</v>
      </c>
      <c r="G32" s="28">
        <f t="shared" si="9"/>
        <v>4</v>
      </c>
      <c r="H32" s="28">
        <f t="shared" si="9"/>
        <v>6</v>
      </c>
      <c r="I32" s="28">
        <f t="shared" si="9"/>
        <v>3</v>
      </c>
      <c r="J32" s="28">
        <f t="shared" si="9"/>
        <v>11</v>
      </c>
      <c r="K32" s="28">
        <f t="shared" si="9"/>
        <v>1</v>
      </c>
      <c r="L32" s="28">
        <f t="shared" si="9"/>
        <v>2</v>
      </c>
      <c r="M32" s="28">
        <f t="shared" si="9"/>
        <v>8</v>
      </c>
      <c r="N32" s="28">
        <f t="shared" si="9"/>
        <v>7</v>
      </c>
      <c r="O32" s="28">
        <f t="shared" si="9"/>
        <v>13</v>
      </c>
      <c r="P32" s="28">
        <f t="shared" si="9"/>
        <v>14</v>
      </c>
      <c r="Q32" s="28">
        <f t="shared" si="9"/>
        <v>8</v>
      </c>
      <c r="R32" s="28">
        <f t="shared" si="9"/>
        <v>15</v>
      </c>
      <c r="S32" s="28">
        <f t="shared" si="9"/>
        <v>17</v>
      </c>
      <c r="T32" s="29"/>
      <c r="U32" s="28">
        <f>RANK(U31,$U$31:$W$31)</f>
        <v>1</v>
      </c>
      <c r="V32" s="28">
        <f>RANK(V31,$U$31:$W$31)</f>
        <v>3</v>
      </c>
      <c r="W32" s="28">
        <f>RANK(W31,$U$31:$W$31)</f>
        <v>2</v>
      </c>
      <c r="X32" s="29"/>
    </row>
    <row r="33" spans="1:24" ht="21.75" customHeight="1">
      <c r="A33" s="176" t="s">
        <v>3223</v>
      </c>
      <c r="B33" s="95" t="s">
        <v>3202</v>
      </c>
      <c r="C33" s="96" t="s">
        <v>3420</v>
      </c>
      <c r="D33" s="96" t="s">
        <v>3420</v>
      </c>
      <c r="E33" s="96" t="s">
        <v>3420</v>
      </c>
      <c r="F33" s="96" t="s">
        <v>3421</v>
      </c>
      <c r="G33" s="96" t="s">
        <v>3422</v>
      </c>
      <c r="H33" s="96" t="s">
        <v>3422</v>
      </c>
      <c r="I33" s="96" t="s">
        <v>3422</v>
      </c>
      <c r="J33" s="96" t="s">
        <v>3423</v>
      </c>
      <c r="K33" s="96" t="s">
        <v>3423</v>
      </c>
      <c r="L33" s="96" t="s">
        <v>3423</v>
      </c>
      <c r="M33" s="96" t="s">
        <v>3424</v>
      </c>
      <c r="N33" s="96" t="s">
        <v>3424</v>
      </c>
      <c r="O33" s="96" t="s">
        <v>3424</v>
      </c>
      <c r="P33" s="96" t="s">
        <v>3425</v>
      </c>
      <c r="Q33" s="96" t="s">
        <v>3425</v>
      </c>
      <c r="R33" s="96" t="s">
        <v>3426</v>
      </c>
      <c r="S33" s="96" t="s">
        <v>3425</v>
      </c>
      <c r="T33" s="96"/>
      <c r="U33" s="96" t="s">
        <v>3427</v>
      </c>
      <c r="V33" s="96" t="s">
        <v>3427</v>
      </c>
      <c r="W33" s="96" t="s">
        <v>3428</v>
      </c>
      <c r="X33" s="95"/>
    </row>
    <row r="34" spans="1:24" ht="21.75" customHeight="1">
      <c r="A34" s="176"/>
      <c r="B34" s="27" t="s">
        <v>3203</v>
      </c>
      <c r="C34" s="27">
        <f>AVERAGEIFS(总表!$K:$K,总表!$C:$C,"1801")</f>
        <v>68.25454545454545</v>
      </c>
      <c r="D34" s="27">
        <f>AVERAGEIFS(总表!$K:$K,总表!$C:$C,"1802")</f>
        <v>68.909090909090907</v>
      </c>
      <c r="E34" s="27">
        <f>AVERAGEIFS(总表!$K:$K,总表!$C:$C,"1803")</f>
        <v>69.561403508771932</v>
      </c>
      <c r="F34" s="27">
        <f>AVERAGEIFS(总表!$K:$K,总表!$C:$C,"1804")</f>
        <v>68.611111111111114</v>
      </c>
      <c r="G34" s="27">
        <f>AVERAGEIFS(总表!$K:$K,总表!$C:$C,"1805")</f>
        <v>67.070175438596493</v>
      </c>
      <c r="H34" s="27">
        <f>AVERAGEIFS(总表!$K:$K,总表!$C:$C,"1806")</f>
        <v>69.196428571428569</v>
      </c>
      <c r="I34" s="27">
        <f>AVERAGEIFS(总表!$K:$K,总表!$C:$C,"1807")</f>
        <v>71.690909090909088</v>
      </c>
      <c r="J34" s="27">
        <f>AVERAGEIFS(总表!$K:$K,总表!$C:$C,"1808")</f>
        <v>74.528301886792448</v>
      </c>
      <c r="K34" s="27">
        <f>AVERAGEIFS(总表!$K:$K,总表!$C:$C,"1809")</f>
        <v>87.134615384615387</v>
      </c>
      <c r="L34" s="27">
        <f>AVERAGEIFS(总表!$K:$K,总表!$C:$C,"1810")</f>
        <v>82.5</v>
      </c>
      <c r="M34" s="27">
        <f>AVERAGEIFS(总表!$K:$K,总表!$C:$C,"1811")</f>
        <v>66.763636363636365</v>
      </c>
      <c r="N34" s="27">
        <f>AVERAGEIFS(总表!$K:$K,总表!$C:$C,"1812")</f>
        <v>69.736842105263165</v>
      </c>
      <c r="O34" s="27">
        <f>AVERAGEIFS(总表!$K:$K,总表!$C:$C,"1813")</f>
        <v>67.035714285714292</v>
      </c>
      <c r="P34" s="27">
        <f>AVERAGEIFS(总表!$K:$K,总表!$C:$C,"1814")</f>
        <v>68.127272727272725</v>
      </c>
      <c r="Q34" s="27">
        <f>AVERAGEIFS(总表!$K:$K,总表!$C:$C,"1815")</f>
        <v>67.381818181818176</v>
      </c>
      <c r="R34" s="27">
        <f>AVERAGEIFS(总表!$K:$K,总表!$C:$C,"1816")</f>
        <v>66.892857142857139</v>
      </c>
      <c r="S34" s="27">
        <f>AVERAGEIFS(总表!$K:$K,总表!$C:$C,"1817")</f>
        <v>67.928571428571431</v>
      </c>
      <c r="T34" s="27">
        <f>AVERAGEIFS(总表!$K:$K,总表!$B:$B,"理科")</f>
        <v>70.519271948608136</v>
      </c>
      <c r="U34" s="27">
        <f>AVERAGEIFS(总表!$K:$K,总表!$C:$C,"1818")</f>
        <v>73.086956521739125</v>
      </c>
      <c r="V34" s="27">
        <f>AVERAGEIFS(总表!$K:$K,总表!$C:$C,"1819")</f>
        <v>65.555555555555557</v>
      </c>
      <c r="W34" s="27">
        <f>AVERAGEIFS(总表!$K:$K,总表!$C:$C,"1820")</f>
        <v>60.186046511627907</v>
      </c>
      <c r="X34" s="27">
        <f>AVERAGEIFS(总表!$K:$K,总表!$B:$B,"文科")</f>
        <v>66.417910447761187</v>
      </c>
    </row>
    <row r="35" spans="1:24" ht="21.75" customHeight="1">
      <c r="A35" s="176"/>
      <c r="B35" s="27" t="s">
        <v>3204</v>
      </c>
      <c r="C35" s="28">
        <f t="shared" ref="C35:S35" si="10">RANK(C34,$C$34:$S$34)</f>
        <v>10</v>
      </c>
      <c r="D35" s="28">
        <f t="shared" si="10"/>
        <v>8</v>
      </c>
      <c r="E35" s="28">
        <f t="shared" si="10"/>
        <v>6</v>
      </c>
      <c r="F35" s="28">
        <f t="shared" si="10"/>
        <v>9</v>
      </c>
      <c r="G35" s="28">
        <f t="shared" si="10"/>
        <v>14</v>
      </c>
      <c r="H35" s="28">
        <f t="shared" si="10"/>
        <v>7</v>
      </c>
      <c r="I35" s="28">
        <f t="shared" si="10"/>
        <v>4</v>
      </c>
      <c r="J35" s="28">
        <f t="shared" si="10"/>
        <v>3</v>
      </c>
      <c r="K35" s="28">
        <f t="shared" si="10"/>
        <v>1</v>
      </c>
      <c r="L35" s="28">
        <f t="shared" si="10"/>
        <v>2</v>
      </c>
      <c r="M35" s="28">
        <f t="shared" si="10"/>
        <v>17</v>
      </c>
      <c r="N35" s="28">
        <f t="shared" si="10"/>
        <v>5</v>
      </c>
      <c r="O35" s="28">
        <f t="shared" si="10"/>
        <v>15</v>
      </c>
      <c r="P35" s="28">
        <f t="shared" si="10"/>
        <v>11</v>
      </c>
      <c r="Q35" s="28">
        <f t="shared" si="10"/>
        <v>13</v>
      </c>
      <c r="R35" s="28">
        <f t="shared" si="10"/>
        <v>16</v>
      </c>
      <c r="S35" s="28">
        <f t="shared" si="10"/>
        <v>12</v>
      </c>
      <c r="T35" s="28"/>
      <c r="U35" s="28">
        <f>RANK(U34,$U$34:$W$34)</f>
        <v>1</v>
      </c>
      <c r="V35" s="28">
        <f>RANK(V34,$U$34:$W$34)</f>
        <v>2</v>
      </c>
      <c r="W35" s="28">
        <f>RANK(W34,$U$34:$W$34)</f>
        <v>3</v>
      </c>
      <c r="X35" s="28"/>
    </row>
    <row r="36" spans="1:24" ht="21.75" customHeight="1">
      <c r="A36" s="176"/>
      <c r="B36" s="95" t="s">
        <v>3205</v>
      </c>
      <c r="C36" s="29">
        <f>COUNTIFS(总表!$C:$C,C2,总表!$K:$K,"&gt;=80")/COUNTIFS(总表!$C:$C,C2,总表!$K:$K,"&gt;=0")</f>
        <v>0.2</v>
      </c>
      <c r="D36" s="29">
        <f>COUNTIFS(总表!$C:$C,D2,总表!$K:$K,"&gt;=80")/COUNTIFS(总表!$C:$C,D2,总表!$K:$K,"&gt;=0")</f>
        <v>0.12727272727272726</v>
      </c>
      <c r="E36" s="29">
        <f>COUNTIFS(总表!$C:$C,E2,总表!$K:$K,"&gt;=80")/COUNTIFS(总表!$C:$C,E2,总表!$K:$K,"&gt;=0")</f>
        <v>0.12280701754385964</v>
      </c>
      <c r="F36" s="29">
        <f>COUNTIFS(总表!$C:$C,F2,总表!$K:$K,"&gt;=80")/COUNTIFS(总表!$C:$C,F2,总表!$K:$K,"&gt;=0")</f>
        <v>0.12962962962962962</v>
      </c>
      <c r="G36" s="29">
        <f>COUNTIFS(总表!$C:$C,G2,总表!$K:$K,"&gt;=80")/COUNTIFS(总表!$C:$C,G2,总表!$K:$K,"&gt;=0")</f>
        <v>8.771929824561403E-2</v>
      </c>
      <c r="H36" s="29">
        <f>COUNTIFS(总表!$C:$C,H2,总表!$K:$K,"&gt;=80")/COUNTIFS(总表!$C:$C,H2,总表!$K:$K,"&gt;=0")</f>
        <v>0.17857142857142858</v>
      </c>
      <c r="I36" s="29">
        <f>COUNTIFS(总表!$C:$C,I2,总表!$K:$K,"&gt;=80")/COUNTIFS(总表!$C:$C,I2,总表!$K:$K,"&gt;=0")</f>
        <v>0.23636363636363636</v>
      </c>
      <c r="J36" s="29">
        <f>COUNTIFS(总表!$C:$C,J2,总表!$K:$K,"&gt;=80")/COUNTIFS(总表!$C:$C,J2,总表!$K:$K,"&gt;=0")</f>
        <v>0.35849056603773582</v>
      </c>
      <c r="K36" s="29">
        <f>COUNTIFS(总表!$C:$C,K2,总表!$K:$K,"&gt;=80")/COUNTIFS(总表!$C:$C,K2,总表!$K:$K,"&gt;=0")</f>
        <v>0.92307692307692313</v>
      </c>
      <c r="L36" s="29">
        <f>COUNTIFS(总表!$C:$C,L2,总表!$K:$K,"&gt;=80")/COUNTIFS(总表!$C:$C,L2,总表!$K:$K,"&gt;=0")</f>
        <v>0.7</v>
      </c>
      <c r="M36" s="29">
        <f>COUNTIFS(总表!$C:$C,M2,总表!$K:$K,"&gt;=80")/COUNTIFS(总表!$C:$C,M2,总表!$K:$K,"&gt;=0")</f>
        <v>9.0909090909090912E-2</v>
      </c>
      <c r="N36" s="29">
        <f>COUNTIFS(总表!$C:$C,N2,总表!$K:$K,"&gt;=80")/COUNTIFS(总表!$C:$C,N2,总表!$K:$K,"&gt;=0")</f>
        <v>0.22807017543859648</v>
      </c>
      <c r="O36" s="29">
        <f>COUNTIFS(总表!$C:$C,O2,总表!$K:$K,"&gt;=80")/COUNTIFS(总表!$C:$C,O2,总表!$K:$K,"&gt;=0")</f>
        <v>0.16071428571428573</v>
      </c>
      <c r="P36" s="29">
        <f>COUNTIFS(总表!$C:$C,P2,总表!$K:$K,"&gt;=80")/COUNTIFS(总表!$C:$C,P2,总表!$K:$K,"&gt;=0")</f>
        <v>0.16363636363636364</v>
      </c>
      <c r="Q36" s="29">
        <f>COUNTIFS(总表!$C:$C,Q2,总表!$K:$K,"&gt;=80")/COUNTIFS(总表!$C:$C,Q2,总表!$K:$K,"&gt;=0")</f>
        <v>0.14545454545454545</v>
      </c>
      <c r="R36" s="29">
        <f>COUNTIFS(总表!$C:$C,R2,总表!$K:$K,"&gt;=80")/COUNTIFS(总表!$C:$C,R2,总表!$K:$K,"&gt;=0")</f>
        <v>0.21428571428571427</v>
      </c>
      <c r="S36" s="29">
        <f>COUNTIFS(总表!$C:$C,S2,总表!$K:$K,"&gt;=80")/COUNTIFS(总表!$C:$C,S2,总表!$K:$K,"&gt;=0")</f>
        <v>0.17857142857142858</v>
      </c>
      <c r="T36" s="29">
        <f>COUNTIFS(总表!$B:$B,T2,总表!$K:$K,"&gt;=80")/COUNTIFS(总表!$B:$B,T2,总表!$K:$K,"&gt;=0")</f>
        <v>0.24411134903640258</v>
      </c>
      <c r="U36" s="29">
        <f>COUNTIFS(总表!$C:$C,U2,总表!$K:$K,"&gt;=80")/COUNTIFS(总表!$C:$C,U2,总表!$K:$K,"&gt;=0")</f>
        <v>0.17391304347826086</v>
      </c>
      <c r="V36" s="29">
        <f>COUNTIFS(总表!$C:$C,V2,总表!$K:$K,"&gt;=80")/COUNTIFS(总表!$C:$C,V2,总表!$K:$K,"&gt;=0")</f>
        <v>4.4444444444444446E-2</v>
      </c>
      <c r="W36" s="29">
        <f>COUNTIFS(总表!$C:$C,W2,总表!$K:$K,"&gt;=80")/COUNTIFS(总表!$C:$C,W2,总表!$K:$K,"&gt;=0")</f>
        <v>0</v>
      </c>
      <c r="X36" s="29">
        <f>COUNTIFS(总表!$B:$B,X2,总表!$K:$K,"&gt;=80")/COUNTIFS(总表!$B:$B,X2,总表!$K:$K,"&gt;=0")</f>
        <v>7.4626865671641784E-2</v>
      </c>
    </row>
    <row r="37" spans="1:24" ht="21.75" customHeight="1">
      <c r="A37" s="176"/>
      <c r="B37" s="95" t="s">
        <v>3206</v>
      </c>
      <c r="C37" s="29">
        <f>COUNTIFS(总表!$C:$C,C2,总表!$K:$K,"&gt;=60")/COUNTIFS(总表!$C:$C,C2,总表!$K:$K,"&gt;=0")</f>
        <v>0.74545454545454548</v>
      </c>
      <c r="D37" s="29">
        <f>COUNTIFS(总表!$C:$C,D2,总表!$K:$K,"&gt;=60")/COUNTIFS(总表!$C:$C,D2,总表!$K:$K,"&gt;=0")</f>
        <v>0.8</v>
      </c>
      <c r="E37" s="29">
        <f>COUNTIFS(总表!$C:$C,E2,总表!$K:$K,"&gt;=60")/COUNTIFS(总表!$C:$C,E2,总表!$K:$K,"&gt;=0")</f>
        <v>0.84210526315789469</v>
      </c>
      <c r="F37" s="29">
        <f>COUNTIFS(总表!$C:$C,F2,总表!$K:$K,"&gt;=60")/COUNTIFS(总表!$C:$C,F2,总表!$K:$K,"&gt;=0")</f>
        <v>0.79629629629629628</v>
      </c>
      <c r="G37" s="29">
        <f>COUNTIFS(总表!$C:$C,G2,总表!$K:$K,"&gt;=60")/COUNTIFS(总表!$C:$C,G2,总表!$K:$K,"&gt;=0")</f>
        <v>0.78947368421052633</v>
      </c>
      <c r="H37" s="29">
        <f>COUNTIFS(总表!$C:$C,H2,总表!$K:$K,"&gt;=60")/COUNTIFS(总表!$C:$C,H2,总表!$K:$K,"&gt;=0")</f>
        <v>0.8035714285714286</v>
      </c>
      <c r="I37" s="29">
        <f>COUNTIFS(总表!$C:$C,I2,总表!$K:$K,"&gt;=60")/COUNTIFS(总表!$C:$C,I2,总表!$K:$K,"&gt;=0")</f>
        <v>0.8545454545454545</v>
      </c>
      <c r="J37" s="29">
        <f>COUNTIFS(总表!$C:$C,J2,总表!$K:$K,"&gt;=60")/COUNTIFS(总表!$C:$C,J2,总表!$K:$K,"&gt;=0")</f>
        <v>0.8867924528301887</v>
      </c>
      <c r="K37" s="29">
        <f>COUNTIFS(总表!$C:$C,K2,总表!$K:$K,"&gt;=60")/COUNTIFS(总表!$C:$C,K2,总表!$K:$K,"&gt;=0")</f>
        <v>1</v>
      </c>
      <c r="L37" s="29">
        <f>COUNTIFS(总表!$C:$C,L2,总表!$K:$K,"&gt;=60")/COUNTIFS(总表!$C:$C,L2,总表!$K:$K,"&gt;=0")</f>
        <v>1</v>
      </c>
      <c r="M37" s="29">
        <f>COUNTIFS(总表!$C:$C,M2,总表!$K:$K,"&gt;=60")/COUNTIFS(总表!$C:$C,M2,总表!$K:$K,"&gt;=0")</f>
        <v>0.72727272727272729</v>
      </c>
      <c r="N37" s="29">
        <f>COUNTIFS(总表!$C:$C,N2,总表!$K:$K,"&gt;=60")/COUNTIFS(总表!$C:$C,N2,总表!$K:$K,"&gt;=0")</f>
        <v>0.84210526315789469</v>
      </c>
      <c r="O37" s="29">
        <f>COUNTIFS(总表!$C:$C,O2,总表!$K:$K,"&gt;=60")/COUNTIFS(总表!$C:$C,O2,总表!$K:$K,"&gt;=0")</f>
        <v>0.75</v>
      </c>
      <c r="P37" s="29">
        <f>COUNTIFS(总表!$C:$C,P2,总表!$K:$K,"&gt;=60")/COUNTIFS(总表!$C:$C,P2,总表!$K:$K,"&gt;=0")</f>
        <v>0.81818181818181823</v>
      </c>
      <c r="Q37" s="29">
        <f>COUNTIFS(总表!$C:$C,Q2,总表!$K:$K,"&gt;=60")/COUNTIFS(总表!$C:$C,Q2,总表!$K:$K,"&gt;=0")</f>
        <v>0.72727272727272729</v>
      </c>
      <c r="R37" s="29">
        <f>COUNTIFS(总表!$C:$C,R2,总表!$K:$K,"&gt;=60")/COUNTIFS(总表!$C:$C,R2,总表!$K:$K,"&gt;=0")</f>
        <v>0.6964285714285714</v>
      </c>
      <c r="S37" s="29">
        <f>COUNTIFS(总表!$C:$C,S2,总表!$K:$K,"&gt;=60")/COUNTIFS(总表!$C:$C,S2,总表!$K:$K,"&gt;=0")</f>
        <v>0.8035714285714286</v>
      </c>
      <c r="T37" s="29">
        <f>COUNTIFS(总表!$B:$B,T2,总表!$K:$K,"&gt;=60")/COUNTIFS(总表!$B:$B,T2,总表!$K:$K,"&gt;=0")</f>
        <v>0.81477516059957178</v>
      </c>
      <c r="U37" s="29">
        <f>COUNTIFS(总表!$C:$C,U2,总表!$K:$K,"&gt;=60")/COUNTIFS(总表!$C:$C,U2,总表!$K:$K,"&gt;=0")</f>
        <v>1</v>
      </c>
      <c r="V37" s="29">
        <f>COUNTIFS(总表!$C:$C,V2,总表!$K:$K,"&gt;=60")/COUNTIFS(总表!$C:$C,V2,总表!$K:$K,"&gt;=0")</f>
        <v>0.75555555555555554</v>
      </c>
      <c r="W37" s="29">
        <f>COUNTIFS(总表!$C:$C,W2,总表!$K:$K,"&gt;=60")/COUNTIFS(总表!$C:$C,W2,总表!$K:$K,"&gt;=0")</f>
        <v>0.55813953488372092</v>
      </c>
      <c r="X37" s="29">
        <f>COUNTIFS(总表!$B:$B,X2,总表!$K:$K,"&gt;=60")/COUNTIFS(总表!$B:$B,X2,总表!$K:$K,"&gt;=0")</f>
        <v>0.77611940298507465</v>
      </c>
    </row>
    <row r="38" spans="1:24" ht="21.75" customHeight="1">
      <c r="A38" s="176"/>
      <c r="B38" s="95" t="s">
        <v>3207</v>
      </c>
      <c r="C38" s="28">
        <f>RANK(C37,$C$37:$S$37)</f>
        <v>14</v>
      </c>
      <c r="D38" s="28">
        <f t="shared" ref="D38:S38" si="11">RANK(D37,$C$37:$S$37)</f>
        <v>10</v>
      </c>
      <c r="E38" s="28">
        <f t="shared" si="11"/>
        <v>5</v>
      </c>
      <c r="F38" s="28">
        <f t="shared" si="11"/>
        <v>11</v>
      </c>
      <c r="G38" s="28">
        <f t="shared" si="11"/>
        <v>12</v>
      </c>
      <c r="H38" s="28">
        <f t="shared" si="11"/>
        <v>8</v>
      </c>
      <c r="I38" s="28">
        <f t="shared" si="11"/>
        <v>4</v>
      </c>
      <c r="J38" s="28">
        <f t="shared" si="11"/>
        <v>3</v>
      </c>
      <c r="K38" s="28">
        <f t="shared" si="11"/>
        <v>1</v>
      </c>
      <c r="L38" s="28">
        <f t="shared" si="11"/>
        <v>1</v>
      </c>
      <c r="M38" s="28">
        <f t="shared" si="11"/>
        <v>15</v>
      </c>
      <c r="N38" s="28">
        <f t="shared" si="11"/>
        <v>5</v>
      </c>
      <c r="O38" s="28">
        <f t="shared" si="11"/>
        <v>13</v>
      </c>
      <c r="P38" s="28">
        <f t="shared" si="11"/>
        <v>7</v>
      </c>
      <c r="Q38" s="28">
        <f t="shared" si="11"/>
        <v>15</v>
      </c>
      <c r="R38" s="28">
        <f t="shared" si="11"/>
        <v>17</v>
      </c>
      <c r="S38" s="28">
        <f t="shared" si="11"/>
        <v>8</v>
      </c>
      <c r="T38" s="29"/>
      <c r="U38" s="28">
        <f>RANK(U37,$U$37:$W$37)</f>
        <v>1</v>
      </c>
      <c r="V38" s="28">
        <f>RANK(V37,$U$37:$W$37)</f>
        <v>2</v>
      </c>
      <c r="W38" s="28">
        <f>RANK(W37,$U$37:$W$37)</f>
        <v>3</v>
      </c>
      <c r="X38" s="29"/>
    </row>
    <row r="39" spans="1:24" ht="21.75" customHeight="1">
      <c r="A39" s="177" t="s">
        <v>3210</v>
      </c>
      <c r="B39" s="177"/>
      <c r="C39" s="27">
        <f>AVERAGEIFS(总表!$O:$O,总表!$C:$C,"1801")</f>
        <v>444.27272727272725</v>
      </c>
      <c r="D39" s="27">
        <f>AVERAGEIFS(总表!$O:$O,总表!$C:$C,"1802")</f>
        <v>446.71818181818179</v>
      </c>
      <c r="E39" s="27">
        <f>AVERAGEIFS(总表!$O:$O,总表!$C:$C,"1803")</f>
        <v>454.92105263157896</v>
      </c>
      <c r="F39" s="27">
        <f>AVERAGEIFS(总表!$O:$O,总表!$C:$C,"1804")</f>
        <v>452.38888888888891</v>
      </c>
      <c r="G39" s="27">
        <f>AVERAGEIFS(总表!$O:$O,总表!$C:$C,"1805")</f>
        <v>444.85964912280701</v>
      </c>
      <c r="H39" s="27">
        <f>AVERAGEIFS(总表!$O:$O,总表!$C:$C,"1806")</f>
        <v>449.86607142857144</v>
      </c>
      <c r="I39" s="27">
        <f>AVERAGEIFS(总表!$O:$O,总表!$C:$C,"1807")</f>
        <v>449.74545454545455</v>
      </c>
      <c r="J39" s="27">
        <f>AVERAGEIFS(总表!$O:$O,总表!$C:$C,"1808")</f>
        <v>447.80188679245282</v>
      </c>
      <c r="K39" s="27">
        <f>AVERAGEIFS(总表!$O:$O,总表!$C:$C,"1809")</f>
        <v>584.56730769230774</v>
      </c>
      <c r="L39" s="27">
        <f>AVERAGEIFS(总表!$O:$O,总表!$C:$C,"1810")</f>
        <v>544.61</v>
      </c>
      <c r="M39" s="27">
        <f>AVERAGEIFS(总表!$O:$O,总表!$C:$C,"1811")</f>
        <v>447.93636363636364</v>
      </c>
      <c r="N39" s="27">
        <f>AVERAGEIFS(总表!$O:$O,总表!$C:$C,"1812")</f>
        <v>450.35087719298247</v>
      </c>
      <c r="O39" s="27">
        <f>AVERAGEIFS(总表!$O:$O,总表!$C:$C,"1813")</f>
        <v>439.6875</v>
      </c>
      <c r="P39" s="27">
        <f>AVERAGEIFS(总表!$O:$O,总表!$C:$C,"1814")</f>
        <v>435.58181818181816</v>
      </c>
      <c r="Q39" s="27">
        <f>AVERAGEIFS(总表!$O:$O,总表!$C:$C,"1815")</f>
        <v>440.6</v>
      </c>
      <c r="R39" s="27">
        <f>AVERAGEIFS(总表!$O:$O,总表!$C:$C,"1816")</f>
        <v>451.64285714285717</v>
      </c>
      <c r="S39" s="27">
        <f>AVERAGEIFS(总表!$O:$O,总表!$C:$C,"1817")</f>
        <v>437.625</v>
      </c>
      <c r="T39" s="27">
        <f>AVERAGEIFS(总表!$O:$O,总表!$B:$B,"理科")</f>
        <v>459.23875802997861</v>
      </c>
      <c r="U39" s="27">
        <f>AVERAGEIFS(总表!$O:$O,总表!$C:$C,"1818")</f>
        <v>547.64130434782612</v>
      </c>
      <c r="V39" s="27">
        <f>AVERAGEIFS(总表!$O:$O,总表!$C:$C,"1819")</f>
        <v>460.84444444444443</v>
      </c>
      <c r="W39" s="27">
        <f>AVERAGEIFS(总表!$O:$O,总表!$C:$C,"1820")</f>
        <v>456.03488372093022</v>
      </c>
      <c r="X39" s="27">
        <f>AVERAGEIFS(总表!$O:$O,总表!$B:$B,"文科")</f>
        <v>489.09701492537312</v>
      </c>
    </row>
    <row r="40" spans="1:24" ht="21.75" customHeight="1">
      <c r="A40" s="178" t="s">
        <v>3211</v>
      </c>
      <c r="B40" s="178"/>
      <c r="C40" s="95">
        <f t="shared" ref="C40:S40" si="12">RANK(C39,$C$39:$S$39)</f>
        <v>13</v>
      </c>
      <c r="D40" s="95">
        <f t="shared" si="12"/>
        <v>11</v>
      </c>
      <c r="E40" s="95">
        <f t="shared" si="12"/>
        <v>3</v>
      </c>
      <c r="F40" s="95">
        <f t="shared" si="12"/>
        <v>4</v>
      </c>
      <c r="G40" s="95">
        <f t="shared" si="12"/>
        <v>12</v>
      </c>
      <c r="H40" s="95">
        <f t="shared" si="12"/>
        <v>7</v>
      </c>
      <c r="I40" s="95">
        <f t="shared" si="12"/>
        <v>8</v>
      </c>
      <c r="J40" s="95">
        <f t="shared" si="12"/>
        <v>10</v>
      </c>
      <c r="K40" s="95">
        <f t="shared" si="12"/>
        <v>1</v>
      </c>
      <c r="L40" s="95">
        <f t="shared" si="12"/>
        <v>2</v>
      </c>
      <c r="M40" s="95">
        <f t="shared" si="12"/>
        <v>9</v>
      </c>
      <c r="N40" s="95">
        <f t="shared" si="12"/>
        <v>6</v>
      </c>
      <c r="O40" s="95">
        <f t="shared" si="12"/>
        <v>15</v>
      </c>
      <c r="P40" s="95">
        <f t="shared" si="12"/>
        <v>17</v>
      </c>
      <c r="Q40" s="95">
        <f t="shared" si="12"/>
        <v>14</v>
      </c>
      <c r="R40" s="95">
        <f t="shared" si="12"/>
        <v>5</v>
      </c>
      <c r="S40" s="95">
        <f t="shared" si="12"/>
        <v>16</v>
      </c>
      <c r="T40" s="95"/>
      <c r="U40" s="95">
        <f>RANK(U39,$U$39:$W$39)</f>
        <v>1</v>
      </c>
      <c r="V40" s="95">
        <f>RANK(V39,$U$39:$W$39)</f>
        <v>2</v>
      </c>
      <c r="W40" s="95">
        <f>RANK(W39,$U$39:$W$39)</f>
        <v>3</v>
      </c>
      <c r="X40" s="95"/>
    </row>
  </sheetData>
  <mergeCells count="9">
    <mergeCell ref="A33:A38"/>
    <mergeCell ref="A39:B39"/>
    <mergeCell ref="A40:B40"/>
    <mergeCell ref="A1:X1"/>
    <mergeCell ref="A3:A8"/>
    <mergeCell ref="A9:A14"/>
    <mergeCell ref="A15:A20"/>
    <mergeCell ref="A21:A26"/>
    <mergeCell ref="A27:A32"/>
  </mergeCells>
  <phoneticPr fontId="1" type="noConversion"/>
  <pageMargins left="0.11811023622047244" right="0.11811023622047244" top="0.15748031496062992" bottom="0.15748031496062992" header="0.31496062992125984" footer="0.31496062992125984"/>
  <pageSetup paperSize="9" scale="7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6" sqref="N6"/>
    </sheetView>
  </sheetViews>
  <sheetFormatPr defaultColWidth="4.875" defaultRowHeight="15.75"/>
  <cols>
    <col min="4" max="4" width="5.5" customWidth="1"/>
    <col min="5" max="5" width="8" customWidth="1"/>
    <col min="6" max="6" width="5.5" customWidth="1"/>
    <col min="7" max="7" width="6.875" customWidth="1"/>
    <col min="8" max="10" width="5.5" customWidth="1"/>
    <col min="11" max="11" width="6.375" customWidth="1"/>
    <col min="12" max="14" width="5.5" customWidth="1"/>
    <col min="15" max="15" width="6.375" customWidth="1"/>
    <col min="16" max="18" width="5.5" customWidth="1"/>
    <col min="19" max="19" width="6.375" customWidth="1"/>
    <col min="20" max="22" width="5.5" customWidth="1"/>
    <col min="23" max="23" width="6.5" customWidth="1"/>
    <col min="24" max="26" width="5.5" customWidth="1"/>
    <col min="27" max="27" width="6.25" customWidth="1"/>
    <col min="28" max="30" width="5.5" customWidth="1"/>
    <col min="31" max="31" width="6.75" customWidth="1"/>
    <col min="32" max="32" width="14.625" style="165" customWidth="1"/>
  </cols>
  <sheetData>
    <row r="1" spans="1:32" ht="26.25" customHeight="1" thickBot="1">
      <c r="A1" s="187" t="s">
        <v>3502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</row>
    <row r="2" spans="1:32" ht="21" customHeight="1" thickBot="1">
      <c r="A2" s="191" t="s">
        <v>3451</v>
      </c>
      <c r="B2" s="192"/>
      <c r="C2" s="192"/>
      <c r="D2" s="193"/>
      <c r="E2" s="200" t="s">
        <v>3227</v>
      </c>
      <c r="F2" s="201"/>
      <c r="G2" s="202"/>
      <c r="H2" s="182" t="s">
        <v>3</v>
      </c>
      <c r="I2" s="183"/>
      <c r="J2" s="183"/>
      <c r="K2" s="184"/>
      <c r="L2" s="203" t="s">
        <v>3212</v>
      </c>
      <c r="M2" s="204"/>
      <c r="N2" s="204"/>
      <c r="O2" s="205"/>
      <c r="P2" s="183" t="s">
        <v>104</v>
      </c>
      <c r="Q2" s="183"/>
      <c r="R2" s="183"/>
      <c r="S2" s="184"/>
      <c r="T2" s="203" t="s">
        <v>3213</v>
      </c>
      <c r="U2" s="204"/>
      <c r="V2" s="204"/>
      <c r="W2" s="204"/>
      <c r="X2" s="182" t="s">
        <v>75</v>
      </c>
      <c r="Y2" s="183"/>
      <c r="Z2" s="183"/>
      <c r="AA2" s="184"/>
      <c r="AB2" s="185" t="s">
        <v>3214</v>
      </c>
      <c r="AC2" s="186"/>
      <c r="AD2" s="186"/>
      <c r="AE2" s="186"/>
      <c r="AF2" s="180" t="s">
        <v>3492</v>
      </c>
    </row>
    <row r="3" spans="1:32" ht="21" customHeight="1" thickBot="1">
      <c r="A3" s="194"/>
      <c r="B3" s="195"/>
      <c r="C3" s="195"/>
      <c r="D3" s="196"/>
      <c r="E3" s="79">
        <v>413</v>
      </c>
      <c r="F3" s="197" t="s">
        <v>3290</v>
      </c>
      <c r="G3" s="80">
        <v>187</v>
      </c>
      <c r="H3" s="81">
        <v>96</v>
      </c>
      <c r="I3" s="189" t="s">
        <v>3290</v>
      </c>
      <c r="J3" s="129">
        <v>57</v>
      </c>
      <c r="K3" s="213" t="s">
        <v>3453</v>
      </c>
      <c r="L3" s="82">
        <v>60</v>
      </c>
      <c r="M3" s="197" t="s">
        <v>3290</v>
      </c>
      <c r="N3" s="80">
        <v>12</v>
      </c>
      <c r="O3" s="215" t="s">
        <v>3453</v>
      </c>
      <c r="P3" s="81">
        <v>79.5</v>
      </c>
      <c r="Q3" s="199" t="s">
        <v>3290</v>
      </c>
      <c r="R3" s="137">
        <v>28</v>
      </c>
      <c r="S3" s="213" t="s">
        <v>3453</v>
      </c>
      <c r="T3" s="82">
        <v>55</v>
      </c>
      <c r="U3" s="197" t="s">
        <v>3290</v>
      </c>
      <c r="V3" s="80">
        <v>18</v>
      </c>
      <c r="W3" s="206" t="s">
        <v>3453</v>
      </c>
      <c r="X3" s="119">
        <v>46</v>
      </c>
      <c r="Y3" s="189" t="s">
        <v>3290</v>
      </c>
      <c r="Z3" s="129">
        <v>13</v>
      </c>
      <c r="AA3" s="213" t="s">
        <v>3453</v>
      </c>
      <c r="AB3" s="82">
        <v>63</v>
      </c>
      <c r="AC3" s="197" t="s">
        <v>3290</v>
      </c>
      <c r="AD3" s="80">
        <v>14</v>
      </c>
      <c r="AE3" s="206" t="s">
        <v>3453</v>
      </c>
      <c r="AF3" s="181"/>
    </row>
    <row r="4" spans="1:32" ht="27" customHeight="1" thickBot="1">
      <c r="A4" s="15" t="s">
        <v>5</v>
      </c>
      <c r="B4" s="37" t="s">
        <v>3215</v>
      </c>
      <c r="C4" s="45" t="s">
        <v>3288</v>
      </c>
      <c r="D4" s="46" t="s">
        <v>3289</v>
      </c>
      <c r="E4" s="88" t="s">
        <v>3219</v>
      </c>
      <c r="F4" s="198"/>
      <c r="G4" s="89" t="s">
        <v>3220</v>
      </c>
      <c r="H4" s="33" t="s">
        <v>3219</v>
      </c>
      <c r="I4" s="190"/>
      <c r="J4" s="16" t="s">
        <v>3220</v>
      </c>
      <c r="K4" s="214"/>
      <c r="L4" s="104" t="s">
        <v>3219</v>
      </c>
      <c r="M4" s="198"/>
      <c r="N4" s="105" t="s">
        <v>3220</v>
      </c>
      <c r="O4" s="216"/>
      <c r="P4" s="33" t="s">
        <v>3219</v>
      </c>
      <c r="Q4" s="190"/>
      <c r="R4" s="16" t="s">
        <v>3220</v>
      </c>
      <c r="S4" s="214"/>
      <c r="T4" s="88" t="s">
        <v>3219</v>
      </c>
      <c r="U4" s="198"/>
      <c r="V4" s="89" t="s">
        <v>3220</v>
      </c>
      <c r="W4" s="217"/>
      <c r="X4" s="15" t="s">
        <v>3219</v>
      </c>
      <c r="Y4" s="190"/>
      <c r="Z4" s="16" t="s">
        <v>3220</v>
      </c>
      <c r="AA4" s="214"/>
      <c r="AB4" s="104" t="s">
        <v>3219</v>
      </c>
      <c r="AC4" s="198"/>
      <c r="AD4" s="105" t="s">
        <v>3220</v>
      </c>
      <c r="AE4" s="207"/>
      <c r="AF4" s="181"/>
    </row>
    <row r="5" spans="1:32" ht="19.5" customHeight="1">
      <c r="A5" s="17">
        <v>1801</v>
      </c>
      <c r="B5" s="41">
        <v>55</v>
      </c>
      <c r="C5" s="47">
        <v>37</v>
      </c>
      <c r="D5" s="48">
        <v>55</v>
      </c>
      <c r="E5" s="64">
        <f>COUNTIFS(总表!$C:$C,$A$5,总表!$O:$O,"&gt;="&amp;E$3)</f>
        <v>40</v>
      </c>
      <c r="F5" s="65">
        <f>E5-C5</f>
        <v>3</v>
      </c>
      <c r="G5" s="66">
        <f>COUNTIFS(总表!$C:$C,$A5,总表!$O:$O,"&gt;="&amp;G$3)</f>
        <v>55</v>
      </c>
      <c r="H5" s="14">
        <f>COUNTIFS(总表!$C:$C,$A5,总表!$F:$F,"&gt;="&amp;H$3)</f>
        <v>42</v>
      </c>
      <c r="I5" s="39">
        <f t="shared" ref="I5:I21" si="0">H5-C5</f>
        <v>5</v>
      </c>
      <c r="J5" s="130">
        <f>COUNTIFS(总表!$C:$C,$A5,总表!$F:$F,"&gt;="&amp;J$3)</f>
        <v>55</v>
      </c>
      <c r="K5" s="96" t="s">
        <v>3364</v>
      </c>
      <c r="L5" s="64">
        <f>COUNTIFS(总表!$C:$C,$A5,总表!$G:$G,"&gt;="&amp;L$3)</f>
        <v>38</v>
      </c>
      <c r="M5" s="65">
        <f t="shared" ref="M5:M21" si="1">L5-C5</f>
        <v>1</v>
      </c>
      <c r="N5" s="66">
        <f>COUNTIFS(总表!$C:$C,$A5,总表!$G:$G,"&gt;="&amp;N$3)</f>
        <v>55</v>
      </c>
      <c r="O5" s="138" t="s">
        <v>3375</v>
      </c>
      <c r="P5" s="14">
        <f>COUNTIFS(总表!$C:$C,$A5,总表!$H:$H,"&gt;="&amp;P$3)</f>
        <v>39</v>
      </c>
      <c r="Q5" s="39">
        <f t="shared" ref="Q5:Q21" si="2">P5-C5</f>
        <v>2</v>
      </c>
      <c r="R5" s="130">
        <f>COUNTIFS(总表!$C:$C,$A5,总表!$H:$H,"&gt;="&amp;R$3)</f>
        <v>55</v>
      </c>
      <c r="S5" s="96" t="s">
        <v>3386</v>
      </c>
      <c r="T5" s="64">
        <f>COUNTIFS(总表!$C:$C,$A5,总表!$I:$I,"&gt;="&amp;T$3)</f>
        <v>42</v>
      </c>
      <c r="U5" s="65">
        <f t="shared" ref="U5:U21" si="3">T5-C5</f>
        <v>5</v>
      </c>
      <c r="V5" s="66">
        <f>COUNTIFS(总表!$C:$C,$A5,总表!$I:$I,"&gt;="&amp;V$3)</f>
        <v>55</v>
      </c>
      <c r="W5" s="138" t="s">
        <v>3397</v>
      </c>
      <c r="X5" s="120">
        <f>COUNTIFS(总表!$C:$C,$A5,总表!$J:$J,"&gt;="&amp;X$3)</f>
        <v>40</v>
      </c>
      <c r="Y5" s="39">
        <f t="shared" ref="Y5:Y21" si="4">X5-C5</f>
        <v>3</v>
      </c>
      <c r="Z5" s="130">
        <f>COUNTIFS(总表!$C:$C,$A5,总表!$J:$J,"&gt;="&amp;Z$3)</f>
        <v>55</v>
      </c>
      <c r="AA5" s="96" t="s">
        <v>3409</v>
      </c>
      <c r="AB5" s="64">
        <f>COUNTIFS(总表!$C:$C,$A5,总表!$K:$K,"&gt;="&amp;AB$3)</f>
        <v>39</v>
      </c>
      <c r="AC5" s="65">
        <f t="shared" ref="AC5:AC21" si="5">AB5-C5</f>
        <v>2</v>
      </c>
      <c r="AD5" s="125">
        <f>COUNTIFS(总表!$C:$C,$A5,总表!$K:$K,"&gt;="&amp;AD$3)</f>
        <v>55</v>
      </c>
      <c r="AE5" s="162" t="s">
        <v>3420</v>
      </c>
      <c r="AF5" s="166"/>
    </row>
    <row r="6" spans="1:32" ht="19.5" customHeight="1">
      <c r="A6" s="18">
        <v>1802</v>
      </c>
      <c r="B6" s="42">
        <v>56</v>
      </c>
      <c r="C6" s="224">
        <v>39</v>
      </c>
      <c r="D6" s="50">
        <v>55</v>
      </c>
      <c r="E6" s="67">
        <f>COUNTIFS(总表!$C:$C,$A6,总表!$O:$O,"&gt;="&amp;E$3)</f>
        <v>36</v>
      </c>
      <c r="F6" s="65">
        <f t="shared" ref="F6:F21" si="6">E6-C6</f>
        <v>-3</v>
      </c>
      <c r="G6" s="68">
        <f>COUNTIFS(总表!$C:$C,$A6,总表!$O:$O,"&gt;="&amp;G$3)</f>
        <v>55</v>
      </c>
      <c r="H6" s="34">
        <f>COUNTIFS(总表!$C:$C,$A6,总表!$F:$F,"&gt;="&amp;H$3)</f>
        <v>42</v>
      </c>
      <c r="I6" s="39">
        <f t="shared" si="0"/>
        <v>3</v>
      </c>
      <c r="J6" s="131">
        <f>COUNTIFS(总表!$C:$C,$A6,总表!$F:$F,"&gt;="&amp;J$3)</f>
        <v>55</v>
      </c>
      <c r="K6" s="96" t="s">
        <v>3365</v>
      </c>
      <c r="L6" s="67">
        <f>COUNTIFS(总表!$C:$C,$A6,总表!$G:$G,"&gt;="&amp;L$3)</f>
        <v>40</v>
      </c>
      <c r="M6" s="65">
        <f t="shared" si="1"/>
        <v>1</v>
      </c>
      <c r="N6" s="68">
        <f>COUNTIFS(总表!$C:$C,$A6,总表!$G:$G,"&gt;="&amp;N$3)</f>
        <v>55</v>
      </c>
      <c r="O6" s="138" t="s">
        <v>3375</v>
      </c>
      <c r="P6" s="34">
        <f>COUNTIFS(总表!$C:$C,$A6,总表!$H:$H,"&gt;="&amp;P$3)</f>
        <v>37</v>
      </c>
      <c r="Q6" s="39">
        <f t="shared" si="2"/>
        <v>-2</v>
      </c>
      <c r="R6" s="131">
        <f>COUNTIFS(总表!$C:$C,$A6,总表!$H:$H,"&gt;="&amp;R$3)</f>
        <v>55</v>
      </c>
      <c r="S6" s="96" t="s">
        <v>3386</v>
      </c>
      <c r="T6" s="67">
        <f>COUNTIFS(总表!$C:$C,$A6,总表!$I:$I,"&gt;="&amp;T$3)</f>
        <v>41</v>
      </c>
      <c r="U6" s="65">
        <f t="shared" si="3"/>
        <v>2</v>
      </c>
      <c r="V6" s="68">
        <f>COUNTIFS(总表!$C:$C,$A6,总表!$I:$I,"&gt;="&amp;V$3)</f>
        <v>55</v>
      </c>
      <c r="W6" s="138" t="s">
        <v>3397</v>
      </c>
      <c r="X6" s="121">
        <f>COUNTIFS(总表!$C:$C,$A6,总表!$J:$J,"&gt;="&amp;X$3)</f>
        <v>40</v>
      </c>
      <c r="Y6" s="39">
        <f t="shared" si="4"/>
        <v>1</v>
      </c>
      <c r="Z6" s="131">
        <f>COUNTIFS(总表!$C:$C,$A6,总表!$J:$J,"&gt;="&amp;Z$3)</f>
        <v>55</v>
      </c>
      <c r="AA6" s="96" t="s">
        <v>3409</v>
      </c>
      <c r="AB6" s="67">
        <f>COUNTIFS(总表!$C:$C,$A6,总表!$K:$K,"&gt;="&amp;AB$3)</f>
        <v>42</v>
      </c>
      <c r="AC6" s="65">
        <f t="shared" si="5"/>
        <v>3</v>
      </c>
      <c r="AD6" s="126">
        <f>COUNTIFS(总表!$C:$C,$A6,总表!$K:$K,"&gt;="&amp;AD$3)</f>
        <v>55</v>
      </c>
      <c r="AE6" s="162" t="s">
        <v>3420</v>
      </c>
      <c r="AF6" s="166" t="s">
        <v>1720</v>
      </c>
    </row>
    <row r="7" spans="1:32" ht="19.5" customHeight="1">
      <c r="A7" s="18">
        <v>1803</v>
      </c>
      <c r="B7" s="42">
        <v>57</v>
      </c>
      <c r="C7" s="49">
        <v>44</v>
      </c>
      <c r="D7" s="50">
        <v>57</v>
      </c>
      <c r="E7" s="67">
        <f>COUNTIFS(总表!$C:$C,$A7,总表!$O:$O,"&gt;="&amp;E$3)</f>
        <v>48</v>
      </c>
      <c r="F7" s="65">
        <f t="shared" si="6"/>
        <v>4</v>
      </c>
      <c r="G7" s="68">
        <f>COUNTIFS(总表!$C:$C,$A7,总表!$O:$O,"&gt;="&amp;G$3)</f>
        <v>57</v>
      </c>
      <c r="H7" s="34">
        <f>COUNTIFS(总表!$C:$C,$A7,总表!$F:$F,"&gt;="&amp;H$3)</f>
        <v>43</v>
      </c>
      <c r="I7" s="39">
        <f t="shared" si="0"/>
        <v>-1</v>
      </c>
      <c r="J7" s="131">
        <f>COUNTIFS(总表!$C:$C,$A7,总表!$F:$F,"&gt;="&amp;J$3)</f>
        <v>57</v>
      </c>
      <c r="K7" s="96" t="s">
        <v>3365</v>
      </c>
      <c r="L7" s="67">
        <f>COUNTIFS(总表!$C:$C,$A7,总表!$G:$G,"&gt;="&amp;L$3)</f>
        <v>44</v>
      </c>
      <c r="M7" s="65">
        <f t="shared" si="1"/>
        <v>0</v>
      </c>
      <c r="N7" s="68">
        <f>COUNTIFS(总表!$C:$C,$A7,总表!$G:$G,"&gt;="&amp;N$3)</f>
        <v>57</v>
      </c>
      <c r="O7" s="138" t="s">
        <v>3376</v>
      </c>
      <c r="P7" s="34">
        <f>COUNTIFS(总表!$C:$C,$A7,总表!$H:$H,"&gt;="&amp;P$3)</f>
        <v>43</v>
      </c>
      <c r="Q7" s="39">
        <f t="shared" si="2"/>
        <v>-1</v>
      </c>
      <c r="R7" s="131">
        <f>COUNTIFS(总表!$C:$C,$A7,总表!$H:$H,"&gt;="&amp;R$3)</f>
        <v>57</v>
      </c>
      <c r="S7" s="96" t="s">
        <v>3304</v>
      </c>
      <c r="T7" s="67">
        <f>COUNTIFS(总表!$C:$C,$A7,总表!$I:$I,"&gt;="&amp;T$3)</f>
        <v>45</v>
      </c>
      <c r="U7" s="65">
        <f t="shared" si="3"/>
        <v>1</v>
      </c>
      <c r="V7" s="68">
        <f>COUNTIFS(总表!$C:$C,$A7,总表!$I:$I,"&gt;="&amp;V$3)</f>
        <v>57</v>
      </c>
      <c r="W7" s="138" t="s">
        <v>3398</v>
      </c>
      <c r="X7" s="121">
        <f>COUNTIFS(总表!$C:$C,$A7,总表!$J:$J,"&gt;="&amp;X$3)</f>
        <v>47</v>
      </c>
      <c r="Y7" s="39">
        <f t="shared" si="4"/>
        <v>3</v>
      </c>
      <c r="Z7" s="131">
        <f>COUNTIFS(总表!$C:$C,$A7,总表!$J:$J,"&gt;="&amp;Z$3)</f>
        <v>57</v>
      </c>
      <c r="AA7" s="96" t="s">
        <v>3410</v>
      </c>
      <c r="AB7" s="67">
        <f>COUNTIFS(总表!$C:$C,$A7,总表!$K:$K,"&gt;="&amp;AB$3)</f>
        <v>46</v>
      </c>
      <c r="AC7" s="65">
        <f t="shared" si="5"/>
        <v>2</v>
      </c>
      <c r="AD7" s="126">
        <f>COUNTIFS(总表!$C:$C,$A7,总表!$K:$K,"&gt;="&amp;AD$3)</f>
        <v>57</v>
      </c>
      <c r="AE7" s="162" t="s">
        <v>3420</v>
      </c>
      <c r="AF7" s="166"/>
    </row>
    <row r="8" spans="1:32" ht="19.5" customHeight="1">
      <c r="A8" s="18">
        <v>1804</v>
      </c>
      <c r="B8" s="42">
        <v>56</v>
      </c>
      <c r="C8" s="224">
        <v>42</v>
      </c>
      <c r="D8" s="50">
        <v>54</v>
      </c>
      <c r="E8" s="67">
        <f>COUNTIFS(总表!$C:$C,$A8,总表!$O:$O,"&gt;="&amp;E$3)</f>
        <v>40</v>
      </c>
      <c r="F8" s="65">
        <f t="shared" si="6"/>
        <v>-2</v>
      </c>
      <c r="G8" s="68">
        <f>COUNTIFS(总表!$C:$C,$A8,总表!$O:$O,"&gt;="&amp;G$3)</f>
        <v>54</v>
      </c>
      <c r="H8" s="34">
        <f>COUNTIFS(总表!$C:$C,$A8,总表!$F:$F,"&gt;="&amp;H$3)</f>
        <v>38</v>
      </c>
      <c r="I8" s="39">
        <f t="shared" si="0"/>
        <v>-4</v>
      </c>
      <c r="J8" s="131">
        <f>COUNTIFS(总表!$C:$C,$A8,总表!$F:$F,"&gt;="&amp;J$3)</f>
        <v>54</v>
      </c>
      <c r="K8" s="96" t="s">
        <v>3366</v>
      </c>
      <c r="L8" s="67">
        <f>COUNTIFS(总表!$C:$C,$A8,总表!$G:$G,"&gt;="&amp;L$3)</f>
        <v>46</v>
      </c>
      <c r="M8" s="65">
        <f t="shared" si="1"/>
        <v>4</v>
      </c>
      <c r="N8" s="68">
        <f>COUNTIFS(总表!$C:$C,$A8,总表!$G:$G,"&gt;="&amp;N$3)</f>
        <v>54</v>
      </c>
      <c r="O8" s="138" t="s">
        <v>3376</v>
      </c>
      <c r="P8" s="34">
        <f>COUNTIFS(总表!$C:$C,$A8,总表!$H:$H,"&gt;="&amp;P$3)</f>
        <v>42</v>
      </c>
      <c r="Q8" s="39">
        <f t="shared" si="2"/>
        <v>0</v>
      </c>
      <c r="R8" s="131">
        <f>COUNTIFS(总表!$C:$C,$A8,总表!$H:$H,"&gt;="&amp;R$3)</f>
        <v>54</v>
      </c>
      <c r="S8" s="96" t="s">
        <v>3387</v>
      </c>
      <c r="T8" s="67">
        <f>COUNTIFS(总表!$C:$C,$A8,总表!$I:$I,"&gt;="&amp;T$3)</f>
        <v>41</v>
      </c>
      <c r="U8" s="65">
        <f t="shared" si="3"/>
        <v>-1</v>
      </c>
      <c r="V8" s="68">
        <f>COUNTIFS(总表!$C:$C,$A8,总表!$I:$I,"&gt;="&amp;V$3)</f>
        <v>54</v>
      </c>
      <c r="W8" s="138" t="s">
        <v>3398</v>
      </c>
      <c r="X8" s="121">
        <f>COUNTIFS(总表!$C:$C,$A8,总表!$J:$J,"&gt;="&amp;X$3)</f>
        <v>40</v>
      </c>
      <c r="Y8" s="39">
        <f t="shared" si="4"/>
        <v>-2</v>
      </c>
      <c r="Z8" s="131">
        <f>COUNTIFS(总表!$C:$C,$A8,总表!$J:$J,"&gt;="&amp;Z$3)</f>
        <v>54</v>
      </c>
      <c r="AA8" s="96" t="s">
        <v>3410</v>
      </c>
      <c r="AB8" s="67">
        <f>COUNTIFS(总表!$C:$C,$A8,总表!$K:$K,"&gt;="&amp;AB$3)</f>
        <v>39</v>
      </c>
      <c r="AC8" s="65">
        <f t="shared" si="5"/>
        <v>-3</v>
      </c>
      <c r="AD8" s="126">
        <f>COUNTIFS(总表!$C:$C,$A8,总表!$K:$K,"&gt;="&amp;AD$3)</f>
        <v>54</v>
      </c>
      <c r="AE8" s="162" t="s">
        <v>3421</v>
      </c>
      <c r="AF8" s="166" t="s">
        <v>3495</v>
      </c>
    </row>
    <row r="9" spans="1:32" ht="19.5" customHeight="1">
      <c r="A9" s="18">
        <v>1805</v>
      </c>
      <c r="B9" s="42">
        <v>57</v>
      </c>
      <c r="C9" s="49">
        <v>41</v>
      </c>
      <c r="D9" s="50">
        <v>57</v>
      </c>
      <c r="E9" s="67">
        <f>COUNTIFS(总表!$C:$C,$A9,总表!$O:$O,"&gt;="&amp;E$3)</f>
        <v>40</v>
      </c>
      <c r="F9" s="65">
        <f t="shared" si="6"/>
        <v>-1</v>
      </c>
      <c r="G9" s="68">
        <f>COUNTIFS(总表!$C:$C,$A9,总表!$O:$O,"&gt;="&amp;G$3)</f>
        <v>57</v>
      </c>
      <c r="H9" s="34">
        <f>COUNTIFS(总表!$C:$C,$A9,总表!$F:$F,"&gt;="&amp;H$3)</f>
        <v>49</v>
      </c>
      <c r="I9" s="39">
        <f t="shared" si="0"/>
        <v>8</v>
      </c>
      <c r="J9" s="131">
        <f>COUNTIFS(总表!$C:$C,$A9,总表!$F:$F,"&gt;="&amp;J$3)</f>
        <v>57</v>
      </c>
      <c r="K9" s="96" t="s">
        <v>3367</v>
      </c>
      <c r="L9" s="67">
        <f>COUNTIFS(总表!$C:$C,$A9,总表!$G:$G,"&gt;="&amp;L$3)</f>
        <v>41</v>
      </c>
      <c r="M9" s="65">
        <f t="shared" si="1"/>
        <v>0</v>
      </c>
      <c r="N9" s="68">
        <f>COUNTIFS(总表!$C:$C,$A9,总表!$G:$G,"&gt;="&amp;N$3)</f>
        <v>57</v>
      </c>
      <c r="O9" s="138" t="s">
        <v>3377</v>
      </c>
      <c r="P9" s="34">
        <f>COUNTIFS(总表!$C:$C,$A9,总表!$H:$H,"&gt;="&amp;P$3)</f>
        <v>35</v>
      </c>
      <c r="Q9" s="39">
        <f t="shared" si="2"/>
        <v>-6</v>
      </c>
      <c r="R9" s="131">
        <f>COUNTIFS(总表!$C:$C,$A9,总表!$H:$H,"&gt;="&amp;R$3)</f>
        <v>57</v>
      </c>
      <c r="S9" s="96" t="s">
        <v>3388</v>
      </c>
      <c r="T9" s="67">
        <f>COUNTIFS(总表!$C:$C,$A9,总表!$I:$I,"&gt;="&amp;T$3)</f>
        <v>36</v>
      </c>
      <c r="U9" s="65">
        <f t="shared" si="3"/>
        <v>-5</v>
      </c>
      <c r="V9" s="68">
        <f>COUNTIFS(总表!$C:$C,$A9,总表!$I:$I,"&gt;="&amp;V$3)</f>
        <v>57</v>
      </c>
      <c r="W9" s="138" t="s">
        <v>3399</v>
      </c>
      <c r="X9" s="121">
        <f>COUNTIFS(总表!$C:$C,$A9,总表!$J:$J,"&gt;="&amp;X$3)</f>
        <v>42</v>
      </c>
      <c r="Y9" s="39">
        <f t="shared" si="4"/>
        <v>1</v>
      </c>
      <c r="Z9" s="131">
        <f>COUNTIFS(总表!$C:$C,$A9,总表!$J:$J,"&gt;="&amp;Z$3)</f>
        <v>57</v>
      </c>
      <c r="AA9" s="96" t="s">
        <v>3411</v>
      </c>
      <c r="AB9" s="67">
        <f>COUNTIFS(总表!$C:$C,$A9,总表!$K:$K,"&gt;="&amp;AB$3)</f>
        <v>37</v>
      </c>
      <c r="AC9" s="65">
        <f t="shared" si="5"/>
        <v>-4</v>
      </c>
      <c r="AD9" s="126">
        <f>COUNTIFS(总表!$C:$C,$A9,总表!$K:$K,"&gt;="&amp;AD$3)</f>
        <v>57</v>
      </c>
      <c r="AE9" s="162" t="s">
        <v>3422</v>
      </c>
      <c r="AF9" s="166"/>
    </row>
    <row r="10" spans="1:32" ht="19.5" customHeight="1">
      <c r="A10" s="18">
        <v>1806</v>
      </c>
      <c r="B10" s="42">
        <v>57</v>
      </c>
      <c r="C10" s="49">
        <v>42</v>
      </c>
      <c r="D10" s="50">
        <v>56</v>
      </c>
      <c r="E10" s="67">
        <f>COUNTIFS(总表!$C:$C,$A10,总表!$O:$O,"&gt;="&amp;E$3)</f>
        <v>40</v>
      </c>
      <c r="F10" s="65">
        <f t="shared" si="6"/>
        <v>-2</v>
      </c>
      <c r="G10" s="68">
        <f>COUNTIFS(总表!$C:$C,$A10,总表!$O:$O,"&gt;="&amp;G$3)</f>
        <v>56</v>
      </c>
      <c r="H10" s="34">
        <f>COUNTIFS(总表!$C:$C,$A10,总表!$F:$F,"&gt;="&amp;H$3)</f>
        <v>43</v>
      </c>
      <c r="I10" s="39">
        <f t="shared" si="0"/>
        <v>1</v>
      </c>
      <c r="J10" s="131">
        <f>COUNTIFS(总表!$C:$C,$A10,总表!$F:$F,"&gt;="&amp;J$3)</f>
        <v>56</v>
      </c>
      <c r="K10" s="96" t="s">
        <v>3367</v>
      </c>
      <c r="L10" s="67">
        <f>COUNTIFS(总表!$C:$C,$A10,总表!$G:$G,"&gt;="&amp;L$3)</f>
        <v>47</v>
      </c>
      <c r="M10" s="65">
        <f t="shared" si="1"/>
        <v>5</v>
      </c>
      <c r="N10" s="68">
        <f>COUNTIFS(总表!$C:$C,$A10,总表!$G:$G,"&gt;="&amp;N$3)</f>
        <v>56</v>
      </c>
      <c r="O10" s="138" t="s">
        <v>3377</v>
      </c>
      <c r="P10" s="34">
        <f>COUNTIFS(总表!$C:$C,$A10,总表!$H:$H,"&gt;="&amp;P$3)</f>
        <v>36</v>
      </c>
      <c r="Q10" s="39">
        <f t="shared" si="2"/>
        <v>-6</v>
      </c>
      <c r="R10" s="131">
        <f>COUNTIFS(总表!$C:$C,$A10,总表!$H:$H,"&gt;="&amp;R$3)</f>
        <v>56</v>
      </c>
      <c r="S10" s="96" t="s">
        <v>3388</v>
      </c>
      <c r="T10" s="67">
        <f>COUNTIFS(总表!$C:$C,$A10,总表!$I:$I,"&gt;="&amp;T$3)</f>
        <v>40</v>
      </c>
      <c r="U10" s="65">
        <f t="shared" si="3"/>
        <v>-2</v>
      </c>
      <c r="V10" s="68">
        <f>COUNTIFS(总表!$C:$C,$A10,总表!$I:$I,"&gt;="&amp;V$3)</f>
        <v>56</v>
      </c>
      <c r="W10" s="138" t="s">
        <v>3399</v>
      </c>
      <c r="X10" s="121">
        <f>COUNTIFS(总表!$C:$C,$A10,总表!$J:$J,"&gt;="&amp;X$3)</f>
        <v>46</v>
      </c>
      <c r="Y10" s="39">
        <f t="shared" si="4"/>
        <v>4</v>
      </c>
      <c r="Z10" s="131">
        <f>COUNTIFS(总表!$C:$C,$A10,总表!$J:$J,"&gt;="&amp;Z$3)</f>
        <v>56</v>
      </c>
      <c r="AA10" s="96" t="s">
        <v>3411</v>
      </c>
      <c r="AB10" s="67">
        <f>COUNTIFS(总表!$C:$C,$A10,总表!$K:$K,"&gt;="&amp;AB$3)</f>
        <v>41</v>
      </c>
      <c r="AC10" s="65">
        <f t="shared" si="5"/>
        <v>-1</v>
      </c>
      <c r="AD10" s="126">
        <f>COUNTIFS(总表!$C:$C,$A10,总表!$K:$K,"&gt;="&amp;AD$3)</f>
        <v>56</v>
      </c>
      <c r="AE10" s="162" t="s">
        <v>3422</v>
      </c>
      <c r="AF10" s="166" t="s">
        <v>1093</v>
      </c>
    </row>
    <row r="11" spans="1:32" ht="19.5" customHeight="1">
      <c r="A11" s="18">
        <v>1807</v>
      </c>
      <c r="B11" s="42">
        <v>55</v>
      </c>
      <c r="C11" s="49">
        <v>39</v>
      </c>
      <c r="D11" s="50">
        <v>55</v>
      </c>
      <c r="E11" s="67">
        <f>COUNTIFS(总表!$C:$C,$A11,总表!$O:$O,"&gt;="&amp;E$3)</f>
        <v>42</v>
      </c>
      <c r="F11" s="65">
        <f t="shared" si="6"/>
        <v>3</v>
      </c>
      <c r="G11" s="68">
        <f>COUNTIFS(总表!$C:$C,$A11,总表!$O:$O,"&gt;="&amp;G$3)</f>
        <v>55</v>
      </c>
      <c r="H11" s="34">
        <f>COUNTIFS(总表!$C:$C,$A11,总表!$F:$F,"&gt;="&amp;H$3)</f>
        <v>42</v>
      </c>
      <c r="I11" s="39">
        <f t="shared" si="0"/>
        <v>3</v>
      </c>
      <c r="J11" s="131">
        <f>COUNTIFS(总表!$C:$C,$A11,总表!$F:$F,"&gt;="&amp;J$3)</f>
        <v>55</v>
      </c>
      <c r="K11" s="96" t="s">
        <v>3364</v>
      </c>
      <c r="L11" s="67">
        <f>COUNTIFS(总表!$C:$C,$A11,总表!$G:$G,"&gt;="&amp;L$3)</f>
        <v>41</v>
      </c>
      <c r="M11" s="65">
        <f t="shared" si="1"/>
        <v>2</v>
      </c>
      <c r="N11" s="68">
        <f>COUNTIFS(总表!$C:$C,$A11,总表!$G:$G,"&gt;="&amp;N$3)</f>
        <v>55</v>
      </c>
      <c r="O11" s="138" t="s">
        <v>3378</v>
      </c>
      <c r="P11" s="34">
        <f>COUNTIFS(总表!$C:$C,$A11,总表!$H:$H,"&gt;="&amp;P$3)</f>
        <v>38</v>
      </c>
      <c r="Q11" s="39">
        <f t="shared" si="2"/>
        <v>-1</v>
      </c>
      <c r="R11" s="131">
        <f>COUNTIFS(总表!$C:$C,$A11,总表!$H:$H,"&gt;="&amp;R$3)</f>
        <v>55</v>
      </c>
      <c r="S11" s="96" t="s">
        <v>3304</v>
      </c>
      <c r="T11" s="67">
        <f>COUNTIFS(总表!$C:$C,$A11,总表!$I:$I,"&gt;="&amp;T$3)</f>
        <v>37</v>
      </c>
      <c r="U11" s="65">
        <f t="shared" si="3"/>
        <v>-2</v>
      </c>
      <c r="V11" s="68">
        <f>COUNTIFS(总表!$C:$C,$A11,总表!$I:$I,"&gt;="&amp;V$3)</f>
        <v>55</v>
      </c>
      <c r="W11" s="138" t="s">
        <v>3400</v>
      </c>
      <c r="X11" s="121">
        <f>COUNTIFS(总表!$C:$C,$A11,总表!$J:$J,"&gt;="&amp;X$3)</f>
        <v>45</v>
      </c>
      <c r="Y11" s="39">
        <f t="shared" si="4"/>
        <v>6</v>
      </c>
      <c r="Z11" s="131">
        <f>COUNTIFS(总表!$C:$C,$A11,总表!$J:$J,"&gt;="&amp;Z$3)</f>
        <v>55</v>
      </c>
      <c r="AA11" s="96" t="s">
        <v>3412</v>
      </c>
      <c r="AB11" s="67">
        <f>COUNTIFS(总表!$C:$C,$A11,总表!$K:$K,"&gt;="&amp;AB$3)</f>
        <v>43</v>
      </c>
      <c r="AC11" s="65">
        <f t="shared" si="5"/>
        <v>4</v>
      </c>
      <c r="AD11" s="126">
        <f>COUNTIFS(总表!$C:$C,$A11,总表!$K:$K,"&gt;="&amp;AD$3)</f>
        <v>55</v>
      </c>
      <c r="AE11" s="162" t="s">
        <v>3422</v>
      </c>
      <c r="AF11" s="166"/>
    </row>
    <row r="12" spans="1:32" ht="19.5" customHeight="1">
      <c r="A12" s="18">
        <v>1808</v>
      </c>
      <c r="B12" s="42">
        <v>55</v>
      </c>
      <c r="C12" s="224">
        <v>38</v>
      </c>
      <c r="D12" s="50">
        <v>53</v>
      </c>
      <c r="E12" s="67">
        <f>COUNTIFS(总表!$C:$C,$A12,总表!$O:$O,"&gt;="&amp;E$3)</f>
        <v>38</v>
      </c>
      <c r="F12" s="65">
        <f t="shared" si="6"/>
        <v>0</v>
      </c>
      <c r="G12" s="68">
        <f>COUNTIFS(总表!$C:$C,$A12,总表!$O:$O,"&gt;="&amp;G$3)</f>
        <v>53</v>
      </c>
      <c r="H12" s="34">
        <f>COUNTIFS(总表!$C:$C,$A12,总表!$F:$F,"&gt;="&amp;H$3)</f>
        <v>34</v>
      </c>
      <c r="I12" s="39">
        <f t="shared" si="0"/>
        <v>-4</v>
      </c>
      <c r="J12" s="131">
        <f>COUNTIFS(总表!$C:$C,$A12,总表!$F:$F,"&gt;="&amp;J$3)</f>
        <v>53</v>
      </c>
      <c r="K12" s="96" t="s">
        <v>3368</v>
      </c>
      <c r="L12" s="67">
        <f>COUNTIFS(总表!$C:$C,$A12,总表!$G:$G,"&gt;="&amp;L$3)</f>
        <v>31</v>
      </c>
      <c r="M12" s="65">
        <f t="shared" si="1"/>
        <v>-7</v>
      </c>
      <c r="N12" s="68">
        <f>COUNTIFS(总表!$C:$C,$A12,总表!$G:$G,"&gt;="&amp;N$3)</f>
        <v>53</v>
      </c>
      <c r="O12" s="138" t="s">
        <v>3378</v>
      </c>
      <c r="P12" s="34">
        <f>COUNTIFS(总表!$C:$C,$A12,总表!$H:$H,"&gt;="&amp;P$3)</f>
        <v>41</v>
      </c>
      <c r="Q12" s="39">
        <f t="shared" si="2"/>
        <v>3</v>
      </c>
      <c r="R12" s="131">
        <f>COUNTIFS(总表!$C:$C,$A12,总表!$H:$H,"&gt;="&amp;R$3)</f>
        <v>53</v>
      </c>
      <c r="S12" s="96" t="s">
        <v>3389</v>
      </c>
      <c r="T12" s="67">
        <f>COUNTIFS(总表!$C:$C,$A12,总表!$I:$I,"&gt;="&amp;T$3)</f>
        <v>42</v>
      </c>
      <c r="U12" s="65">
        <f t="shared" si="3"/>
        <v>4</v>
      </c>
      <c r="V12" s="68">
        <f>COUNTIFS(总表!$C:$C,$A12,总表!$I:$I,"&gt;="&amp;V$3)</f>
        <v>53</v>
      </c>
      <c r="W12" s="138" t="s">
        <v>3400</v>
      </c>
      <c r="X12" s="121">
        <f>COUNTIFS(总表!$C:$C,$A12,总表!$J:$J,"&gt;="&amp;X$3)</f>
        <v>33</v>
      </c>
      <c r="Y12" s="39">
        <f t="shared" si="4"/>
        <v>-5</v>
      </c>
      <c r="Z12" s="131">
        <f>COUNTIFS(总表!$C:$C,$A12,总表!$J:$J,"&gt;="&amp;Z$3)</f>
        <v>53</v>
      </c>
      <c r="AA12" s="96" t="s">
        <v>3412</v>
      </c>
      <c r="AB12" s="67">
        <f>COUNTIFS(总表!$C:$C,$A12,总表!$K:$K,"&gt;="&amp;AB$3)</f>
        <v>46</v>
      </c>
      <c r="AC12" s="65">
        <f t="shared" si="5"/>
        <v>8</v>
      </c>
      <c r="AD12" s="126">
        <f>COUNTIFS(总表!$C:$C,$A12,总表!$K:$K,"&gt;="&amp;AD$3)</f>
        <v>53</v>
      </c>
      <c r="AE12" s="162" t="s">
        <v>3423</v>
      </c>
      <c r="AF12" s="166" t="s">
        <v>3498</v>
      </c>
    </row>
    <row r="13" spans="1:32" ht="19.5" customHeight="1">
      <c r="A13" s="18">
        <v>1809</v>
      </c>
      <c r="B13" s="42">
        <v>52</v>
      </c>
      <c r="C13" s="49">
        <v>52</v>
      </c>
      <c r="D13" s="50">
        <v>52</v>
      </c>
      <c r="E13" s="67">
        <f>COUNTIFS(总表!$C:$C,$A13,总表!$O:$O,"&gt;="&amp;E$3)</f>
        <v>52</v>
      </c>
      <c r="F13" s="65">
        <f t="shared" si="6"/>
        <v>0</v>
      </c>
      <c r="G13" s="68">
        <f>COUNTIFS(总表!$C:$C,$A13,总表!$O:$O,"&gt;="&amp;G$3)</f>
        <v>52</v>
      </c>
      <c r="H13" s="34">
        <f>COUNTIFS(总表!$C:$C,$A13,总表!$F:$F,"&gt;="&amp;H$3)</f>
        <v>51</v>
      </c>
      <c r="I13" s="39">
        <f t="shared" si="0"/>
        <v>-1</v>
      </c>
      <c r="J13" s="131">
        <f>COUNTIFS(总表!$C:$C,$A13,总表!$F:$F,"&gt;="&amp;J$3)</f>
        <v>52</v>
      </c>
      <c r="K13" s="96" t="s">
        <v>3369</v>
      </c>
      <c r="L13" s="67">
        <f>COUNTIFS(总表!$C:$C,$A13,总表!$G:$G,"&gt;="&amp;L$3)</f>
        <v>52</v>
      </c>
      <c r="M13" s="65">
        <f t="shared" si="1"/>
        <v>0</v>
      </c>
      <c r="N13" s="68">
        <f>COUNTIFS(总表!$C:$C,$A13,总表!$G:$G,"&gt;="&amp;N$3)</f>
        <v>52</v>
      </c>
      <c r="O13" s="138" t="s">
        <v>3379</v>
      </c>
      <c r="P13" s="34">
        <f>COUNTIFS(总表!$C:$C,$A13,总表!$H:$H,"&gt;="&amp;P$3)</f>
        <v>52</v>
      </c>
      <c r="Q13" s="39">
        <f t="shared" si="2"/>
        <v>0</v>
      </c>
      <c r="R13" s="131">
        <f>COUNTIFS(总表!$C:$C,$A13,总表!$H:$H,"&gt;="&amp;R$3)</f>
        <v>52</v>
      </c>
      <c r="S13" s="96" t="s">
        <v>3390</v>
      </c>
      <c r="T13" s="67">
        <f>COUNTIFS(总表!$C:$C,$A13,总表!$I:$I,"&gt;="&amp;T$3)</f>
        <v>52</v>
      </c>
      <c r="U13" s="65">
        <f t="shared" si="3"/>
        <v>0</v>
      </c>
      <c r="V13" s="68">
        <f>COUNTIFS(总表!$C:$C,$A13,总表!$I:$I,"&gt;="&amp;V$3)</f>
        <v>52</v>
      </c>
      <c r="W13" s="138" t="s">
        <v>3401</v>
      </c>
      <c r="X13" s="121">
        <f>COUNTIFS(总表!$C:$C,$A13,总表!$J:$J,"&gt;="&amp;X$3)</f>
        <v>52</v>
      </c>
      <c r="Y13" s="39">
        <f t="shared" si="4"/>
        <v>0</v>
      </c>
      <c r="Z13" s="131">
        <f>COUNTIFS(总表!$C:$C,$A13,总表!$J:$J,"&gt;="&amp;Z$3)</f>
        <v>52</v>
      </c>
      <c r="AA13" s="96" t="s">
        <v>3413</v>
      </c>
      <c r="AB13" s="67">
        <f>COUNTIFS(总表!$C:$C,$A13,总表!$K:$K,"&gt;="&amp;AB$3)</f>
        <v>52</v>
      </c>
      <c r="AC13" s="65">
        <f t="shared" si="5"/>
        <v>0</v>
      </c>
      <c r="AD13" s="126">
        <f>COUNTIFS(总表!$C:$C,$A13,总表!$K:$K,"&gt;="&amp;AD$3)</f>
        <v>52</v>
      </c>
      <c r="AE13" s="162" t="s">
        <v>3423</v>
      </c>
      <c r="AF13" s="166"/>
    </row>
    <row r="14" spans="1:32" ht="19.5" customHeight="1">
      <c r="A14" s="18">
        <v>1810</v>
      </c>
      <c r="B14" s="42">
        <v>50</v>
      </c>
      <c r="C14" s="49">
        <v>50</v>
      </c>
      <c r="D14" s="50">
        <v>50</v>
      </c>
      <c r="E14" s="67">
        <f>COUNTIFS(总表!$C:$C,$A14,总表!$O:$O,"&gt;="&amp;E$3)</f>
        <v>50</v>
      </c>
      <c r="F14" s="65">
        <f t="shared" si="6"/>
        <v>0</v>
      </c>
      <c r="G14" s="68">
        <f>COUNTIFS(总表!$C:$C,$A14,总表!$O:$O,"&gt;="&amp;G$3)</f>
        <v>50</v>
      </c>
      <c r="H14" s="34">
        <f>COUNTIFS(总表!$C:$C,$A14,总表!$F:$F,"&gt;="&amp;H$3)</f>
        <v>45</v>
      </c>
      <c r="I14" s="39">
        <f t="shared" si="0"/>
        <v>-5</v>
      </c>
      <c r="J14" s="131">
        <f>COUNTIFS(总表!$C:$C,$A14,总表!$F:$F,"&gt;="&amp;J$3)</f>
        <v>50</v>
      </c>
      <c r="K14" s="96" t="s">
        <v>3369</v>
      </c>
      <c r="L14" s="67">
        <f>COUNTIFS(总表!$C:$C,$A14,总表!$G:$G,"&gt;="&amp;L$3)</f>
        <v>50</v>
      </c>
      <c r="M14" s="65">
        <f t="shared" si="1"/>
        <v>0</v>
      </c>
      <c r="N14" s="68">
        <f>COUNTIFS(总表!$C:$C,$A14,总表!$G:$G,"&gt;="&amp;N$3)</f>
        <v>50</v>
      </c>
      <c r="O14" s="138" t="s">
        <v>3380</v>
      </c>
      <c r="P14" s="34">
        <f>COUNTIFS(总表!$C:$C,$A14,总表!$H:$H,"&gt;="&amp;P$3)</f>
        <v>50</v>
      </c>
      <c r="Q14" s="39">
        <f t="shared" si="2"/>
        <v>0</v>
      </c>
      <c r="R14" s="131">
        <f>COUNTIFS(总表!$C:$C,$A14,总表!$H:$H,"&gt;="&amp;R$3)</f>
        <v>50</v>
      </c>
      <c r="S14" s="96" t="s">
        <v>3391</v>
      </c>
      <c r="T14" s="67">
        <f>COUNTIFS(总表!$C:$C,$A14,总表!$I:$I,"&gt;="&amp;T$3)</f>
        <v>50</v>
      </c>
      <c r="U14" s="65">
        <f t="shared" si="3"/>
        <v>0</v>
      </c>
      <c r="V14" s="68">
        <f>COUNTIFS(总表!$C:$C,$A14,总表!$I:$I,"&gt;="&amp;V$3)</f>
        <v>50</v>
      </c>
      <c r="W14" s="138" t="s">
        <v>3402</v>
      </c>
      <c r="X14" s="121">
        <f>COUNTIFS(总表!$C:$C,$A14,总表!$J:$J,"&gt;="&amp;X$3)</f>
        <v>50</v>
      </c>
      <c r="Y14" s="39">
        <f t="shared" si="4"/>
        <v>0</v>
      </c>
      <c r="Z14" s="131">
        <f>COUNTIFS(总表!$C:$C,$A14,总表!$J:$J,"&gt;="&amp;Z$3)</f>
        <v>50</v>
      </c>
      <c r="AA14" s="96" t="s">
        <v>3303</v>
      </c>
      <c r="AB14" s="67">
        <f>COUNTIFS(总表!$C:$C,$A14,总表!$K:$K,"&gt;="&amp;AB$3)</f>
        <v>50</v>
      </c>
      <c r="AC14" s="65">
        <f t="shared" si="5"/>
        <v>0</v>
      </c>
      <c r="AD14" s="126">
        <f>COUNTIFS(总表!$C:$C,$A14,总表!$K:$K,"&gt;="&amp;AD$3)</f>
        <v>50</v>
      </c>
      <c r="AE14" s="162" t="s">
        <v>3423</v>
      </c>
      <c r="AF14" s="166"/>
    </row>
    <row r="15" spans="1:32" ht="19.5" customHeight="1">
      <c r="A15" s="18">
        <v>1811</v>
      </c>
      <c r="B15" s="42">
        <v>55</v>
      </c>
      <c r="C15" s="49">
        <v>43</v>
      </c>
      <c r="D15" s="50">
        <v>55</v>
      </c>
      <c r="E15" s="67">
        <f>COUNTIFS(总表!$C:$C,$A15,总表!$O:$O,"&gt;="&amp;E$3)</f>
        <v>41</v>
      </c>
      <c r="F15" s="65">
        <f t="shared" si="6"/>
        <v>-2</v>
      </c>
      <c r="G15" s="68">
        <f>COUNTIFS(总表!$C:$C,$A15,总表!$O:$O,"&gt;="&amp;G$3)</f>
        <v>55</v>
      </c>
      <c r="H15" s="34">
        <f>COUNTIFS(总表!$C:$C,$A15,总表!$F:$F,"&gt;="&amp;H$3)</f>
        <v>46</v>
      </c>
      <c r="I15" s="39">
        <f t="shared" si="0"/>
        <v>3</v>
      </c>
      <c r="J15" s="131">
        <f>COUNTIFS(总表!$C:$C,$A15,总表!$F:$F,"&gt;="&amp;J$3)</f>
        <v>55</v>
      </c>
      <c r="K15" s="96" t="s">
        <v>3370</v>
      </c>
      <c r="L15" s="67">
        <f>COUNTIFS(总表!$C:$C,$A15,总表!$G:$G,"&gt;="&amp;L$3)</f>
        <v>46</v>
      </c>
      <c r="M15" s="65">
        <f t="shared" si="1"/>
        <v>3</v>
      </c>
      <c r="N15" s="68">
        <f>COUNTIFS(总表!$C:$C,$A15,总表!$G:$G,"&gt;="&amp;N$3)</f>
        <v>55</v>
      </c>
      <c r="O15" s="138" t="s">
        <v>3381</v>
      </c>
      <c r="P15" s="34">
        <f>COUNTIFS(总表!$C:$C,$A15,总表!$H:$H,"&gt;="&amp;P$3)</f>
        <v>43</v>
      </c>
      <c r="Q15" s="39">
        <f t="shared" si="2"/>
        <v>0</v>
      </c>
      <c r="R15" s="131">
        <f>COUNTIFS(总表!$C:$C,$A15,总表!$H:$H,"&gt;="&amp;R$3)</f>
        <v>55</v>
      </c>
      <c r="S15" s="96" t="s">
        <v>3387</v>
      </c>
      <c r="T15" s="67">
        <f>COUNTIFS(总表!$C:$C,$A15,总表!$I:$I,"&gt;="&amp;T$3)</f>
        <v>43</v>
      </c>
      <c r="U15" s="65">
        <f t="shared" si="3"/>
        <v>0</v>
      </c>
      <c r="V15" s="68">
        <f>COUNTIFS(总表!$C:$C,$A15,总表!$I:$I,"&gt;="&amp;V$3)</f>
        <v>55</v>
      </c>
      <c r="W15" s="138" t="s">
        <v>3403</v>
      </c>
      <c r="X15" s="121">
        <f>COUNTIFS(总表!$C:$C,$A15,总表!$J:$J,"&gt;="&amp;X$3)</f>
        <v>42</v>
      </c>
      <c r="Y15" s="39">
        <f t="shared" si="4"/>
        <v>-1</v>
      </c>
      <c r="Z15" s="131">
        <f>COUNTIFS(总表!$C:$C,$A15,总表!$J:$J,"&gt;="&amp;Z$3)</f>
        <v>55</v>
      </c>
      <c r="AA15" s="96" t="s">
        <v>3413</v>
      </c>
      <c r="AB15" s="67">
        <f>COUNTIFS(总表!$C:$C,$A15,总表!$K:$K,"&gt;="&amp;AB$3)</f>
        <v>37</v>
      </c>
      <c r="AC15" s="65">
        <f t="shared" si="5"/>
        <v>-6</v>
      </c>
      <c r="AD15" s="126">
        <f>COUNTIFS(总表!$C:$C,$A15,总表!$K:$K,"&gt;="&amp;AD$3)</f>
        <v>55</v>
      </c>
      <c r="AE15" s="162" t="s">
        <v>3424</v>
      </c>
      <c r="AF15" s="166"/>
    </row>
    <row r="16" spans="1:32" ht="19.5" customHeight="1">
      <c r="A16" s="18">
        <v>1812</v>
      </c>
      <c r="B16" s="42">
        <v>57</v>
      </c>
      <c r="C16" s="49">
        <v>41</v>
      </c>
      <c r="D16" s="50">
        <v>57</v>
      </c>
      <c r="E16" s="67">
        <f>COUNTIFS(总表!$C:$C,$A16,总表!$O:$O,"&gt;="&amp;E$3)</f>
        <v>39</v>
      </c>
      <c r="F16" s="65">
        <f t="shared" si="6"/>
        <v>-2</v>
      </c>
      <c r="G16" s="68">
        <f>COUNTIFS(总表!$C:$C,$A16,总表!$O:$O,"&gt;="&amp;G$3)</f>
        <v>57</v>
      </c>
      <c r="H16" s="34">
        <f>COUNTIFS(总表!$C:$C,$A16,总表!$F:$F,"&gt;="&amp;H$3)</f>
        <v>47</v>
      </c>
      <c r="I16" s="39">
        <f t="shared" si="0"/>
        <v>6</v>
      </c>
      <c r="J16" s="131">
        <f>COUNTIFS(总表!$C:$C,$A16,总表!$F:$F,"&gt;="&amp;J$3)</f>
        <v>57</v>
      </c>
      <c r="K16" s="96" t="s">
        <v>3370</v>
      </c>
      <c r="L16" s="67">
        <f>COUNTIFS(总表!$C:$C,$A16,总表!$G:$G,"&gt;="&amp;L$3)</f>
        <v>42</v>
      </c>
      <c r="M16" s="65">
        <f t="shared" si="1"/>
        <v>1</v>
      </c>
      <c r="N16" s="68">
        <f>COUNTIFS(总表!$C:$C,$A16,总表!$G:$G,"&gt;="&amp;N$3)</f>
        <v>57</v>
      </c>
      <c r="O16" s="138" t="s">
        <v>3305</v>
      </c>
      <c r="P16" s="34">
        <f>COUNTIFS(总表!$C:$C,$A16,总表!$H:$H,"&gt;="&amp;P$3)</f>
        <v>45</v>
      </c>
      <c r="Q16" s="39">
        <f t="shared" si="2"/>
        <v>4</v>
      </c>
      <c r="R16" s="131">
        <f>COUNTIFS(总表!$C:$C,$A16,总表!$H:$H,"&gt;="&amp;R$3)</f>
        <v>57</v>
      </c>
      <c r="S16" s="96" t="s">
        <v>3392</v>
      </c>
      <c r="T16" s="67">
        <f>COUNTIFS(总表!$C:$C,$A16,总表!$I:$I,"&gt;="&amp;T$3)</f>
        <v>42</v>
      </c>
      <c r="U16" s="65">
        <f t="shared" si="3"/>
        <v>1</v>
      </c>
      <c r="V16" s="68">
        <f>COUNTIFS(总表!$C:$C,$A16,总表!$I:$I,"&gt;="&amp;V$3)</f>
        <v>57</v>
      </c>
      <c r="W16" s="138" t="s">
        <v>3404</v>
      </c>
      <c r="X16" s="121">
        <f>COUNTIFS(总表!$C:$C,$A16,总表!$J:$J,"&gt;="&amp;X$3)</f>
        <v>43</v>
      </c>
      <c r="Y16" s="39">
        <f t="shared" si="4"/>
        <v>2</v>
      </c>
      <c r="Z16" s="131">
        <f>COUNTIFS(总表!$C:$C,$A16,总表!$J:$J,"&gt;="&amp;Z$3)</f>
        <v>57</v>
      </c>
      <c r="AA16" s="96" t="s">
        <v>3414</v>
      </c>
      <c r="AB16" s="67">
        <f>COUNTIFS(总表!$C:$C,$A16,总表!$K:$K,"&gt;="&amp;AB$3)</f>
        <v>42</v>
      </c>
      <c r="AC16" s="65">
        <f t="shared" si="5"/>
        <v>1</v>
      </c>
      <c r="AD16" s="126">
        <f>COUNTIFS(总表!$C:$C,$A16,总表!$K:$K,"&gt;="&amp;AD$3)</f>
        <v>57</v>
      </c>
      <c r="AE16" s="162" t="s">
        <v>3424</v>
      </c>
      <c r="AF16" s="166"/>
    </row>
    <row r="17" spans="1:32" ht="19.5" customHeight="1">
      <c r="A17" s="18">
        <v>1813</v>
      </c>
      <c r="B17" s="42">
        <v>56</v>
      </c>
      <c r="C17" s="49">
        <v>38</v>
      </c>
      <c r="D17" s="50">
        <v>56</v>
      </c>
      <c r="E17" s="67">
        <f>COUNTIFS(总表!$C:$C,$A17,总表!$O:$O,"&gt;="&amp;E$3)</f>
        <v>39</v>
      </c>
      <c r="F17" s="65">
        <f t="shared" si="6"/>
        <v>1</v>
      </c>
      <c r="G17" s="68">
        <f>COUNTIFS(总表!$C:$C,$A17,总表!$O:$O,"&gt;="&amp;G$3)</f>
        <v>56</v>
      </c>
      <c r="H17" s="34">
        <f>COUNTIFS(总表!$C:$C,$A17,总表!$F:$F,"&gt;="&amp;H$3)</f>
        <v>44</v>
      </c>
      <c r="I17" s="39">
        <f t="shared" si="0"/>
        <v>6</v>
      </c>
      <c r="J17" s="131">
        <f>COUNTIFS(总表!$C:$C,$A17,总表!$F:$F,"&gt;="&amp;J$3)</f>
        <v>56</v>
      </c>
      <c r="K17" s="96" t="s">
        <v>3371</v>
      </c>
      <c r="L17" s="67">
        <f>COUNTIFS(总表!$C:$C,$A17,总表!$G:$G,"&gt;="&amp;L$3)</f>
        <v>38</v>
      </c>
      <c r="M17" s="65">
        <f t="shared" si="1"/>
        <v>0</v>
      </c>
      <c r="N17" s="68">
        <f>COUNTIFS(总表!$C:$C,$A17,总表!$G:$G,"&gt;="&amp;N$3)</f>
        <v>56</v>
      </c>
      <c r="O17" s="138" t="s">
        <v>3382</v>
      </c>
      <c r="P17" s="34">
        <f>COUNTIFS(总表!$C:$C,$A17,总表!$H:$H,"&gt;="&amp;P$3)</f>
        <v>43</v>
      </c>
      <c r="Q17" s="39">
        <f t="shared" si="2"/>
        <v>5</v>
      </c>
      <c r="R17" s="131">
        <f>COUNTIFS(总表!$C:$C,$A17,总表!$H:$H,"&gt;="&amp;R$3)</f>
        <v>56</v>
      </c>
      <c r="S17" s="96" t="s">
        <v>3392</v>
      </c>
      <c r="T17" s="67">
        <f>COUNTIFS(总表!$C:$C,$A17,总表!$I:$I,"&gt;="&amp;T$3)</f>
        <v>35</v>
      </c>
      <c r="U17" s="65">
        <f t="shared" si="3"/>
        <v>-3</v>
      </c>
      <c r="V17" s="68">
        <f>COUNTIFS(总表!$C:$C,$A17,总表!$I:$I,"&gt;="&amp;V$3)</f>
        <v>56</v>
      </c>
      <c r="W17" s="138" t="s">
        <v>3402</v>
      </c>
      <c r="X17" s="121">
        <f>COUNTIFS(总表!$C:$C,$A17,总表!$J:$J,"&gt;="&amp;X$3)</f>
        <v>43</v>
      </c>
      <c r="Y17" s="39">
        <f t="shared" si="4"/>
        <v>5</v>
      </c>
      <c r="Z17" s="131">
        <f>COUNTIFS(总表!$C:$C,$A17,总表!$J:$J,"&gt;="&amp;Z$3)</f>
        <v>56</v>
      </c>
      <c r="AA17" s="96" t="s">
        <v>3414</v>
      </c>
      <c r="AB17" s="67">
        <f>COUNTIFS(总表!$C:$C,$A17,总表!$K:$K,"&gt;="&amp;AB$3)</f>
        <v>37</v>
      </c>
      <c r="AC17" s="65">
        <f t="shared" si="5"/>
        <v>-1</v>
      </c>
      <c r="AD17" s="126">
        <f>COUNTIFS(总表!$C:$C,$A17,总表!$K:$K,"&gt;="&amp;AD$3)</f>
        <v>56</v>
      </c>
      <c r="AE17" s="162" t="s">
        <v>3424</v>
      </c>
      <c r="AF17" s="166"/>
    </row>
    <row r="18" spans="1:32" ht="19.5" customHeight="1">
      <c r="A18" s="18">
        <v>1814</v>
      </c>
      <c r="B18" s="42">
        <v>55</v>
      </c>
      <c r="C18" s="49">
        <v>40</v>
      </c>
      <c r="D18" s="50">
        <v>55</v>
      </c>
      <c r="E18" s="67">
        <f>COUNTIFS(总表!$C:$C,$A18,总表!$O:$O,"&gt;="&amp;E$3)</f>
        <v>40</v>
      </c>
      <c r="F18" s="65">
        <f t="shared" si="6"/>
        <v>0</v>
      </c>
      <c r="G18" s="68">
        <f>COUNTIFS(总表!$C:$C,$A18,总表!$O:$O,"&gt;="&amp;G$3)</f>
        <v>55</v>
      </c>
      <c r="H18" s="34">
        <f>COUNTIFS(总表!$C:$C,$A18,总表!$F:$F,"&gt;="&amp;H$3)</f>
        <v>40</v>
      </c>
      <c r="I18" s="39">
        <f t="shared" si="0"/>
        <v>0</v>
      </c>
      <c r="J18" s="131">
        <f>COUNTIFS(总表!$C:$C,$A18,总表!$F:$F,"&gt;="&amp;J$3)</f>
        <v>55</v>
      </c>
      <c r="K18" s="96" t="s">
        <v>3372</v>
      </c>
      <c r="L18" s="67">
        <f>COUNTIFS(总表!$C:$C,$A18,总表!$G:$G,"&gt;="&amp;L$3)</f>
        <v>38</v>
      </c>
      <c r="M18" s="65">
        <f t="shared" si="1"/>
        <v>-2</v>
      </c>
      <c r="N18" s="68">
        <f>COUNTIFS(总表!$C:$C,$A18,总表!$G:$G,"&gt;="&amp;N$3)</f>
        <v>55</v>
      </c>
      <c r="O18" s="138" t="s">
        <v>3382</v>
      </c>
      <c r="P18" s="34">
        <f>COUNTIFS(总表!$C:$C,$A18,总表!$H:$H,"&gt;="&amp;P$3)</f>
        <v>41</v>
      </c>
      <c r="Q18" s="39">
        <f t="shared" si="2"/>
        <v>1</v>
      </c>
      <c r="R18" s="131">
        <f>COUNTIFS(总表!$C:$C,$A18,总表!$H:$H,"&gt;="&amp;R$3)</f>
        <v>55</v>
      </c>
      <c r="S18" s="96" t="s">
        <v>3393</v>
      </c>
      <c r="T18" s="67">
        <f>COUNTIFS(总表!$C:$C,$A18,总表!$I:$I,"&gt;="&amp;T$3)</f>
        <v>43</v>
      </c>
      <c r="U18" s="65">
        <f t="shared" si="3"/>
        <v>3</v>
      </c>
      <c r="V18" s="68">
        <f>COUNTIFS(总表!$C:$C,$A18,总表!$I:$I,"&gt;="&amp;V$3)</f>
        <v>55</v>
      </c>
      <c r="W18" s="138" t="s">
        <v>3405</v>
      </c>
      <c r="X18" s="121">
        <f>COUNTIFS(总表!$C:$C,$A18,总表!$J:$J,"&gt;="&amp;X$3)</f>
        <v>36</v>
      </c>
      <c r="Y18" s="39">
        <f t="shared" si="4"/>
        <v>-4</v>
      </c>
      <c r="Z18" s="131">
        <f>COUNTIFS(总表!$C:$C,$A18,总表!$J:$J,"&gt;="&amp;Z$3)</f>
        <v>55</v>
      </c>
      <c r="AA18" s="96" t="s">
        <v>3415</v>
      </c>
      <c r="AB18" s="67">
        <f>COUNTIFS(总表!$C:$C,$A18,总表!$K:$K,"&gt;="&amp;AB$3)</f>
        <v>44</v>
      </c>
      <c r="AC18" s="65">
        <f t="shared" si="5"/>
        <v>4</v>
      </c>
      <c r="AD18" s="126">
        <f>COUNTIFS(总表!$C:$C,$A18,总表!$K:$K,"&gt;="&amp;AD$3)</f>
        <v>55</v>
      </c>
      <c r="AE18" s="162" t="s">
        <v>3425</v>
      </c>
      <c r="AF18" s="166"/>
    </row>
    <row r="19" spans="1:32" ht="19.5" customHeight="1">
      <c r="A19" s="18">
        <v>1815</v>
      </c>
      <c r="B19" s="42">
        <v>55</v>
      </c>
      <c r="C19" s="49">
        <v>39</v>
      </c>
      <c r="D19" s="50">
        <v>55</v>
      </c>
      <c r="E19" s="67">
        <f>COUNTIFS(总表!$C:$C,$A19,总表!$O:$O,"&gt;="&amp;E$3)</f>
        <v>43</v>
      </c>
      <c r="F19" s="65">
        <f t="shared" si="6"/>
        <v>4</v>
      </c>
      <c r="G19" s="68">
        <f>COUNTIFS(总表!$C:$C,$A19,总表!$O:$O,"&gt;="&amp;G$3)</f>
        <v>55</v>
      </c>
      <c r="H19" s="34">
        <f>COUNTIFS(总表!$C:$C,$A19,总表!$F:$F,"&gt;="&amp;H$3)</f>
        <v>29</v>
      </c>
      <c r="I19" s="39">
        <f t="shared" si="0"/>
        <v>-10</v>
      </c>
      <c r="J19" s="131">
        <f>COUNTIFS(总表!$C:$C,$A19,总表!$F:$F,"&gt;="&amp;J$3)</f>
        <v>55</v>
      </c>
      <c r="K19" s="96" t="s">
        <v>3373</v>
      </c>
      <c r="L19" s="67">
        <f>COUNTIFS(总表!$C:$C,$A19,总表!$G:$G,"&gt;="&amp;L$3)</f>
        <v>45</v>
      </c>
      <c r="M19" s="65">
        <f t="shared" si="1"/>
        <v>6</v>
      </c>
      <c r="N19" s="68">
        <f>COUNTIFS(总表!$C:$C,$A19,总表!$G:$G,"&gt;="&amp;N$3)</f>
        <v>55</v>
      </c>
      <c r="O19" s="138" t="s">
        <v>3383</v>
      </c>
      <c r="P19" s="34">
        <f>COUNTIFS(总表!$C:$C,$A19,总表!$H:$H,"&gt;="&amp;P$3)</f>
        <v>36</v>
      </c>
      <c r="Q19" s="39">
        <f t="shared" si="2"/>
        <v>-3</v>
      </c>
      <c r="R19" s="131">
        <f>COUNTIFS(总表!$C:$C,$A19,总表!$H:$H,"&gt;="&amp;R$3)</f>
        <v>55</v>
      </c>
      <c r="S19" s="96" t="s">
        <v>3391</v>
      </c>
      <c r="T19" s="67">
        <f>COUNTIFS(总表!$C:$C,$A19,总表!$I:$I,"&gt;="&amp;T$3)</f>
        <v>42</v>
      </c>
      <c r="U19" s="65">
        <f t="shared" si="3"/>
        <v>3</v>
      </c>
      <c r="V19" s="68">
        <f>COUNTIFS(总表!$C:$C,$A19,总表!$I:$I,"&gt;="&amp;V$3)</f>
        <v>55</v>
      </c>
      <c r="W19" s="138" t="s">
        <v>3406</v>
      </c>
      <c r="X19" s="121">
        <f>COUNTIFS(总表!$C:$C,$A19,总表!$J:$J,"&gt;="&amp;X$3)</f>
        <v>40</v>
      </c>
      <c r="Y19" s="39">
        <f t="shared" si="4"/>
        <v>1</v>
      </c>
      <c r="Z19" s="131">
        <f>COUNTIFS(总表!$C:$C,$A19,总表!$J:$J,"&gt;="&amp;Z$3)</f>
        <v>55</v>
      </c>
      <c r="AA19" s="96" t="s">
        <v>3415</v>
      </c>
      <c r="AB19" s="67">
        <f>COUNTIFS(总表!$C:$C,$A19,总表!$K:$K,"&gt;="&amp;AB$3)</f>
        <v>39</v>
      </c>
      <c r="AC19" s="65">
        <f t="shared" si="5"/>
        <v>0</v>
      </c>
      <c r="AD19" s="126">
        <f>COUNTIFS(总表!$C:$C,$A19,总表!$K:$K,"&gt;="&amp;AD$3)</f>
        <v>55</v>
      </c>
      <c r="AE19" s="162" t="s">
        <v>3425</v>
      </c>
      <c r="AF19" s="166"/>
    </row>
    <row r="20" spans="1:32" ht="19.5" customHeight="1">
      <c r="A20" s="18">
        <v>1816</v>
      </c>
      <c r="B20" s="42">
        <v>56</v>
      </c>
      <c r="C20" s="49">
        <v>40</v>
      </c>
      <c r="D20" s="50">
        <v>56</v>
      </c>
      <c r="E20" s="67">
        <f>COUNTIFS(总表!$C:$C,$A20,总表!$O:$O,"&gt;="&amp;E$3)</f>
        <v>39</v>
      </c>
      <c r="F20" s="65">
        <f t="shared" si="6"/>
        <v>-1</v>
      </c>
      <c r="G20" s="68">
        <f>COUNTIFS(总表!$C:$C,$A20,总表!$O:$O,"&gt;="&amp;G$3)</f>
        <v>56</v>
      </c>
      <c r="H20" s="34">
        <f>COUNTIFS(总表!$C:$C,$A20,总表!$F:$F,"&gt;="&amp;H$3)</f>
        <v>36</v>
      </c>
      <c r="I20" s="39">
        <f t="shared" si="0"/>
        <v>-4</v>
      </c>
      <c r="J20" s="131">
        <f>COUNTIFS(总表!$C:$C,$A20,总表!$F:$F,"&gt;="&amp;J$3)</f>
        <v>56</v>
      </c>
      <c r="K20" s="96" t="s">
        <v>3371</v>
      </c>
      <c r="L20" s="67">
        <f>COUNTIFS(总表!$C:$C,$A20,总表!$G:$G,"&gt;="&amp;L$3)</f>
        <v>39</v>
      </c>
      <c r="M20" s="65">
        <f t="shared" si="1"/>
        <v>-1</v>
      </c>
      <c r="N20" s="68">
        <f>COUNTIFS(总表!$C:$C,$A20,总表!$G:$G,"&gt;="&amp;N$3)</f>
        <v>56</v>
      </c>
      <c r="O20" s="138" t="s">
        <v>3305</v>
      </c>
      <c r="P20" s="34">
        <f>COUNTIFS(总表!$C:$C,$A20,总表!$H:$H,"&gt;="&amp;P$3)</f>
        <v>43</v>
      </c>
      <c r="Q20" s="39">
        <f t="shared" si="2"/>
        <v>3</v>
      </c>
      <c r="R20" s="131">
        <f>COUNTIFS(总表!$C:$C,$A20,总表!$H:$H,"&gt;="&amp;R$3)</f>
        <v>56</v>
      </c>
      <c r="S20" s="96" t="s">
        <v>3394</v>
      </c>
      <c r="T20" s="67">
        <f>COUNTIFS(总表!$C:$C,$A20,总表!$I:$I,"&gt;="&amp;T$3)</f>
        <v>42</v>
      </c>
      <c r="U20" s="65">
        <f t="shared" si="3"/>
        <v>2</v>
      </c>
      <c r="V20" s="68">
        <f>COUNTIFS(总表!$C:$C,$A20,总表!$I:$I,"&gt;="&amp;V$3)</f>
        <v>56</v>
      </c>
      <c r="W20" s="138" t="s">
        <v>3405</v>
      </c>
      <c r="X20" s="121">
        <f>COUNTIFS(总表!$C:$C,$A20,总表!$J:$J,"&gt;="&amp;X$3)</f>
        <v>39</v>
      </c>
      <c r="Y20" s="39">
        <f t="shared" si="4"/>
        <v>-1</v>
      </c>
      <c r="Z20" s="131">
        <f>COUNTIFS(总表!$C:$C,$A20,总表!$J:$J,"&gt;="&amp;Z$3)</f>
        <v>56</v>
      </c>
      <c r="AA20" s="96" t="s">
        <v>3416</v>
      </c>
      <c r="AB20" s="67">
        <f>COUNTIFS(总表!$C:$C,$A20,总表!$K:$K,"&gt;="&amp;AB$3)</f>
        <v>38</v>
      </c>
      <c r="AC20" s="65">
        <f t="shared" si="5"/>
        <v>-2</v>
      </c>
      <c r="AD20" s="126">
        <f>COUNTIFS(总表!$C:$C,$A20,总表!$K:$K,"&gt;="&amp;AD$3)</f>
        <v>56</v>
      </c>
      <c r="AE20" s="162" t="s">
        <v>3426</v>
      </c>
      <c r="AF20" s="166"/>
    </row>
    <row r="21" spans="1:32" ht="19.5" customHeight="1" thickBot="1">
      <c r="A21" s="19">
        <v>1817</v>
      </c>
      <c r="B21" s="43">
        <v>56</v>
      </c>
      <c r="C21" s="51">
        <v>37</v>
      </c>
      <c r="D21" s="52">
        <v>56</v>
      </c>
      <c r="E21" s="69">
        <f>COUNTIFS(总表!$C:$C,$A21,总表!$O:$O,"&gt;="&amp;E$3)</f>
        <v>40</v>
      </c>
      <c r="F21" s="65">
        <f t="shared" si="6"/>
        <v>3</v>
      </c>
      <c r="G21" s="70">
        <f>COUNTIFS(总表!$C:$C,$A21,总表!$O:$O,"&gt;="&amp;G$3)</f>
        <v>56</v>
      </c>
      <c r="H21" s="35">
        <f>COUNTIFS(总表!$C:$C,$A21,总表!$F:$F,"&gt;="&amp;H$3)</f>
        <v>38</v>
      </c>
      <c r="I21" s="39">
        <f t="shared" si="0"/>
        <v>1</v>
      </c>
      <c r="J21" s="132">
        <f>COUNTIFS(总表!$C:$C,$A21,总表!$F:$F,"&gt;="&amp;J$3)</f>
        <v>56</v>
      </c>
      <c r="K21" s="96" t="s">
        <v>3372</v>
      </c>
      <c r="L21" s="69">
        <f>COUNTIFS(总表!$C:$C,$A21,总表!$G:$G,"&gt;="&amp;L$3)</f>
        <v>42</v>
      </c>
      <c r="M21" s="65">
        <f t="shared" si="1"/>
        <v>5</v>
      </c>
      <c r="N21" s="70">
        <f>COUNTIFS(总表!$C:$C,$A21,总表!$G:$G,"&gt;="&amp;N$3)</f>
        <v>56</v>
      </c>
      <c r="O21" s="138" t="s">
        <v>3383</v>
      </c>
      <c r="P21" s="35">
        <f>COUNTIFS(总表!$C:$C,$A21,总表!$H:$H,"&gt;="&amp;P$3)</f>
        <v>44</v>
      </c>
      <c r="Q21" s="39">
        <f t="shared" si="2"/>
        <v>7</v>
      </c>
      <c r="R21" s="132">
        <f>COUNTIFS(总表!$C:$C,$A21,总表!$H:$H,"&gt;="&amp;R$3)</f>
        <v>56</v>
      </c>
      <c r="S21" s="96" t="s">
        <v>3394</v>
      </c>
      <c r="T21" s="69">
        <f>COUNTIFS(总表!$C:$C,$A21,总表!$I:$I,"&gt;="&amp;T$3)</f>
        <v>44</v>
      </c>
      <c r="U21" s="65">
        <f t="shared" si="3"/>
        <v>7</v>
      </c>
      <c r="V21" s="70">
        <f>COUNTIFS(总表!$C:$C,$A21,总表!$I:$I,"&gt;="&amp;V$3)</f>
        <v>56</v>
      </c>
      <c r="W21" s="138" t="s">
        <v>3406</v>
      </c>
      <c r="X21" s="122">
        <f>COUNTIFS(总表!$C:$C,$A21,总表!$J:$J,"&gt;="&amp;X$3)</f>
        <v>41</v>
      </c>
      <c r="Y21" s="39">
        <f t="shared" si="4"/>
        <v>4</v>
      </c>
      <c r="Z21" s="132">
        <f>COUNTIFS(总表!$C:$C,$A21,总表!$J:$J,"&gt;="&amp;Z$3)</f>
        <v>56</v>
      </c>
      <c r="AA21" s="96" t="s">
        <v>3416</v>
      </c>
      <c r="AB21" s="69">
        <f>COUNTIFS(总表!$C:$C,$A21,总表!$K:$K,"&gt;="&amp;AB$3)</f>
        <v>43</v>
      </c>
      <c r="AC21" s="65">
        <f t="shared" si="5"/>
        <v>6</v>
      </c>
      <c r="AD21" s="127">
        <f>COUNTIFS(总表!$C:$C,$A21,总表!$K:$K,"&gt;="&amp;AD$3)</f>
        <v>56</v>
      </c>
      <c r="AE21" s="162" t="s">
        <v>3425</v>
      </c>
      <c r="AF21" s="166"/>
    </row>
    <row r="22" spans="1:32" ht="19.5" customHeight="1" thickBot="1">
      <c r="A22" s="15" t="s">
        <v>3198</v>
      </c>
      <c r="B22" s="44">
        <f>SUM(B5:B21)</f>
        <v>940</v>
      </c>
      <c r="C22" s="53">
        <f>SUM(C5:C21)</f>
        <v>702</v>
      </c>
      <c r="D22" s="54">
        <f>SUM(D5:D21)</f>
        <v>934</v>
      </c>
      <c r="E22" s="71">
        <f>SUM(E5:E21)</f>
        <v>707</v>
      </c>
      <c r="F22" s="72"/>
      <c r="G22" s="73">
        <f t="shared" ref="G22:AD22" si="7">SUM(G5:G21)</f>
        <v>934</v>
      </c>
      <c r="H22" s="36">
        <f t="shared" si="7"/>
        <v>709</v>
      </c>
      <c r="I22" s="38"/>
      <c r="J22" s="133">
        <f t="shared" si="7"/>
        <v>934</v>
      </c>
      <c r="K22" s="101"/>
      <c r="L22" s="102">
        <f t="shared" si="7"/>
        <v>720</v>
      </c>
      <c r="M22" s="99"/>
      <c r="N22" s="103">
        <f t="shared" si="7"/>
        <v>934</v>
      </c>
      <c r="O22" s="100"/>
      <c r="P22" s="36">
        <f t="shared" si="7"/>
        <v>708</v>
      </c>
      <c r="Q22" s="38"/>
      <c r="R22" s="133">
        <f t="shared" si="7"/>
        <v>934</v>
      </c>
      <c r="S22" s="101"/>
      <c r="T22" s="71">
        <f t="shared" si="7"/>
        <v>717</v>
      </c>
      <c r="U22" s="72"/>
      <c r="V22" s="73">
        <f t="shared" si="7"/>
        <v>934</v>
      </c>
      <c r="W22" s="99"/>
      <c r="X22" s="123">
        <f t="shared" si="7"/>
        <v>719</v>
      </c>
      <c r="Y22" s="101"/>
      <c r="Z22" s="133">
        <f t="shared" si="7"/>
        <v>934</v>
      </c>
      <c r="AA22" s="124"/>
      <c r="AB22" s="102">
        <f t="shared" si="7"/>
        <v>715</v>
      </c>
      <c r="AC22" s="99"/>
      <c r="AD22" s="128">
        <f t="shared" si="7"/>
        <v>934</v>
      </c>
      <c r="AE22" s="140"/>
      <c r="AF22" s="166"/>
    </row>
    <row r="23" spans="1:32" ht="13.5" customHeight="1" thickBot="1">
      <c r="A23" s="11"/>
      <c r="B23" s="11"/>
      <c r="C23" s="11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66"/>
    </row>
    <row r="24" spans="1:32" ht="19.5" customHeight="1" thickBot="1">
      <c r="A24" s="191" t="s">
        <v>3452</v>
      </c>
      <c r="B24" s="192"/>
      <c r="C24" s="192"/>
      <c r="D24" s="193"/>
      <c r="E24" s="208" t="s">
        <v>3226</v>
      </c>
      <c r="F24" s="209"/>
      <c r="G24" s="210"/>
      <c r="H24" s="218" t="s">
        <v>3</v>
      </c>
      <c r="I24" s="219"/>
      <c r="J24" s="219"/>
      <c r="K24" s="220"/>
      <c r="L24" s="221" t="s">
        <v>3212</v>
      </c>
      <c r="M24" s="222"/>
      <c r="N24" s="222"/>
      <c r="O24" s="223"/>
      <c r="P24" s="219" t="s">
        <v>104</v>
      </c>
      <c r="Q24" s="219"/>
      <c r="R24" s="219"/>
      <c r="S24" s="220"/>
      <c r="T24" s="221" t="s">
        <v>3216</v>
      </c>
      <c r="U24" s="222"/>
      <c r="V24" s="222"/>
      <c r="W24" s="223"/>
      <c r="X24" s="219" t="s">
        <v>3217</v>
      </c>
      <c r="Y24" s="219"/>
      <c r="Z24" s="219"/>
      <c r="AA24" s="220"/>
      <c r="AB24" s="211" t="s">
        <v>3218</v>
      </c>
      <c r="AC24" s="212"/>
      <c r="AD24" s="212"/>
      <c r="AE24" s="212"/>
      <c r="AF24" s="166"/>
    </row>
    <row r="25" spans="1:32" ht="19.5" customHeight="1" thickBot="1">
      <c r="A25" s="194"/>
      <c r="B25" s="195"/>
      <c r="C25" s="195"/>
      <c r="D25" s="196"/>
      <c r="E25" s="82">
        <v>443.5</v>
      </c>
      <c r="F25" s="197" t="s">
        <v>3290</v>
      </c>
      <c r="G25" s="80">
        <v>259.5</v>
      </c>
      <c r="H25" s="81">
        <v>100</v>
      </c>
      <c r="I25" s="189" t="s">
        <v>3290</v>
      </c>
      <c r="J25" s="129">
        <v>84</v>
      </c>
      <c r="K25" s="213" t="s">
        <v>3453</v>
      </c>
      <c r="L25" s="82">
        <v>69</v>
      </c>
      <c r="M25" s="197" t="s">
        <v>3302</v>
      </c>
      <c r="N25" s="80">
        <v>27</v>
      </c>
      <c r="O25" s="215" t="s">
        <v>3453</v>
      </c>
      <c r="P25" s="81">
        <v>86</v>
      </c>
      <c r="Q25" s="189" t="s">
        <v>3290</v>
      </c>
      <c r="R25" s="129">
        <v>55</v>
      </c>
      <c r="S25" s="213" t="s">
        <v>3453</v>
      </c>
      <c r="T25" s="82">
        <v>62</v>
      </c>
      <c r="U25" s="197" t="s">
        <v>3290</v>
      </c>
      <c r="V25" s="80">
        <v>49</v>
      </c>
      <c r="W25" s="215" t="s">
        <v>3453</v>
      </c>
      <c r="X25" s="81">
        <v>60</v>
      </c>
      <c r="Y25" s="189" t="s">
        <v>3290</v>
      </c>
      <c r="Z25" s="129">
        <v>39</v>
      </c>
      <c r="AA25" s="213" t="s">
        <v>3453</v>
      </c>
      <c r="AB25" s="82">
        <v>60</v>
      </c>
      <c r="AC25" s="197" t="s">
        <v>3290</v>
      </c>
      <c r="AD25" s="80">
        <v>38</v>
      </c>
      <c r="AE25" s="206" t="s">
        <v>3453</v>
      </c>
      <c r="AF25" s="166"/>
    </row>
    <row r="26" spans="1:32" ht="27.75" customHeight="1" thickBot="1">
      <c r="A26" s="15" t="s">
        <v>5</v>
      </c>
      <c r="B26" s="16" t="s">
        <v>3215</v>
      </c>
      <c r="C26" s="55" t="s">
        <v>3288</v>
      </c>
      <c r="D26" s="55" t="s">
        <v>3289</v>
      </c>
      <c r="E26" s="74" t="s">
        <v>3224</v>
      </c>
      <c r="F26" s="198"/>
      <c r="G26" s="75" t="s">
        <v>3225</v>
      </c>
      <c r="H26" s="32" t="s">
        <v>3224</v>
      </c>
      <c r="I26" s="190"/>
      <c r="J26" s="134" t="s">
        <v>3225</v>
      </c>
      <c r="K26" s="214"/>
      <c r="L26" s="74" t="s">
        <v>3224</v>
      </c>
      <c r="M26" s="198"/>
      <c r="N26" s="75" t="s">
        <v>3225</v>
      </c>
      <c r="O26" s="216"/>
      <c r="P26" s="32" t="s">
        <v>3224</v>
      </c>
      <c r="Q26" s="190"/>
      <c r="R26" s="134" t="s">
        <v>3225</v>
      </c>
      <c r="S26" s="214"/>
      <c r="T26" s="74" t="s">
        <v>3224</v>
      </c>
      <c r="U26" s="198"/>
      <c r="V26" s="75" t="s">
        <v>3225</v>
      </c>
      <c r="W26" s="216"/>
      <c r="X26" s="32" t="s">
        <v>3224</v>
      </c>
      <c r="Y26" s="190"/>
      <c r="Z26" s="134" t="s">
        <v>3225</v>
      </c>
      <c r="AA26" s="214"/>
      <c r="AB26" s="74" t="s">
        <v>3224</v>
      </c>
      <c r="AC26" s="198"/>
      <c r="AD26" s="75" t="s">
        <v>3225</v>
      </c>
      <c r="AE26" s="217"/>
      <c r="AF26" s="166"/>
    </row>
    <row r="27" spans="1:32" ht="20.25" customHeight="1">
      <c r="A27" s="17">
        <v>1818</v>
      </c>
      <c r="B27" s="13">
        <v>46</v>
      </c>
      <c r="C27" s="56">
        <v>46</v>
      </c>
      <c r="D27" s="57">
        <v>46</v>
      </c>
      <c r="E27" s="64">
        <f>COUNTIFS(总表!$C:$C,$A27,总表!$O:$O,"&gt;="&amp;E$25)</f>
        <v>46</v>
      </c>
      <c r="F27" s="65">
        <f>E27-C27</f>
        <v>0</v>
      </c>
      <c r="G27" s="66">
        <f>COUNTIFS(总表!$C:$C,$A27,总表!$O:$O,"&gt;="&amp;G$25)</f>
        <v>46</v>
      </c>
      <c r="H27" s="14">
        <f>COUNTIFS(总表!$C:$C,$A27,总表!$F:$F,"&gt;="&amp;H$25)</f>
        <v>43</v>
      </c>
      <c r="I27" s="39">
        <f>H27-C27</f>
        <v>-3</v>
      </c>
      <c r="J27" s="130">
        <f>COUNTIFS(总表!$C:$C,$A27,总表!$F:$F,"&gt;="&amp;J$25)</f>
        <v>46</v>
      </c>
      <c r="K27" s="96" t="s">
        <v>3374</v>
      </c>
      <c r="L27" s="64">
        <f>COUNTIFS(总表!$C:$C,$A27,总表!$G:$G,"&gt;="&amp;L$25)</f>
        <v>46</v>
      </c>
      <c r="M27" s="65">
        <f>L27-C27</f>
        <v>0</v>
      </c>
      <c r="N27" s="66">
        <f>COUNTIFS(总表!$C:$C,$A27,总表!$G:$G,"&gt;="&amp;N$25)</f>
        <v>46</v>
      </c>
      <c r="O27" s="138" t="s">
        <v>3384</v>
      </c>
      <c r="P27" s="14">
        <f>COUNTIFS(总表!$C:$C,$A27,总表!$H:$H,"&gt;="&amp;P$25)</f>
        <v>44</v>
      </c>
      <c r="Q27" s="39">
        <f>P27-C27</f>
        <v>-2</v>
      </c>
      <c r="R27" s="130">
        <f>COUNTIFS(总表!$C:$C,$A27,总表!$H:$H,"&gt;="&amp;R$25)</f>
        <v>46</v>
      </c>
      <c r="S27" s="96" t="s">
        <v>3395</v>
      </c>
      <c r="T27" s="64">
        <f>COUNTIFS(总表!$C:$C,$A27,总表!$I:$I,"&gt;="&amp;T$25)</f>
        <v>44</v>
      </c>
      <c r="U27" s="65">
        <f>T27-C27</f>
        <v>-2</v>
      </c>
      <c r="V27" s="66">
        <f>COUNTIFS(总表!$C:$C,$A27,总表!$I:$I,"&gt;="&amp;V$25)</f>
        <v>46</v>
      </c>
      <c r="W27" s="138" t="s">
        <v>3407</v>
      </c>
      <c r="X27" s="14">
        <f>COUNTIFS(总表!$C:$C,$A27,总表!$J:$J,"&gt;="&amp;X$25)</f>
        <v>44</v>
      </c>
      <c r="Y27" s="39">
        <f>X27-C27</f>
        <v>-2</v>
      </c>
      <c r="Z27" s="130">
        <f>COUNTIFS(总表!$C:$C,$A27,总表!$J:$J,"&gt;="&amp;Z$25)</f>
        <v>46</v>
      </c>
      <c r="AA27" s="96" t="s">
        <v>3417</v>
      </c>
      <c r="AB27" s="64">
        <f>COUNTIFS(总表!$C:$C,$A27,总表!$K:$K,"&gt;="&amp;AB$25)</f>
        <v>46</v>
      </c>
      <c r="AC27" s="65">
        <f>AB27-C27</f>
        <v>0</v>
      </c>
      <c r="AD27" s="66">
        <f>COUNTIFS(总表!$C:$C,$A27,总表!$K:$K,"&gt;="&amp;AD$25)</f>
        <v>46</v>
      </c>
      <c r="AE27" s="162" t="s">
        <v>3427</v>
      </c>
      <c r="AF27" s="166"/>
    </row>
    <row r="28" spans="1:32" ht="20.25" customHeight="1">
      <c r="A28" s="18">
        <v>1819</v>
      </c>
      <c r="B28" s="10">
        <v>46</v>
      </c>
      <c r="C28" s="58">
        <v>27</v>
      </c>
      <c r="D28" s="59">
        <v>45</v>
      </c>
      <c r="E28" s="67">
        <f>COUNTIFS(总表!$C:$C,$A28,总表!$O:$O,"&gt;="&amp;E$25)</f>
        <v>30</v>
      </c>
      <c r="F28" s="65">
        <f t="shared" ref="F28:F29" si="8">E28-C28</f>
        <v>3</v>
      </c>
      <c r="G28" s="68">
        <f>COUNTIFS(总表!$C:$C,$A28,总表!$O:$O,"&gt;="&amp;G$25)</f>
        <v>45</v>
      </c>
      <c r="H28" s="34">
        <f>COUNTIFS(总表!$C:$C,$A28,总表!$F:$F,"&gt;="&amp;H$25)</f>
        <v>29</v>
      </c>
      <c r="I28" s="39">
        <f>H28-C28</f>
        <v>2</v>
      </c>
      <c r="J28" s="131">
        <f>COUNTIFS(总表!$C:$C,$A28,总表!$F:$F,"&gt;="&amp;J$25)</f>
        <v>45</v>
      </c>
      <c r="K28" s="96" t="s">
        <v>3366</v>
      </c>
      <c r="L28" s="67">
        <f>COUNTIFS(总表!$C:$C,$A28,总表!$G:$G,"&gt;="&amp;L$25)</f>
        <v>30</v>
      </c>
      <c r="M28" s="65">
        <f>L28-C28</f>
        <v>3</v>
      </c>
      <c r="N28" s="68">
        <f>COUNTIFS(总表!$C:$C,$A28,总表!$G:$G,"&gt;="&amp;N$25)</f>
        <v>45</v>
      </c>
      <c r="O28" s="138" t="s">
        <v>3385</v>
      </c>
      <c r="P28" s="34">
        <f>COUNTIFS(总表!$C:$C,$A28,总表!$H:$H,"&gt;="&amp;P$25)</f>
        <v>32</v>
      </c>
      <c r="Q28" s="39">
        <f>P28-C28</f>
        <v>5</v>
      </c>
      <c r="R28" s="131">
        <f>COUNTIFS(总表!$C:$C,$A28,总表!$H:$H,"&gt;="&amp;R$25)</f>
        <v>45</v>
      </c>
      <c r="S28" s="96" t="s">
        <v>3396</v>
      </c>
      <c r="T28" s="67">
        <f>COUNTIFS(总表!$C:$C,$A28,总表!$I:$I,"&gt;="&amp;T$25)</f>
        <v>27</v>
      </c>
      <c r="U28" s="65">
        <f>T28-C28</f>
        <v>0</v>
      </c>
      <c r="V28" s="68">
        <f>COUNTIFS(总表!$C:$C,$A28,总表!$I:$I,"&gt;="&amp;V$25)</f>
        <v>45</v>
      </c>
      <c r="W28" s="138" t="s">
        <v>3407</v>
      </c>
      <c r="X28" s="34">
        <f>COUNTIFS(总表!$C:$C,$A28,总表!$J:$J,"&gt;="&amp;X$25)</f>
        <v>29</v>
      </c>
      <c r="Y28" s="39">
        <f>X28-C28</f>
        <v>2</v>
      </c>
      <c r="Z28" s="131">
        <f>COUNTIFS(总表!$C:$C,$A28,总表!$J:$J,"&gt;="&amp;Z$25)</f>
        <v>45</v>
      </c>
      <c r="AA28" s="96" t="s">
        <v>3418</v>
      </c>
      <c r="AB28" s="67">
        <f>COUNTIFS(总表!$C:$C,$A28,总表!$K:$K,"&gt;="&amp;AB$25)</f>
        <v>34</v>
      </c>
      <c r="AC28" s="65">
        <f>AB28-C28</f>
        <v>7</v>
      </c>
      <c r="AD28" s="68">
        <f>COUNTIFS(总表!$C:$C,$A28,总表!$K:$K,"&gt;="&amp;AD$25)</f>
        <v>45</v>
      </c>
      <c r="AE28" s="162" t="s">
        <v>3427</v>
      </c>
      <c r="AF28" s="166" t="s">
        <v>3067</v>
      </c>
    </row>
    <row r="29" spans="1:32" ht="20.25" customHeight="1" thickBot="1">
      <c r="A29" s="19">
        <v>1820</v>
      </c>
      <c r="B29" s="20">
        <v>44</v>
      </c>
      <c r="C29" s="60">
        <v>28</v>
      </c>
      <c r="D29" s="61">
        <v>43</v>
      </c>
      <c r="E29" s="69">
        <f>COUNTIFS(总表!$C:$C,$A29,总表!$O:$O,"&gt;="&amp;E$25)</f>
        <v>26</v>
      </c>
      <c r="F29" s="65">
        <f t="shared" si="8"/>
        <v>-2</v>
      </c>
      <c r="G29" s="70">
        <f>COUNTIFS(总表!$C:$C,$A29,总表!$O:$O,"&gt;="&amp;G$25)</f>
        <v>43</v>
      </c>
      <c r="H29" s="35">
        <f>COUNTIFS(总表!$C:$C,$A29,总表!$F:$F,"&gt;="&amp;H$25)</f>
        <v>28</v>
      </c>
      <c r="I29" s="39">
        <f>H29-C29</f>
        <v>0</v>
      </c>
      <c r="J29" s="132">
        <f>COUNTIFS(总表!$C:$C,$A29,总表!$F:$F,"&gt;="&amp;J$25)</f>
        <v>43</v>
      </c>
      <c r="K29" s="96" t="s">
        <v>3374</v>
      </c>
      <c r="L29" s="69">
        <f>COUNTIFS(总表!$C:$C,$A29,总表!$G:$G,"&gt;="&amp;L$25)</f>
        <v>25</v>
      </c>
      <c r="M29" s="65">
        <f>L29-C29</f>
        <v>-3</v>
      </c>
      <c r="N29" s="70">
        <f>COUNTIFS(总表!$C:$C,$A29,总表!$G:$G,"&gt;="&amp;N$25)</f>
        <v>43</v>
      </c>
      <c r="O29" s="138" t="s">
        <v>3385</v>
      </c>
      <c r="P29" s="35">
        <f>COUNTIFS(总表!$C:$C,$A29,总表!$H:$H,"&gt;="&amp;P$25)</f>
        <v>24</v>
      </c>
      <c r="Q29" s="39">
        <f>P29-C29</f>
        <v>-4</v>
      </c>
      <c r="R29" s="132">
        <f>COUNTIFS(总表!$C:$C,$A29,总表!$H:$H,"&gt;="&amp;R$25)</f>
        <v>43</v>
      </c>
      <c r="S29" s="96" t="s">
        <v>3396</v>
      </c>
      <c r="T29" s="69">
        <f>COUNTIFS(总表!$C:$C,$A29,总表!$I:$I,"&gt;="&amp;T$25)</f>
        <v>34</v>
      </c>
      <c r="U29" s="65">
        <f>T29-C29</f>
        <v>6</v>
      </c>
      <c r="V29" s="70">
        <f>COUNTIFS(总表!$C:$C,$A29,总表!$I:$I,"&gt;="&amp;V$25)</f>
        <v>43</v>
      </c>
      <c r="W29" s="138" t="s">
        <v>3408</v>
      </c>
      <c r="X29" s="35">
        <f>COUNTIFS(总表!$C:$C,$A29,总表!$J:$J,"&gt;="&amp;X$25)</f>
        <v>31</v>
      </c>
      <c r="Y29" s="39">
        <f>X29-C29</f>
        <v>3</v>
      </c>
      <c r="Z29" s="132">
        <f>COUNTIFS(总表!$C:$C,$A29,总表!$J:$J,"&gt;="&amp;Z$25)</f>
        <v>43</v>
      </c>
      <c r="AA29" s="96" t="s">
        <v>3419</v>
      </c>
      <c r="AB29" s="69">
        <f>COUNTIFS(总表!$C:$C,$A29,总表!$K:$K,"&gt;="&amp;AB$25)</f>
        <v>24</v>
      </c>
      <c r="AC29" s="65">
        <f>AB29-C29</f>
        <v>-4</v>
      </c>
      <c r="AD29" s="70">
        <f>COUNTIFS(总表!$C:$C,$A29,总表!$K:$K,"&gt;="&amp;AD$25)</f>
        <v>43</v>
      </c>
      <c r="AE29" s="162" t="s">
        <v>3428</v>
      </c>
      <c r="AF29" s="166" t="s">
        <v>3112</v>
      </c>
    </row>
    <row r="30" spans="1:32" ht="20.25" customHeight="1">
      <c r="A30" s="21" t="s">
        <v>3199</v>
      </c>
      <c r="B30" s="22">
        <f>SUM(B27:B29)</f>
        <v>136</v>
      </c>
      <c r="C30" s="62">
        <f>SUM(C27:C29)</f>
        <v>101</v>
      </c>
      <c r="D30" s="63">
        <f>SUM(D27:D29)</f>
        <v>134</v>
      </c>
      <c r="E30" s="76">
        <f>SUM(E27:E29)</f>
        <v>102</v>
      </c>
      <c r="F30" s="77"/>
      <c r="G30" s="78">
        <f t="shared" ref="G30:AD30" si="9">SUM(G27:G29)</f>
        <v>134</v>
      </c>
      <c r="H30" s="23">
        <f t="shared" si="9"/>
        <v>100</v>
      </c>
      <c r="I30" s="40"/>
      <c r="J30" s="135">
        <f t="shared" si="9"/>
        <v>134</v>
      </c>
      <c r="K30" s="40"/>
      <c r="L30" s="76">
        <f t="shared" si="9"/>
        <v>101</v>
      </c>
      <c r="M30" s="77"/>
      <c r="N30" s="78">
        <f t="shared" si="9"/>
        <v>134</v>
      </c>
      <c r="O30" s="117"/>
      <c r="P30" s="23">
        <f t="shared" si="9"/>
        <v>100</v>
      </c>
      <c r="Q30" s="40"/>
      <c r="R30" s="135">
        <f t="shared" si="9"/>
        <v>134</v>
      </c>
      <c r="S30" s="40"/>
      <c r="T30" s="76">
        <f t="shared" si="9"/>
        <v>105</v>
      </c>
      <c r="U30" s="77"/>
      <c r="V30" s="78">
        <f t="shared" si="9"/>
        <v>134</v>
      </c>
      <c r="W30" s="117"/>
      <c r="X30" s="23">
        <f t="shared" si="9"/>
        <v>104</v>
      </c>
      <c r="Y30" s="40"/>
      <c r="Z30" s="135">
        <f t="shared" si="9"/>
        <v>134</v>
      </c>
      <c r="AA30" s="40"/>
      <c r="AB30" s="76">
        <f t="shared" si="9"/>
        <v>104</v>
      </c>
      <c r="AC30" s="77"/>
      <c r="AD30" s="78">
        <f t="shared" si="9"/>
        <v>134</v>
      </c>
      <c r="AE30" s="163"/>
      <c r="AF30" s="166"/>
    </row>
    <row r="31" spans="1:32" s="116" customFormat="1" ht="20.25" customHeight="1" thickBot="1">
      <c r="A31" s="107" t="s">
        <v>173</v>
      </c>
      <c r="B31" s="108">
        <f t="shared" ref="B31:D31" si="10">SUM(B22,B30)</f>
        <v>1076</v>
      </c>
      <c r="C31" s="109">
        <f>SUM(C30,C22)</f>
        <v>803</v>
      </c>
      <c r="D31" s="110">
        <f t="shared" si="10"/>
        <v>1068</v>
      </c>
      <c r="E31" s="111">
        <f>SUM(E22,E30)</f>
        <v>809</v>
      </c>
      <c r="F31" s="112"/>
      <c r="G31" s="113">
        <f>SUM(G22,G30)</f>
        <v>1068</v>
      </c>
      <c r="H31" s="114">
        <f t="shared" ref="H31:AD31" si="11">SUM(H22,H30)</f>
        <v>809</v>
      </c>
      <c r="I31" s="115"/>
      <c r="J31" s="136">
        <f t="shared" si="11"/>
        <v>1068</v>
      </c>
      <c r="K31" s="115"/>
      <c r="L31" s="111">
        <f t="shared" si="11"/>
        <v>821</v>
      </c>
      <c r="M31" s="112"/>
      <c r="N31" s="113">
        <f t="shared" si="11"/>
        <v>1068</v>
      </c>
      <c r="O31" s="118"/>
      <c r="P31" s="114">
        <f t="shared" si="11"/>
        <v>808</v>
      </c>
      <c r="Q31" s="115"/>
      <c r="R31" s="136">
        <f t="shared" si="11"/>
        <v>1068</v>
      </c>
      <c r="S31" s="115"/>
      <c r="T31" s="111">
        <f t="shared" si="11"/>
        <v>822</v>
      </c>
      <c r="U31" s="112"/>
      <c r="V31" s="113">
        <f t="shared" si="11"/>
        <v>1068</v>
      </c>
      <c r="W31" s="118"/>
      <c r="X31" s="114">
        <f t="shared" si="11"/>
        <v>823</v>
      </c>
      <c r="Y31" s="115"/>
      <c r="Z31" s="136">
        <f t="shared" si="11"/>
        <v>1068</v>
      </c>
      <c r="AA31" s="115"/>
      <c r="AB31" s="111">
        <f t="shared" si="11"/>
        <v>819</v>
      </c>
      <c r="AC31" s="112"/>
      <c r="AD31" s="113">
        <f t="shared" si="11"/>
        <v>1068</v>
      </c>
      <c r="AE31" s="164"/>
      <c r="AF31" s="166"/>
    </row>
  </sheetData>
  <mergeCells count="44">
    <mergeCell ref="AE25:AE26"/>
    <mergeCell ref="K25:K26"/>
    <mergeCell ref="O25:O26"/>
    <mergeCell ref="S25:S26"/>
    <mergeCell ref="W25:W26"/>
    <mergeCell ref="AA25:AA26"/>
    <mergeCell ref="AA3:AA4"/>
    <mergeCell ref="H24:K24"/>
    <mergeCell ref="L24:O24"/>
    <mergeCell ref="P24:S24"/>
    <mergeCell ref="T24:W24"/>
    <mergeCell ref="X24:AA24"/>
    <mergeCell ref="AE3:AE4"/>
    <mergeCell ref="A24:D25"/>
    <mergeCell ref="AC3:AC4"/>
    <mergeCell ref="F25:F26"/>
    <mergeCell ref="I25:I26"/>
    <mergeCell ref="M25:M26"/>
    <mergeCell ref="Q25:Q26"/>
    <mergeCell ref="U25:U26"/>
    <mergeCell ref="Y25:Y26"/>
    <mergeCell ref="AC25:AC26"/>
    <mergeCell ref="E24:G24"/>
    <mergeCell ref="AB24:AE24"/>
    <mergeCell ref="K3:K4"/>
    <mergeCell ref="O3:O4"/>
    <mergeCell ref="S3:S4"/>
    <mergeCell ref="W3:W4"/>
    <mergeCell ref="AF2:AF4"/>
    <mergeCell ref="X2:AA2"/>
    <mergeCell ref="AB2:AE2"/>
    <mergeCell ref="A1:AE1"/>
    <mergeCell ref="Y3:Y4"/>
    <mergeCell ref="A2:D3"/>
    <mergeCell ref="F3:F4"/>
    <mergeCell ref="I3:I4"/>
    <mergeCell ref="M3:M4"/>
    <mergeCell ref="Q3:Q4"/>
    <mergeCell ref="U3:U4"/>
    <mergeCell ref="E2:G2"/>
    <mergeCell ref="H2:K2"/>
    <mergeCell ref="L2:O2"/>
    <mergeCell ref="P2:S2"/>
    <mergeCell ref="T2:W2"/>
  </mergeCells>
  <phoneticPr fontId="2" type="noConversion"/>
  <pageMargins left="0.19685039370078741" right="0.19685039370078741" top="0.19685039370078741" bottom="0.19685039370078741" header="0.51181102362204722" footer="0.5118110236220472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95"/>
  <sheetViews>
    <sheetView workbookViewId="0">
      <pane xSplit="4" ySplit="2" topLeftCell="E733" activePane="bottomRight" state="frozen"/>
      <selection pane="topRight" activeCell="E1" sqref="E1"/>
      <selection pane="bottomLeft" activeCell="A3" sqref="A3"/>
      <selection pane="bottomRight" activeCell="O694" sqref="O694"/>
    </sheetView>
  </sheetViews>
  <sheetFormatPr defaultRowHeight="14.25"/>
  <cols>
    <col min="2" max="2" width="5.5" style="24" bestFit="1" customWidth="1"/>
    <col min="3" max="3" width="7.5" style="24" bestFit="1" customWidth="1"/>
    <col min="4" max="4" width="9" style="24"/>
    <col min="5" max="5" width="5.375" style="93" customWidth="1"/>
    <col min="6" max="16" width="5.375" style="94" customWidth="1"/>
    <col min="17" max="17" width="4.625" customWidth="1"/>
    <col min="18" max="34" width="4.75" customWidth="1"/>
  </cols>
  <sheetData>
    <row r="1" spans="1:34">
      <c r="A1" t="s">
        <v>3314</v>
      </c>
    </row>
    <row r="2" spans="1:34" s="91" customFormat="1" ht="42.75">
      <c r="A2" s="91" t="s">
        <v>3315</v>
      </c>
      <c r="B2" s="90" t="s">
        <v>3316</v>
      </c>
      <c r="C2" s="90" t="s">
        <v>3292</v>
      </c>
      <c r="D2" s="90" t="s">
        <v>1</v>
      </c>
      <c r="E2" s="92" t="s">
        <v>3317</v>
      </c>
      <c r="F2" s="90" t="s">
        <v>3318</v>
      </c>
      <c r="G2" s="90" t="s">
        <v>3334</v>
      </c>
      <c r="H2" s="90" t="s">
        <v>3335</v>
      </c>
      <c r="I2" s="90" t="s">
        <v>3336</v>
      </c>
      <c r="J2" s="90" t="s">
        <v>3337</v>
      </c>
      <c r="K2" s="90" t="s">
        <v>3338</v>
      </c>
      <c r="L2" s="90" t="s">
        <v>3341</v>
      </c>
      <c r="M2" s="90" t="s">
        <v>3339</v>
      </c>
      <c r="N2" s="90" t="s">
        <v>3340</v>
      </c>
      <c r="O2" s="90" t="s">
        <v>3342</v>
      </c>
      <c r="P2" s="90" t="s">
        <v>3343</v>
      </c>
      <c r="Q2" s="91" t="s">
        <v>3344</v>
      </c>
      <c r="R2" s="91" t="s">
        <v>3345</v>
      </c>
      <c r="S2" s="91" t="s">
        <v>3346</v>
      </c>
      <c r="T2" s="91" t="s">
        <v>3347</v>
      </c>
      <c r="U2" s="91" t="s">
        <v>3362</v>
      </c>
      <c r="V2" s="91" t="s">
        <v>3363</v>
      </c>
      <c r="W2" s="91" t="s">
        <v>3354</v>
      </c>
      <c r="X2" s="91" t="s">
        <v>3355</v>
      </c>
      <c r="Y2" s="91" t="s">
        <v>3348</v>
      </c>
      <c r="Z2" s="91" t="s">
        <v>3351</v>
      </c>
      <c r="AA2" s="91" t="s">
        <v>3349</v>
      </c>
      <c r="AB2" s="91" t="s">
        <v>3350</v>
      </c>
      <c r="AC2" s="91" t="s">
        <v>3352</v>
      </c>
      <c r="AD2" s="91" t="s">
        <v>3353</v>
      </c>
      <c r="AE2" s="91" t="s">
        <v>3356</v>
      </c>
      <c r="AF2" s="91" t="s">
        <v>3357</v>
      </c>
      <c r="AG2" s="91" t="s">
        <v>3358</v>
      </c>
      <c r="AH2" s="91" t="s">
        <v>3359</v>
      </c>
    </row>
    <row r="3" spans="1:34">
      <c r="A3" t="s">
        <v>211</v>
      </c>
      <c r="B3" s="24">
        <v>1801</v>
      </c>
      <c r="C3" s="24" t="s">
        <v>212</v>
      </c>
      <c r="D3" s="24" t="s">
        <v>213</v>
      </c>
      <c r="E3" s="93">
        <v>85</v>
      </c>
      <c r="F3" s="94">
        <v>4</v>
      </c>
      <c r="G3" s="94">
        <v>85</v>
      </c>
      <c r="H3" s="94">
        <v>4</v>
      </c>
      <c r="I3" s="94">
        <v>65</v>
      </c>
      <c r="J3" s="94">
        <v>4</v>
      </c>
      <c r="K3" s="94">
        <v>85</v>
      </c>
      <c r="L3" s="94">
        <v>2</v>
      </c>
      <c r="M3" s="94">
        <v>72</v>
      </c>
      <c r="N3" s="94">
        <v>2</v>
      </c>
      <c r="O3" s="94">
        <v>81</v>
      </c>
      <c r="P3" s="94">
        <v>2</v>
      </c>
      <c r="Q3">
        <v>88</v>
      </c>
      <c r="R3">
        <v>2</v>
      </c>
      <c r="S3">
        <v>85</v>
      </c>
      <c r="T3">
        <v>2</v>
      </c>
      <c r="U3">
        <v>76</v>
      </c>
      <c r="V3">
        <v>2</v>
      </c>
      <c r="W3">
        <v>83</v>
      </c>
      <c r="X3">
        <v>2</v>
      </c>
      <c r="Y3">
        <v>78</v>
      </c>
      <c r="Z3">
        <v>1</v>
      </c>
      <c r="AA3">
        <v>90</v>
      </c>
      <c r="AB3">
        <v>1</v>
      </c>
      <c r="AC3">
        <v>78</v>
      </c>
      <c r="AD3">
        <v>1</v>
      </c>
      <c r="AE3">
        <v>87</v>
      </c>
      <c r="AF3">
        <v>2</v>
      </c>
      <c r="AG3">
        <v>50</v>
      </c>
    </row>
    <row r="4" spans="1:34">
      <c r="A4" t="s">
        <v>214</v>
      </c>
      <c r="B4" s="24">
        <v>1801</v>
      </c>
      <c r="C4" s="24" t="s">
        <v>215</v>
      </c>
      <c r="D4" s="24" t="s">
        <v>176</v>
      </c>
      <c r="E4" s="93">
        <v>90</v>
      </c>
      <c r="F4" s="94">
        <v>4</v>
      </c>
      <c r="G4" s="94">
        <v>95</v>
      </c>
      <c r="H4" s="94">
        <v>4</v>
      </c>
      <c r="I4" s="94">
        <v>86</v>
      </c>
      <c r="J4" s="94">
        <v>4</v>
      </c>
      <c r="K4" s="94">
        <v>95</v>
      </c>
      <c r="L4" s="94">
        <v>2</v>
      </c>
      <c r="M4" s="94">
        <v>89</v>
      </c>
      <c r="N4" s="94">
        <v>2</v>
      </c>
      <c r="O4" s="94">
        <v>93</v>
      </c>
      <c r="P4" s="94">
        <v>2</v>
      </c>
      <c r="Q4">
        <v>90</v>
      </c>
      <c r="R4">
        <v>2</v>
      </c>
      <c r="S4">
        <v>94</v>
      </c>
      <c r="T4">
        <v>2</v>
      </c>
      <c r="U4">
        <v>82</v>
      </c>
      <c r="V4">
        <v>2</v>
      </c>
      <c r="W4">
        <v>93</v>
      </c>
      <c r="X4">
        <v>2</v>
      </c>
      <c r="Y4">
        <v>75</v>
      </c>
      <c r="Z4">
        <v>1</v>
      </c>
      <c r="AA4">
        <v>90</v>
      </c>
      <c r="AB4">
        <v>1</v>
      </c>
      <c r="AC4">
        <v>80</v>
      </c>
      <c r="AD4">
        <v>1</v>
      </c>
      <c r="AE4">
        <v>88</v>
      </c>
      <c r="AF4">
        <v>2</v>
      </c>
      <c r="AG4">
        <v>90</v>
      </c>
      <c r="AH4">
        <v>2</v>
      </c>
    </row>
    <row r="5" spans="1:34">
      <c r="A5" t="s">
        <v>216</v>
      </c>
      <c r="B5" s="24">
        <v>1801</v>
      </c>
      <c r="C5" s="24" t="s">
        <v>217</v>
      </c>
      <c r="D5" s="24" t="s">
        <v>218</v>
      </c>
      <c r="E5" s="93">
        <v>83</v>
      </c>
      <c r="F5" s="94">
        <v>4</v>
      </c>
      <c r="G5" s="94">
        <v>90</v>
      </c>
      <c r="H5" s="94">
        <v>4</v>
      </c>
      <c r="I5" s="94">
        <v>85</v>
      </c>
      <c r="J5" s="94">
        <v>4</v>
      </c>
      <c r="K5" s="94">
        <v>95</v>
      </c>
      <c r="L5" s="94">
        <v>2</v>
      </c>
      <c r="M5" s="94">
        <v>80</v>
      </c>
      <c r="N5" s="94">
        <v>2</v>
      </c>
      <c r="O5" s="94">
        <v>88</v>
      </c>
      <c r="P5" s="94">
        <v>2</v>
      </c>
      <c r="Q5">
        <v>86</v>
      </c>
      <c r="R5">
        <v>2</v>
      </c>
      <c r="S5">
        <v>83</v>
      </c>
      <c r="T5">
        <v>2</v>
      </c>
      <c r="U5">
        <v>90</v>
      </c>
      <c r="V5">
        <v>2</v>
      </c>
      <c r="W5">
        <v>85</v>
      </c>
      <c r="X5">
        <v>2</v>
      </c>
      <c r="Y5">
        <v>75</v>
      </c>
      <c r="Z5">
        <v>1</v>
      </c>
      <c r="AA5">
        <v>90</v>
      </c>
      <c r="AB5">
        <v>1</v>
      </c>
      <c r="AC5">
        <v>82</v>
      </c>
      <c r="AD5">
        <v>1</v>
      </c>
      <c r="AE5">
        <v>92</v>
      </c>
      <c r="AF5">
        <v>2</v>
      </c>
      <c r="AG5">
        <v>98</v>
      </c>
      <c r="AH5">
        <v>2</v>
      </c>
    </row>
    <row r="6" spans="1:34">
      <c r="A6" t="s">
        <v>219</v>
      </c>
      <c r="B6" s="24">
        <v>1801</v>
      </c>
      <c r="C6" s="24" t="s">
        <v>220</v>
      </c>
      <c r="D6" s="24" t="s">
        <v>221</v>
      </c>
      <c r="E6" s="93">
        <v>81</v>
      </c>
      <c r="F6" s="94">
        <v>4</v>
      </c>
      <c r="G6" s="94">
        <v>80</v>
      </c>
      <c r="H6" s="94">
        <v>4</v>
      </c>
      <c r="I6" s="94">
        <v>85</v>
      </c>
      <c r="J6" s="94">
        <v>4</v>
      </c>
      <c r="K6" s="94">
        <v>87</v>
      </c>
      <c r="L6" s="94">
        <v>2</v>
      </c>
      <c r="M6" s="94">
        <v>91</v>
      </c>
      <c r="N6" s="94">
        <v>2</v>
      </c>
      <c r="O6" s="94">
        <v>80</v>
      </c>
      <c r="P6" s="94">
        <v>2</v>
      </c>
      <c r="Q6">
        <v>83</v>
      </c>
      <c r="R6">
        <v>2</v>
      </c>
      <c r="S6">
        <v>80</v>
      </c>
      <c r="T6">
        <v>2</v>
      </c>
      <c r="U6">
        <v>70</v>
      </c>
      <c r="V6">
        <v>2</v>
      </c>
      <c r="W6">
        <v>80</v>
      </c>
      <c r="X6">
        <v>2</v>
      </c>
      <c r="Y6">
        <v>76</v>
      </c>
      <c r="Z6">
        <v>1</v>
      </c>
      <c r="AA6">
        <v>90</v>
      </c>
      <c r="AB6">
        <v>1</v>
      </c>
      <c r="AC6">
        <v>72</v>
      </c>
      <c r="AD6">
        <v>1</v>
      </c>
      <c r="AE6">
        <v>88</v>
      </c>
      <c r="AF6">
        <v>2</v>
      </c>
      <c r="AG6">
        <v>98</v>
      </c>
      <c r="AH6">
        <v>2</v>
      </c>
    </row>
    <row r="7" spans="1:34">
      <c r="A7" t="s">
        <v>222</v>
      </c>
      <c r="B7" s="24">
        <v>1801</v>
      </c>
      <c r="C7" s="24" t="s">
        <v>223</v>
      </c>
      <c r="D7" s="24" t="s">
        <v>224</v>
      </c>
      <c r="E7" s="93">
        <v>89</v>
      </c>
      <c r="F7" s="94">
        <v>4</v>
      </c>
      <c r="G7" s="94">
        <v>85</v>
      </c>
      <c r="H7" s="94">
        <v>4</v>
      </c>
      <c r="I7" s="94">
        <v>89</v>
      </c>
      <c r="J7" s="94">
        <v>4</v>
      </c>
      <c r="K7" s="94">
        <v>87</v>
      </c>
      <c r="L7" s="94">
        <v>2</v>
      </c>
      <c r="M7" s="94">
        <v>81</v>
      </c>
      <c r="N7" s="94">
        <v>2</v>
      </c>
      <c r="O7" s="94">
        <v>80</v>
      </c>
      <c r="P7" s="94">
        <v>2</v>
      </c>
      <c r="Q7">
        <v>99</v>
      </c>
      <c r="R7">
        <v>2</v>
      </c>
      <c r="S7">
        <v>92</v>
      </c>
      <c r="T7">
        <v>2</v>
      </c>
      <c r="U7">
        <v>90</v>
      </c>
      <c r="V7">
        <v>2</v>
      </c>
      <c r="W7">
        <v>93</v>
      </c>
      <c r="X7">
        <v>2</v>
      </c>
      <c r="Y7">
        <v>78</v>
      </c>
      <c r="Z7">
        <v>1</v>
      </c>
      <c r="AA7">
        <v>90</v>
      </c>
      <c r="AB7">
        <v>1</v>
      </c>
      <c r="AC7">
        <v>65</v>
      </c>
      <c r="AD7">
        <v>1</v>
      </c>
      <c r="AE7">
        <v>91</v>
      </c>
      <c r="AF7">
        <v>2</v>
      </c>
      <c r="AG7">
        <v>82</v>
      </c>
      <c r="AH7">
        <v>2</v>
      </c>
    </row>
    <row r="8" spans="1:34">
      <c r="A8" t="s">
        <v>225</v>
      </c>
      <c r="B8" s="24">
        <v>1801</v>
      </c>
      <c r="C8" s="24" t="s">
        <v>226</v>
      </c>
      <c r="D8" s="24" t="s">
        <v>227</v>
      </c>
      <c r="E8" s="93">
        <v>87</v>
      </c>
      <c r="F8" s="94">
        <v>4</v>
      </c>
      <c r="G8" s="94">
        <v>85</v>
      </c>
      <c r="H8" s="94">
        <v>4</v>
      </c>
      <c r="I8" s="94">
        <v>75</v>
      </c>
      <c r="J8" s="94">
        <v>4</v>
      </c>
      <c r="K8" s="94">
        <v>90</v>
      </c>
      <c r="L8" s="94">
        <v>2</v>
      </c>
      <c r="M8" s="94">
        <v>85</v>
      </c>
      <c r="N8" s="94">
        <v>2</v>
      </c>
      <c r="O8" s="94">
        <v>81</v>
      </c>
      <c r="P8" s="94">
        <v>2</v>
      </c>
      <c r="Q8">
        <v>80</v>
      </c>
      <c r="R8">
        <v>2</v>
      </c>
      <c r="S8">
        <v>97</v>
      </c>
      <c r="T8">
        <v>2</v>
      </c>
      <c r="U8">
        <v>77</v>
      </c>
      <c r="V8">
        <v>2</v>
      </c>
      <c r="W8">
        <v>96</v>
      </c>
      <c r="X8">
        <v>2</v>
      </c>
      <c r="Y8">
        <v>76</v>
      </c>
      <c r="Z8">
        <v>1</v>
      </c>
      <c r="AA8">
        <v>90</v>
      </c>
      <c r="AB8">
        <v>1</v>
      </c>
      <c r="AC8">
        <v>72</v>
      </c>
      <c r="AD8">
        <v>1</v>
      </c>
      <c r="AE8">
        <v>90</v>
      </c>
      <c r="AF8">
        <v>2</v>
      </c>
      <c r="AG8">
        <v>75</v>
      </c>
      <c r="AH8">
        <v>2</v>
      </c>
    </row>
    <row r="9" spans="1:34">
      <c r="A9" t="s">
        <v>228</v>
      </c>
      <c r="B9" s="24">
        <v>1801</v>
      </c>
      <c r="C9" s="24" t="s">
        <v>229</v>
      </c>
      <c r="D9" s="24" t="s">
        <v>230</v>
      </c>
      <c r="E9" s="93">
        <v>85</v>
      </c>
      <c r="F9" s="94">
        <v>4</v>
      </c>
      <c r="G9" s="94">
        <v>80</v>
      </c>
      <c r="H9" s="94">
        <v>4</v>
      </c>
      <c r="I9" s="94">
        <v>60</v>
      </c>
      <c r="J9" s="94">
        <v>4</v>
      </c>
      <c r="K9" s="94">
        <v>87</v>
      </c>
      <c r="L9" s="94">
        <v>2</v>
      </c>
      <c r="M9" s="94">
        <v>80</v>
      </c>
      <c r="N9" s="94">
        <v>2</v>
      </c>
      <c r="O9" s="94">
        <v>80</v>
      </c>
      <c r="P9" s="94">
        <v>2</v>
      </c>
      <c r="Q9">
        <v>80</v>
      </c>
      <c r="R9">
        <v>2</v>
      </c>
      <c r="S9">
        <v>96</v>
      </c>
      <c r="T9">
        <v>2</v>
      </c>
      <c r="U9">
        <v>78</v>
      </c>
      <c r="V9">
        <v>2</v>
      </c>
      <c r="W9">
        <v>88</v>
      </c>
      <c r="X9">
        <v>2</v>
      </c>
      <c r="Y9">
        <v>74</v>
      </c>
      <c r="Z9">
        <v>1</v>
      </c>
      <c r="AA9">
        <v>90</v>
      </c>
      <c r="AB9">
        <v>1</v>
      </c>
      <c r="AC9">
        <v>86</v>
      </c>
      <c r="AD9">
        <v>1</v>
      </c>
      <c r="AE9">
        <v>86</v>
      </c>
      <c r="AF9">
        <v>2</v>
      </c>
      <c r="AG9">
        <v>79</v>
      </c>
      <c r="AH9">
        <v>2</v>
      </c>
    </row>
    <row r="10" spans="1:34">
      <c r="A10" t="s">
        <v>231</v>
      </c>
      <c r="B10" s="24">
        <v>1801</v>
      </c>
      <c r="C10" s="24" t="s">
        <v>232</v>
      </c>
      <c r="D10" s="24" t="s">
        <v>233</v>
      </c>
      <c r="E10" s="93">
        <v>84</v>
      </c>
      <c r="F10" s="94">
        <v>4</v>
      </c>
      <c r="G10" s="94">
        <v>90</v>
      </c>
      <c r="H10" s="94">
        <v>4</v>
      </c>
      <c r="I10" s="94">
        <v>62</v>
      </c>
      <c r="J10" s="94">
        <v>4</v>
      </c>
      <c r="K10" s="94">
        <v>95</v>
      </c>
      <c r="L10" s="94">
        <v>2</v>
      </c>
      <c r="M10" s="94">
        <v>84</v>
      </c>
      <c r="N10" s="94">
        <v>2</v>
      </c>
      <c r="O10" s="94">
        <v>83</v>
      </c>
      <c r="P10" s="94">
        <v>2</v>
      </c>
      <c r="Q10">
        <v>87</v>
      </c>
      <c r="R10">
        <v>2</v>
      </c>
      <c r="S10">
        <v>87</v>
      </c>
      <c r="T10">
        <v>2</v>
      </c>
      <c r="U10">
        <v>70</v>
      </c>
      <c r="V10">
        <v>2</v>
      </c>
      <c r="W10">
        <v>93</v>
      </c>
      <c r="X10">
        <v>2</v>
      </c>
      <c r="Y10">
        <v>74</v>
      </c>
      <c r="Z10">
        <v>1</v>
      </c>
      <c r="AA10">
        <v>90</v>
      </c>
      <c r="AB10">
        <v>1</v>
      </c>
      <c r="AC10">
        <v>63</v>
      </c>
      <c r="AD10">
        <v>1</v>
      </c>
      <c r="AE10">
        <v>86</v>
      </c>
      <c r="AF10">
        <v>2</v>
      </c>
      <c r="AG10">
        <v>98</v>
      </c>
      <c r="AH10">
        <v>2</v>
      </c>
    </row>
    <row r="11" spans="1:34">
      <c r="A11" t="s">
        <v>234</v>
      </c>
      <c r="B11" s="24">
        <v>1801</v>
      </c>
      <c r="C11" s="24" t="s">
        <v>235</v>
      </c>
      <c r="D11" s="24" t="s">
        <v>236</v>
      </c>
      <c r="E11" s="93">
        <v>88</v>
      </c>
      <c r="F11" s="94">
        <v>4</v>
      </c>
      <c r="G11" s="94">
        <v>80</v>
      </c>
      <c r="H11" s="94">
        <v>4</v>
      </c>
      <c r="I11" s="94">
        <v>84</v>
      </c>
      <c r="J11" s="94">
        <v>4</v>
      </c>
      <c r="K11" s="94">
        <v>85</v>
      </c>
      <c r="L11" s="94">
        <v>2</v>
      </c>
      <c r="M11" s="94">
        <v>84</v>
      </c>
      <c r="N11" s="94">
        <v>2</v>
      </c>
      <c r="O11" s="94">
        <v>83</v>
      </c>
      <c r="P11" s="94">
        <v>2</v>
      </c>
      <c r="Q11">
        <v>80</v>
      </c>
      <c r="R11">
        <v>2</v>
      </c>
      <c r="S11">
        <v>88</v>
      </c>
      <c r="T11">
        <v>2</v>
      </c>
      <c r="U11">
        <v>79</v>
      </c>
      <c r="V11">
        <v>2</v>
      </c>
      <c r="W11">
        <v>88</v>
      </c>
      <c r="X11">
        <v>2</v>
      </c>
      <c r="Y11">
        <v>71</v>
      </c>
      <c r="Z11">
        <v>1</v>
      </c>
      <c r="AA11">
        <v>90</v>
      </c>
      <c r="AB11">
        <v>1</v>
      </c>
      <c r="AC11">
        <v>80</v>
      </c>
      <c r="AD11">
        <v>1</v>
      </c>
      <c r="AE11">
        <v>88</v>
      </c>
      <c r="AF11">
        <v>2</v>
      </c>
      <c r="AG11">
        <v>82</v>
      </c>
      <c r="AH11">
        <v>2</v>
      </c>
    </row>
    <row r="12" spans="1:34">
      <c r="A12" t="s">
        <v>237</v>
      </c>
      <c r="B12" s="24">
        <v>1801</v>
      </c>
      <c r="C12" s="24" t="s">
        <v>238</v>
      </c>
      <c r="D12" s="24" t="s">
        <v>239</v>
      </c>
      <c r="E12" s="93">
        <v>82</v>
      </c>
      <c r="F12" s="94">
        <v>4</v>
      </c>
      <c r="G12" s="94">
        <v>90</v>
      </c>
      <c r="H12" s="94">
        <v>4</v>
      </c>
      <c r="I12" s="94">
        <v>81</v>
      </c>
      <c r="J12" s="94">
        <v>4</v>
      </c>
      <c r="K12" s="94">
        <v>90</v>
      </c>
      <c r="L12" s="94">
        <v>2</v>
      </c>
      <c r="M12" s="94">
        <v>82</v>
      </c>
      <c r="N12" s="94">
        <v>2</v>
      </c>
      <c r="O12" s="94">
        <v>88</v>
      </c>
      <c r="P12" s="94">
        <v>2</v>
      </c>
      <c r="Q12">
        <v>81</v>
      </c>
      <c r="R12">
        <v>2</v>
      </c>
      <c r="S12">
        <v>96</v>
      </c>
      <c r="T12">
        <v>2</v>
      </c>
      <c r="U12">
        <v>80</v>
      </c>
      <c r="V12">
        <v>2</v>
      </c>
      <c r="W12">
        <v>80</v>
      </c>
      <c r="X12">
        <v>2</v>
      </c>
      <c r="Y12">
        <v>73</v>
      </c>
      <c r="Z12">
        <v>1</v>
      </c>
      <c r="AA12">
        <v>90</v>
      </c>
      <c r="AB12">
        <v>1</v>
      </c>
      <c r="AC12">
        <v>70</v>
      </c>
      <c r="AD12">
        <v>1</v>
      </c>
      <c r="AE12">
        <v>89</v>
      </c>
      <c r="AF12">
        <v>2</v>
      </c>
      <c r="AG12">
        <v>93</v>
      </c>
      <c r="AH12">
        <v>2</v>
      </c>
    </row>
    <row r="13" spans="1:34">
      <c r="A13" t="s">
        <v>240</v>
      </c>
      <c r="B13" s="24">
        <v>1801</v>
      </c>
      <c r="C13" s="24" t="s">
        <v>241</v>
      </c>
      <c r="D13" s="24" t="s">
        <v>242</v>
      </c>
      <c r="E13" s="93">
        <v>91</v>
      </c>
      <c r="F13" s="94">
        <v>4</v>
      </c>
      <c r="G13" s="94">
        <v>90</v>
      </c>
      <c r="H13" s="94">
        <v>4</v>
      </c>
      <c r="I13" s="94">
        <v>60</v>
      </c>
      <c r="J13" s="94">
        <v>4</v>
      </c>
      <c r="K13" s="94">
        <v>90</v>
      </c>
      <c r="L13" s="94">
        <v>2</v>
      </c>
      <c r="M13" s="94">
        <v>82</v>
      </c>
      <c r="N13" s="94">
        <v>2</v>
      </c>
      <c r="O13" s="94">
        <v>85</v>
      </c>
      <c r="P13" s="94">
        <v>2</v>
      </c>
      <c r="Q13">
        <v>98</v>
      </c>
      <c r="R13">
        <v>2</v>
      </c>
      <c r="S13">
        <v>98</v>
      </c>
      <c r="T13">
        <v>2</v>
      </c>
      <c r="U13">
        <v>85</v>
      </c>
      <c r="V13">
        <v>2</v>
      </c>
      <c r="W13">
        <v>88</v>
      </c>
      <c r="X13">
        <v>2</v>
      </c>
      <c r="Y13">
        <v>70</v>
      </c>
      <c r="Z13">
        <v>1</v>
      </c>
      <c r="AA13">
        <v>90</v>
      </c>
      <c r="AB13">
        <v>1</v>
      </c>
      <c r="AC13">
        <v>75</v>
      </c>
      <c r="AD13">
        <v>1</v>
      </c>
      <c r="AE13">
        <v>88</v>
      </c>
      <c r="AF13">
        <v>2</v>
      </c>
      <c r="AG13">
        <v>98</v>
      </c>
      <c r="AH13">
        <v>2</v>
      </c>
    </row>
    <row r="14" spans="1:34">
      <c r="A14" t="s">
        <v>243</v>
      </c>
      <c r="B14" s="24">
        <v>1801</v>
      </c>
      <c r="C14" s="24" t="s">
        <v>244</v>
      </c>
      <c r="D14" s="24" t="s">
        <v>245</v>
      </c>
      <c r="E14" s="93">
        <v>92</v>
      </c>
      <c r="F14" s="94">
        <v>4</v>
      </c>
      <c r="G14" s="94">
        <v>95</v>
      </c>
      <c r="H14" s="94">
        <v>4</v>
      </c>
      <c r="I14" s="94">
        <v>72</v>
      </c>
      <c r="J14" s="94">
        <v>4</v>
      </c>
      <c r="K14" s="94">
        <v>87</v>
      </c>
      <c r="L14" s="94">
        <v>2</v>
      </c>
      <c r="M14" s="94">
        <v>81</v>
      </c>
      <c r="N14" s="94">
        <v>2</v>
      </c>
      <c r="O14" s="94">
        <v>89</v>
      </c>
      <c r="P14" s="94">
        <v>2</v>
      </c>
      <c r="Q14">
        <v>86</v>
      </c>
      <c r="R14">
        <v>2</v>
      </c>
      <c r="S14">
        <v>89</v>
      </c>
      <c r="T14">
        <v>2</v>
      </c>
      <c r="U14">
        <v>80</v>
      </c>
      <c r="V14">
        <v>2</v>
      </c>
      <c r="W14">
        <v>88</v>
      </c>
      <c r="X14">
        <v>2</v>
      </c>
      <c r="Y14">
        <v>78</v>
      </c>
      <c r="Z14">
        <v>1</v>
      </c>
      <c r="AA14">
        <v>90</v>
      </c>
      <c r="AB14">
        <v>1</v>
      </c>
      <c r="AC14">
        <v>75</v>
      </c>
      <c r="AD14">
        <v>1</v>
      </c>
      <c r="AE14">
        <v>88</v>
      </c>
      <c r="AF14">
        <v>2</v>
      </c>
      <c r="AG14">
        <v>78</v>
      </c>
      <c r="AH14">
        <v>2</v>
      </c>
    </row>
    <row r="15" spans="1:34">
      <c r="A15" t="s">
        <v>246</v>
      </c>
      <c r="B15" s="24">
        <v>1801</v>
      </c>
      <c r="C15" s="24" t="s">
        <v>247</v>
      </c>
      <c r="D15" s="24" t="s">
        <v>248</v>
      </c>
      <c r="E15" s="93">
        <v>88</v>
      </c>
      <c r="F15" s="94">
        <v>4</v>
      </c>
      <c r="G15" s="94">
        <v>90</v>
      </c>
      <c r="H15" s="94">
        <v>4</v>
      </c>
      <c r="I15" s="94">
        <v>74</v>
      </c>
      <c r="J15" s="94">
        <v>4</v>
      </c>
      <c r="K15" s="94">
        <v>90</v>
      </c>
      <c r="L15" s="94">
        <v>2</v>
      </c>
      <c r="M15" s="94">
        <v>85</v>
      </c>
      <c r="N15" s="94">
        <v>2</v>
      </c>
      <c r="O15" s="94">
        <v>95</v>
      </c>
      <c r="P15" s="94">
        <v>2</v>
      </c>
      <c r="Q15">
        <v>96</v>
      </c>
      <c r="R15">
        <v>2</v>
      </c>
      <c r="S15">
        <v>88</v>
      </c>
      <c r="T15">
        <v>2</v>
      </c>
      <c r="U15">
        <v>76</v>
      </c>
      <c r="V15">
        <v>2</v>
      </c>
      <c r="W15">
        <v>90</v>
      </c>
      <c r="X15">
        <v>2</v>
      </c>
      <c r="Y15">
        <v>79</v>
      </c>
      <c r="Z15">
        <v>1</v>
      </c>
      <c r="AA15">
        <v>90</v>
      </c>
      <c r="AB15">
        <v>1</v>
      </c>
      <c r="AC15">
        <v>70</v>
      </c>
      <c r="AD15">
        <v>1</v>
      </c>
      <c r="AE15">
        <v>90</v>
      </c>
      <c r="AF15">
        <v>2</v>
      </c>
      <c r="AG15">
        <v>99</v>
      </c>
      <c r="AH15">
        <v>2</v>
      </c>
    </row>
    <row r="16" spans="1:34">
      <c r="A16" t="s">
        <v>249</v>
      </c>
      <c r="B16" s="24">
        <v>1801</v>
      </c>
      <c r="C16" s="24" t="s">
        <v>250</v>
      </c>
      <c r="D16" s="24" t="s">
        <v>251</v>
      </c>
      <c r="E16" s="93">
        <v>73</v>
      </c>
      <c r="F16" s="94">
        <v>4</v>
      </c>
      <c r="G16" s="94">
        <v>70</v>
      </c>
      <c r="H16" s="94">
        <v>4</v>
      </c>
      <c r="I16" s="94">
        <v>89</v>
      </c>
      <c r="J16" s="94">
        <v>4</v>
      </c>
      <c r="K16" s="94">
        <v>80</v>
      </c>
      <c r="L16" s="94">
        <v>2</v>
      </c>
      <c r="M16" s="94">
        <v>81</v>
      </c>
      <c r="N16" s="94">
        <v>2</v>
      </c>
      <c r="O16" s="94">
        <v>80</v>
      </c>
      <c r="P16" s="94">
        <v>2</v>
      </c>
      <c r="Q16">
        <v>84</v>
      </c>
      <c r="R16">
        <v>2</v>
      </c>
      <c r="S16">
        <v>90</v>
      </c>
      <c r="T16">
        <v>2</v>
      </c>
      <c r="U16">
        <v>78</v>
      </c>
      <c r="V16">
        <v>2</v>
      </c>
      <c r="W16">
        <v>85</v>
      </c>
      <c r="X16">
        <v>2</v>
      </c>
      <c r="Y16">
        <v>75</v>
      </c>
      <c r="Z16">
        <v>1</v>
      </c>
      <c r="AA16">
        <v>90</v>
      </c>
      <c r="AB16">
        <v>1</v>
      </c>
      <c r="AC16">
        <v>70</v>
      </c>
      <c r="AD16">
        <v>1</v>
      </c>
      <c r="AE16">
        <v>91</v>
      </c>
      <c r="AF16">
        <v>2</v>
      </c>
      <c r="AG16">
        <v>98</v>
      </c>
      <c r="AH16">
        <v>2</v>
      </c>
    </row>
    <row r="17" spans="1:34">
      <c r="A17" t="s">
        <v>252</v>
      </c>
      <c r="B17" s="24">
        <v>1801</v>
      </c>
      <c r="C17" s="24" t="s">
        <v>253</v>
      </c>
      <c r="D17" s="24" t="s">
        <v>254</v>
      </c>
      <c r="E17" s="93">
        <v>89</v>
      </c>
      <c r="F17" s="94">
        <v>4</v>
      </c>
      <c r="G17" s="94">
        <v>90</v>
      </c>
      <c r="H17" s="94">
        <v>4</v>
      </c>
      <c r="I17" s="94">
        <v>82</v>
      </c>
      <c r="J17" s="94">
        <v>4</v>
      </c>
      <c r="K17" s="94">
        <v>90</v>
      </c>
      <c r="L17" s="94">
        <v>2</v>
      </c>
      <c r="M17" s="94">
        <v>82</v>
      </c>
      <c r="N17" s="94">
        <v>2</v>
      </c>
      <c r="O17" s="94">
        <v>80</v>
      </c>
      <c r="P17" s="94">
        <v>2</v>
      </c>
      <c r="Q17">
        <v>82</v>
      </c>
      <c r="R17">
        <v>2</v>
      </c>
      <c r="S17">
        <v>80</v>
      </c>
      <c r="T17">
        <v>2</v>
      </c>
      <c r="U17">
        <v>73</v>
      </c>
      <c r="V17">
        <v>2</v>
      </c>
      <c r="W17">
        <v>90</v>
      </c>
      <c r="X17">
        <v>2</v>
      </c>
      <c r="Y17">
        <v>74</v>
      </c>
      <c r="Z17">
        <v>1</v>
      </c>
      <c r="AA17">
        <v>90</v>
      </c>
      <c r="AB17">
        <v>1</v>
      </c>
      <c r="AC17">
        <v>90</v>
      </c>
      <c r="AD17">
        <v>1</v>
      </c>
      <c r="AE17">
        <v>85</v>
      </c>
      <c r="AF17">
        <v>2</v>
      </c>
      <c r="AG17">
        <v>83</v>
      </c>
      <c r="AH17">
        <v>2</v>
      </c>
    </row>
    <row r="18" spans="1:34">
      <c r="A18" t="s">
        <v>255</v>
      </c>
      <c r="B18" s="24">
        <v>1801</v>
      </c>
      <c r="C18" s="24" t="s">
        <v>256</v>
      </c>
      <c r="D18" s="24" t="s">
        <v>257</v>
      </c>
      <c r="E18" s="93">
        <v>95</v>
      </c>
      <c r="F18" s="94">
        <v>4</v>
      </c>
      <c r="G18" s="94">
        <v>85</v>
      </c>
      <c r="H18" s="94">
        <v>4</v>
      </c>
      <c r="I18" s="94">
        <v>86</v>
      </c>
      <c r="J18" s="94">
        <v>4</v>
      </c>
      <c r="K18" s="94">
        <v>80</v>
      </c>
      <c r="L18" s="94">
        <v>2</v>
      </c>
      <c r="M18" s="94">
        <v>82</v>
      </c>
      <c r="N18" s="94">
        <v>2</v>
      </c>
      <c r="O18" s="94">
        <v>85</v>
      </c>
      <c r="P18" s="94">
        <v>2</v>
      </c>
      <c r="Q18">
        <v>86</v>
      </c>
      <c r="R18">
        <v>2</v>
      </c>
      <c r="S18">
        <v>83</v>
      </c>
      <c r="T18">
        <v>2</v>
      </c>
      <c r="U18">
        <v>70</v>
      </c>
      <c r="V18">
        <v>2</v>
      </c>
      <c r="W18">
        <v>93</v>
      </c>
      <c r="X18">
        <v>2</v>
      </c>
      <c r="Y18">
        <v>76</v>
      </c>
      <c r="Z18">
        <v>1</v>
      </c>
      <c r="AA18">
        <v>90</v>
      </c>
      <c r="AB18">
        <v>1</v>
      </c>
      <c r="AC18">
        <v>78</v>
      </c>
      <c r="AD18">
        <v>1</v>
      </c>
      <c r="AE18">
        <v>92</v>
      </c>
      <c r="AF18">
        <v>2</v>
      </c>
      <c r="AG18">
        <v>98</v>
      </c>
      <c r="AH18">
        <v>2</v>
      </c>
    </row>
    <row r="19" spans="1:34">
      <c r="A19" t="s">
        <v>258</v>
      </c>
      <c r="B19" s="24">
        <v>1801</v>
      </c>
      <c r="C19" s="24" t="s">
        <v>259</v>
      </c>
      <c r="D19" s="24" t="s">
        <v>260</v>
      </c>
      <c r="E19" s="93">
        <v>84</v>
      </c>
      <c r="F19" s="94">
        <v>4</v>
      </c>
      <c r="G19" s="94">
        <v>80</v>
      </c>
      <c r="H19" s="94">
        <v>4</v>
      </c>
      <c r="I19" s="94">
        <v>84</v>
      </c>
      <c r="J19" s="94">
        <v>4</v>
      </c>
      <c r="K19" s="94">
        <v>87</v>
      </c>
      <c r="L19" s="94">
        <v>2</v>
      </c>
      <c r="M19" s="94">
        <v>82</v>
      </c>
      <c r="N19" s="94">
        <v>2</v>
      </c>
      <c r="O19" s="94">
        <v>80</v>
      </c>
      <c r="P19" s="94">
        <v>2</v>
      </c>
      <c r="Q19">
        <v>84</v>
      </c>
      <c r="R19">
        <v>2</v>
      </c>
      <c r="S19">
        <v>89</v>
      </c>
      <c r="T19">
        <v>2</v>
      </c>
      <c r="U19">
        <v>86</v>
      </c>
      <c r="V19">
        <v>2</v>
      </c>
      <c r="W19">
        <v>93</v>
      </c>
      <c r="X19">
        <v>2</v>
      </c>
      <c r="Y19">
        <v>79</v>
      </c>
      <c r="Z19">
        <v>1</v>
      </c>
      <c r="AA19">
        <v>90</v>
      </c>
      <c r="AB19">
        <v>1</v>
      </c>
      <c r="AC19">
        <v>68</v>
      </c>
      <c r="AD19">
        <v>1</v>
      </c>
      <c r="AE19">
        <v>88</v>
      </c>
      <c r="AF19">
        <v>2</v>
      </c>
      <c r="AG19">
        <v>83</v>
      </c>
      <c r="AH19">
        <v>2</v>
      </c>
    </row>
    <row r="20" spans="1:34">
      <c r="A20" t="s">
        <v>261</v>
      </c>
      <c r="B20" s="24">
        <v>1801</v>
      </c>
      <c r="C20" s="24" t="s">
        <v>262</v>
      </c>
      <c r="D20" s="24" t="s">
        <v>263</v>
      </c>
      <c r="E20" s="93">
        <v>90</v>
      </c>
      <c r="F20" s="94">
        <v>4</v>
      </c>
      <c r="G20" s="94">
        <v>80</v>
      </c>
      <c r="H20" s="94">
        <v>4</v>
      </c>
      <c r="I20" s="94">
        <v>83</v>
      </c>
      <c r="J20" s="94">
        <v>4</v>
      </c>
      <c r="K20" s="94">
        <v>87</v>
      </c>
      <c r="L20" s="94">
        <v>2</v>
      </c>
      <c r="M20" s="94">
        <v>79</v>
      </c>
      <c r="N20" s="94">
        <v>2</v>
      </c>
      <c r="O20" s="94">
        <v>80</v>
      </c>
      <c r="P20" s="94">
        <v>2</v>
      </c>
      <c r="Q20">
        <v>83</v>
      </c>
      <c r="R20">
        <v>2</v>
      </c>
      <c r="S20">
        <v>92</v>
      </c>
      <c r="T20">
        <v>2</v>
      </c>
      <c r="U20">
        <v>82</v>
      </c>
      <c r="V20">
        <v>2</v>
      </c>
      <c r="W20">
        <v>93</v>
      </c>
      <c r="X20">
        <v>2</v>
      </c>
      <c r="Y20">
        <v>80</v>
      </c>
      <c r="Z20">
        <v>1</v>
      </c>
      <c r="AA20">
        <v>90</v>
      </c>
      <c r="AB20">
        <v>1</v>
      </c>
      <c r="AC20">
        <v>68</v>
      </c>
      <c r="AD20">
        <v>1</v>
      </c>
      <c r="AE20">
        <v>86</v>
      </c>
      <c r="AF20">
        <v>2</v>
      </c>
      <c r="AG20">
        <v>81</v>
      </c>
      <c r="AH20">
        <v>2</v>
      </c>
    </row>
    <row r="21" spans="1:34">
      <c r="A21" t="s">
        <v>264</v>
      </c>
      <c r="B21" s="24">
        <v>1801</v>
      </c>
      <c r="C21" s="24" t="s">
        <v>265</v>
      </c>
      <c r="D21" s="24" t="s">
        <v>266</v>
      </c>
      <c r="E21" s="93">
        <v>87</v>
      </c>
      <c r="F21" s="94">
        <v>4</v>
      </c>
      <c r="G21" s="94">
        <v>85</v>
      </c>
      <c r="H21" s="94">
        <v>4</v>
      </c>
      <c r="I21" s="94">
        <v>85</v>
      </c>
      <c r="J21" s="94">
        <v>4</v>
      </c>
      <c r="K21" s="94">
        <v>95</v>
      </c>
      <c r="L21" s="94">
        <v>2</v>
      </c>
      <c r="M21" s="94">
        <v>76</v>
      </c>
      <c r="N21" s="94">
        <v>2</v>
      </c>
      <c r="O21" s="94">
        <v>80</v>
      </c>
      <c r="P21" s="94">
        <v>2</v>
      </c>
      <c r="Q21">
        <v>81</v>
      </c>
      <c r="R21">
        <v>2</v>
      </c>
      <c r="S21">
        <v>87</v>
      </c>
      <c r="T21">
        <v>2</v>
      </c>
      <c r="U21">
        <v>73</v>
      </c>
      <c r="V21">
        <v>2</v>
      </c>
      <c r="W21">
        <v>85</v>
      </c>
      <c r="X21">
        <v>2</v>
      </c>
      <c r="Y21">
        <v>78</v>
      </c>
      <c r="Z21">
        <v>1</v>
      </c>
      <c r="AA21">
        <v>90</v>
      </c>
      <c r="AB21">
        <v>1</v>
      </c>
      <c r="AC21">
        <v>76</v>
      </c>
      <c r="AD21">
        <v>1</v>
      </c>
      <c r="AE21">
        <v>90</v>
      </c>
      <c r="AF21">
        <v>2</v>
      </c>
      <c r="AG21">
        <v>60</v>
      </c>
      <c r="AH21">
        <v>2</v>
      </c>
    </row>
    <row r="22" spans="1:34">
      <c r="A22" t="s">
        <v>267</v>
      </c>
      <c r="B22" s="24">
        <v>1801</v>
      </c>
      <c r="C22" s="24" t="s">
        <v>268</v>
      </c>
      <c r="D22" s="24" t="s">
        <v>269</v>
      </c>
      <c r="E22" s="93">
        <v>81</v>
      </c>
      <c r="F22" s="94">
        <v>4</v>
      </c>
      <c r="G22" s="94">
        <v>80</v>
      </c>
      <c r="H22" s="94">
        <v>4</v>
      </c>
      <c r="I22" s="94">
        <v>98</v>
      </c>
      <c r="J22" s="94">
        <v>4</v>
      </c>
      <c r="K22" s="94">
        <v>80</v>
      </c>
      <c r="L22" s="94">
        <v>2</v>
      </c>
      <c r="M22" s="94">
        <v>77</v>
      </c>
      <c r="N22" s="94">
        <v>2</v>
      </c>
      <c r="O22" s="94">
        <v>80</v>
      </c>
      <c r="P22" s="94">
        <v>2</v>
      </c>
      <c r="Q22">
        <v>77</v>
      </c>
      <c r="R22">
        <v>2</v>
      </c>
      <c r="S22">
        <v>80</v>
      </c>
      <c r="T22">
        <v>2</v>
      </c>
      <c r="U22">
        <v>82</v>
      </c>
      <c r="V22">
        <v>2</v>
      </c>
      <c r="W22">
        <v>85</v>
      </c>
      <c r="X22">
        <v>2</v>
      </c>
      <c r="Y22">
        <v>73</v>
      </c>
      <c r="Z22">
        <v>1</v>
      </c>
      <c r="AA22">
        <v>90</v>
      </c>
      <c r="AB22">
        <v>1</v>
      </c>
      <c r="AC22">
        <v>90</v>
      </c>
      <c r="AD22">
        <v>1</v>
      </c>
      <c r="AE22">
        <v>89</v>
      </c>
      <c r="AF22">
        <v>2</v>
      </c>
      <c r="AG22">
        <v>80</v>
      </c>
      <c r="AH22">
        <v>2</v>
      </c>
    </row>
    <row r="23" spans="1:34">
      <c r="A23" t="s">
        <v>270</v>
      </c>
      <c r="B23" s="24">
        <v>1801</v>
      </c>
      <c r="C23" s="24" t="s">
        <v>271</v>
      </c>
      <c r="D23" s="24" t="s">
        <v>272</v>
      </c>
      <c r="E23" s="93">
        <v>92</v>
      </c>
      <c r="F23" s="94">
        <v>4</v>
      </c>
      <c r="G23" s="94">
        <v>80</v>
      </c>
      <c r="H23" s="94">
        <v>4</v>
      </c>
      <c r="I23" s="94">
        <v>82</v>
      </c>
      <c r="J23" s="94">
        <v>4</v>
      </c>
      <c r="K23" s="94">
        <v>80</v>
      </c>
      <c r="L23" s="94">
        <v>2</v>
      </c>
      <c r="M23" s="94">
        <v>82</v>
      </c>
      <c r="N23" s="94">
        <v>2</v>
      </c>
      <c r="O23" s="94">
        <v>80</v>
      </c>
      <c r="P23" s="94">
        <v>2</v>
      </c>
      <c r="Q23">
        <v>86</v>
      </c>
      <c r="R23">
        <v>2</v>
      </c>
      <c r="S23">
        <v>96</v>
      </c>
      <c r="T23">
        <v>2</v>
      </c>
      <c r="U23">
        <v>86</v>
      </c>
      <c r="V23">
        <v>2</v>
      </c>
      <c r="W23">
        <v>88</v>
      </c>
      <c r="X23">
        <v>2</v>
      </c>
      <c r="Y23">
        <v>76</v>
      </c>
      <c r="Z23">
        <v>1</v>
      </c>
      <c r="AA23">
        <v>90</v>
      </c>
      <c r="AB23">
        <v>1</v>
      </c>
      <c r="AC23">
        <v>72</v>
      </c>
      <c r="AD23">
        <v>1</v>
      </c>
      <c r="AE23">
        <v>86</v>
      </c>
      <c r="AF23">
        <v>2</v>
      </c>
      <c r="AG23">
        <v>84</v>
      </c>
      <c r="AH23">
        <v>2</v>
      </c>
    </row>
    <row r="24" spans="1:34">
      <c r="A24" t="s">
        <v>273</v>
      </c>
      <c r="B24" s="24">
        <v>1801</v>
      </c>
      <c r="C24" s="24" t="s">
        <v>274</v>
      </c>
      <c r="D24" s="24" t="s">
        <v>275</v>
      </c>
      <c r="E24" s="93">
        <v>86</v>
      </c>
      <c r="F24" s="94">
        <v>4</v>
      </c>
      <c r="G24" s="94">
        <v>80</v>
      </c>
      <c r="H24" s="94">
        <v>4</v>
      </c>
      <c r="I24" s="94">
        <v>70</v>
      </c>
      <c r="J24" s="94">
        <v>4</v>
      </c>
      <c r="K24" s="94">
        <v>90</v>
      </c>
      <c r="L24" s="94">
        <v>2</v>
      </c>
      <c r="M24" s="94">
        <v>82</v>
      </c>
      <c r="N24" s="94">
        <v>2</v>
      </c>
      <c r="O24" s="94">
        <v>80</v>
      </c>
      <c r="P24" s="94">
        <v>2</v>
      </c>
      <c r="Q24">
        <v>80</v>
      </c>
      <c r="R24">
        <v>2</v>
      </c>
      <c r="S24">
        <v>85</v>
      </c>
      <c r="T24">
        <v>2</v>
      </c>
      <c r="U24">
        <v>72</v>
      </c>
      <c r="V24">
        <v>2</v>
      </c>
      <c r="W24">
        <v>80</v>
      </c>
      <c r="X24">
        <v>2</v>
      </c>
      <c r="Y24">
        <v>72</v>
      </c>
      <c r="Z24">
        <v>1</v>
      </c>
      <c r="AA24">
        <v>90</v>
      </c>
      <c r="AB24">
        <v>1</v>
      </c>
      <c r="AC24">
        <v>73</v>
      </c>
      <c r="AD24">
        <v>1</v>
      </c>
      <c r="AE24">
        <v>86</v>
      </c>
      <c r="AF24">
        <v>2</v>
      </c>
      <c r="AG24">
        <v>84</v>
      </c>
      <c r="AH24">
        <v>2</v>
      </c>
    </row>
    <row r="25" spans="1:34">
      <c r="A25" t="s">
        <v>276</v>
      </c>
      <c r="B25" s="24">
        <v>1801</v>
      </c>
      <c r="C25" s="24" t="s">
        <v>277</v>
      </c>
      <c r="D25" s="24" t="s">
        <v>148</v>
      </c>
      <c r="E25" s="93">
        <v>88</v>
      </c>
      <c r="F25" s="94">
        <v>4</v>
      </c>
      <c r="G25" s="94">
        <v>90</v>
      </c>
      <c r="H25" s="94">
        <v>4</v>
      </c>
      <c r="I25" s="94">
        <v>76</v>
      </c>
      <c r="J25" s="94">
        <v>4</v>
      </c>
      <c r="K25" s="94">
        <v>92</v>
      </c>
      <c r="L25" s="94">
        <v>2</v>
      </c>
      <c r="M25" s="94">
        <v>85</v>
      </c>
      <c r="N25" s="94">
        <v>2</v>
      </c>
      <c r="O25" s="94">
        <v>100</v>
      </c>
      <c r="P25" s="94">
        <v>2</v>
      </c>
      <c r="Q25">
        <v>92</v>
      </c>
      <c r="R25">
        <v>2</v>
      </c>
      <c r="S25">
        <v>94</v>
      </c>
      <c r="T25">
        <v>2</v>
      </c>
      <c r="U25">
        <v>81</v>
      </c>
      <c r="V25">
        <v>2</v>
      </c>
      <c r="W25">
        <v>95</v>
      </c>
      <c r="X25">
        <v>2</v>
      </c>
      <c r="Y25">
        <v>74</v>
      </c>
      <c r="Z25">
        <v>1</v>
      </c>
      <c r="AA25">
        <v>90</v>
      </c>
      <c r="AB25">
        <v>1</v>
      </c>
      <c r="AC25">
        <v>78</v>
      </c>
      <c r="AD25">
        <v>1</v>
      </c>
      <c r="AE25">
        <v>87</v>
      </c>
      <c r="AF25">
        <v>2</v>
      </c>
      <c r="AG25">
        <v>98</v>
      </c>
      <c r="AH25">
        <v>2</v>
      </c>
    </row>
    <row r="26" spans="1:34">
      <c r="A26" t="s">
        <v>278</v>
      </c>
      <c r="B26" s="24">
        <v>1801</v>
      </c>
      <c r="C26" s="24" t="s">
        <v>279</v>
      </c>
      <c r="D26" s="24" t="s">
        <v>280</v>
      </c>
      <c r="E26" s="93">
        <v>74</v>
      </c>
      <c r="F26" s="94">
        <v>4</v>
      </c>
      <c r="G26" s="94">
        <v>80</v>
      </c>
      <c r="H26" s="94">
        <v>4</v>
      </c>
      <c r="I26" s="94">
        <v>59</v>
      </c>
      <c r="J26" s="94">
        <v>4</v>
      </c>
      <c r="K26" s="94">
        <v>85</v>
      </c>
      <c r="L26" s="94">
        <v>2</v>
      </c>
      <c r="M26" s="94">
        <v>84</v>
      </c>
      <c r="N26" s="94">
        <v>2</v>
      </c>
      <c r="O26" s="94">
        <v>80</v>
      </c>
      <c r="P26" s="94">
        <v>2</v>
      </c>
      <c r="Q26">
        <v>75</v>
      </c>
      <c r="R26">
        <v>2</v>
      </c>
      <c r="S26">
        <v>96</v>
      </c>
      <c r="T26">
        <v>2</v>
      </c>
      <c r="U26">
        <v>79</v>
      </c>
      <c r="V26">
        <v>2</v>
      </c>
      <c r="W26">
        <v>85</v>
      </c>
      <c r="X26">
        <v>2</v>
      </c>
      <c r="Y26">
        <v>76</v>
      </c>
      <c r="Z26">
        <v>1</v>
      </c>
      <c r="AA26">
        <v>90</v>
      </c>
      <c r="AB26">
        <v>1</v>
      </c>
      <c r="AC26">
        <v>85</v>
      </c>
      <c r="AD26">
        <v>1</v>
      </c>
      <c r="AE26">
        <v>50</v>
      </c>
      <c r="AF26">
        <v>1</v>
      </c>
      <c r="AG26">
        <v>50</v>
      </c>
    </row>
    <row r="27" spans="1:34">
      <c r="A27" t="s">
        <v>281</v>
      </c>
      <c r="B27" s="24">
        <v>1801</v>
      </c>
      <c r="C27" s="24" t="s">
        <v>282</v>
      </c>
      <c r="D27" s="24" t="s">
        <v>283</v>
      </c>
      <c r="E27" s="93">
        <v>85</v>
      </c>
      <c r="F27" s="94">
        <v>4</v>
      </c>
      <c r="G27" s="94">
        <v>90</v>
      </c>
      <c r="H27" s="94">
        <v>4</v>
      </c>
      <c r="I27" s="94">
        <v>74</v>
      </c>
      <c r="J27" s="94">
        <v>4</v>
      </c>
      <c r="K27" s="94">
        <v>95</v>
      </c>
      <c r="L27" s="94">
        <v>2</v>
      </c>
      <c r="M27" s="94">
        <v>88</v>
      </c>
      <c r="N27" s="94">
        <v>2</v>
      </c>
      <c r="O27" s="94">
        <v>93</v>
      </c>
      <c r="P27" s="94">
        <v>2</v>
      </c>
      <c r="Q27">
        <v>89</v>
      </c>
      <c r="R27">
        <v>2</v>
      </c>
      <c r="S27">
        <v>90</v>
      </c>
      <c r="T27">
        <v>2</v>
      </c>
      <c r="U27">
        <v>77</v>
      </c>
      <c r="V27">
        <v>2</v>
      </c>
      <c r="W27">
        <v>80</v>
      </c>
      <c r="X27">
        <v>2</v>
      </c>
      <c r="Y27">
        <v>79</v>
      </c>
      <c r="Z27">
        <v>1</v>
      </c>
      <c r="AA27">
        <v>90</v>
      </c>
      <c r="AB27">
        <v>1</v>
      </c>
      <c r="AC27">
        <v>70</v>
      </c>
      <c r="AD27">
        <v>1</v>
      </c>
      <c r="AE27">
        <v>91</v>
      </c>
      <c r="AF27">
        <v>2</v>
      </c>
      <c r="AG27">
        <v>99</v>
      </c>
      <c r="AH27">
        <v>2</v>
      </c>
    </row>
    <row r="28" spans="1:34">
      <c r="A28" t="s">
        <v>284</v>
      </c>
      <c r="B28" s="24">
        <v>1801</v>
      </c>
      <c r="C28" s="24" t="s">
        <v>285</v>
      </c>
      <c r="D28" s="24" t="s">
        <v>286</v>
      </c>
      <c r="E28" s="93">
        <v>79</v>
      </c>
      <c r="F28" s="94">
        <v>4</v>
      </c>
      <c r="G28" s="94">
        <v>80</v>
      </c>
      <c r="H28" s="94">
        <v>4</v>
      </c>
      <c r="I28" s="94">
        <v>65</v>
      </c>
      <c r="J28" s="94">
        <v>4</v>
      </c>
      <c r="K28" s="94">
        <v>87</v>
      </c>
      <c r="L28" s="94">
        <v>2</v>
      </c>
      <c r="M28" s="94">
        <v>82</v>
      </c>
      <c r="N28" s="94">
        <v>2</v>
      </c>
      <c r="O28" s="94">
        <v>88</v>
      </c>
      <c r="P28" s="94">
        <v>2</v>
      </c>
      <c r="Q28">
        <v>85</v>
      </c>
      <c r="R28">
        <v>2</v>
      </c>
      <c r="S28">
        <v>94</v>
      </c>
      <c r="T28">
        <v>2</v>
      </c>
      <c r="U28">
        <v>73</v>
      </c>
      <c r="V28">
        <v>2</v>
      </c>
      <c r="W28">
        <v>85</v>
      </c>
      <c r="X28">
        <v>2</v>
      </c>
      <c r="Y28">
        <v>80</v>
      </c>
      <c r="Z28">
        <v>1</v>
      </c>
      <c r="AA28">
        <v>90</v>
      </c>
      <c r="AB28">
        <v>1</v>
      </c>
      <c r="AC28">
        <v>80</v>
      </c>
      <c r="AD28">
        <v>1</v>
      </c>
      <c r="AE28">
        <v>50</v>
      </c>
      <c r="AF28">
        <v>1</v>
      </c>
      <c r="AG28">
        <v>70</v>
      </c>
      <c r="AH28">
        <v>2</v>
      </c>
    </row>
    <row r="29" spans="1:34">
      <c r="A29" t="s">
        <v>287</v>
      </c>
      <c r="B29" s="24">
        <v>1801</v>
      </c>
      <c r="C29" s="24" t="s">
        <v>288</v>
      </c>
      <c r="D29" s="24" t="s">
        <v>289</v>
      </c>
      <c r="E29" s="93">
        <v>86</v>
      </c>
      <c r="F29" s="94">
        <v>4</v>
      </c>
      <c r="G29" s="94">
        <v>90</v>
      </c>
      <c r="H29" s="94">
        <v>4</v>
      </c>
      <c r="I29" s="94">
        <v>82</v>
      </c>
      <c r="J29" s="94">
        <v>4</v>
      </c>
      <c r="K29" s="94">
        <v>90</v>
      </c>
      <c r="L29" s="94">
        <v>2</v>
      </c>
      <c r="M29" s="94">
        <v>86</v>
      </c>
      <c r="N29" s="94">
        <v>2</v>
      </c>
      <c r="O29" s="94">
        <v>99</v>
      </c>
      <c r="P29" s="94">
        <v>2</v>
      </c>
      <c r="Q29">
        <v>99</v>
      </c>
      <c r="R29">
        <v>2</v>
      </c>
      <c r="S29">
        <v>95</v>
      </c>
      <c r="T29">
        <v>2</v>
      </c>
      <c r="U29">
        <v>92</v>
      </c>
      <c r="V29">
        <v>2</v>
      </c>
      <c r="W29">
        <v>95</v>
      </c>
      <c r="X29">
        <v>2</v>
      </c>
      <c r="Y29">
        <v>81</v>
      </c>
      <c r="Z29">
        <v>1</v>
      </c>
      <c r="AA29">
        <v>90</v>
      </c>
      <c r="AB29">
        <v>1</v>
      </c>
      <c r="AC29">
        <v>76</v>
      </c>
      <c r="AD29">
        <v>1</v>
      </c>
      <c r="AE29">
        <v>90</v>
      </c>
      <c r="AF29">
        <v>2</v>
      </c>
      <c r="AG29">
        <v>98</v>
      </c>
      <c r="AH29">
        <v>2</v>
      </c>
    </row>
    <row r="30" spans="1:34">
      <c r="A30" t="s">
        <v>290</v>
      </c>
      <c r="B30" s="24">
        <v>1801</v>
      </c>
      <c r="C30" s="24" t="s">
        <v>291</v>
      </c>
      <c r="D30" s="24" t="s">
        <v>292</v>
      </c>
      <c r="E30" s="93">
        <v>86</v>
      </c>
      <c r="F30" s="94">
        <v>4</v>
      </c>
      <c r="G30" s="94">
        <v>85</v>
      </c>
      <c r="H30" s="94">
        <v>4</v>
      </c>
      <c r="I30" s="94">
        <v>95</v>
      </c>
      <c r="J30" s="94">
        <v>4</v>
      </c>
      <c r="K30" s="94">
        <v>80</v>
      </c>
      <c r="L30" s="94">
        <v>2</v>
      </c>
      <c r="M30" s="94">
        <v>87</v>
      </c>
      <c r="N30" s="94">
        <v>2</v>
      </c>
      <c r="O30" s="94">
        <v>80</v>
      </c>
      <c r="P30" s="94">
        <v>2</v>
      </c>
      <c r="Q30">
        <v>83</v>
      </c>
      <c r="R30">
        <v>2</v>
      </c>
      <c r="S30">
        <v>83</v>
      </c>
      <c r="T30">
        <v>2</v>
      </c>
      <c r="U30">
        <v>86</v>
      </c>
      <c r="V30">
        <v>2</v>
      </c>
      <c r="W30">
        <v>88</v>
      </c>
      <c r="X30">
        <v>2</v>
      </c>
      <c r="Y30">
        <v>75</v>
      </c>
      <c r="Z30">
        <v>1</v>
      </c>
      <c r="AA30">
        <v>90</v>
      </c>
      <c r="AB30">
        <v>1</v>
      </c>
      <c r="AC30">
        <v>76</v>
      </c>
      <c r="AD30">
        <v>1</v>
      </c>
      <c r="AE30">
        <v>85</v>
      </c>
      <c r="AF30">
        <v>2</v>
      </c>
      <c r="AG30">
        <v>98</v>
      </c>
      <c r="AH30">
        <v>2</v>
      </c>
    </row>
    <row r="31" spans="1:34">
      <c r="A31" t="s">
        <v>1603</v>
      </c>
      <c r="B31" s="24">
        <v>1801</v>
      </c>
      <c r="C31" s="24" t="s">
        <v>294</v>
      </c>
      <c r="D31" s="24" t="s">
        <v>1605</v>
      </c>
      <c r="E31" s="93">
        <v>93</v>
      </c>
      <c r="F31" s="94">
        <v>4</v>
      </c>
      <c r="G31" s="94">
        <v>90</v>
      </c>
      <c r="H31" s="94">
        <v>4</v>
      </c>
      <c r="I31" s="94">
        <v>90</v>
      </c>
      <c r="J31" s="94">
        <v>4</v>
      </c>
      <c r="K31" s="94">
        <v>95</v>
      </c>
      <c r="L31" s="94">
        <v>2</v>
      </c>
      <c r="M31" s="94">
        <v>93</v>
      </c>
      <c r="N31" s="94">
        <v>2</v>
      </c>
      <c r="O31" s="94">
        <v>97</v>
      </c>
      <c r="P31" s="94">
        <v>2</v>
      </c>
      <c r="Q31">
        <v>98</v>
      </c>
      <c r="R31">
        <v>2</v>
      </c>
      <c r="S31">
        <v>96</v>
      </c>
      <c r="T31">
        <v>2</v>
      </c>
      <c r="U31">
        <v>85</v>
      </c>
      <c r="V31">
        <v>2</v>
      </c>
      <c r="W31">
        <v>95</v>
      </c>
      <c r="X31">
        <v>2</v>
      </c>
      <c r="Y31">
        <v>76</v>
      </c>
      <c r="Z31">
        <v>1</v>
      </c>
      <c r="AA31">
        <v>90</v>
      </c>
      <c r="AB31">
        <v>1</v>
      </c>
      <c r="AC31">
        <v>70</v>
      </c>
      <c r="AD31">
        <v>1</v>
      </c>
      <c r="AE31">
        <v>92</v>
      </c>
      <c r="AF31">
        <v>2</v>
      </c>
      <c r="AG31">
        <v>98</v>
      </c>
      <c r="AH31">
        <v>2</v>
      </c>
    </row>
    <row r="32" spans="1:34">
      <c r="A32" t="s">
        <v>295</v>
      </c>
      <c r="B32" s="24">
        <v>1801</v>
      </c>
      <c r="C32" s="24" t="s">
        <v>296</v>
      </c>
      <c r="D32" s="24" t="s">
        <v>297</v>
      </c>
      <c r="E32" s="93">
        <v>84</v>
      </c>
      <c r="F32" s="94">
        <v>4</v>
      </c>
      <c r="G32" s="94">
        <v>85</v>
      </c>
      <c r="H32" s="94">
        <v>4</v>
      </c>
      <c r="I32" s="94">
        <v>81</v>
      </c>
      <c r="J32" s="94">
        <v>4</v>
      </c>
      <c r="K32" s="94">
        <v>87</v>
      </c>
      <c r="L32" s="94">
        <v>2</v>
      </c>
      <c r="M32" s="94">
        <v>84</v>
      </c>
      <c r="N32" s="94">
        <v>2</v>
      </c>
      <c r="O32" s="94">
        <v>80</v>
      </c>
      <c r="P32" s="94">
        <v>2</v>
      </c>
      <c r="Q32">
        <v>80</v>
      </c>
      <c r="R32">
        <v>2</v>
      </c>
      <c r="S32">
        <v>96</v>
      </c>
      <c r="T32">
        <v>2</v>
      </c>
      <c r="U32">
        <v>78</v>
      </c>
      <c r="V32">
        <v>2</v>
      </c>
      <c r="W32">
        <v>80</v>
      </c>
      <c r="X32">
        <v>2</v>
      </c>
      <c r="Y32">
        <v>73</v>
      </c>
      <c r="Z32">
        <v>1</v>
      </c>
      <c r="AA32">
        <v>90</v>
      </c>
      <c r="AB32">
        <v>1</v>
      </c>
      <c r="AC32">
        <v>74</v>
      </c>
      <c r="AD32">
        <v>1</v>
      </c>
      <c r="AE32">
        <v>88</v>
      </c>
      <c r="AF32">
        <v>2</v>
      </c>
      <c r="AG32">
        <v>80</v>
      </c>
      <c r="AH32">
        <v>2</v>
      </c>
    </row>
    <row r="33" spans="1:34">
      <c r="A33" t="s">
        <v>298</v>
      </c>
      <c r="B33" s="24">
        <v>1801</v>
      </c>
      <c r="C33" s="24" t="s">
        <v>299</v>
      </c>
      <c r="D33" s="24" t="s">
        <v>300</v>
      </c>
      <c r="E33" s="93">
        <v>86</v>
      </c>
      <c r="F33" s="94">
        <v>4</v>
      </c>
      <c r="G33" s="94">
        <v>80</v>
      </c>
      <c r="H33" s="94">
        <v>4</v>
      </c>
      <c r="I33" s="94">
        <v>79</v>
      </c>
      <c r="J33" s="94">
        <v>4</v>
      </c>
      <c r="K33" s="94">
        <v>85</v>
      </c>
      <c r="L33" s="94">
        <v>2</v>
      </c>
      <c r="M33" s="94">
        <v>81</v>
      </c>
      <c r="N33" s="94">
        <v>2</v>
      </c>
      <c r="O33" s="94">
        <v>80</v>
      </c>
      <c r="P33" s="94">
        <v>2</v>
      </c>
      <c r="Q33">
        <v>91</v>
      </c>
      <c r="R33">
        <v>2</v>
      </c>
      <c r="S33">
        <v>89</v>
      </c>
      <c r="T33">
        <v>2</v>
      </c>
      <c r="U33">
        <v>70</v>
      </c>
      <c r="V33">
        <v>2</v>
      </c>
      <c r="W33">
        <v>88</v>
      </c>
      <c r="X33">
        <v>2</v>
      </c>
      <c r="Y33">
        <v>79</v>
      </c>
      <c r="Z33">
        <v>1</v>
      </c>
      <c r="AA33">
        <v>90</v>
      </c>
      <c r="AB33">
        <v>1</v>
      </c>
      <c r="AC33">
        <v>78</v>
      </c>
      <c r="AD33">
        <v>1</v>
      </c>
      <c r="AE33">
        <v>86</v>
      </c>
      <c r="AF33">
        <v>2</v>
      </c>
      <c r="AG33">
        <v>80</v>
      </c>
      <c r="AH33">
        <v>2</v>
      </c>
    </row>
    <row r="34" spans="1:34">
      <c r="A34" t="s">
        <v>301</v>
      </c>
      <c r="B34" s="24">
        <v>1801</v>
      </c>
      <c r="C34" s="24" t="s">
        <v>302</v>
      </c>
      <c r="D34" s="24" t="s">
        <v>303</v>
      </c>
      <c r="E34" s="93">
        <v>77</v>
      </c>
      <c r="F34" s="94">
        <v>4</v>
      </c>
      <c r="G34" s="94">
        <v>90</v>
      </c>
      <c r="H34" s="94">
        <v>4</v>
      </c>
      <c r="I34" s="94">
        <v>84</v>
      </c>
      <c r="J34" s="94">
        <v>4</v>
      </c>
      <c r="K34" s="94">
        <v>88</v>
      </c>
      <c r="L34" s="94">
        <v>2</v>
      </c>
      <c r="M34" s="94">
        <v>82</v>
      </c>
      <c r="N34" s="94">
        <v>2</v>
      </c>
      <c r="O34" s="94">
        <v>80</v>
      </c>
      <c r="P34" s="94">
        <v>2</v>
      </c>
      <c r="Q34">
        <v>84</v>
      </c>
      <c r="R34">
        <v>2</v>
      </c>
      <c r="S34">
        <v>90</v>
      </c>
      <c r="T34">
        <v>2</v>
      </c>
      <c r="U34">
        <v>78</v>
      </c>
      <c r="V34">
        <v>2</v>
      </c>
      <c r="W34">
        <v>95</v>
      </c>
      <c r="X34">
        <v>2</v>
      </c>
      <c r="Y34">
        <v>78</v>
      </c>
      <c r="Z34">
        <v>1</v>
      </c>
      <c r="AA34">
        <v>90</v>
      </c>
      <c r="AB34">
        <v>1</v>
      </c>
      <c r="AC34">
        <v>70</v>
      </c>
      <c r="AD34">
        <v>1</v>
      </c>
      <c r="AE34">
        <v>90</v>
      </c>
      <c r="AF34">
        <v>2</v>
      </c>
      <c r="AG34">
        <v>80</v>
      </c>
      <c r="AH34">
        <v>2</v>
      </c>
    </row>
    <row r="35" spans="1:34">
      <c r="A35" t="s">
        <v>304</v>
      </c>
      <c r="B35" s="24">
        <v>1801</v>
      </c>
      <c r="C35" s="24" t="s">
        <v>305</v>
      </c>
      <c r="D35" s="24" t="s">
        <v>306</v>
      </c>
      <c r="E35" s="93">
        <v>78</v>
      </c>
      <c r="F35" s="94">
        <v>4</v>
      </c>
      <c r="G35" s="94">
        <v>90</v>
      </c>
      <c r="H35" s="94">
        <v>4</v>
      </c>
      <c r="I35" s="94">
        <v>72</v>
      </c>
      <c r="J35" s="94">
        <v>4</v>
      </c>
      <c r="K35" s="94">
        <v>88</v>
      </c>
      <c r="L35" s="94">
        <v>2</v>
      </c>
      <c r="M35" s="94">
        <v>80</v>
      </c>
      <c r="N35" s="94">
        <v>2</v>
      </c>
      <c r="O35" s="94">
        <v>80</v>
      </c>
      <c r="P35" s="94">
        <v>2</v>
      </c>
      <c r="Q35">
        <v>97</v>
      </c>
      <c r="R35">
        <v>2</v>
      </c>
      <c r="S35">
        <v>86</v>
      </c>
      <c r="T35">
        <v>2</v>
      </c>
      <c r="U35">
        <v>77</v>
      </c>
      <c r="V35">
        <v>2</v>
      </c>
      <c r="W35">
        <v>96</v>
      </c>
      <c r="X35">
        <v>2</v>
      </c>
      <c r="Y35">
        <v>72</v>
      </c>
      <c r="Z35">
        <v>1</v>
      </c>
      <c r="AA35">
        <v>90</v>
      </c>
      <c r="AB35">
        <v>1</v>
      </c>
      <c r="AC35">
        <v>76</v>
      </c>
      <c r="AD35">
        <v>1</v>
      </c>
      <c r="AE35">
        <v>89</v>
      </c>
      <c r="AF35">
        <v>2</v>
      </c>
      <c r="AG35">
        <v>98</v>
      </c>
      <c r="AH35">
        <v>2</v>
      </c>
    </row>
    <row r="36" spans="1:34">
      <c r="A36" t="s">
        <v>307</v>
      </c>
      <c r="B36" s="24">
        <v>1801</v>
      </c>
      <c r="C36" s="24" t="s">
        <v>308</v>
      </c>
      <c r="D36" s="24" t="s">
        <v>309</v>
      </c>
      <c r="E36" s="93">
        <v>86</v>
      </c>
      <c r="F36" s="94">
        <v>4</v>
      </c>
      <c r="G36" s="94">
        <v>90</v>
      </c>
      <c r="H36" s="94">
        <v>4</v>
      </c>
      <c r="I36" s="94">
        <v>68</v>
      </c>
      <c r="J36" s="94">
        <v>4</v>
      </c>
      <c r="K36" s="94">
        <v>90</v>
      </c>
      <c r="L36" s="94">
        <v>2</v>
      </c>
      <c r="M36" s="94">
        <v>88</v>
      </c>
      <c r="N36" s="94">
        <v>2</v>
      </c>
      <c r="O36" s="94">
        <v>90</v>
      </c>
      <c r="P36" s="94">
        <v>2</v>
      </c>
      <c r="Q36">
        <v>86</v>
      </c>
      <c r="R36">
        <v>2</v>
      </c>
      <c r="S36">
        <v>96</v>
      </c>
      <c r="T36">
        <v>2</v>
      </c>
      <c r="U36">
        <v>71</v>
      </c>
      <c r="V36">
        <v>2</v>
      </c>
      <c r="W36">
        <v>90</v>
      </c>
      <c r="X36">
        <v>2</v>
      </c>
      <c r="Y36">
        <v>71</v>
      </c>
      <c r="Z36">
        <v>1</v>
      </c>
      <c r="AA36">
        <v>90</v>
      </c>
      <c r="AB36">
        <v>1</v>
      </c>
      <c r="AC36">
        <v>75</v>
      </c>
      <c r="AD36">
        <v>1</v>
      </c>
      <c r="AE36">
        <v>86</v>
      </c>
      <c r="AF36">
        <v>2</v>
      </c>
      <c r="AG36">
        <v>80</v>
      </c>
      <c r="AH36">
        <v>2</v>
      </c>
    </row>
    <row r="37" spans="1:34">
      <c r="A37" t="s">
        <v>310</v>
      </c>
      <c r="B37" s="24">
        <v>1801</v>
      </c>
      <c r="C37" s="24" t="s">
        <v>311</v>
      </c>
      <c r="D37" s="24" t="s">
        <v>312</v>
      </c>
      <c r="E37" s="93">
        <v>85</v>
      </c>
      <c r="F37" s="94">
        <v>4</v>
      </c>
      <c r="G37" s="94">
        <v>85</v>
      </c>
      <c r="H37" s="94">
        <v>4</v>
      </c>
      <c r="I37" s="94">
        <v>80</v>
      </c>
      <c r="J37" s="94">
        <v>4</v>
      </c>
      <c r="K37" s="94">
        <v>85</v>
      </c>
      <c r="L37" s="94">
        <v>2</v>
      </c>
      <c r="M37" s="94">
        <v>80</v>
      </c>
      <c r="N37" s="94">
        <v>2</v>
      </c>
      <c r="O37" s="94">
        <v>80</v>
      </c>
      <c r="P37" s="94">
        <v>2</v>
      </c>
      <c r="Q37">
        <v>95</v>
      </c>
      <c r="R37">
        <v>2</v>
      </c>
      <c r="S37">
        <v>87</v>
      </c>
      <c r="T37">
        <v>2</v>
      </c>
      <c r="U37">
        <v>70</v>
      </c>
      <c r="V37">
        <v>2</v>
      </c>
      <c r="W37">
        <v>88</v>
      </c>
      <c r="X37">
        <v>2</v>
      </c>
      <c r="Y37">
        <v>73</v>
      </c>
      <c r="Z37">
        <v>1</v>
      </c>
      <c r="AA37">
        <v>90</v>
      </c>
      <c r="AB37">
        <v>1</v>
      </c>
      <c r="AC37">
        <v>87</v>
      </c>
      <c r="AD37">
        <v>1</v>
      </c>
      <c r="AE37">
        <v>82</v>
      </c>
      <c r="AF37">
        <v>2</v>
      </c>
      <c r="AG37">
        <v>88</v>
      </c>
      <c r="AH37">
        <v>2</v>
      </c>
    </row>
    <row r="38" spans="1:34">
      <c r="A38" t="s">
        <v>313</v>
      </c>
      <c r="B38" s="24">
        <v>1801</v>
      </c>
      <c r="C38" s="24" t="s">
        <v>314</v>
      </c>
      <c r="D38" s="24" t="s">
        <v>315</v>
      </c>
      <c r="E38" s="93">
        <v>90</v>
      </c>
      <c r="F38" s="94">
        <v>4</v>
      </c>
      <c r="G38" s="94">
        <v>80</v>
      </c>
      <c r="H38" s="94">
        <v>4</v>
      </c>
      <c r="I38" s="94">
        <v>92</v>
      </c>
      <c r="J38" s="94">
        <v>4</v>
      </c>
      <c r="K38" s="94">
        <v>90</v>
      </c>
      <c r="L38" s="94">
        <v>2</v>
      </c>
      <c r="M38" s="94">
        <v>81</v>
      </c>
      <c r="N38" s="94">
        <v>2</v>
      </c>
      <c r="O38" s="94">
        <v>85</v>
      </c>
      <c r="P38" s="94">
        <v>2</v>
      </c>
      <c r="Q38">
        <v>90</v>
      </c>
      <c r="R38">
        <v>2</v>
      </c>
      <c r="S38">
        <v>92</v>
      </c>
      <c r="T38">
        <v>2</v>
      </c>
      <c r="U38">
        <v>81</v>
      </c>
      <c r="V38">
        <v>2</v>
      </c>
      <c r="W38">
        <v>85</v>
      </c>
      <c r="X38">
        <v>2</v>
      </c>
      <c r="Y38">
        <v>73</v>
      </c>
      <c r="Z38">
        <v>1</v>
      </c>
      <c r="AA38">
        <v>90</v>
      </c>
      <c r="AB38">
        <v>1</v>
      </c>
      <c r="AC38">
        <v>70</v>
      </c>
      <c r="AD38">
        <v>1</v>
      </c>
      <c r="AE38">
        <v>84</v>
      </c>
      <c r="AF38">
        <v>2</v>
      </c>
      <c r="AG38">
        <v>98</v>
      </c>
      <c r="AH38">
        <v>2</v>
      </c>
    </row>
    <row r="39" spans="1:34">
      <c r="A39" t="s">
        <v>316</v>
      </c>
      <c r="B39" s="24">
        <v>1801</v>
      </c>
      <c r="C39" s="24" t="s">
        <v>317</v>
      </c>
      <c r="D39" s="24" t="s">
        <v>318</v>
      </c>
      <c r="E39" s="93">
        <v>89</v>
      </c>
      <c r="F39" s="94">
        <v>4</v>
      </c>
      <c r="G39" s="94">
        <v>90</v>
      </c>
      <c r="H39" s="94">
        <v>4</v>
      </c>
      <c r="I39" s="94">
        <v>88</v>
      </c>
      <c r="J39" s="94">
        <v>4</v>
      </c>
      <c r="K39" s="94">
        <v>88</v>
      </c>
      <c r="L39" s="94">
        <v>2</v>
      </c>
      <c r="M39" s="94">
        <v>92</v>
      </c>
      <c r="N39" s="94">
        <v>2</v>
      </c>
      <c r="O39" s="94">
        <v>100</v>
      </c>
      <c r="P39" s="94">
        <v>2</v>
      </c>
      <c r="Q39">
        <v>99</v>
      </c>
      <c r="R39">
        <v>2</v>
      </c>
      <c r="S39">
        <v>94</v>
      </c>
      <c r="T39">
        <v>2</v>
      </c>
      <c r="U39">
        <v>77</v>
      </c>
      <c r="V39">
        <v>2</v>
      </c>
      <c r="W39">
        <v>95</v>
      </c>
      <c r="X39">
        <v>2</v>
      </c>
      <c r="Y39">
        <v>79</v>
      </c>
      <c r="Z39">
        <v>1</v>
      </c>
      <c r="AA39">
        <v>90</v>
      </c>
      <c r="AB39">
        <v>1</v>
      </c>
      <c r="AC39">
        <v>70</v>
      </c>
      <c r="AD39">
        <v>1</v>
      </c>
      <c r="AE39">
        <v>86</v>
      </c>
      <c r="AF39">
        <v>2</v>
      </c>
      <c r="AG39">
        <v>85</v>
      </c>
      <c r="AH39">
        <v>2</v>
      </c>
    </row>
    <row r="40" spans="1:34">
      <c r="A40" t="s">
        <v>319</v>
      </c>
      <c r="B40" s="24">
        <v>1801</v>
      </c>
      <c r="C40" s="24" t="s">
        <v>320</v>
      </c>
      <c r="D40" s="24" t="s">
        <v>321</v>
      </c>
      <c r="E40" s="93">
        <v>83</v>
      </c>
      <c r="F40" s="94">
        <v>4</v>
      </c>
      <c r="G40" s="94">
        <v>90</v>
      </c>
      <c r="H40" s="94">
        <v>4</v>
      </c>
      <c r="I40" s="94">
        <v>70</v>
      </c>
      <c r="J40" s="94">
        <v>4</v>
      </c>
      <c r="K40" s="94">
        <v>95</v>
      </c>
      <c r="L40" s="94">
        <v>2</v>
      </c>
      <c r="M40" s="94">
        <v>91</v>
      </c>
      <c r="N40" s="94">
        <v>2</v>
      </c>
      <c r="O40" s="94">
        <v>80</v>
      </c>
      <c r="P40" s="94">
        <v>2</v>
      </c>
      <c r="Q40">
        <v>80</v>
      </c>
      <c r="R40">
        <v>2</v>
      </c>
      <c r="S40">
        <v>83</v>
      </c>
      <c r="T40">
        <v>2</v>
      </c>
      <c r="U40">
        <v>85</v>
      </c>
      <c r="V40">
        <v>2</v>
      </c>
      <c r="W40">
        <v>80</v>
      </c>
      <c r="X40">
        <v>2</v>
      </c>
      <c r="Y40">
        <v>81</v>
      </c>
      <c r="Z40">
        <v>1</v>
      </c>
      <c r="AA40">
        <v>90</v>
      </c>
      <c r="AB40">
        <v>1</v>
      </c>
      <c r="AC40">
        <v>86</v>
      </c>
      <c r="AD40">
        <v>1</v>
      </c>
      <c r="AE40">
        <v>50</v>
      </c>
      <c r="AF40">
        <v>1</v>
      </c>
      <c r="AG40">
        <v>50</v>
      </c>
    </row>
    <row r="41" spans="1:34">
      <c r="A41" t="s">
        <v>322</v>
      </c>
      <c r="B41" s="24">
        <v>1801</v>
      </c>
      <c r="C41" s="24" t="s">
        <v>323</v>
      </c>
      <c r="D41" s="24" t="s">
        <v>324</v>
      </c>
      <c r="E41" s="93">
        <v>89</v>
      </c>
      <c r="F41" s="94">
        <v>4</v>
      </c>
      <c r="G41" s="94">
        <v>85</v>
      </c>
      <c r="H41" s="94">
        <v>4</v>
      </c>
      <c r="I41" s="94">
        <v>86</v>
      </c>
      <c r="J41" s="94">
        <v>4</v>
      </c>
      <c r="K41" s="94">
        <v>92</v>
      </c>
      <c r="L41" s="94">
        <v>2</v>
      </c>
      <c r="M41" s="94">
        <v>91</v>
      </c>
      <c r="N41" s="94">
        <v>2</v>
      </c>
      <c r="O41" s="94">
        <v>95</v>
      </c>
      <c r="P41" s="94">
        <v>2</v>
      </c>
      <c r="Q41">
        <v>93</v>
      </c>
      <c r="R41">
        <v>2</v>
      </c>
      <c r="S41">
        <v>96</v>
      </c>
      <c r="T41">
        <v>2</v>
      </c>
      <c r="U41">
        <v>79</v>
      </c>
      <c r="V41">
        <v>2</v>
      </c>
      <c r="W41">
        <v>85</v>
      </c>
      <c r="X41">
        <v>2</v>
      </c>
      <c r="Y41">
        <v>79</v>
      </c>
      <c r="Z41">
        <v>1</v>
      </c>
      <c r="AA41">
        <v>90</v>
      </c>
      <c r="AB41">
        <v>1</v>
      </c>
      <c r="AC41">
        <v>75</v>
      </c>
      <c r="AD41">
        <v>1</v>
      </c>
      <c r="AE41">
        <v>90</v>
      </c>
      <c r="AF41">
        <v>2</v>
      </c>
      <c r="AG41">
        <v>98</v>
      </c>
      <c r="AH41">
        <v>2</v>
      </c>
    </row>
    <row r="42" spans="1:34">
      <c r="A42" t="s">
        <v>1671</v>
      </c>
      <c r="B42" s="24">
        <v>1801</v>
      </c>
      <c r="C42" s="24" t="s">
        <v>326</v>
      </c>
      <c r="D42" s="24" t="s">
        <v>1673</v>
      </c>
      <c r="E42" s="93">
        <v>87</v>
      </c>
      <c r="F42" s="94">
        <v>4</v>
      </c>
      <c r="G42" s="94">
        <v>90</v>
      </c>
      <c r="H42" s="94">
        <v>4</v>
      </c>
      <c r="I42" s="94">
        <v>92</v>
      </c>
      <c r="J42" s="94">
        <v>4</v>
      </c>
      <c r="K42" s="94">
        <v>93</v>
      </c>
      <c r="L42" s="94">
        <v>2</v>
      </c>
      <c r="M42" s="94">
        <v>90</v>
      </c>
      <c r="N42" s="94">
        <v>2</v>
      </c>
      <c r="O42" s="94">
        <v>83</v>
      </c>
      <c r="P42" s="94">
        <v>2</v>
      </c>
      <c r="Q42">
        <v>91</v>
      </c>
      <c r="R42">
        <v>2</v>
      </c>
      <c r="S42">
        <v>94</v>
      </c>
      <c r="T42">
        <v>2</v>
      </c>
      <c r="U42">
        <v>86</v>
      </c>
      <c r="V42">
        <v>2</v>
      </c>
      <c r="W42">
        <v>85</v>
      </c>
      <c r="X42">
        <v>2</v>
      </c>
      <c r="Y42">
        <v>76</v>
      </c>
      <c r="Z42">
        <v>1</v>
      </c>
      <c r="AA42">
        <v>90</v>
      </c>
      <c r="AB42">
        <v>1</v>
      </c>
      <c r="AC42">
        <v>68</v>
      </c>
      <c r="AD42">
        <v>1</v>
      </c>
      <c r="AE42">
        <v>91</v>
      </c>
      <c r="AF42">
        <v>2</v>
      </c>
      <c r="AG42">
        <v>94</v>
      </c>
      <c r="AH42">
        <v>2</v>
      </c>
    </row>
    <row r="43" spans="1:34">
      <c r="A43" t="s">
        <v>327</v>
      </c>
      <c r="B43" s="24">
        <v>1801</v>
      </c>
      <c r="C43" s="24" t="s">
        <v>328</v>
      </c>
      <c r="D43" s="24" t="s">
        <v>329</v>
      </c>
      <c r="E43" s="93">
        <v>77</v>
      </c>
      <c r="F43" s="94">
        <v>4</v>
      </c>
      <c r="G43" s="94">
        <v>80</v>
      </c>
      <c r="H43" s="94">
        <v>4</v>
      </c>
      <c r="I43" s="94">
        <v>68</v>
      </c>
      <c r="J43" s="94">
        <v>4</v>
      </c>
      <c r="K43" s="94">
        <v>80</v>
      </c>
      <c r="L43" s="94">
        <v>2</v>
      </c>
      <c r="M43" s="94">
        <v>78</v>
      </c>
      <c r="N43" s="94">
        <v>2</v>
      </c>
      <c r="O43" s="94">
        <v>80</v>
      </c>
      <c r="P43" s="94">
        <v>2</v>
      </c>
      <c r="Q43">
        <v>100</v>
      </c>
      <c r="R43">
        <v>2</v>
      </c>
      <c r="S43">
        <v>92</v>
      </c>
      <c r="T43">
        <v>2</v>
      </c>
      <c r="U43">
        <v>70</v>
      </c>
      <c r="V43">
        <v>2</v>
      </c>
      <c r="W43">
        <v>88</v>
      </c>
      <c r="X43">
        <v>2</v>
      </c>
      <c r="Y43">
        <v>79</v>
      </c>
      <c r="Z43">
        <v>1</v>
      </c>
      <c r="AA43">
        <v>90</v>
      </c>
      <c r="AB43">
        <v>1</v>
      </c>
      <c r="AC43">
        <v>70</v>
      </c>
      <c r="AD43">
        <v>1</v>
      </c>
      <c r="AE43">
        <v>85</v>
      </c>
      <c r="AF43">
        <v>2</v>
      </c>
      <c r="AG43">
        <v>80</v>
      </c>
      <c r="AH43">
        <v>2</v>
      </c>
    </row>
    <row r="44" spans="1:34">
      <c r="A44" t="s">
        <v>330</v>
      </c>
      <c r="B44" s="24">
        <v>1801</v>
      </c>
      <c r="C44" s="24" t="s">
        <v>331</v>
      </c>
      <c r="D44" s="24" t="s">
        <v>332</v>
      </c>
      <c r="E44" s="93">
        <v>82</v>
      </c>
      <c r="F44" s="94">
        <v>4</v>
      </c>
      <c r="G44" s="94">
        <v>80</v>
      </c>
      <c r="H44" s="94">
        <v>4</v>
      </c>
      <c r="I44" s="94">
        <v>60</v>
      </c>
      <c r="J44" s="94">
        <v>4</v>
      </c>
      <c r="K44" s="94">
        <v>88</v>
      </c>
      <c r="L44" s="94">
        <v>2</v>
      </c>
      <c r="M44" s="94">
        <v>77</v>
      </c>
      <c r="N44" s="94">
        <v>2</v>
      </c>
      <c r="O44" s="94">
        <v>87</v>
      </c>
      <c r="P44" s="94">
        <v>2</v>
      </c>
      <c r="Q44">
        <v>86</v>
      </c>
      <c r="R44">
        <v>2</v>
      </c>
      <c r="S44">
        <v>94</v>
      </c>
      <c r="T44">
        <v>2</v>
      </c>
      <c r="U44">
        <v>86</v>
      </c>
      <c r="V44">
        <v>2</v>
      </c>
      <c r="W44">
        <v>88</v>
      </c>
      <c r="X44">
        <v>2</v>
      </c>
      <c r="Y44">
        <v>70</v>
      </c>
      <c r="Z44">
        <v>1</v>
      </c>
      <c r="AA44">
        <v>90</v>
      </c>
      <c r="AB44">
        <v>1</v>
      </c>
      <c r="AC44">
        <v>68</v>
      </c>
      <c r="AD44">
        <v>1</v>
      </c>
      <c r="AE44">
        <v>92</v>
      </c>
      <c r="AF44">
        <v>2</v>
      </c>
      <c r="AG44">
        <v>88</v>
      </c>
      <c r="AH44">
        <v>2</v>
      </c>
    </row>
    <row r="45" spans="1:34">
      <c r="A45" t="s">
        <v>902</v>
      </c>
      <c r="B45" s="24">
        <v>1801</v>
      </c>
      <c r="C45" s="24" t="s">
        <v>3311</v>
      </c>
      <c r="D45" s="24" t="s">
        <v>128</v>
      </c>
      <c r="E45" s="93">
        <v>95</v>
      </c>
      <c r="F45" s="94">
        <v>4</v>
      </c>
      <c r="G45" s="94">
        <v>85</v>
      </c>
      <c r="H45" s="94">
        <v>4</v>
      </c>
      <c r="I45" s="94">
        <v>82</v>
      </c>
      <c r="J45" s="94">
        <v>4</v>
      </c>
      <c r="K45" s="94">
        <v>90</v>
      </c>
      <c r="L45" s="94">
        <v>2</v>
      </c>
      <c r="M45" s="94">
        <v>88</v>
      </c>
      <c r="N45" s="94">
        <v>2</v>
      </c>
      <c r="O45" s="94">
        <v>82</v>
      </c>
      <c r="P45" s="94">
        <v>2</v>
      </c>
      <c r="Q45">
        <v>80</v>
      </c>
      <c r="R45">
        <v>2</v>
      </c>
      <c r="S45">
        <v>80</v>
      </c>
      <c r="T45">
        <v>2</v>
      </c>
      <c r="U45">
        <v>70</v>
      </c>
      <c r="V45">
        <v>2</v>
      </c>
      <c r="W45">
        <v>80</v>
      </c>
      <c r="X45">
        <v>2</v>
      </c>
      <c r="Y45">
        <v>80</v>
      </c>
      <c r="Z45">
        <v>1</v>
      </c>
      <c r="AA45">
        <v>90</v>
      </c>
      <c r="AB45">
        <v>1</v>
      </c>
      <c r="AC45">
        <v>73</v>
      </c>
      <c r="AD45">
        <v>1</v>
      </c>
      <c r="AE45">
        <v>88</v>
      </c>
      <c r="AF45">
        <v>2</v>
      </c>
      <c r="AG45">
        <v>80</v>
      </c>
      <c r="AH45">
        <v>2</v>
      </c>
    </row>
    <row r="46" spans="1:34">
      <c r="A46" t="s">
        <v>335</v>
      </c>
      <c r="B46" s="24">
        <v>1801</v>
      </c>
      <c r="C46" s="24" t="s">
        <v>336</v>
      </c>
      <c r="D46" s="24" t="s">
        <v>337</v>
      </c>
      <c r="E46" s="93">
        <v>87</v>
      </c>
      <c r="F46" s="94">
        <v>4</v>
      </c>
      <c r="G46" s="94">
        <v>85</v>
      </c>
      <c r="H46" s="94">
        <v>4</v>
      </c>
      <c r="I46" s="94">
        <v>75</v>
      </c>
      <c r="J46" s="94">
        <v>4</v>
      </c>
      <c r="K46" s="94">
        <v>85</v>
      </c>
      <c r="L46" s="94">
        <v>2</v>
      </c>
      <c r="M46" s="94">
        <v>81</v>
      </c>
      <c r="N46" s="94">
        <v>2</v>
      </c>
      <c r="O46" s="94">
        <v>80</v>
      </c>
      <c r="P46" s="94">
        <v>2</v>
      </c>
      <c r="Q46">
        <v>80</v>
      </c>
      <c r="R46">
        <v>2</v>
      </c>
      <c r="S46">
        <v>94</v>
      </c>
      <c r="T46">
        <v>2</v>
      </c>
      <c r="U46">
        <v>86</v>
      </c>
      <c r="V46">
        <v>2</v>
      </c>
      <c r="W46">
        <v>88</v>
      </c>
      <c r="X46">
        <v>2</v>
      </c>
      <c r="Y46">
        <v>84</v>
      </c>
      <c r="Z46">
        <v>1</v>
      </c>
      <c r="AA46">
        <v>90</v>
      </c>
      <c r="AB46">
        <v>1</v>
      </c>
      <c r="AC46">
        <v>88</v>
      </c>
      <c r="AD46">
        <v>1</v>
      </c>
      <c r="AE46">
        <v>86</v>
      </c>
      <c r="AF46">
        <v>2</v>
      </c>
      <c r="AG46">
        <v>79</v>
      </c>
      <c r="AH46">
        <v>2</v>
      </c>
    </row>
    <row r="47" spans="1:34">
      <c r="A47" t="s">
        <v>338</v>
      </c>
      <c r="B47" s="24">
        <v>1801</v>
      </c>
      <c r="C47" s="24" t="s">
        <v>339</v>
      </c>
      <c r="D47" s="24" t="s">
        <v>340</v>
      </c>
      <c r="E47" s="93">
        <v>70</v>
      </c>
      <c r="F47" s="94">
        <v>4</v>
      </c>
      <c r="G47" s="94">
        <v>70</v>
      </c>
      <c r="H47" s="94">
        <v>4</v>
      </c>
      <c r="I47" s="94">
        <v>58</v>
      </c>
      <c r="J47" s="94">
        <v>4</v>
      </c>
      <c r="K47" s="94">
        <v>80</v>
      </c>
      <c r="L47" s="94">
        <v>2</v>
      </c>
      <c r="M47" s="94">
        <v>79</v>
      </c>
      <c r="N47" s="94">
        <v>2</v>
      </c>
      <c r="O47" s="94">
        <v>80</v>
      </c>
      <c r="P47" s="94">
        <v>2</v>
      </c>
      <c r="Q47">
        <v>81</v>
      </c>
      <c r="R47">
        <v>2</v>
      </c>
      <c r="S47">
        <v>90</v>
      </c>
      <c r="T47">
        <v>2</v>
      </c>
      <c r="U47">
        <v>83</v>
      </c>
      <c r="V47">
        <v>2</v>
      </c>
      <c r="W47">
        <v>98</v>
      </c>
      <c r="X47">
        <v>2</v>
      </c>
      <c r="Y47">
        <v>83</v>
      </c>
      <c r="Z47">
        <v>1</v>
      </c>
      <c r="AA47">
        <v>90</v>
      </c>
      <c r="AB47">
        <v>1</v>
      </c>
      <c r="AC47">
        <v>78</v>
      </c>
      <c r="AD47">
        <v>1</v>
      </c>
      <c r="AE47">
        <v>90</v>
      </c>
      <c r="AF47">
        <v>2</v>
      </c>
      <c r="AG47">
        <v>90</v>
      </c>
      <c r="AH47">
        <v>2</v>
      </c>
    </row>
    <row r="48" spans="1:34">
      <c r="A48" t="s">
        <v>341</v>
      </c>
      <c r="B48" s="24">
        <v>1801</v>
      </c>
      <c r="C48" s="24" t="s">
        <v>342</v>
      </c>
      <c r="D48" s="24" t="s">
        <v>343</v>
      </c>
      <c r="E48" s="93">
        <v>85</v>
      </c>
      <c r="F48" s="94">
        <v>4</v>
      </c>
      <c r="G48" s="94">
        <v>80</v>
      </c>
      <c r="H48" s="94">
        <v>4</v>
      </c>
      <c r="I48" s="94">
        <v>60</v>
      </c>
      <c r="J48" s="94">
        <v>4</v>
      </c>
      <c r="K48" s="94">
        <v>85</v>
      </c>
      <c r="L48" s="94">
        <v>2</v>
      </c>
      <c r="M48" s="94">
        <v>79</v>
      </c>
      <c r="N48" s="94">
        <v>2</v>
      </c>
      <c r="O48" s="94">
        <v>80</v>
      </c>
      <c r="P48" s="94">
        <v>2</v>
      </c>
      <c r="Q48">
        <v>82</v>
      </c>
      <c r="R48">
        <v>2</v>
      </c>
      <c r="S48">
        <v>92</v>
      </c>
      <c r="T48">
        <v>2</v>
      </c>
      <c r="U48">
        <v>76</v>
      </c>
      <c r="V48">
        <v>2</v>
      </c>
      <c r="W48">
        <v>80</v>
      </c>
      <c r="X48">
        <v>2</v>
      </c>
      <c r="Y48">
        <v>81</v>
      </c>
      <c r="Z48">
        <v>1</v>
      </c>
      <c r="AA48">
        <v>90</v>
      </c>
      <c r="AB48">
        <v>1</v>
      </c>
      <c r="AC48">
        <v>76</v>
      </c>
      <c r="AD48">
        <v>1</v>
      </c>
      <c r="AE48">
        <v>89</v>
      </c>
      <c r="AF48">
        <v>2</v>
      </c>
      <c r="AG48">
        <v>98</v>
      </c>
      <c r="AH48">
        <v>2</v>
      </c>
    </row>
    <row r="49" spans="1:34">
      <c r="A49" t="s">
        <v>344</v>
      </c>
      <c r="B49" s="24">
        <v>1801</v>
      </c>
      <c r="C49" s="24" t="s">
        <v>345</v>
      </c>
      <c r="D49" s="24" t="s">
        <v>346</v>
      </c>
      <c r="E49" s="93">
        <v>84</v>
      </c>
      <c r="F49" s="94">
        <v>4</v>
      </c>
      <c r="G49" s="94">
        <v>90</v>
      </c>
      <c r="H49" s="94">
        <v>4</v>
      </c>
      <c r="I49" s="94">
        <v>75</v>
      </c>
      <c r="J49" s="94">
        <v>4</v>
      </c>
      <c r="K49" s="94">
        <v>92</v>
      </c>
      <c r="L49" s="94">
        <v>2</v>
      </c>
      <c r="M49" s="94">
        <v>90</v>
      </c>
      <c r="N49" s="94">
        <v>2</v>
      </c>
      <c r="O49" s="94">
        <v>87</v>
      </c>
      <c r="P49" s="94">
        <v>2</v>
      </c>
      <c r="Q49">
        <v>92</v>
      </c>
      <c r="R49">
        <v>2</v>
      </c>
      <c r="S49">
        <v>89</v>
      </c>
      <c r="T49">
        <v>2</v>
      </c>
      <c r="U49">
        <v>86</v>
      </c>
      <c r="V49">
        <v>2</v>
      </c>
      <c r="W49">
        <v>95</v>
      </c>
      <c r="X49">
        <v>2</v>
      </c>
      <c r="Y49">
        <v>79</v>
      </c>
      <c r="Z49">
        <v>1</v>
      </c>
      <c r="AA49">
        <v>90</v>
      </c>
      <c r="AB49">
        <v>1</v>
      </c>
      <c r="AC49">
        <v>73</v>
      </c>
      <c r="AD49">
        <v>1</v>
      </c>
      <c r="AE49">
        <v>92</v>
      </c>
      <c r="AF49">
        <v>2</v>
      </c>
      <c r="AG49">
        <v>95</v>
      </c>
      <c r="AH49">
        <v>2</v>
      </c>
    </row>
    <row r="50" spans="1:34">
      <c r="A50" t="s">
        <v>347</v>
      </c>
      <c r="B50" s="24">
        <v>1801</v>
      </c>
      <c r="C50" s="24" t="s">
        <v>348</v>
      </c>
      <c r="D50" s="24" t="s">
        <v>349</v>
      </c>
      <c r="E50" s="93">
        <v>89</v>
      </c>
      <c r="F50" s="94">
        <v>4</v>
      </c>
      <c r="G50" s="94">
        <v>85</v>
      </c>
      <c r="H50" s="94">
        <v>4</v>
      </c>
      <c r="I50" s="94">
        <v>60</v>
      </c>
      <c r="J50" s="94">
        <v>4</v>
      </c>
      <c r="K50" s="94">
        <v>90</v>
      </c>
      <c r="L50" s="94">
        <v>2</v>
      </c>
      <c r="M50" s="94">
        <v>81</v>
      </c>
      <c r="N50" s="94">
        <v>2</v>
      </c>
      <c r="O50" s="94">
        <v>80</v>
      </c>
      <c r="P50" s="94">
        <v>2</v>
      </c>
      <c r="Q50">
        <v>97</v>
      </c>
      <c r="R50">
        <v>2</v>
      </c>
      <c r="S50">
        <v>99</v>
      </c>
      <c r="T50">
        <v>2</v>
      </c>
      <c r="U50">
        <v>90</v>
      </c>
      <c r="V50">
        <v>2</v>
      </c>
      <c r="W50">
        <v>95</v>
      </c>
      <c r="X50">
        <v>2</v>
      </c>
      <c r="Y50">
        <v>76</v>
      </c>
      <c r="Z50">
        <v>1</v>
      </c>
      <c r="AA50">
        <v>90</v>
      </c>
      <c r="AB50">
        <v>1</v>
      </c>
      <c r="AC50">
        <v>70</v>
      </c>
      <c r="AD50">
        <v>1</v>
      </c>
      <c r="AE50">
        <v>88</v>
      </c>
      <c r="AF50">
        <v>2</v>
      </c>
      <c r="AG50">
        <v>82</v>
      </c>
      <c r="AH50">
        <v>2</v>
      </c>
    </row>
    <row r="51" spans="1:34">
      <c r="A51" t="s">
        <v>350</v>
      </c>
      <c r="B51" s="24">
        <v>1801</v>
      </c>
      <c r="C51" s="24" t="s">
        <v>351</v>
      </c>
      <c r="D51" s="24" t="s">
        <v>352</v>
      </c>
      <c r="E51" s="93">
        <v>80</v>
      </c>
      <c r="F51" s="94">
        <v>4</v>
      </c>
      <c r="G51" s="94">
        <v>80</v>
      </c>
      <c r="H51" s="94">
        <v>4</v>
      </c>
      <c r="I51" s="94">
        <v>75</v>
      </c>
      <c r="J51" s="94">
        <v>4</v>
      </c>
      <c r="K51" s="94">
        <v>80</v>
      </c>
      <c r="L51" s="94">
        <v>2</v>
      </c>
      <c r="M51" s="94">
        <v>83</v>
      </c>
      <c r="N51" s="94">
        <v>2</v>
      </c>
      <c r="O51" s="94">
        <v>80</v>
      </c>
      <c r="P51" s="94">
        <v>2</v>
      </c>
      <c r="Q51">
        <v>93</v>
      </c>
      <c r="R51">
        <v>2</v>
      </c>
      <c r="S51">
        <v>99</v>
      </c>
      <c r="T51">
        <v>2</v>
      </c>
      <c r="U51">
        <v>71</v>
      </c>
      <c r="V51">
        <v>2</v>
      </c>
      <c r="W51">
        <v>95</v>
      </c>
      <c r="X51">
        <v>2</v>
      </c>
      <c r="Y51">
        <v>80</v>
      </c>
      <c r="Z51">
        <v>1</v>
      </c>
      <c r="AA51">
        <v>90</v>
      </c>
      <c r="AB51">
        <v>1</v>
      </c>
      <c r="AC51">
        <v>78</v>
      </c>
      <c r="AD51">
        <v>1</v>
      </c>
      <c r="AE51">
        <v>86</v>
      </c>
      <c r="AF51">
        <v>2</v>
      </c>
      <c r="AG51">
        <v>65</v>
      </c>
      <c r="AH51">
        <v>2</v>
      </c>
    </row>
    <row r="52" spans="1:34">
      <c r="B52" s="24">
        <v>1801</v>
      </c>
      <c r="C52" s="24" t="s">
        <v>3319</v>
      </c>
      <c r="J52" s="94">
        <v>4</v>
      </c>
      <c r="L52" s="94">
        <v>2</v>
      </c>
      <c r="N52" s="94">
        <v>2</v>
      </c>
      <c r="Z52">
        <v>1</v>
      </c>
      <c r="AB52">
        <v>1</v>
      </c>
    </row>
    <row r="53" spans="1:34">
      <c r="A53" t="s">
        <v>353</v>
      </c>
      <c r="B53" s="24">
        <v>1801</v>
      </c>
      <c r="C53" s="24" t="s">
        <v>354</v>
      </c>
      <c r="D53" s="24" t="s">
        <v>355</v>
      </c>
      <c r="E53" s="93">
        <v>94</v>
      </c>
      <c r="F53" s="94">
        <v>4</v>
      </c>
      <c r="G53" s="94">
        <v>90</v>
      </c>
      <c r="H53" s="94">
        <v>4</v>
      </c>
      <c r="I53" s="94">
        <v>72</v>
      </c>
      <c r="J53" s="94">
        <v>4</v>
      </c>
      <c r="K53" s="94">
        <v>95</v>
      </c>
      <c r="L53" s="94">
        <v>2</v>
      </c>
      <c r="M53" s="94">
        <v>92</v>
      </c>
      <c r="N53" s="94">
        <v>2</v>
      </c>
      <c r="O53" s="94">
        <v>89</v>
      </c>
      <c r="P53" s="94">
        <v>2</v>
      </c>
      <c r="Q53">
        <v>88</v>
      </c>
      <c r="R53">
        <v>2</v>
      </c>
      <c r="S53">
        <v>96</v>
      </c>
      <c r="T53">
        <v>2</v>
      </c>
      <c r="U53">
        <v>77</v>
      </c>
      <c r="V53">
        <v>2</v>
      </c>
      <c r="W53">
        <v>93</v>
      </c>
      <c r="X53">
        <v>2</v>
      </c>
      <c r="Y53">
        <v>76</v>
      </c>
      <c r="Z53">
        <v>1</v>
      </c>
      <c r="AA53">
        <v>90</v>
      </c>
      <c r="AB53">
        <v>1</v>
      </c>
      <c r="AC53">
        <v>76</v>
      </c>
      <c r="AD53">
        <v>1</v>
      </c>
      <c r="AE53">
        <v>89</v>
      </c>
      <c r="AF53">
        <v>2</v>
      </c>
      <c r="AG53">
        <v>83</v>
      </c>
      <c r="AH53">
        <v>2</v>
      </c>
    </row>
    <row r="54" spans="1:34">
      <c r="A54" t="s">
        <v>356</v>
      </c>
      <c r="B54" s="24">
        <v>1801</v>
      </c>
      <c r="C54" s="24" t="s">
        <v>357</v>
      </c>
      <c r="D54" s="24" t="s">
        <v>143</v>
      </c>
      <c r="E54" s="93">
        <v>85</v>
      </c>
      <c r="F54" s="94">
        <v>4</v>
      </c>
      <c r="G54" s="94">
        <v>80</v>
      </c>
      <c r="H54" s="94">
        <v>4</v>
      </c>
      <c r="I54" s="94">
        <v>74</v>
      </c>
      <c r="J54" s="94">
        <v>4</v>
      </c>
      <c r="K54" s="94">
        <v>90</v>
      </c>
      <c r="L54" s="94">
        <v>2</v>
      </c>
      <c r="M54" s="94">
        <v>87</v>
      </c>
      <c r="N54" s="94">
        <v>2</v>
      </c>
      <c r="O54" s="94">
        <v>85</v>
      </c>
      <c r="P54" s="94">
        <v>2</v>
      </c>
      <c r="Q54">
        <v>91</v>
      </c>
      <c r="R54">
        <v>2</v>
      </c>
      <c r="S54">
        <v>95</v>
      </c>
      <c r="T54">
        <v>2</v>
      </c>
      <c r="U54">
        <v>70</v>
      </c>
      <c r="V54">
        <v>2</v>
      </c>
      <c r="W54">
        <v>88</v>
      </c>
      <c r="X54">
        <v>2</v>
      </c>
      <c r="Y54">
        <v>75</v>
      </c>
      <c r="Z54">
        <v>1</v>
      </c>
      <c r="AA54">
        <v>90</v>
      </c>
      <c r="AB54">
        <v>1</v>
      </c>
      <c r="AC54">
        <v>78</v>
      </c>
      <c r="AD54">
        <v>1</v>
      </c>
      <c r="AE54">
        <v>92</v>
      </c>
      <c r="AF54">
        <v>2</v>
      </c>
      <c r="AG54">
        <v>89</v>
      </c>
      <c r="AH54">
        <v>2</v>
      </c>
    </row>
    <row r="55" spans="1:34">
      <c r="A55" t="s">
        <v>358</v>
      </c>
      <c r="B55" s="24">
        <v>1801</v>
      </c>
      <c r="C55" s="24" t="s">
        <v>359</v>
      </c>
      <c r="D55" s="24" t="s">
        <v>360</v>
      </c>
      <c r="E55" s="93">
        <v>87</v>
      </c>
      <c r="F55" s="94">
        <v>4</v>
      </c>
      <c r="G55" s="94">
        <v>80</v>
      </c>
      <c r="H55" s="94">
        <v>4</v>
      </c>
      <c r="I55" s="94">
        <v>92</v>
      </c>
      <c r="J55" s="94">
        <v>4</v>
      </c>
      <c r="K55" s="94">
        <v>80</v>
      </c>
      <c r="L55" s="94">
        <v>2</v>
      </c>
      <c r="M55" s="94">
        <v>81</v>
      </c>
      <c r="N55" s="94">
        <v>2</v>
      </c>
      <c r="O55" s="94">
        <v>80</v>
      </c>
      <c r="P55" s="94">
        <v>2</v>
      </c>
      <c r="Q55">
        <v>89</v>
      </c>
      <c r="R55">
        <v>2</v>
      </c>
      <c r="S55">
        <v>85</v>
      </c>
      <c r="T55">
        <v>2</v>
      </c>
      <c r="U55">
        <v>88</v>
      </c>
      <c r="V55">
        <v>2</v>
      </c>
      <c r="W55">
        <v>85</v>
      </c>
      <c r="X55">
        <v>2</v>
      </c>
      <c r="Y55">
        <v>79</v>
      </c>
      <c r="Z55">
        <v>1</v>
      </c>
      <c r="AA55">
        <v>90</v>
      </c>
      <c r="AB55">
        <v>1</v>
      </c>
      <c r="AC55">
        <v>70</v>
      </c>
      <c r="AD55">
        <v>1</v>
      </c>
      <c r="AE55">
        <v>85</v>
      </c>
      <c r="AF55">
        <v>2</v>
      </c>
      <c r="AG55">
        <v>98</v>
      </c>
      <c r="AH55">
        <v>2</v>
      </c>
    </row>
    <row r="56" spans="1:34">
      <c r="A56" t="s">
        <v>361</v>
      </c>
      <c r="B56" s="24">
        <v>1801</v>
      </c>
      <c r="C56" s="24" t="s">
        <v>362</v>
      </c>
      <c r="D56" s="24" t="s">
        <v>363</v>
      </c>
      <c r="E56" s="93">
        <v>86</v>
      </c>
      <c r="F56" s="94">
        <v>4</v>
      </c>
      <c r="G56" s="94">
        <v>80</v>
      </c>
      <c r="H56" s="94">
        <v>4</v>
      </c>
      <c r="I56" s="94">
        <v>82</v>
      </c>
      <c r="J56" s="94">
        <v>4</v>
      </c>
      <c r="K56" s="94">
        <v>88</v>
      </c>
      <c r="L56" s="94">
        <v>2</v>
      </c>
      <c r="M56" s="94">
        <v>91</v>
      </c>
      <c r="N56" s="94">
        <v>2</v>
      </c>
      <c r="O56" s="94">
        <v>80</v>
      </c>
      <c r="P56" s="94">
        <v>2</v>
      </c>
      <c r="Q56">
        <v>86</v>
      </c>
      <c r="R56">
        <v>2</v>
      </c>
      <c r="S56">
        <v>87</v>
      </c>
      <c r="T56">
        <v>2</v>
      </c>
      <c r="U56">
        <v>78</v>
      </c>
      <c r="V56">
        <v>2</v>
      </c>
      <c r="W56">
        <v>88</v>
      </c>
      <c r="X56">
        <v>2</v>
      </c>
      <c r="Y56">
        <v>72</v>
      </c>
      <c r="Z56">
        <v>1</v>
      </c>
      <c r="AA56">
        <v>90</v>
      </c>
      <c r="AB56">
        <v>1</v>
      </c>
      <c r="AC56">
        <v>76</v>
      </c>
      <c r="AD56">
        <v>1</v>
      </c>
      <c r="AE56">
        <v>87</v>
      </c>
      <c r="AF56">
        <v>2</v>
      </c>
      <c r="AG56">
        <v>88</v>
      </c>
      <c r="AH56">
        <v>2</v>
      </c>
    </row>
    <row r="57" spans="1:34">
      <c r="A57" t="s">
        <v>364</v>
      </c>
      <c r="B57" s="24">
        <v>1801</v>
      </c>
      <c r="C57" s="24" t="s">
        <v>365</v>
      </c>
      <c r="D57" s="24" t="s">
        <v>366</v>
      </c>
      <c r="E57" s="93">
        <v>86</v>
      </c>
      <c r="F57" s="94">
        <v>4</v>
      </c>
      <c r="G57" s="94">
        <v>85</v>
      </c>
      <c r="H57" s="94">
        <v>4</v>
      </c>
      <c r="I57" s="94">
        <v>79</v>
      </c>
      <c r="J57" s="94">
        <v>4</v>
      </c>
      <c r="K57" s="94">
        <v>88</v>
      </c>
      <c r="L57" s="94">
        <v>2</v>
      </c>
      <c r="M57" s="94">
        <v>88</v>
      </c>
      <c r="N57" s="94">
        <v>2</v>
      </c>
      <c r="O57" s="94">
        <v>85</v>
      </c>
      <c r="P57" s="94">
        <v>2</v>
      </c>
      <c r="Q57">
        <v>90</v>
      </c>
      <c r="R57">
        <v>2</v>
      </c>
      <c r="S57">
        <v>96</v>
      </c>
      <c r="T57">
        <v>2</v>
      </c>
      <c r="U57">
        <v>85</v>
      </c>
      <c r="V57">
        <v>2</v>
      </c>
      <c r="W57">
        <v>85</v>
      </c>
      <c r="X57">
        <v>2</v>
      </c>
      <c r="Y57">
        <v>76</v>
      </c>
      <c r="Z57">
        <v>1</v>
      </c>
      <c r="AA57">
        <v>90</v>
      </c>
      <c r="AB57">
        <v>1</v>
      </c>
      <c r="AC57">
        <v>83</v>
      </c>
      <c r="AD57">
        <v>1</v>
      </c>
      <c r="AE57">
        <v>85</v>
      </c>
      <c r="AF57">
        <v>2</v>
      </c>
      <c r="AG57">
        <v>87</v>
      </c>
      <c r="AH57">
        <v>2</v>
      </c>
    </row>
    <row r="58" spans="1:34">
      <c r="A58" t="s">
        <v>367</v>
      </c>
      <c r="B58" s="24">
        <v>1801</v>
      </c>
      <c r="C58" s="24" t="s">
        <v>368</v>
      </c>
      <c r="D58" s="24" t="s">
        <v>369</v>
      </c>
      <c r="E58" s="93">
        <v>87</v>
      </c>
      <c r="F58" s="94">
        <v>4</v>
      </c>
      <c r="G58" s="94">
        <v>80</v>
      </c>
      <c r="H58" s="94">
        <v>4</v>
      </c>
      <c r="I58" s="94">
        <v>65</v>
      </c>
      <c r="J58" s="94">
        <v>4</v>
      </c>
      <c r="K58" s="94">
        <v>90</v>
      </c>
      <c r="L58" s="94">
        <v>2</v>
      </c>
      <c r="M58" s="94">
        <v>94</v>
      </c>
      <c r="N58" s="94">
        <v>2</v>
      </c>
      <c r="O58" s="94">
        <v>93</v>
      </c>
      <c r="P58" s="94">
        <v>2</v>
      </c>
      <c r="Q58">
        <v>81</v>
      </c>
      <c r="R58">
        <v>2</v>
      </c>
      <c r="S58">
        <v>99</v>
      </c>
      <c r="T58">
        <v>2</v>
      </c>
      <c r="U58">
        <v>92</v>
      </c>
      <c r="V58">
        <v>2</v>
      </c>
      <c r="W58">
        <v>88</v>
      </c>
      <c r="X58">
        <v>2</v>
      </c>
      <c r="Y58">
        <v>78</v>
      </c>
      <c r="Z58">
        <v>1</v>
      </c>
      <c r="AA58">
        <v>90</v>
      </c>
      <c r="AB58">
        <v>1</v>
      </c>
      <c r="AC58">
        <v>75</v>
      </c>
      <c r="AD58">
        <v>1</v>
      </c>
      <c r="AE58">
        <v>89</v>
      </c>
      <c r="AF58">
        <v>2</v>
      </c>
      <c r="AG58">
        <v>78</v>
      </c>
      <c r="AH58">
        <v>2</v>
      </c>
    </row>
    <row r="59" spans="1:34">
      <c r="A59" t="s">
        <v>370</v>
      </c>
      <c r="B59" s="24">
        <v>1801</v>
      </c>
      <c r="C59" s="24" t="s">
        <v>371</v>
      </c>
      <c r="D59" s="24" t="s">
        <v>372</v>
      </c>
      <c r="E59" s="93">
        <v>86</v>
      </c>
      <c r="F59" s="94">
        <v>4</v>
      </c>
      <c r="G59" s="94">
        <v>85</v>
      </c>
      <c r="H59" s="94">
        <v>4</v>
      </c>
      <c r="I59" s="94">
        <v>64</v>
      </c>
      <c r="J59" s="94">
        <v>4</v>
      </c>
      <c r="K59" s="94">
        <v>92</v>
      </c>
      <c r="L59" s="94">
        <v>2</v>
      </c>
      <c r="M59" s="94">
        <v>90</v>
      </c>
      <c r="N59" s="94">
        <v>2</v>
      </c>
      <c r="O59" s="94">
        <v>93</v>
      </c>
      <c r="P59" s="94">
        <v>2</v>
      </c>
      <c r="Q59">
        <v>98</v>
      </c>
      <c r="R59">
        <v>2</v>
      </c>
      <c r="S59">
        <v>90</v>
      </c>
      <c r="T59">
        <v>2</v>
      </c>
      <c r="U59">
        <v>86</v>
      </c>
      <c r="V59">
        <v>2</v>
      </c>
      <c r="W59">
        <v>93</v>
      </c>
      <c r="X59">
        <v>2</v>
      </c>
      <c r="Y59">
        <v>82</v>
      </c>
      <c r="Z59">
        <v>1</v>
      </c>
      <c r="AA59">
        <v>90</v>
      </c>
      <c r="AB59">
        <v>1</v>
      </c>
      <c r="AC59">
        <v>80</v>
      </c>
      <c r="AD59">
        <v>1</v>
      </c>
      <c r="AE59">
        <v>82</v>
      </c>
      <c r="AF59">
        <v>2</v>
      </c>
      <c r="AG59">
        <v>81</v>
      </c>
      <c r="AH59">
        <v>2</v>
      </c>
    </row>
    <row r="60" spans="1:34">
      <c r="A60" t="s">
        <v>373</v>
      </c>
      <c r="B60" s="24">
        <v>1802</v>
      </c>
      <c r="C60" s="24" t="s">
        <v>374</v>
      </c>
      <c r="D60" s="24" t="s">
        <v>375</v>
      </c>
      <c r="E60" s="93">
        <v>90</v>
      </c>
      <c r="F60" s="94">
        <v>4</v>
      </c>
      <c r="G60" s="94">
        <v>90</v>
      </c>
      <c r="H60" s="94">
        <v>4</v>
      </c>
      <c r="I60" s="94">
        <v>81</v>
      </c>
      <c r="J60" s="94">
        <v>4</v>
      </c>
      <c r="K60" s="94">
        <v>90</v>
      </c>
      <c r="L60" s="94">
        <v>2</v>
      </c>
      <c r="M60" s="94">
        <v>82</v>
      </c>
      <c r="N60" s="94">
        <v>2</v>
      </c>
      <c r="O60" s="94">
        <v>86</v>
      </c>
      <c r="P60" s="94">
        <v>2</v>
      </c>
      <c r="Q60">
        <v>98</v>
      </c>
      <c r="R60">
        <v>2</v>
      </c>
      <c r="S60">
        <v>90</v>
      </c>
      <c r="T60">
        <v>2</v>
      </c>
      <c r="U60">
        <v>70</v>
      </c>
      <c r="V60">
        <v>2</v>
      </c>
      <c r="W60">
        <v>88</v>
      </c>
      <c r="X60">
        <v>2</v>
      </c>
      <c r="Y60">
        <v>80</v>
      </c>
      <c r="Z60">
        <v>1</v>
      </c>
      <c r="AA60">
        <v>92</v>
      </c>
      <c r="AB60">
        <v>1</v>
      </c>
      <c r="AC60">
        <v>78</v>
      </c>
      <c r="AD60">
        <v>1</v>
      </c>
      <c r="AE60">
        <v>86</v>
      </c>
      <c r="AF60">
        <v>2</v>
      </c>
      <c r="AG60">
        <v>84</v>
      </c>
      <c r="AH60">
        <v>2</v>
      </c>
    </row>
    <row r="61" spans="1:34">
      <c r="A61" t="s">
        <v>376</v>
      </c>
      <c r="B61" s="24">
        <v>1802</v>
      </c>
      <c r="C61" s="24" t="s">
        <v>377</v>
      </c>
      <c r="D61" s="24" t="s">
        <v>378</v>
      </c>
      <c r="E61" s="93">
        <v>90</v>
      </c>
      <c r="F61" s="94">
        <v>4</v>
      </c>
      <c r="G61" s="94">
        <v>85</v>
      </c>
      <c r="H61" s="94">
        <v>4</v>
      </c>
      <c r="I61" s="94">
        <v>84</v>
      </c>
      <c r="J61" s="94">
        <v>4</v>
      </c>
      <c r="K61" s="94">
        <v>87</v>
      </c>
      <c r="L61" s="94">
        <v>2</v>
      </c>
      <c r="M61" s="94">
        <v>80</v>
      </c>
      <c r="N61" s="94">
        <v>2</v>
      </c>
      <c r="O61" s="94">
        <v>80</v>
      </c>
      <c r="P61" s="94">
        <v>2</v>
      </c>
      <c r="Q61">
        <v>80</v>
      </c>
      <c r="R61">
        <v>2</v>
      </c>
      <c r="S61">
        <v>88</v>
      </c>
      <c r="T61">
        <v>2</v>
      </c>
      <c r="U61">
        <v>70</v>
      </c>
      <c r="V61">
        <v>2</v>
      </c>
      <c r="W61">
        <v>85</v>
      </c>
      <c r="X61">
        <v>2</v>
      </c>
      <c r="Y61">
        <v>81</v>
      </c>
      <c r="Z61">
        <v>1</v>
      </c>
      <c r="AA61">
        <v>92</v>
      </c>
      <c r="AB61">
        <v>1</v>
      </c>
      <c r="AC61">
        <v>72</v>
      </c>
      <c r="AD61">
        <v>1</v>
      </c>
      <c r="AE61">
        <v>85</v>
      </c>
      <c r="AF61">
        <v>2</v>
      </c>
      <c r="AG61">
        <v>98</v>
      </c>
      <c r="AH61">
        <v>2</v>
      </c>
    </row>
    <row r="62" spans="1:34">
      <c r="A62" t="s">
        <v>379</v>
      </c>
      <c r="B62" s="24">
        <v>1802</v>
      </c>
      <c r="C62" s="24" t="s">
        <v>380</v>
      </c>
      <c r="D62" s="24" t="s">
        <v>381</v>
      </c>
      <c r="E62" s="93">
        <v>90</v>
      </c>
      <c r="F62" s="94">
        <v>4</v>
      </c>
      <c r="G62" s="94">
        <v>90</v>
      </c>
      <c r="H62" s="94">
        <v>4</v>
      </c>
      <c r="I62" s="94">
        <v>87</v>
      </c>
      <c r="J62" s="94">
        <v>4</v>
      </c>
      <c r="K62" s="94">
        <v>90</v>
      </c>
      <c r="L62" s="94">
        <v>2</v>
      </c>
      <c r="M62" s="94">
        <v>88</v>
      </c>
      <c r="N62" s="94">
        <v>2</v>
      </c>
      <c r="O62" s="94">
        <v>85</v>
      </c>
      <c r="P62" s="94">
        <v>2</v>
      </c>
      <c r="Q62">
        <v>99</v>
      </c>
      <c r="R62">
        <v>2</v>
      </c>
      <c r="S62">
        <v>88</v>
      </c>
      <c r="T62">
        <v>2</v>
      </c>
      <c r="U62">
        <v>78</v>
      </c>
      <c r="V62">
        <v>2</v>
      </c>
      <c r="W62">
        <v>88</v>
      </c>
      <c r="X62">
        <v>2</v>
      </c>
      <c r="Y62">
        <v>82</v>
      </c>
      <c r="Z62">
        <v>1</v>
      </c>
      <c r="AA62">
        <v>92</v>
      </c>
      <c r="AB62">
        <v>1</v>
      </c>
      <c r="AC62">
        <v>80</v>
      </c>
      <c r="AD62">
        <v>1</v>
      </c>
      <c r="AE62">
        <v>87</v>
      </c>
      <c r="AF62">
        <v>2</v>
      </c>
      <c r="AG62">
        <v>95</v>
      </c>
      <c r="AH62">
        <v>2</v>
      </c>
    </row>
    <row r="63" spans="1:34">
      <c r="A63" t="s">
        <v>382</v>
      </c>
      <c r="B63" s="24">
        <v>1802</v>
      </c>
      <c r="C63" s="24" t="s">
        <v>383</v>
      </c>
      <c r="D63" s="24" t="s">
        <v>133</v>
      </c>
      <c r="E63" s="93">
        <v>91</v>
      </c>
      <c r="F63" s="94">
        <v>4</v>
      </c>
      <c r="G63" s="94">
        <v>85</v>
      </c>
      <c r="H63" s="94">
        <v>4</v>
      </c>
      <c r="I63" s="94">
        <v>92</v>
      </c>
      <c r="J63" s="94">
        <v>4</v>
      </c>
      <c r="K63" s="94">
        <v>91</v>
      </c>
      <c r="L63" s="94">
        <v>2</v>
      </c>
      <c r="M63" s="94">
        <v>90</v>
      </c>
      <c r="N63" s="94">
        <v>2</v>
      </c>
      <c r="O63" s="94">
        <v>100</v>
      </c>
      <c r="P63" s="94">
        <v>2</v>
      </c>
      <c r="Q63">
        <v>80</v>
      </c>
      <c r="R63">
        <v>2</v>
      </c>
      <c r="S63">
        <v>65</v>
      </c>
      <c r="T63">
        <v>2</v>
      </c>
      <c r="U63">
        <v>70</v>
      </c>
      <c r="V63">
        <v>2</v>
      </c>
      <c r="W63">
        <v>85</v>
      </c>
      <c r="X63">
        <v>2</v>
      </c>
      <c r="Y63">
        <v>80</v>
      </c>
      <c r="Z63">
        <v>1</v>
      </c>
      <c r="AA63">
        <v>92</v>
      </c>
      <c r="AB63">
        <v>1</v>
      </c>
      <c r="AC63">
        <v>85</v>
      </c>
      <c r="AD63">
        <v>1</v>
      </c>
      <c r="AE63">
        <v>82</v>
      </c>
      <c r="AF63">
        <v>2</v>
      </c>
      <c r="AG63">
        <v>98</v>
      </c>
      <c r="AH63">
        <v>2</v>
      </c>
    </row>
    <row r="64" spans="1:34">
      <c r="A64" t="s">
        <v>384</v>
      </c>
      <c r="B64" s="24">
        <v>1802</v>
      </c>
      <c r="C64" s="24" t="s">
        <v>385</v>
      </c>
      <c r="D64" s="24" t="s">
        <v>386</v>
      </c>
      <c r="E64" s="93">
        <v>90</v>
      </c>
      <c r="F64" s="94">
        <v>4</v>
      </c>
      <c r="G64" s="94">
        <v>80</v>
      </c>
      <c r="H64" s="94">
        <v>4</v>
      </c>
      <c r="I64" s="94">
        <v>83</v>
      </c>
      <c r="J64" s="94">
        <v>4</v>
      </c>
      <c r="K64" s="94">
        <v>85</v>
      </c>
      <c r="L64" s="94">
        <v>2</v>
      </c>
      <c r="M64" s="94">
        <v>81</v>
      </c>
      <c r="N64" s="94">
        <v>2</v>
      </c>
      <c r="O64" s="94">
        <v>89</v>
      </c>
      <c r="P64" s="94">
        <v>2</v>
      </c>
      <c r="Q64">
        <v>82</v>
      </c>
      <c r="R64">
        <v>2</v>
      </c>
      <c r="S64">
        <v>72</v>
      </c>
      <c r="T64">
        <v>2</v>
      </c>
      <c r="U64">
        <v>70</v>
      </c>
      <c r="V64">
        <v>2</v>
      </c>
      <c r="W64">
        <v>85</v>
      </c>
      <c r="X64">
        <v>2</v>
      </c>
      <c r="Y64">
        <v>78</v>
      </c>
      <c r="Z64">
        <v>1</v>
      </c>
      <c r="AA64">
        <v>92</v>
      </c>
      <c r="AB64">
        <v>1</v>
      </c>
      <c r="AC64">
        <v>70</v>
      </c>
      <c r="AD64">
        <v>1</v>
      </c>
      <c r="AE64">
        <v>83</v>
      </c>
      <c r="AF64">
        <v>2</v>
      </c>
      <c r="AG64">
        <v>58</v>
      </c>
    </row>
    <row r="65" spans="1:34">
      <c r="A65" t="s">
        <v>1581</v>
      </c>
      <c r="B65" s="24">
        <v>1802</v>
      </c>
      <c r="C65" s="24" t="s">
        <v>388</v>
      </c>
      <c r="D65" s="24" t="s">
        <v>175</v>
      </c>
      <c r="E65" s="93">
        <v>90</v>
      </c>
      <c r="F65" s="94">
        <v>4</v>
      </c>
      <c r="G65" s="94">
        <v>95</v>
      </c>
      <c r="H65" s="94">
        <v>4</v>
      </c>
      <c r="I65" s="94">
        <v>93</v>
      </c>
      <c r="J65" s="94">
        <v>4</v>
      </c>
      <c r="K65" s="94">
        <v>95</v>
      </c>
      <c r="L65" s="94">
        <v>2</v>
      </c>
      <c r="M65" s="94">
        <v>94</v>
      </c>
      <c r="N65" s="94">
        <v>2</v>
      </c>
      <c r="O65" s="94">
        <v>98</v>
      </c>
      <c r="P65" s="94">
        <v>2</v>
      </c>
      <c r="Q65">
        <v>98</v>
      </c>
      <c r="R65">
        <v>2</v>
      </c>
      <c r="S65">
        <v>98</v>
      </c>
      <c r="T65">
        <v>2</v>
      </c>
      <c r="U65">
        <v>88</v>
      </c>
      <c r="V65">
        <v>2</v>
      </c>
      <c r="W65">
        <v>93</v>
      </c>
      <c r="X65">
        <v>2</v>
      </c>
      <c r="Y65">
        <v>80</v>
      </c>
      <c r="Z65">
        <v>1</v>
      </c>
      <c r="AA65">
        <v>92</v>
      </c>
      <c r="AB65">
        <v>1</v>
      </c>
      <c r="AC65">
        <v>78</v>
      </c>
      <c r="AD65">
        <v>1</v>
      </c>
      <c r="AE65">
        <v>80</v>
      </c>
      <c r="AF65">
        <v>2</v>
      </c>
      <c r="AG65">
        <v>93</v>
      </c>
      <c r="AH65">
        <v>2</v>
      </c>
    </row>
    <row r="66" spans="1:34">
      <c r="A66" t="s">
        <v>389</v>
      </c>
      <c r="B66" s="24">
        <v>1802</v>
      </c>
      <c r="C66" s="24" t="s">
        <v>390</v>
      </c>
      <c r="D66" s="24" t="s">
        <v>391</v>
      </c>
      <c r="E66" s="93">
        <v>80</v>
      </c>
      <c r="F66" s="94">
        <v>4</v>
      </c>
      <c r="G66" s="94">
        <v>80</v>
      </c>
      <c r="H66" s="94">
        <v>4</v>
      </c>
      <c r="I66" s="94">
        <v>85</v>
      </c>
      <c r="J66" s="94">
        <v>4</v>
      </c>
      <c r="K66" s="94">
        <v>93</v>
      </c>
      <c r="L66" s="94">
        <v>2</v>
      </c>
      <c r="M66" s="94">
        <v>85</v>
      </c>
      <c r="N66" s="94">
        <v>2</v>
      </c>
      <c r="O66" s="94">
        <v>80</v>
      </c>
      <c r="P66" s="94">
        <v>2</v>
      </c>
      <c r="Q66">
        <v>91</v>
      </c>
      <c r="R66">
        <v>2</v>
      </c>
      <c r="S66">
        <v>80</v>
      </c>
      <c r="T66">
        <v>2</v>
      </c>
      <c r="U66">
        <v>70</v>
      </c>
      <c r="V66">
        <v>2</v>
      </c>
      <c r="W66">
        <v>80</v>
      </c>
      <c r="X66">
        <v>2</v>
      </c>
      <c r="Y66">
        <v>78</v>
      </c>
      <c r="Z66">
        <v>1</v>
      </c>
      <c r="AA66">
        <v>92</v>
      </c>
      <c r="AB66">
        <v>1</v>
      </c>
      <c r="AC66">
        <v>80</v>
      </c>
      <c r="AD66">
        <v>1</v>
      </c>
      <c r="AE66">
        <v>88</v>
      </c>
      <c r="AF66">
        <v>2</v>
      </c>
      <c r="AG66">
        <v>84</v>
      </c>
      <c r="AH66">
        <v>2</v>
      </c>
    </row>
    <row r="67" spans="1:34">
      <c r="A67" t="s">
        <v>392</v>
      </c>
      <c r="B67" s="24">
        <v>1802</v>
      </c>
      <c r="C67" s="24" t="s">
        <v>393</v>
      </c>
      <c r="D67" s="24" t="s">
        <v>394</v>
      </c>
      <c r="E67" s="93">
        <v>82</v>
      </c>
      <c r="F67" s="94">
        <v>4</v>
      </c>
      <c r="G67" s="94">
        <v>80</v>
      </c>
      <c r="H67" s="94">
        <v>4</v>
      </c>
      <c r="I67" s="94">
        <v>80</v>
      </c>
      <c r="J67" s="94">
        <v>4</v>
      </c>
      <c r="K67" s="94">
        <v>88</v>
      </c>
      <c r="L67" s="94">
        <v>2</v>
      </c>
      <c r="M67" s="94">
        <v>83</v>
      </c>
      <c r="N67" s="94">
        <v>2</v>
      </c>
      <c r="O67" s="94">
        <v>80</v>
      </c>
      <c r="P67" s="94">
        <v>2</v>
      </c>
      <c r="Q67">
        <v>80</v>
      </c>
      <c r="R67">
        <v>2</v>
      </c>
      <c r="S67">
        <v>92</v>
      </c>
      <c r="T67">
        <v>2</v>
      </c>
      <c r="U67">
        <v>77</v>
      </c>
      <c r="V67">
        <v>2</v>
      </c>
      <c r="W67">
        <v>80</v>
      </c>
      <c r="X67">
        <v>2</v>
      </c>
      <c r="Y67">
        <v>76</v>
      </c>
      <c r="Z67">
        <v>1</v>
      </c>
      <c r="AA67">
        <v>92</v>
      </c>
      <c r="AB67">
        <v>1</v>
      </c>
      <c r="AC67">
        <v>80</v>
      </c>
      <c r="AD67">
        <v>1</v>
      </c>
      <c r="AE67">
        <v>84</v>
      </c>
      <c r="AF67">
        <v>2</v>
      </c>
      <c r="AG67">
        <v>88</v>
      </c>
      <c r="AH67">
        <v>2</v>
      </c>
    </row>
    <row r="68" spans="1:34">
      <c r="A68" t="s">
        <v>395</v>
      </c>
      <c r="B68" s="24">
        <v>1802</v>
      </c>
      <c r="C68" s="24" t="s">
        <v>396</v>
      </c>
      <c r="D68" s="24" t="s">
        <v>397</v>
      </c>
      <c r="E68" s="93">
        <v>80</v>
      </c>
      <c r="F68" s="94">
        <v>4</v>
      </c>
      <c r="G68" s="94">
        <v>85</v>
      </c>
      <c r="H68" s="94">
        <v>4</v>
      </c>
      <c r="I68" s="94">
        <v>76</v>
      </c>
      <c r="J68" s="94">
        <v>4</v>
      </c>
      <c r="K68" s="94">
        <v>88</v>
      </c>
      <c r="L68" s="94">
        <v>2</v>
      </c>
      <c r="M68" s="94">
        <v>86</v>
      </c>
      <c r="N68" s="94">
        <v>2</v>
      </c>
      <c r="O68" s="94">
        <v>89</v>
      </c>
      <c r="P68" s="94">
        <v>2</v>
      </c>
      <c r="Q68">
        <v>92</v>
      </c>
      <c r="R68">
        <v>2</v>
      </c>
      <c r="S68">
        <v>98</v>
      </c>
      <c r="T68">
        <v>2</v>
      </c>
      <c r="U68">
        <v>81</v>
      </c>
      <c r="V68">
        <v>2</v>
      </c>
      <c r="W68">
        <v>96</v>
      </c>
      <c r="X68">
        <v>2</v>
      </c>
      <c r="Y68">
        <v>78</v>
      </c>
      <c r="Z68">
        <v>1</v>
      </c>
      <c r="AA68">
        <v>92</v>
      </c>
      <c r="AB68">
        <v>1</v>
      </c>
      <c r="AC68">
        <v>70</v>
      </c>
      <c r="AD68">
        <v>1</v>
      </c>
      <c r="AE68">
        <v>85</v>
      </c>
      <c r="AF68">
        <v>2</v>
      </c>
      <c r="AG68">
        <v>98</v>
      </c>
      <c r="AH68">
        <v>2</v>
      </c>
    </row>
    <row r="69" spans="1:34">
      <c r="A69" t="s">
        <v>398</v>
      </c>
      <c r="B69" s="24">
        <v>1802</v>
      </c>
      <c r="C69" s="24" t="s">
        <v>399</v>
      </c>
      <c r="D69" s="24" t="s">
        <v>400</v>
      </c>
      <c r="E69" s="93">
        <v>76</v>
      </c>
      <c r="F69" s="94">
        <v>4</v>
      </c>
      <c r="G69" s="94">
        <v>80</v>
      </c>
      <c r="H69" s="94">
        <v>4</v>
      </c>
      <c r="I69" s="94">
        <v>88</v>
      </c>
      <c r="J69" s="94">
        <v>4</v>
      </c>
      <c r="K69" s="94">
        <v>80</v>
      </c>
      <c r="L69" s="94">
        <v>2</v>
      </c>
      <c r="M69" s="94">
        <v>80</v>
      </c>
      <c r="N69" s="94">
        <v>2</v>
      </c>
      <c r="O69" s="94">
        <v>80</v>
      </c>
      <c r="P69" s="94">
        <v>2</v>
      </c>
      <c r="Q69">
        <v>79</v>
      </c>
      <c r="R69">
        <v>2</v>
      </c>
      <c r="S69">
        <v>82</v>
      </c>
      <c r="T69">
        <v>2</v>
      </c>
      <c r="U69">
        <v>70</v>
      </c>
      <c r="V69">
        <v>2</v>
      </c>
      <c r="W69">
        <v>80</v>
      </c>
      <c r="X69">
        <v>2</v>
      </c>
      <c r="Y69">
        <v>77</v>
      </c>
      <c r="Z69">
        <v>1</v>
      </c>
      <c r="AA69">
        <v>92</v>
      </c>
      <c r="AB69">
        <v>1</v>
      </c>
      <c r="AC69">
        <v>80</v>
      </c>
      <c r="AD69">
        <v>1</v>
      </c>
      <c r="AE69">
        <v>79</v>
      </c>
      <c r="AF69">
        <v>2</v>
      </c>
      <c r="AG69" t="s">
        <v>3360</v>
      </c>
    </row>
    <row r="70" spans="1:34">
      <c r="A70" t="s">
        <v>401</v>
      </c>
      <c r="B70" s="24">
        <v>1802</v>
      </c>
      <c r="C70" s="24" t="s">
        <v>402</v>
      </c>
      <c r="D70" s="24" t="s">
        <v>403</v>
      </c>
      <c r="E70" s="93">
        <v>80</v>
      </c>
      <c r="F70" s="94">
        <v>4</v>
      </c>
      <c r="G70" s="94">
        <v>85</v>
      </c>
      <c r="H70" s="94">
        <v>4</v>
      </c>
      <c r="I70" s="94">
        <v>85</v>
      </c>
      <c r="J70" s="94">
        <v>4</v>
      </c>
      <c r="K70" s="94">
        <v>90</v>
      </c>
      <c r="L70" s="94">
        <v>2</v>
      </c>
      <c r="M70" s="94">
        <v>90</v>
      </c>
      <c r="N70" s="94">
        <v>2</v>
      </c>
      <c r="O70" s="94">
        <v>80</v>
      </c>
      <c r="P70" s="94">
        <v>2</v>
      </c>
      <c r="Q70">
        <v>81</v>
      </c>
      <c r="R70">
        <v>2</v>
      </c>
      <c r="S70">
        <v>85</v>
      </c>
      <c r="T70">
        <v>2</v>
      </c>
      <c r="U70">
        <v>71</v>
      </c>
      <c r="V70">
        <v>2</v>
      </c>
      <c r="W70">
        <v>80</v>
      </c>
      <c r="X70">
        <v>2</v>
      </c>
      <c r="Y70">
        <v>80</v>
      </c>
      <c r="Z70">
        <v>1</v>
      </c>
      <c r="AA70">
        <v>92</v>
      </c>
      <c r="AB70">
        <v>1</v>
      </c>
      <c r="AC70">
        <v>70</v>
      </c>
      <c r="AD70">
        <v>1</v>
      </c>
      <c r="AE70">
        <v>77</v>
      </c>
      <c r="AF70">
        <v>2</v>
      </c>
      <c r="AG70">
        <v>98</v>
      </c>
      <c r="AH70">
        <v>2</v>
      </c>
    </row>
    <row r="71" spans="1:34">
      <c r="A71" t="s">
        <v>404</v>
      </c>
      <c r="B71" s="24">
        <v>1802</v>
      </c>
      <c r="C71" s="24" t="s">
        <v>405</v>
      </c>
      <c r="D71" s="24" t="s">
        <v>406</v>
      </c>
      <c r="E71" s="93">
        <v>88</v>
      </c>
      <c r="F71" s="94">
        <v>4</v>
      </c>
      <c r="G71" s="94">
        <v>85</v>
      </c>
      <c r="H71" s="94">
        <v>4</v>
      </c>
      <c r="I71" s="94">
        <v>79</v>
      </c>
      <c r="J71" s="94">
        <v>4</v>
      </c>
      <c r="K71" s="94">
        <v>85</v>
      </c>
      <c r="L71" s="94">
        <v>2</v>
      </c>
      <c r="M71" s="94">
        <v>80</v>
      </c>
      <c r="N71" s="94">
        <v>2</v>
      </c>
      <c r="O71" s="94">
        <v>80</v>
      </c>
      <c r="P71" s="94">
        <v>2</v>
      </c>
      <c r="Q71">
        <v>80</v>
      </c>
      <c r="R71">
        <v>2</v>
      </c>
      <c r="S71">
        <v>85</v>
      </c>
      <c r="T71">
        <v>2</v>
      </c>
      <c r="U71">
        <v>77</v>
      </c>
      <c r="V71">
        <v>2</v>
      </c>
      <c r="W71">
        <v>88</v>
      </c>
      <c r="X71">
        <v>2</v>
      </c>
      <c r="Y71">
        <v>81</v>
      </c>
      <c r="Z71">
        <v>1</v>
      </c>
      <c r="AA71">
        <v>92</v>
      </c>
      <c r="AB71">
        <v>1</v>
      </c>
      <c r="AC71">
        <v>85</v>
      </c>
      <c r="AD71">
        <v>1</v>
      </c>
      <c r="AE71">
        <v>84</v>
      </c>
      <c r="AF71">
        <v>2</v>
      </c>
      <c r="AG71">
        <v>80</v>
      </c>
      <c r="AH71">
        <v>2</v>
      </c>
    </row>
    <row r="72" spans="1:34">
      <c r="B72" s="24">
        <v>1802</v>
      </c>
      <c r="C72" s="24" t="s">
        <v>3320</v>
      </c>
      <c r="J72" s="94">
        <v>4</v>
      </c>
      <c r="K72" s="94">
        <v>93</v>
      </c>
      <c r="L72" s="94">
        <v>2</v>
      </c>
      <c r="N72" s="94">
        <v>2</v>
      </c>
      <c r="Z72">
        <v>1</v>
      </c>
      <c r="AB72">
        <v>1</v>
      </c>
    </row>
    <row r="73" spans="1:34">
      <c r="A73" t="s">
        <v>1709</v>
      </c>
      <c r="B73" s="24">
        <v>1802</v>
      </c>
      <c r="C73" s="24" t="s">
        <v>410</v>
      </c>
      <c r="D73" s="24" t="s">
        <v>1711</v>
      </c>
      <c r="E73" s="93">
        <v>88</v>
      </c>
      <c r="F73" s="94">
        <v>4</v>
      </c>
      <c r="G73" s="94">
        <v>90</v>
      </c>
      <c r="H73" s="94">
        <v>4</v>
      </c>
      <c r="I73" s="94">
        <v>91</v>
      </c>
      <c r="J73" s="94">
        <v>4</v>
      </c>
      <c r="K73" s="94">
        <v>92</v>
      </c>
      <c r="L73" s="94">
        <v>2</v>
      </c>
      <c r="M73" s="94">
        <v>88</v>
      </c>
      <c r="N73" s="94">
        <v>2</v>
      </c>
      <c r="O73" s="94">
        <v>88</v>
      </c>
      <c r="P73" s="94">
        <v>2</v>
      </c>
      <c r="Q73">
        <v>86</v>
      </c>
      <c r="R73">
        <v>2</v>
      </c>
      <c r="S73">
        <v>88</v>
      </c>
      <c r="T73">
        <v>2</v>
      </c>
      <c r="U73">
        <v>81</v>
      </c>
      <c r="V73">
        <v>2</v>
      </c>
      <c r="W73">
        <v>85</v>
      </c>
      <c r="X73">
        <v>2</v>
      </c>
      <c r="Y73">
        <v>82</v>
      </c>
      <c r="Z73">
        <v>1</v>
      </c>
      <c r="AA73">
        <v>92</v>
      </c>
      <c r="AB73">
        <v>1</v>
      </c>
      <c r="AC73">
        <v>80</v>
      </c>
      <c r="AD73">
        <v>1</v>
      </c>
      <c r="AE73">
        <v>85</v>
      </c>
      <c r="AF73">
        <v>2</v>
      </c>
      <c r="AG73">
        <v>98</v>
      </c>
      <c r="AH73">
        <v>2</v>
      </c>
    </row>
    <row r="74" spans="1:34">
      <c r="A74" t="s">
        <v>1703</v>
      </c>
      <c r="B74" s="24">
        <v>1802</v>
      </c>
      <c r="C74" s="24" t="s">
        <v>413</v>
      </c>
      <c r="D74" s="24" t="s">
        <v>1705</v>
      </c>
      <c r="E74" s="93">
        <v>91</v>
      </c>
      <c r="F74" s="94">
        <v>4</v>
      </c>
      <c r="G74" s="94">
        <v>90</v>
      </c>
      <c r="H74" s="94">
        <v>4</v>
      </c>
      <c r="I74" s="94">
        <v>82</v>
      </c>
      <c r="J74" s="94">
        <v>4</v>
      </c>
      <c r="K74" s="94">
        <v>92</v>
      </c>
      <c r="L74" s="94">
        <v>2</v>
      </c>
      <c r="M74" s="94">
        <v>90</v>
      </c>
      <c r="N74" s="94">
        <v>2</v>
      </c>
      <c r="O74" s="94">
        <v>92</v>
      </c>
      <c r="P74" s="94">
        <v>2</v>
      </c>
      <c r="Q74">
        <v>99</v>
      </c>
      <c r="R74">
        <v>2</v>
      </c>
      <c r="S74">
        <v>92</v>
      </c>
      <c r="T74">
        <v>2</v>
      </c>
      <c r="U74">
        <v>72</v>
      </c>
      <c r="V74">
        <v>2</v>
      </c>
      <c r="W74">
        <v>96</v>
      </c>
      <c r="X74">
        <v>2</v>
      </c>
      <c r="Y74">
        <v>80</v>
      </c>
      <c r="Z74">
        <v>1</v>
      </c>
      <c r="AA74">
        <v>92</v>
      </c>
      <c r="AB74">
        <v>1</v>
      </c>
      <c r="AC74">
        <v>72</v>
      </c>
      <c r="AD74">
        <v>1</v>
      </c>
      <c r="AE74">
        <v>82</v>
      </c>
      <c r="AF74">
        <v>2</v>
      </c>
      <c r="AG74">
        <v>98</v>
      </c>
      <c r="AH74">
        <v>2</v>
      </c>
    </row>
    <row r="75" spans="1:34">
      <c r="A75" t="s">
        <v>414</v>
      </c>
      <c r="B75" s="24">
        <v>1802</v>
      </c>
      <c r="C75" s="24" t="s">
        <v>415</v>
      </c>
      <c r="D75" s="24" t="s">
        <v>416</v>
      </c>
      <c r="E75" s="93">
        <v>79</v>
      </c>
      <c r="F75" s="94">
        <v>4</v>
      </c>
      <c r="G75" s="94">
        <v>85</v>
      </c>
      <c r="H75" s="94">
        <v>4</v>
      </c>
      <c r="I75" s="94">
        <v>80</v>
      </c>
      <c r="J75" s="94">
        <v>4</v>
      </c>
      <c r="K75" s="94">
        <v>85</v>
      </c>
      <c r="L75" s="94">
        <v>2</v>
      </c>
      <c r="M75" s="94">
        <v>89</v>
      </c>
      <c r="N75" s="94">
        <v>2</v>
      </c>
      <c r="O75" s="94">
        <v>87</v>
      </c>
      <c r="P75" s="94">
        <v>2</v>
      </c>
      <c r="Q75">
        <v>81</v>
      </c>
      <c r="R75">
        <v>2</v>
      </c>
      <c r="S75">
        <v>88</v>
      </c>
      <c r="T75">
        <v>2</v>
      </c>
      <c r="U75">
        <v>76</v>
      </c>
      <c r="V75">
        <v>2</v>
      </c>
      <c r="W75">
        <v>80</v>
      </c>
      <c r="X75">
        <v>2</v>
      </c>
      <c r="Y75">
        <v>81</v>
      </c>
      <c r="Z75">
        <v>1</v>
      </c>
      <c r="AA75">
        <v>92</v>
      </c>
      <c r="AB75">
        <v>1</v>
      </c>
      <c r="AC75">
        <v>65</v>
      </c>
      <c r="AD75">
        <v>1</v>
      </c>
      <c r="AE75">
        <v>86</v>
      </c>
      <c r="AF75">
        <v>2</v>
      </c>
      <c r="AG75">
        <v>98</v>
      </c>
      <c r="AH75">
        <v>2</v>
      </c>
    </row>
    <row r="76" spans="1:34">
      <c r="A76" t="s">
        <v>417</v>
      </c>
      <c r="B76" s="24">
        <v>1802</v>
      </c>
      <c r="C76" s="24" t="s">
        <v>418</v>
      </c>
      <c r="D76" s="24" t="s">
        <v>419</v>
      </c>
      <c r="E76" s="93">
        <v>89</v>
      </c>
      <c r="F76" s="94">
        <v>4</v>
      </c>
      <c r="G76" s="94">
        <v>85</v>
      </c>
      <c r="H76" s="94">
        <v>4</v>
      </c>
      <c r="I76" s="94">
        <v>88</v>
      </c>
      <c r="J76" s="94">
        <v>4</v>
      </c>
      <c r="K76" s="94">
        <v>85</v>
      </c>
      <c r="L76" s="94">
        <v>2</v>
      </c>
      <c r="M76" s="94">
        <v>83</v>
      </c>
      <c r="N76" s="94">
        <v>2</v>
      </c>
      <c r="O76" s="94">
        <v>84</v>
      </c>
      <c r="P76" s="94">
        <v>2</v>
      </c>
      <c r="Q76">
        <v>92</v>
      </c>
      <c r="R76">
        <v>2</v>
      </c>
      <c r="S76">
        <v>84</v>
      </c>
      <c r="T76">
        <v>2</v>
      </c>
      <c r="U76">
        <v>80</v>
      </c>
      <c r="V76">
        <v>2</v>
      </c>
      <c r="W76">
        <v>93</v>
      </c>
      <c r="X76">
        <v>2</v>
      </c>
      <c r="Y76">
        <v>82</v>
      </c>
      <c r="Z76">
        <v>1</v>
      </c>
      <c r="AA76">
        <v>92</v>
      </c>
      <c r="AB76">
        <v>1</v>
      </c>
      <c r="AC76">
        <v>65</v>
      </c>
      <c r="AD76">
        <v>1</v>
      </c>
      <c r="AE76">
        <v>90</v>
      </c>
      <c r="AF76">
        <v>2</v>
      </c>
      <c r="AG76">
        <v>70</v>
      </c>
      <c r="AH76">
        <v>2</v>
      </c>
    </row>
    <row r="77" spans="1:34">
      <c r="A77">
        <v>20181081</v>
      </c>
      <c r="B77" s="24">
        <v>1802</v>
      </c>
      <c r="C77" s="24" t="s">
        <v>420</v>
      </c>
      <c r="D77" s="24" t="s">
        <v>3245</v>
      </c>
      <c r="E77" s="93">
        <v>83</v>
      </c>
      <c r="F77" s="94">
        <v>4</v>
      </c>
      <c r="G77" s="94">
        <v>80</v>
      </c>
      <c r="H77" s="94">
        <v>4</v>
      </c>
      <c r="I77" s="94">
        <v>86</v>
      </c>
      <c r="J77" s="94">
        <v>4</v>
      </c>
      <c r="K77" s="94">
        <v>85</v>
      </c>
      <c r="L77" s="94">
        <v>2</v>
      </c>
      <c r="M77" s="94">
        <v>82</v>
      </c>
      <c r="N77" s="94">
        <v>2</v>
      </c>
      <c r="O77" s="94">
        <v>85</v>
      </c>
      <c r="P77" s="94">
        <v>2</v>
      </c>
      <c r="Q77">
        <v>84</v>
      </c>
      <c r="R77">
        <v>2</v>
      </c>
      <c r="S77">
        <v>80</v>
      </c>
      <c r="T77">
        <v>2</v>
      </c>
      <c r="U77">
        <v>77</v>
      </c>
      <c r="V77">
        <v>2</v>
      </c>
      <c r="W77">
        <v>88</v>
      </c>
      <c r="X77">
        <v>2</v>
      </c>
      <c r="Y77">
        <v>85</v>
      </c>
      <c r="Z77">
        <v>1</v>
      </c>
      <c r="AA77">
        <v>92</v>
      </c>
      <c r="AB77">
        <v>1</v>
      </c>
      <c r="AC77">
        <v>62</v>
      </c>
      <c r="AD77">
        <v>1</v>
      </c>
      <c r="AE77">
        <v>88</v>
      </c>
      <c r="AF77">
        <v>2</v>
      </c>
      <c r="AG77">
        <v>80</v>
      </c>
      <c r="AH77">
        <v>2</v>
      </c>
    </row>
    <row r="78" spans="1:34">
      <c r="A78" t="s">
        <v>421</v>
      </c>
      <c r="B78" s="24">
        <v>1802</v>
      </c>
      <c r="C78" s="24" t="s">
        <v>422</v>
      </c>
      <c r="D78" s="24" t="s">
        <v>423</v>
      </c>
      <c r="E78" s="93">
        <v>80</v>
      </c>
      <c r="F78" s="94">
        <v>4</v>
      </c>
      <c r="G78" s="94">
        <v>85</v>
      </c>
      <c r="H78" s="94">
        <v>4</v>
      </c>
      <c r="I78" s="94">
        <v>72</v>
      </c>
      <c r="J78" s="94">
        <v>4</v>
      </c>
      <c r="K78" s="94">
        <v>93</v>
      </c>
      <c r="L78" s="94">
        <v>2</v>
      </c>
      <c r="M78" s="94">
        <v>85</v>
      </c>
      <c r="N78" s="94">
        <v>2</v>
      </c>
      <c r="O78" s="94">
        <v>86</v>
      </c>
      <c r="P78" s="94">
        <v>2</v>
      </c>
      <c r="Q78">
        <v>96</v>
      </c>
      <c r="R78">
        <v>2</v>
      </c>
      <c r="S78">
        <v>88</v>
      </c>
      <c r="T78">
        <v>2</v>
      </c>
      <c r="U78">
        <v>78</v>
      </c>
      <c r="V78">
        <v>2</v>
      </c>
      <c r="W78">
        <v>98</v>
      </c>
      <c r="X78">
        <v>2</v>
      </c>
      <c r="Y78">
        <v>83</v>
      </c>
      <c r="Z78">
        <v>1</v>
      </c>
      <c r="AA78">
        <v>92</v>
      </c>
      <c r="AB78">
        <v>1</v>
      </c>
      <c r="AC78">
        <v>88</v>
      </c>
      <c r="AD78">
        <v>1</v>
      </c>
      <c r="AE78">
        <v>79</v>
      </c>
      <c r="AF78">
        <v>2</v>
      </c>
      <c r="AG78">
        <v>98</v>
      </c>
      <c r="AH78">
        <v>2</v>
      </c>
    </row>
    <row r="79" spans="1:34">
      <c r="A79" t="s">
        <v>424</v>
      </c>
      <c r="B79" s="24">
        <v>1802</v>
      </c>
      <c r="C79" s="24" t="s">
        <v>425</v>
      </c>
      <c r="D79" s="24" t="s">
        <v>185</v>
      </c>
      <c r="E79" s="93">
        <v>93</v>
      </c>
      <c r="F79" s="94">
        <v>4</v>
      </c>
      <c r="G79" s="94">
        <v>95</v>
      </c>
      <c r="H79" s="94">
        <v>4</v>
      </c>
      <c r="I79" s="94">
        <v>84</v>
      </c>
      <c r="J79" s="94">
        <v>4</v>
      </c>
      <c r="K79" s="94">
        <v>92</v>
      </c>
      <c r="L79" s="94">
        <v>2</v>
      </c>
      <c r="M79" s="94">
        <v>92</v>
      </c>
      <c r="N79" s="94">
        <v>2</v>
      </c>
      <c r="O79" s="94">
        <v>100</v>
      </c>
      <c r="P79" s="94">
        <v>2</v>
      </c>
      <c r="Q79">
        <v>88</v>
      </c>
      <c r="R79">
        <v>2</v>
      </c>
      <c r="S79">
        <v>92</v>
      </c>
      <c r="T79">
        <v>2</v>
      </c>
      <c r="U79">
        <v>78</v>
      </c>
      <c r="V79">
        <v>2</v>
      </c>
      <c r="W79">
        <v>90</v>
      </c>
      <c r="X79">
        <v>2</v>
      </c>
      <c r="Y79">
        <v>80</v>
      </c>
      <c r="Z79">
        <v>1</v>
      </c>
      <c r="AA79">
        <v>92</v>
      </c>
      <c r="AB79">
        <v>1</v>
      </c>
      <c r="AC79">
        <v>76</v>
      </c>
      <c r="AD79">
        <v>1</v>
      </c>
      <c r="AE79">
        <v>85</v>
      </c>
      <c r="AF79">
        <v>2</v>
      </c>
      <c r="AG79">
        <v>98</v>
      </c>
      <c r="AH79">
        <v>2</v>
      </c>
    </row>
    <row r="80" spans="1:34">
      <c r="A80" t="s">
        <v>1718</v>
      </c>
      <c r="B80" s="24">
        <v>1802</v>
      </c>
      <c r="C80" s="24" t="s">
        <v>427</v>
      </c>
      <c r="D80" s="24" t="s">
        <v>1720</v>
      </c>
      <c r="E80" s="93">
        <v>85</v>
      </c>
      <c r="F80" s="94">
        <v>4</v>
      </c>
      <c r="G80" s="94">
        <v>90</v>
      </c>
      <c r="H80" s="94">
        <v>4</v>
      </c>
      <c r="I80" s="94">
        <v>86</v>
      </c>
      <c r="J80" s="94">
        <v>4</v>
      </c>
      <c r="K80" s="94">
        <v>90</v>
      </c>
      <c r="L80" s="94">
        <v>2</v>
      </c>
      <c r="M80" s="94">
        <v>93</v>
      </c>
      <c r="N80" s="94">
        <v>2</v>
      </c>
      <c r="O80" s="94">
        <v>90</v>
      </c>
      <c r="P80" s="94">
        <v>2</v>
      </c>
      <c r="Q80">
        <v>98</v>
      </c>
      <c r="R80">
        <v>2</v>
      </c>
      <c r="S80">
        <v>92</v>
      </c>
      <c r="T80">
        <v>2</v>
      </c>
      <c r="U80">
        <v>70</v>
      </c>
      <c r="V80">
        <v>2</v>
      </c>
      <c r="W80">
        <v>85</v>
      </c>
      <c r="X80">
        <v>2</v>
      </c>
      <c r="Y80">
        <v>79</v>
      </c>
      <c r="Z80">
        <v>1</v>
      </c>
      <c r="AA80">
        <v>92</v>
      </c>
      <c r="AB80">
        <v>1</v>
      </c>
      <c r="AC80">
        <v>62</v>
      </c>
      <c r="AD80">
        <v>1</v>
      </c>
      <c r="AE80">
        <v>82</v>
      </c>
      <c r="AF80">
        <v>2</v>
      </c>
      <c r="AG80">
        <v>98</v>
      </c>
      <c r="AH80">
        <v>2</v>
      </c>
    </row>
    <row r="81" spans="1:34">
      <c r="A81" t="s">
        <v>428</v>
      </c>
      <c r="B81" s="24">
        <v>1802</v>
      </c>
      <c r="C81" s="24" t="s">
        <v>429</v>
      </c>
      <c r="D81" s="24" t="s">
        <v>430</v>
      </c>
      <c r="E81" s="93">
        <v>79</v>
      </c>
      <c r="F81" s="94">
        <v>4</v>
      </c>
      <c r="G81" s="94">
        <v>90</v>
      </c>
      <c r="H81" s="94">
        <v>4</v>
      </c>
      <c r="I81" s="94">
        <v>64</v>
      </c>
      <c r="J81" s="94">
        <v>4</v>
      </c>
      <c r="K81" s="94">
        <v>90</v>
      </c>
      <c r="L81" s="94">
        <v>2</v>
      </c>
      <c r="M81" s="94">
        <v>83</v>
      </c>
      <c r="N81" s="94">
        <v>2</v>
      </c>
      <c r="O81" s="94">
        <v>80</v>
      </c>
      <c r="P81" s="94">
        <v>2</v>
      </c>
      <c r="Q81">
        <v>93</v>
      </c>
      <c r="R81">
        <v>2</v>
      </c>
      <c r="S81">
        <v>80</v>
      </c>
      <c r="T81">
        <v>2</v>
      </c>
      <c r="U81">
        <v>70</v>
      </c>
      <c r="V81">
        <v>2</v>
      </c>
      <c r="W81">
        <v>85</v>
      </c>
      <c r="X81">
        <v>2</v>
      </c>
      <c r="Y81">
        <v>78</v>
      </c>
      <c r="Z81">
        <v>1</v>
      </c>
      <c r="AA81">
        <v>92</v>
      </c>
      <c r="AB81">
        <v>1</v>
      </c>
      <c r="AC81">
        <v>65</v>
      </c>
      <c r="AD81">
        <v>1</v>
      </c>
      <c r="AE81">
        <v>84</v>
      </c>
      <c r="AF81">
        <v>2</v>
      </c>
      <c r="AG81">
        <v>94</v>
      </c>
      <c r="AH81">
        <v>2</v>
      </c>
    </row>
    <row r="82" spans="1:34">
      <c r="A82" t="s">
        <v>431</v>
      </c>
      <c r="B82" s="24">
        <v>1802</v>
      </c>
      <c r="C82" s="24" t="s">
        <v>432</v>
      </c>
      <c r="D82" s="24" t="s">
        <v>433</v>
      </c>
      <c r="E82" s="93">
        <v>76</v>
      </c>
      <c r="F82" s="94">
        <v>4</v>
      </c>
      <c r="G82" s="94">
        <v>85</v>
      </c>
      <c r="H82" s="94">
        <v>4</v>
      </c>
      <c r="I82" s="94">
        <v>63</v>
      </c>
      <c r="J82" s="94">
        <v>4</v>
      </c>
      <c r="K82" s="94">
        <v>90</v>
      </c>
      <c r="L82" s="94">
        <v>2</v>
      </c>
      <c r="M82" s="94">
        <v>84</v>
      </c>
      <c r="N82" s="94">
        <v>2</v>
      </c>
      <c r="O82" s="94">
        <v>91</v>
      </c>
      <c r="P82" s="94">
        <v>2</v>
      </c>
      <c r="Q82">
        <v>85</v>
      </c>
      <c r="R82">
        <v>2</v>
      </c>
      <c r="S82">
        <v>95</v>
      </c>
      <c r="T82">
        <v>2</v>
      </c>
      <c r="U82">
        <v>78</v>
      </c>
      <c r="V82">
        <v>2</v>
      </c>
      <c r="W82">
        <v>80</v>
      </c>
      <c r="X82">
        <v>2</v>
      </c>
      <c r="Y82">
        <v>78</v>
      </c>
      <c r="Z82">
        <v>1</v>
      </c>
      <c r="AA82">
        <v>92</v>
      </c>
      <c r="AB82">
        <v>1</v>
      </c>
      <c r="AC82">
        <v>70</v>
      </c>
      <c r="AD82">
        <v>1</v>
      </c>
      <c r="AE82">
        <v>80</v>
      </c>
      <c r="AF82">
        <v>2</v>
      </c>
      <c r="AG82">
        <v>88</v>
      </c>
      <c r="AH82">
        <v>2</v>
      </c>
    </row>
    <row r="83" spans="1:34">
      <c r="A83" t="s">
        <v>434</v>
      </c>
      <c r="B83" s="24">
        <v>1802</v>
      </c>
      <c r="C83" s="24" t="s">
        <v>435</v>
      </c>
      <c r="D83" s="24" t="s">
        <v>436</v>
      </c>
      <c r="E83" s="93">
        <v>83</v>
      </c>
      <c r="F83" s="94">
        <v>4</v>
      </c>
      <c r="G83" s="94">
        <v>85</v>
      </c>
      <c r="H83" s="94">
        <v>4</v>
      </c>
      <c r="I83" s="94">
        <v>85</v>
      </c>
      <c r="J83" s="94">
        <v>4</v>
      </c>
      <c r="K83" s="94">
        <v>87</v>
      </c>
      <c r="L83" s="94">
        <v>2</v>
      </c>
      <c r="M83" s="94">
        <v>85</v>
      </c>
      <c r="N83" s="94">
        <v>2</v>
      </c>
      <c r="O83" s="94">
        <v>80</v>
      </c>
      <c r="P83" s="94">
        <v>2</v>
      </c>
      <c r="Q83">
        <v>88</v>
      </c>
      <c r="R83">
        <v>2</v>
      </c>
      <c r="S83">
        <v>88</v>
      </c>
      <c r="T83">
        <v>2</v>
      </c>
      <c r="U83">
        <v>70</v>
      </c>
      <c r="V83">
        <v>2</v>
      </c>
      <c r="W83">
        <v>85</v>
      </c>
      <c r="X83">
        <v>2</v>
      </c>
      <c r="Y83">
        <v>77</v>
      </c>
      <c r="Z83">
        <v>1</v>
      </c>
      <c r="AA83">
        <v>92</v>
      </c>
      <c r="AB83">
        <v>1</v>
      </c>
      <c r="AC83">
        <v>70</v>
      </c>
      <c r="AD83">
        <v>1</v>
      </c>
      <c r="AE83">
        <v>83</v>
      </c>
      <c r="AF83">
        <v>2</v>
      </c>
      <c r="AG83">
        <v>90</v>
      </c>
      <c r="AH83">
        <v>2</v>
      </c>
    </row>
    <row r="84" spans="1:34">
      <c r="A84" t="s">
        <v>437</v>
      </c>
      <c r="B84" s="24">
        <v>1802</v>
      </c>
      <c r="C84" s="24" t="s">
        <v>438</v>
      </c>
      <c r="D84" s="24" t="s">
        <v>439</v>
      </c>
      <c r="E84" s="93">
        <v>83</v>
      </c>
      <c r="F84" s="94">
        <v>4</v>
      </c>
      <c r="G84" s="94">
        <v>80</v>
      </c>
      <c r="H84" s="94">
        <v>4</v>
      </c>
      <c r="I84" s="94">
        <v>86</v>
      </c>
      <c r="J84" s="94">
        <v>4</v>
      </c>
      <c r="K84" s="94">
        <v>87</v>
      </c>
      <c r="L84" s="94">
        <v>2</v>
      </c>
      <c r="M84" s="94">
        <v>83</v>
      </c>
      <c r="N84" s="94">
        <v>2</v>
      </c>
      <c r="O84" s="94">
        <v>80</v>
      </c>
      <c r="P84" s="94">
        <v>2</v>
      </c>
      <c r="Q84">
        <v>80</v>
      </c>
      <c r="R84">
        <v>2</v>
      </c>
      <c r="S84">
        <v>86</v>
      </c>
      <c r="T84">
        <v>2</v>
      </c>
      <c r="U84">
        <v>85</v>
      </c>
      <c r="V84">
        <v>2</v>
      </c>
      <c r="W84">
        <v>85</v>
      </c>
      <c r="X84">
        <v>2</v>
      </c>
      <c r="Y84">
        <v>79</v>
      </c>
      <c r="Z84">
        <v>1</v>
      </c>
      <c r="AA84">
        <v>92</v>
      </c>
      <c r="AB84">
        <v>1</v>
      </c>
      <c r="AC84">
        <v>63</v>
      </c>
      <c r="AD84">
        <v>1</v>
      </c>
      <c r="AE84">
        <v>85</v>
      </c>
      <c r="AF84">
        <v>2</v>
      </c>
      <c r="AG84">
        <v>94</v>
      </c>
      <c r="AH84">
        <v>2</v>
      </c>
    </row>
    <row r="85" spans="1:34">
      <c r="A85" t="s">
        <v>440</v>
      </c>
      <c r="B85" s="24">
        <v>1802</v>
      </c>
      <c r="C85" s="24" t="s">
        <v>441</v>
      </c>
      <c r="D85" s="24" t="s">
        <v>442</v>
      </c>
      <c r="E85" s="93">
        <v>79</v>
      </c>
      <c r="F85" s="94">
        <v>4</v>
      </c>
      <c r="G85" s="94">
        <v>80</v>
      </c>
      <c r="H85" s="94">
        <v>4</v>
      </c>
      <c r="I85" s="94">
        <v>71</v>
      </c>
      <c r="J85" s="94">
        <v>4</v>
      </c>
      <c r="K85" s="94">
        <v>86</v>
      </c>
      <c r="L85" s="94">
        <v>2</v>
      </c>
      <c r="M85" s="94">
        <v>80</v>
      </c>
      <c r="N85" s="94">
        <v>2</v>
      </c>
      <c r="O85" s="94">
        <v>80</v>
      </c>
      <c r="P85" s="94">
        <v>2</v>
      </c>
      <c r="Q85">
        <v>84</v>
      </c>
      <c r="R85">
        <v>2</v>
      </c>
      <c r="S85">
        <v>86</v>
      </c>
      <c r="T85">
        <v>2</v>
      </c>
      <c r="U85">
        <v>78</v>
      </c>
      <c r="V85">
        <v>2</v>
      </c>
      <c r="W85">
        <v>85</v>
      </c>
      <c r="X85">
        <v>2</v>
      </c>
      <c r="Y85">
        <v>84</v>
      </c>
      <c r="Z85">
        <v>1</v>
      </c>
      <c r="AA85">
        <v>92</v>
      </c>
      <c r="AB85">
        <v>1</v>
      </c>
      <c r="AC85">
        <v>72</v>
      </c>
      <c r="AD85">
        <v>1</v>
      </c>
      <c r="AE85">
        <v>86</v>
      </c>
      <c r="AF85">
        <v>2</v>
      </c>
      <c r="AG85">
        <v>82</v>
      </c>
      <c r="AH85">
        <v>2</v>
      </c>
    </row>
    <row r="86" spans="1:34">
      <c r="A86" t="s">
        <v>443</v>
      </c>
      <c r="B86" s="24">
        <v>1802</v>
      </c>
      <c r="C86" s="24" t="s">
        <v>444</v>
      </c>
      <c r="D86" s="24" t="s">
        <v>445</v>
      </c>
      <c r="E86" s="93">
        <v>88</v>
      </c>
      <c r="F86" s="94">
        <v>4</v>
      </c>
      <c r="G86" s="94">
        <v>85</v>
      </c>
      <c r="H86" s="94">
        <v>4</v>
      </c>
      <c r="I86" s="94">
        <v>96</v>
      </c>
      <c r="J86" s="94">
        <v>4</v>
      </c>
      <c r="K86" s="94">
        <v>85</v>
      </c>
      <c r="L86" s="94">
        <v>2</v>
      </c>
      <c r="M86" s="94">
        <v>80</v>
      </c>
      <c r="N86" s="94">
        <v>2</v>
      </c>
      <c r="O86" s="94">
        <v>80</v>
      </c>
      <c r="P86" s="94">
        <v>2</v>
      </c>
      <c r="Q86">
        <v>93</v>
      </c>
      <c r="R86">
        <v>2</v>
      </c>
      <c r="S86">
        <v>86</v>
      </c>
      <c r="T86">
        <v>2</v>
      </c>
      <c r="U86">
        <v>71</v>
      </c>
      <c r="V86">
        <v>2</v>
      </c>
      <c r="W86">
        <v>88</v>
      </c>
      <c r="X86">
        <v>2</v>
      </c>
      <c r="Y86">
        <v>84</v>
      </c>
      <c r="Z86">
        <v>1</v>
      </c>
      <c r="AA86">
        <v>92</v>
      </c>
      <c r="AB86">
        <v>1</v>
      </c>
      <c r="AC86">
        <v>65</v>
      </c>
      <c r="AD86">
        <v>1</v>
      </c>
      <c r="AE86">
        <v>84</v>
      </c>
      <c r="AF86">
        <v>2</v>
      </c>
      <c r="AG86">
        <v>98</v>
      </c>
      <c r="AH86">
        <v>2</v>
      </c>
    </row>
    <row r="87" spans="1:34">
      <c r="A87" t="s">
        <v>446</v>
      </c>
      <c r="B87" s="24">
        <v>1802</v>
      </c>
      <c r="C87" s="24" t="s">
        <v>447</v>
      </c>
      <c r="D87" s="24" t="s">
        <v>448</v>
      </c>
      <c r="E87" s="93">
        <v>97</v>
      </c>
      <c r="F87" s="94">
        <v>4</v>
      </c>
      <c r="G87" s="94">
        <v>85</v>
      </c>
      <c r="H87" s="94">
        <v>4</v>
      </c>
      <c r="I87" s="94">
        <v>97</v>
      </c>
      <c r="J87" s="94">
        <v>4</v>
      </c>
      <c r="K87" s="94">
        <v>88</v>
      </c>
      <c r="L87" s="94">
        <v>2</v>
      </c>
      <c r="M87" s="94">
        <v>87</v>
      </c>
      <c r="N87" s="94">
        <v>2</v>
      </c>
      <c r="O87" s="94">
        <v>80</v>
      </c>
      <c r="P87" s="94">
        <v>2</v>
      </c>
      <c r="Q87">
        <v>96</v>
      </c>
      <c r="R87">
        <v>2</v>
      </c>
      <c r="S87">
        <v>98</v>
      </c>
      <c r="T87">
        <v>2</v>
      </c>
      <c r="U87">
        <v>77</v>
      </c>
      <c r="V87">
        <v>2</v>
      </c>
      <c r="W87">
        <v>80</v>
      </c>
      <c r="X87">
        <v>2</v>
      </c>
      <c r="Y87">
        <v>88</v>
      </c>
      <c r="Z87">
        <v>1</v>
      </c>
      <c r="AA87">
        <v>92</v>
      </c>
      <c r="AB87">
        <v>1</v>
      </c>
      <c r="AC87">
        <v>66</v>
      </c>
      <c r="AD87">
        <v>1</v>
      </c>
      <c r="AE87">
        <v>83</v>
      </c>
      <c r="AF87">
        <v>2</v>
      </c>
      <c r="AG87">
        <v>90</v>
      </c>
      <c r="AH87">
        <v>2</v>
      </c>
    </row>
    <row r="88" spans="1:34">
      <c r="A88" t="s">
        <v>449</v>
      </c>
      <c r="B88" s="24">
        <v>1802</v>
      </c>
      <c r="C88" s="24" t="s">
        <v>450</v>
      </c>
      <c r="D88" s="24" t="s">
        <v>197</v>
      </c>
      <c r="E88" s="93">
        <v>91</v>
      </c>
      <c r="F88" s="94">
        <v>4</v>
      </c>
      <c r="G88" s="94">
        <v>90</v>
      </c>
      <c r="H88" s="94">
        <v>4</v>
      </c>
      <c r="I88" s="94">
        <v>86</v>
      </c>
      <c r="J88" s="94">
        <v>4</v>
      </c>
      <c r="K88" s="94">
        <v>90</v>
      </c>
      <c r="L88" s="94">
        <v>2</v>
      </c>
      <c r="M88" s="94">
        <v>93</v>
      </c>
      <c r="N88" s="94">
        <v>2</v>
      </c>
      <c r="O88" s="94">
        <v>99</v>
      </c>
      <c r="P88" s="94">
        <v>2</v>
      </c>
      <c r="Q88">
        <v>93</v>
      </c>
      <c r="R88">
        <v>2</v>
      </c>
      <c r="S88">
        <v>86</v>
      </c>
      <c r="T88">
        <v>2</v>
      </c>
      <c r="U88">
        <v>80</v>
      </c>
      <c r="V88">
        <v>2</v>
      </c>
      <c r="W88">
        <v>95</v>
      </c>
      <c r="X88">
        <v>2</v>
      </c>
      <c r="Y88">
        <v>90</v>
      </c>
      <c r="Z88">
        <v>1</v>
      </c>
      <c r="AA88">
        <v>92</v>
      </c>
      <c r="AB88">
        <v>1</v>
      </c>
      <c r="AC88">
        <v>80</v>
      </c>
      <c r="AD88">
        <v>1</v>
      </c>
      <c r="AE88">
        <v>84</v>
      </c>
      <c r="AF88">
        <v>2</v>
      </c>
      <c r="AG88">
        <v>78</v>
      </c>
      <c r="AH88">
        <v>2</v>
      </c>
    </row>
    <row r="89" spans="1:34">
      <c r="A89" t="s">
        <v>451</v>
      </c>
      <c r="B89" s="24">
        <v>1802</v>
      </c>
      <c r="C89" s="24" t="s">
        <v>452</v>
      </c>
      <c r="D89" s="24" t="s">
        <v>453</v>
      </c>
      <c r="E89" s="93">
        <v>90</v>
      </c>
      <c r="F89" s="94">
        <v>4</v>
      </c>
      <c r="G89" s="94">
        <v>80</v>
      </c>
      <c r="H89" s="94">
        <v>4</v>
      </c>
      <c r="I89" s="94">
        <v>75</v>
      </c>
      <c r="J89" s="94">
        <v>4</v>
      </c>
      <c r="K89" s="94">
        <v>88</v>
      </c>
      <c r="L89" s="94">
        <v>2</v>
      </c>
      <c r="M89" s="94">
        <v>80</v>
      </c>
      <c r="N89" s="94">
        <v>2</v>
      </c>
      <c r="O89" s="94">
        <v>87</v>
      </c>
      <c r="P89" s="94">
        <v>2</v>
      </c>
      <c r="Q89">
        <v>85</v>
      </c>
      <c r="R89">
        <v>2</v>
      </c>
      <c r="S89">
        <v>88</v>
      </c>
      <c r="T89">
        <v>2</v>
      </c>
      <c r="U89">
        <v>79</v>
      </c>
      <c r="V89">
        <v>2</v>
      </c>
      <c r="W89">
        <v>85</v>
      </c>
      <c r="X89">
        <v>2</v>
      </c>
      <c r="Y89">
        <v>85</v>
      </c>
      <c r="Z89">
        <v>1</v>
      </c>
      <c r="AA89">
        <v>92</v>
      </c>
      <c r="AB89">
        <v>1</v>
      </c>
      <c r="AC89">
        <v>78</v>
      </c>
      <c r="AD89">
        <v>1</v>
      </c>
      <c r="AE89">
        <v>79</v>
      </c>
      <c r="AF89">
        <v>2</v>
      </c>
      <c r="AG89">
        <v>96</v>
      </c>
      <c r="AH89">
        <v>2</v>
      </c>
    </row>
    <row r="90" spans="1:34">
      <c r="A90" t="s">
        <v>454</v>
      </c>
      <c r="B90" s="24">
        <v>1802</v>
      </c>
      <c r="C90" s="24" t="s">
        <v>455</v>
      </c>
      <c r="D90" s="24" t="s">
        <v>456</v>
      </c>
      <c r="E90" s="93">
        <v>93</v>
      </c>
      <c r="F90" s="94">
        <v>4</v>
      </c>
      <c r="G90" s="94">
        <v>85</v>
      </c>
      <c r="H90" s="94">
        <v>4</v>
      </c>
      <c r="I90" s="94">
        <v>76</v>
      </c>
      <c r="J90" s="94">
        <v>4</v>
      </c>
      <c r="K90" s="94">
        <v>88</v>
      </c>
      <c r="L90" s="94">
        <v>2</v>
      </c>
      <c r="M90" s="94">
        <v>85</v>
      </c>
      <c r="N90" s="94">
        <v>2</v>
      </c>
      <c r="O90" s="94">
        <v>89</v>
      </c>
      <c r="P90" s="94">
        <v>2</v>
      </c>
      <c r="Q90">
        <v>97</v>
      </c>
      <c r="R90">
        <v>2</v>
      </c>
      <c r="S90">
        <v>100</v>
      </c>
      <c r="T90">
        <v>2</v>
      </c>
      <c r="U90">
        <v>85</v>
      </c>
      <c r="V90">
        <v>2</v>
      </c>
      <c r="W90">
        <v>93</v>
      </c>
      <c r="X90">
        <v>2</v>
      </c>
      <c r="Y90">
        <v>88</v>
      </c>
      <c r="Z90">
        <v>1</v>
      </c>
      <c r="AA90">
        <v>92</v>
      </c>
      <c r="AB90">
        <v>1</v>
      </c>
      <c r="AC90">
        <v>63</v>
      </c>
      <c r="AD90">
        <v>1</v>
      </c>
      <c r="AE90">
        <v>83</v>
      </c>
      <c r="AF90">
        <v>2</v>
      </c>
      <c r="AG90">
        <v>82</v>
      </c>
      <c r="AH90">
        <v>2</v>
      </c>
    </row>
    <row r="91" spans="1:34">
      <c r="A91" t="s">
        <v>457</v>
      </c>
      <c r="B91" s="24">
        <v>1802</v>
      </c>
      <c r="C91" s="24" t="s">
        <v>458</v>
      </c>
      <c r="D91" s="24" t="s">
        <v>459</v>
      </c>
      <c r="E91" s="93">
        <v>89</v>
      </c>
      <c r="F91" s="94">
        <v>4</v>
      </c>
      <c r="G91" s="94">
        <v>90</v>
      </c>
      <c r="H91" s="94">
        <v>4</v>
      </c>
      <c r="I91" s="94">
        <v>85</v>
      </c>
      <c r="J91" s="94">
        <v>4</v>
      </c>
      <c r="K91" s="94">
        <v>87</v>
      </c>
      <c r="L91" s="94">
        <v>2</v>
      </c>
      <c r="M91" s="94">
        <v>87</v>
      </c>
      <c r="N91" s="94">
        <v>2</v>
      </c>
      <c r="O91" s="94">
        <v>86</v>
      </c>
      <c r="P91" s="94">
        <v>2</v>
      </c>
      <c r="Q91">
        <v>86</v>
      </c>
      <c r="R91">
        <v>2</v>
      </c>
      <c r="S91">
        <v>88</v>
      </c>
      <c r="T91">
        <v>2</v>
      </c>
      <c r="U91">
        <v>71</v>
      </c>
      <c r="V91">
        <v>2</v>
      </c>
      <c r="W91">
        <v>85</v>
      </c>
      <c r="X91">
        <v>2</v>
      </c>
      <c r="Y91">
        <v>78</v>
      </c>
      <c r="Z91">
        <v>1</v>
      </c>
      <c r="AA91">
        <v>92</v>
      </c>
      <c r="AB91">
        <v>1</v>
      </c>
      <c r="AC91">
        <v>68</v>
      </c>
      <c r="AD91">
        <v>1</v>
      </c>
      <c r="AE91">
        <v>84</v>
      </c>
      <c r="AF91">
        <v>2</v>
      </c>
      <c r="AG91">
        <v>90</v>
      </c>
      <c r="AH91">
        <v>2</v>
      </c>
    </row>
    <row r="92" spans="1:34">
      <c r="A92" t="s">
        <v>460</v>
      </c>
      <c r="B92" s="24">
        <v>1802</v>
      </c>
      <c r="C92" s="24" t="s">
        <v>461</v>
      </c>
      <c r="D92" s="24" t="s">
        <v>462</v>
      </c>
      <c r="E92" s="93">
        <v>87</v>
      </c>
      <c r="F92" s="94">
        <v>4</v>
      </c>
      <c r="G92" s="94">
        <v>80</v>
      </c>
      <c r="H92" s="94">
        <v>4</v>
      </c>
      <c r="I92" s="94">
        <v>76</v>
      </c>
      <c r="J92" s="94">
        <v>4</v>
      </c>
      <c r="K92" s="94">
        <v>87</v>
      </c>
      <c r="L92" s="94">
        <v>2</v>
      </c>
      <c r="M92" s="94">
        <v>84</v>
      </c>
      <c r="N92" s="94">
        <v>2</v>
      </c>
      <c r="O92" s="94">
        <v>80</v>
      </c>
      <c r="P92" s="94">
        <v>2</v>
      </c>
      <c r="Q92">
        <v>99</v>
      </c>
      <c r="R92">
        <v>2</v>
      </c>
      <c r="S92">
        <v>80</v>
      </c>
      <c r="T92">
        <v>2</v>
      </c>
      <c r="U92">
        <v>70</v>
      </c>
      <c r="V92">
        <v>2</v>
      </c>
      <c r="W92">
        <v>88</v>
      </c>
      <c r="X92">
        <v>2</v>
      </c>
      <c r="Y92">
        <v>79</v>
      </c>
      <c r="Z92">
        <v>1</v>
      </c>
      <c r="AA92">
        <v>92</v>
      </c>
      <c r="AB92">
        <v>1</v>
      </c>
      <c r="AC92">
        <v>62</v>
      </c>
      <c r="AD92">
        <v>1</v>
      </c>
      <c r="AE92">
        <v>82</v>
      </c>
      <c r="AF92">
        <v>2</v>
      </c>
      <c r="AG92">
        <v>98</v>
      </c>
      <c r="AH92">
        <v>2</v>
      </c>
    </row>
    <row r="93" spans="1:34">
      <c r="A93" t="s">
        <v>463</v>
      </c>
      <c r="B93" s="24">
        <v>1802</v>
      </c>
      <c r="C93" s="24" t="s">
        <v>464</v>
      </c>
      <c r="D93" s="24" t="s">
        <v>465</v>
      </c>
      <c r="E93" s="93">
        <v>90</v>
      </c>
      <c r="F93" s="94">
        <v>4</v>
      </c>
      <c r="G93" s="94">
        <v>90</v>
      </c>
      <c r="H93" s="94">
        <v>4</v>
      </c>
      <c r="I93" s="94">
        <v>84</v>
      </c>
      <c r="J93" s="94">
        <v>4</v>
      </c>
      <c r="K93" s="94">
        <v>95</v>
      </c>
      <c r="L93" s="94">
        <v>2</v>
      </c>
      <c r="M93" s="94">
        <v>92</v>
      </c>
      <c r="N93" s="94">
        <v>2</v>
      </c>
      <c r="O93" s="94">
        <v>80</v>
      </c>
      <c r="P93" s="94">
        <v>2</v>
      </c>
      <c r="Q93">
        <v>85</v>
      </c>
      <c r="R93">
        <v>2</v>
      </c>
      <c r="S93">
        <v>80</v>
      </c>
      <c r="T93">
        <v>2</v>
      </c>
      <c r="U93">
        <v>73</v>
      </c>
      <c r="V93">
        <v>2</v>
      </c>
      <c r="W93">
        <v>80</v>
      </c>
      <c r="X93">
        <v>2</v>
      </c>
      <c r="Y93">
        <v>77</v>
      </c>
      <c r="Z93">
        <v>1</v>
      </c>
      <c r="AA93">
        <v>92</v>
      </c>
      <c r="AB93">
        <v>1</v>
      </c>
      <c r="AC93">
        <v>65</v>
      </c>
      <c r="AD93">
        <v>1</v>
      </c>
      <c r="AE93">
        <v>82</v>
      </c>
      <c r="AF93">
        <v>2</v>
      </c>
      <c r="AG93">
        <v>78</v>
      </c>
      <c r="AH93">
        <v>2</v>
      </c>
    </row>
    <row r="94" spans="1:34">
      <c r="A94" t="s">
        <v>466</v>
      </c>
      <c r="B94" s="24">
        <v>1802</v>
      </c>
      <c r="C94" s="24" t="s">
        <v>467</v>
      </c>
      <c r="D94" s="24" t="s">
        <v>468</v>
      </c>
      <c r="E94" s="93">
        <v>82</v>
      </c>
      <c r="F94" s="94">
        <v>4</v>
      </c>
      <c r="G94" s="94">
        <v>90</v>
      </c>
      <c r="H94" s="94">
        <v>4</v>
      </c>
      <c r="I94" s="94">
        <v>92</v>
      </c>
      <c r="J94" s="94">
        <v>4</v>
      </c>
      <c r="K94" s="94">
        <v>93</v>
      </c>
      <c r="L94" s="94">
        <v>2</v>
      </c>
      <c r="M94" s="94">
        <v>89</v>
      </c>
      <c r="N94" s="94">
        <v>2</v>
      </c>
      <c r="O94" s="94">
        <v>80</v>
      </c>
      <c r="P94" s="94">
        <v>2</v>
      </c>
      <c r="Q94">
        <v>86</v>
      </c>
      <c r="R94">
        <v>2</v>
      </c>
      <c r="S94">
        <v>88</v>
      </c>
      <c r="T94">
        <v>2</v>
      </c>
      <c r="U94">
        <v>79</v>
      </c>
      <c r="V94">
        <v>2</v>
      </c>
      <c r="W94">
        <v>83</v>
      </c>
      <c r="X94">
        <v>2</v>
      </c>
      <c r="Y94">
        <v>78</v>
      </c>
      <c r="Z94">
        <v>1</v>
      </c>
      <c r="AA94">
        <v>92</v>
      </c>
      <c r="AB94">
        <v>1</v>
      </c>
      <c r="AC94">
        <v>76</v>
      </c>
      <c r="AD94">
        <v>1</v>
      </c>
      <c r="AE94">
        <v>86</v>
      </c>
      <c r="AF94">
        <v>2</v>
      </c>
      <c r="AG94">
        <v>98</v>
      </c>
      <c r="AH94">
        <v>2</v>
      </c>
    </row>
    <row r="95" spans="1:34">
      <c r="A95" t="s">
        <v>469</v>
      </c>
      <c r="B95" s="24">
        <v>1802</v>
      </c>
      <c r="C95" s="24" t="s">
        <v>470</v>
      </c>
      <c r="D95" s="24" t="s">
        <v>471</v>
      </c>
      <c r="E95" s="93">
        <v>95</v>
      </c>
      <c r="F95" s="94">
        <v>4</v>
      </c>
      <c r="G95" s="94">
        <v>90</v>
      </c>
      <c r="H95" s="94">
        <v>4</v>
      </c>
      <c r="I95" s="94">
        <v>86</v>
      </c>
      <c r="J95" s="94">
        <v>4</v>
      </c>
      <c r="K95" s="94">
        <v>87</v>
      </c>
      <c r="L95" s="94">
        <v>2</v>
      </c>
      <c r="M95" s="94">
        <v>91</v>
      </c>
      <c r="N95" s="94">
        <v>2</v>
      </c>
      <c r="O95" s="94">
        <v>87</v>
      </c>
      <c r="P95" s="94">
        <v>2</v>
      </c>
      <c r="Q95">
        <v>88</v>
      </c>
      <c r="R95">
        <v>2</v>
      </c>
      <c r="S95">
        <v>90</v>
      </c>
      <c r="T95">
        <v>2</v>
      </c>
      <c r="U95">
        <v>73</v>
      </c>
      <c r="V95">
        <v>2</v>
      </c>
      <c r="W95">
        <v>88</v>
      </c>
      <c r="X95">
        <v>2</v>
      </c>
      <c r="Y95">
        <v>77</v>
      </c>
      <c r="Z95">
        <v>1</v>
      </c>
      <c r="AA95">
        <v>92</v>
      </c>
      <c r="AB95">
        <v>1</v>
      </c>
      <c r="AC95">
        <v>62</v>
      </c>
      <c r="AD95">
        <v>1</v>
      </c>
      <c r="AE95">
        <v>81</v>
      </c>
      <c r="AF95">
        <v>2</v>
      </c>
      <c r="AG95">
        <v>90</v>
      </c>
      <c r="AH95">
        <v>2</v>
      </c>
    </row>
    <row r="96" spans="1:34">
      <c r="A96" t="s">
        <v>472</v>
      </c>
      <c r="B96" s="24">
        <v>1802</v>
      </c>
      <c r="C96" s="24" t="s">
        <v>473</v>
      </c>
      <c r="D96" s="24" t="s">
        <v>474</v>
      </c>
      <c r="E96" s="93">
        <v>83</v>
      </c>
      <c r="F96" s="94">
        <v>4</v>
      </c>
      <c r="G96" s="94">
        <v>70</v>
      </c>
      <c r="H96" s="94">
        <v>4</v>
      </c>
      <c r="I96" s="94">
        <v>87</v>
      </c>
      <c r="J96" s="94">
        <v>4</v>
      </c>
      <c r="K96" s="94">
        <v>88</v>
      </c>
      <c r="L96" s="94">
        <v>2</v>
      </c>
      <c r="M96" s="94">
        <v>78</v>
      </c>
      <c r="N96" s="94">
        <v>2</v>
      </c>
      <c r="O96" s="94">
        <v>80</v>
      </c>
      <c r="P96" s="94">
        <v>2</v>
      </c>
      <c r="Q96">
        <v>84</v>
      </c>
      <c r="R96">
        <v>2</v>
      </c>
      <c r="S96">
        <v>80</v>
      </c>
      <c r="T96">
        <v>2</v>
      </c>
      <c r="U96">
        <v>83</v>
      </c>
      <c r="V96">
        <v>2</v>
      </c>
      <c r="W96">
        <v>88</v>
      </c>
      <c r="X96">
        <v>2</v>
      </c>
      <c r="Y96">
        <v>80</v>
      </c>
      <c r="Z96">
        <v>1</v>
      </c>
      <c r="AA96">
        <v>92</v>
      </c>
      <c r="AB96">
        <v>1</v>
      </c>
      <c r="AC96">
        <v>75</v>
      </c>
      <c r="AD96">
        <v>1</v>
      </c>
      <c r="AE96">
        <v>79</v>
      </c>
      <c r="AF96">
        <v>2</v>
      </c>
      <c r="AG96">
        <v>98</v>
      </c>
      <c r="AH96">
        <v>2</v>
      </c>
    </row>
    <row r="97" spans="1:34">
      <c r="A97" t="s">
        <v>475</v>
      </c>
      <c r="B97" s="24">
        <v>1802</v>
      </c>
      <c r="C97" s="24" t="s">
        <v>476</v>
      </c>
      <c r="D97" s="24" t="s">
        <v>477</v>
      </c>
      <c r="E97" s="93">
        <v>81</v>
      </c>
      <c r="F97" s="94">
        <v>4</v>
      </c>
      <c r="G97" s="94">
        <v>85</v>
      </c>
      <c r="H97" s="94">
        <v>4</v>
      </c>
      <c r="I97" s="94">
        <v>68</v>
      </c>
      <c r="J97" s="94">
        <v>4</v>
      </c>
      <c r="K97" s="94">
        <v>90</v>
      </c>
      <c r="L97" s="94">
        <v>2</v>
      </c>
      <c r="M97" s="94">
        <v>91</v>
      </c>
      <c r="N97" s="94">
        <v>2</v>
      </c>
      <c r="O97" s="94">
        <v>95</v>
      </c>
      <c r="P97" s="94">
        <v>2</v>
      </c>
      <c r="Q97">
        <v>98</v>
      </c>
      <c r="R97">
        <v>2</v>
      </c>
      <c r="S97">
        <v>88</v>
      </c>
      <c r="T97">
        <v>2</v>
      </c>
      <c r="U97">
        <v>80</v>
      </c>
      <c r="V97">
        <v>2</v>
      </c>
      <c r="W97">
        <v>80</v>
      </c>
      <c r="X97">
        <v>2</v>
      </c>
      <c r="Y97">
        <v>85</v>
      </c>
      <c r="Z97">
        <v>1</v>
      </c>
      <c r="AA97">
        <v>92</v>
      </c>
      <c r="AB97">
        <v>1</v>
      </c>
      <c r="AC97">
        <v>63</v>
      </c>
      <c r="AD97">
        <v>1</v>
      </c>
      <c r="AE97">
        <v>84</v>
      </c>
      <c r="AF97">
        <v>2</v>
      </c>
      <c r="AG97">
        <v>98</v>
      </c>
      <c r="AH97">
        <v>2</v>
      </c>
    </row>
    <row r="98" spans="1:34">
      <c r="A98" t="s">
        <v>478</v>
      </c>
      <c r="B98" s="24">
        <v>1802</v>
      </c>
      <c r="C98" s="24" t="s">
        <v>479</v>
      </c>
      <c r="D98" s="24" t="s">
        <v>480</v>
      </c>
      <c r="E98" s="93">
        <v>80</v>
      </c>
      <c r="F98" s="94">
        <v>4</v>
      </c>
      <c r="G98" s="94">
        <v>85</v>
      </c>
      <c r="H98" s="94">
        <v>4</v>
      </c>
      <c r="I98" s="94">
        <v>62</v>
      </c>
      <c r="J98" s="94">
        <v>4</v>
      </c>
      <c r="K98" s="94">
        <v>88</v>
      </c>
      <c r="L98" s="94">
        <v>2</v>
      </c>
      <c r="M98" s="94">
        <v>85</v>
      </c>
      <c r="N98" s="94">
        <v>2</v>
      </c>
      <c r="O98" s="94">
        <v>80</v>
      </c>
      <c r="P98" s="94">
        <v>2</v>
      </c>
      <c r="Q98">
        <v>82</v>
      </c>
      <c r="R98">
        <v>2</v>
      </c>
      <c r="S98">
        <v>80</v>
      </c>
      <c r="T98">
        <v>2</v>
      </c>
      <c r="U98">
        <v>75</v>
      </c>
      <c r="V98">
        <v>2</v>
      </c>
      <c r="W98">
        <v>88</v>
      </c>
      <c r="X98">
        <v>2</v>
      </c>
      <c r="Y98">
        <v>78</v>
      </c>
      <c r="Z98">
        <v>1</v>
      </c>
      <c r="AA98">
        <v>92</v>
      </c>
      <c r="AB98">
        <v>1</v>
      </c>
      <c r="AC98">
        <v>70</v>
      </c>
      <c r="AD98">
        <v>1</v>
      </c>
      <c r="AE98">
        <v>86</v>
      </c>
      <c r="AF98">
        <v>2</v>
      </c>
      <c r="AG98">
        <v>90</v>
      </c>
      <c r="AH98">
        <v>2</v>
      </c>
    </row>
    <row r="99" spans="1:34">
      <c r="A99" t="s">
        <v>481</v>
      </c>
      <c r="B99" s="24">
        <v>1802</v>
      </c>
      <c r="C99" s="24" t="s">
        <v>482</v>
      </c>
      <c r="D99" s="24" t="s">
        <v>483</v>
      </c>
      <c r="E99" s="93">
        <v>90</v>
      </c>
      <c r="F99" s="94">
        <v>4</v>
      </c>
      <c r="G99" s="94">
        <v>85</v>
      </c>
      <c r="H99" s="94">
        <v>4</v>
      </c>
      <c r="I99" s="94">
        <v>79</v>
      </c>
      <c r="J99" s="94">
        <v>4</v>
      </c>
      <c r="K99" s="94">
        <v>86</v>
      </c>
      <c r="L99" s="94">
        <v>2</v>
      </c>
      <c r="M99" s="94">
        <v>85</v>
      </c>
      <c r="N99" s="94">
        <v>2</v>
      </c>
      <c r="O99" s="94">
        <v>80</v>
      </c>
      <c r="P99" s="94">
        <v>2</v>
      </c>
      <c r="Q99">
        <v>89</v>
      </c>
      <c r="R99">
        <v>2</v>
      </c>
      <c r="S99">
        <v>85</v>
      </c>
      <c r="T99">
        <v>2</v>
      </c>
      <c r="U99">
        <v>80</v>
      </c>
      <c r="V99">
        <v>2</v>
      </c>
      <c r="W99">
        <v>88</v>
      </c>
      <c r="X99">
        <v>2</v>
      </c>
      <c r="Y99">
        <v>80</v>
      </c>
      <c r="Z99">
        <v>1</v>
      </c>
      <c r="AA99">
        <v>92</v>
      </c>
      <c r="AB99">
        <v>1</v>
      </c>
      <c r="AC99">
        <v>70</v>
      </c>
      <c r="AD99">
        <v>1</v>
      </c>
      <c r="AE99">
        <v>78</v>
      </c>
      <c r="AF99">
        <v>2</v>
      </c>
      <c r="AG99">
        <v>98</v>
      </c>
      <c r="AH99">
        <v>2</v>
      </c>
    </row>
    <row r="100" spans="1:34">
      <c r="A100" t="s">
        <v>1766</v>
      </c>
      <c r="B100" s="24">
        <v>1802</v>
      </c>
      <c r="C100" s="24" t="s">
        <v>485</v>
      </c>
      <c r="D100" s="24" t="s">
        <v>1768</v>
      </c>
      <c r="E100" s="93">
        <v>85</v>
      </c>
      <c r="F100" s="94">
        <v>4</v>
      </c>
      <c r="G100" s="94">
        <v>80</v>
      </c>
      <c r="H100" s="94">
        <v>4</v>
      </c>
      <c r="I100" s="94">
        <v>88</v>
      </c>
      <c r="J100" s="94">
        <v>4</v>
      </c>
      <c r="K100" s="94">
        <v>90</v>
      </c>
      <c r="L100" s="94">
        <v>2</v>
      </c>
      <c r="M100" s="94">
        <v>87</v>
      </c>
      <c r="N100" s="94">
        <v>2</v>
      </c>
      <c r="O100" s="94">
        <v>80</v>
      </c>
      <c r="P100" s="94">
        <v>2</v>
      </c>
      <c r="Q100">
        <v>81</v>
      </c>
      <c r="R100">
        <v>2</v>
      </c>
      <c r="S100">
        <v>80</v>
      </c>
      <c r="T100">
        <v>2</v>
      </c>
      <c r="U100">
        <v>70</v>
      </c>
      <c r="V100">
        <v>2</v>
      </c>
      <c r="W100">
        <v>88</v>
      </c>
      <c r="X100">
        <v>2</v>
      </c>
      <c r="Y100">
        <v>84</v>
      </c>
      <c r="Z100">
        <v>1</v>
      </c>
      <c r="AA100">
        <v>92</v>
      </c>
      <c r="AB100">
        <v>1</v>
      </c>
      <c r="AC100">
        <v>68</v>
      </c>
      <c r="AD100">
        <v>1</v>
      </c>
      <c r="AE100">
        <v>89</v>
      </c>
      <c r="AF100">
        <v>2</v>
      </c>
      <c r="AG100">
        <v>98</v>
      </c>
      <c r="AH100">
        <v>2</v>
      </c>
    </row>
    <row r="101" spans="1:34">
      <c r="A101" t="s">
        <v>486</v>
      </c>
      <c r="B101" s="24">
        <v>1802</v>
      </c>
      <c r="C101" s="24" t="s">
        <v>487</v>
      </c>
      <c r="D101" s="24" t="s">
        <v>488</v>
      </c>
      <c r="E101" s="93">
        <v>78</v>
      </c>
      <c r="F101" s="94">
        <v>4</v>
      </c>
      <c r="G101" s="94">
        <v>80</v>
      </c>
      <c r="H101" s="94">
        <v>4</v>
      </c>
      <c r="I101" s="94">
        <v>61</v>
      </c>
      <c r="J101" s="94">
        <v>4</v>
      </c>
      <c r="K101" s="94">
        <v>85</v>
      </c>
      <c r="L101" s="94">
        <v>2</v>
      </c>
      <c r="M101" s="94">
        <v>88</v>
      </c>
      <c r="N101" s="94">
        <v>2</v>
      </c>
      <c r="O101" s="94">
        <v>80</v>
      </c>
      <c r="P101" s="94">
        <v>2</v>
      </c>
      <c r="Q101">
        <v>96</v>
      </c>
      <c r="R101">
        <v>2</v>
      </c>
      <c r="S101">
        <v>86</v>
      </c>
      <c r="T101">
        <v>2</v>
      </c>
      <c r="U101">
        <v>83</v>
      </c>
      <c r="V101">
        <v>2</v>
      </c>
      <c r="W101">
        <v>85</v>
      </c>
      <c r="X101">
        <v>2</v>
      </c>
      <c r="Y101">
        <v>82</v>
      </c>
      <c r="Z101">
        <v>1</v>
      </c>
      <c r="AA101">
        <v>92</v>
      </c>
      <c r="AB101">
        <v>1</v>
      </c>
      <c r="AC101">
        <v>80</v>
      </c>
      <c r="AD101">
        <v>1</v>
      </c>
      <c r="AE101">
        <v>88</v>
      </c>
      <c r="AF101">
        <v>2</v>
      </c>
      <c r="AG101">
        <v>93</v>
      </c>
      <c r="AH101">
        <v>2</v>
      </c>
    </row>
    <row r="102" spans="1:34">
      <c r="A102" t="s">
        <v>493</v>
      </c>
      <c r="B102" s="24">
        <v>1802</v>
      </c>
      <c r="C102" s="24" t="s">
        <v>3255</v>
      </c>
      <c r="D102" s="24" t="s">
        <v>495</v>
      </c>
      <c r="E102" s="93">
        <v>89</v>
      </c>
      <c r="F102" s="94">
        <v>4</v>
      </c>
      <c r="G102" s="94">
        <v>90</v>
      </c>
      <c r="H102" s="94">
        <v>4</v>
      </c>
      <c r="I102" s="94">
        <v>89</v>
      </c>
      <c r="J102" s="94">
        <v>4</v>
      </c>
      <c r="K102" s="94">
        <v>93</v>
      </c>
      <c r="L102" s="94">
        <v>2</v>
      </c>
      <c r="M102" s="94">
        <v>89</v>
      </c>
      <c r="N102" s="94">
        <v>2</v>
      </c>
      <c r="O102" s="94">
        <v>85</v>
      </c>
      <c r="P102" s="94">
        <v>2</v>
      </c>
      <c r="Q102">
        <v>87</v>
      </c>
      <c r="R102">
        <v>2</v>
      </c>
      <c r="S102">
        <v>80</v>
      </c>
      <c r="T102">
        <v>2</v>
      </c>
      <c r="U102">
        <v>75</v>
      </c>
      <c r="V102">
        <v>2</v>
      </c>
      <c r="W102">
        <v>88</v>
      </c>
      <c r="X102">
        <v>2</v>
      </c>
      <c r="Y102">
        <v>83</v>
      </c>
      <c r="Z102">
        <v>1</v>
      </c>
      <c r="AA102">
        <v>92</v>
      </c>
      <c r="AB102">
        <v>1</v>
      </c>
      <c r="AC102">
        <v>72</v>
      </c>
      <c r="AD102">
        <v>1</v>
      </c>
      <c r="AE102">
        <v>82</v>
      </c>
      <c r="AF102">
        <v>2</v>
      </c>
      <c r="AG102">
        <v>83</v>
      </c>
      <c r="AH102">
        <v>2</v>
      </c>
    </row>
    <row r="103" spans="1:34">
      <c r="A103" t="s">
        <v>496</v>
      </c>
      <c r="B103" s="24">
        <v>1802</v>
      </c>
      <c r="C103" s="24" t="s">
        <v>492</v>
      </c>
      <c r="D103" s="24" t="s">
        <v>498</v>
      </c>
      <c r="E103" s="93">
        <v>94</v>
      </c>
      <c r="F103" s="94">
        <v>4</v>
      </c>
      <c r="G103" s="94">
        <v>90</v>
      </c>
      <c r="H103" s="94">
        <v>4</v>
      </c>
      <c r="I103" s="94">
        <v>98</v>
      </c>
      <c r="J103" s="94">
        <v>4</v>
      </c>
      <c r="K103" s="94">
        <v>92</v>
      </c>
      <c r="L103" s="94">
        <v>2</v>
      </c>
      <c r="M103" s="94">
        <v>93</v>
      </c>
      <c r="N103" s="94">
        <v>2</v>
      </c>
      <c r="O103" s="94">
        <v>94</v>
      </c>
      <c r="P103" s="94">
        <v>2</v>
      </c>
      <c r="Q103">
        <v>89</v>
      </c>
      <c r="R103">
        <v>2</v>
      </c>
      <c r="S103">
        <v>95</v>
      </c>
      <c r="T103">
        <v>2</v>
      </c>
      <c r="U103">
        <v>90</v>
      </c>
      <c r="V103">
        <v>2</v>
      </c>
      <c r="W103">
        <v>93</v>
      </c>
      <c r="X103">
        <v>2</v>
      </c>
      <c r="Y103">
        <v>88</v>
      </c>
      <c r="Z103">
        <v>1</v>
      </c>
      <c r="AA103">
        <v>92</v>
      </c>
      <c r="AB103">
        <v>1</v>
      </c>
      <c r="AC103">
        <v>72</v>
      </c>
      <c r="AD103">
        <v>1</v>
      </c>
      <c r="AE103">
        <v>80</v>
      </c>
      <c r="AF103">
        <v>2</v>
      </c>
      <c r="AG103">
        <v>90</v>
      </c>
      <c r="AH103">
        <v>2</v>
      </c>
    </row>
    <row r="104" spans="1:34">
      <c r="A104" t="s">
        <v>499</v>
      </c>
      <c r="B104" s="24">
        <v>1802</v>
      </c>
      <c r="C104" s="24" t="s">
        <v>494</v>
      </c>
      <c r="D104" s="24" t="s">
        <v>501</v>
      </c>
      <c r="E104" s="93">
        <v>87</v>
      </c>
      <c r="F104" s="94">
        <v>4</v>
      </c>
      <c r="G104" s="94">
        <v>70</v>
      </c>
      <c r="H104" s="94">
        <v>4</v>
      </c>
      <c r="I104" s="94">
        <v>82</v>
      </c>
      <c r="J104" s="94">
        <v>4</v>
      </c>
      <c r="K104" s="94">
        <v>86</v>
      </c>
      <c r="L104" s="94">
        <v>2</v>
      </c>
      <c r="M104" s="94">
        <v>80</v>
      </c>
      <c r="N104" s="94">
        <v>2</v>
      </c>
      <c r="O104" s="94">
        <v>80</v>
      </c>
      <c r="P104" s="94">
        <v>2</v>
      </c>
      <c r="Q104">
        <v>80</v>
      </c>
      <c r="R104">
        <v>2</v>
      </c>
      <c r="S104">
        <v>72</v>
      </c>
      <c r="T104">
        <v>2</v>
      </c>
      <c r="U104">
        <v>70</v>
      </c>
      <c r="V104">
        <v>2</v>
      </c>
      <c r="W104">
        <v>88</v>
      </c>
      <c r="X104">
        <v>2</v>
      </c>
      <c r="Y104">
        <v>78</v>
      </c>
      <c r="Z104">
        <v>1</v>
      </c>
      <c r="AA104">
        <v>92</v>
      </c>
      <c r="AB104">
        <v>1</v>
      </c>
      <c r="AC104">
        <v>75</v>
      </c>
      <c r="AD104">
        <v>1</v>
      </c>
      <c r="AE104">
        <v>83</v>
      </c>
      <c r="AF104">
        <v>2</v>
      </c>
      <c r="AG104">
        <v>82</v>
      </c>
      <c r="AH104">
        <v>2</v>
      </c>
    </row>
    <row r="105" spans="1:34">
      <c r="A105" t="s">
        <v>502</v>
      </c>
      <c r="B105" s="24">
        <v>1802</v>
      </c>
      <c r="C105" s="24" t="s">
        <v>497</v>
      </c>
      <c r="D105" s="24" t="s">
        <v>504</v>
      </c>
      <c r="E105" s="93">
        <v>95</v>
      </c>
      <c r="F105" s="94">
        <v>4</v>
      </c>
      <c r="G105" s="94">
        <v>80</v>
      </c>
      <c r="H105" s="94">
        <v>4</v>
      </c>
      <c r="I105" s="94">
        <v>80</v>
      </c>
      <c r="J105" s="94">
        <v>4</v>
      </c>
      <c r="K105" s="94">
        <v>85</v>
      </c>
      <c r="L105" s="94">
        <v>2</v>
      </c>
      <c r="M105" s="94">
        <v>84</v>
      </c>
      <c r="N105" s="94">
        <v>2</v>
      </c>
      <c r="O105" s="94">
        <v>80</v>
      </c>
      <c r="P105" s="94">
        <v>2</v>
      </c>
      <c r="Q105">
        <v>90</v>
      </c>
      <c r="R105">
        <v>2</v>
      </c>
      <c r="S105">
        <v>80</v>
      </c>
      <c r="T105">
        <v>2</v>
      </c>
      <c r="U105">
        <v>70</v>
      </c>
      <c r="V105">
        <v>2</v>
      </c>
      <c r="W105">
        <v>83</v>
      </c>
      <c r="X105">
        <v>2</v>
      </c>
      <c r="Y105">
        <v>82</v>
      </c>
      <c r="Z105">
        <v>1</v>
      </c>
      <c r="AA105">
        <v>92</v>
      </c>
      <c r="AB105">
        <v>1</v>
      </c>
      <c r="AC105">
        <v>68</v>
      </c>
      <c r="AD105">
        <v>1</v>
      </c>
      <c r="AE105">
        <v>84</v>
      </c>
      <c r="AF105">
        <v>2</v>
      </c>
      <c r="AG105">
        <v>80</v>
      </c>
      <c r="AH105">
        <v>2</v>
      </c>
    </row>
    <row r="106" spans="1:34">
      <c r="A106" t="s">
        <v>505</v>
      </c>
      <c r="B106" s="24">
        <v>1802</v>
      </c>
      <c r="C106" s="24" t="s">
        <v>500</v>
      </c>
      <c r="D106" s="24" t="s">
        <v>507</v>
      </c>
      <c r="E106" s="93">
        <v>96</v>
      </c>
      <c r="F106" s="94">
        <v>4</v>
      </c>
      <c r="G106" s="94">
        <v>80</v>
      </c>
      <c r="H106" s="94">
        <v>4</v>
      </c>
      <c r="I106" s="94">
        <v>98</v>
      </c>
      <c r="J106" s="94">
        <v>4</v>
      </c>
      <c r="K106" s="94">
        <v>86</v>
      </c>
      <c r="L106" s="94">
        <v>2</v>
      </c>
      <c r="M106" s="94">
        <v>88</v>
      </c>
      <c r="N106" s="94">
        <v>2</v>
      </c>
      <c r="O106" s="94">
        <v>80</v>
      </c>
      <c r="P106" s="94">
        <v>2</v>
      </c>
      <c r="Q106">
        <v>97</v>
      </c>
      <c r="R106">
        <v>2</v>
      </c>
      <c r="S106">
        <v>85</v>
      </c>
      <c r="T106">
        <v>2</v>
      </c>
      <c r="U106">
        <v>85</v>
      </c>
      <c r="V106">
        <v>2</v>
      </c>
      <c r="W106">
        <v>88</v>
      </c>
      <c r="X106">
        <v>2</v>
      </c>
      <c r="Y106">
        <v>80</v>
      </c>
      <c r="Z106">
        <v>1</v>
      </c>
      <c r="AA106">
        <v>92</v>
      </c>
      <c r="AB106">
        <v>1</v>
      </c>
      <c r="AC106">
        <v>60</v>
      </c>
      <c r="AD106">
        <v>1</v>
      </c>
      <c r="AE106">
        <v>86</v>
      </c>
      <c r="AF106">
        <v>2</v>
      </c>
      <c r="AG106">
        <v>80</v>
      </c>
      <c r="AH106">
        <v>2</v>
      </c>
    </row>
    <row r="107" spans="1:34">
      <c r="A107" t="s">
        <v>508</v>
      </c>
      <c r="B107" s="24">
        <v>1802</v>
      </c>
      <c r="C107" s="24" t="s">
        <v>503</v>
      </c>
      <c r="D107" s="24" t="s">
        <v>510</v>
      </c>
      <c r="E107" s="93">
        <v>78</v>
      </c>
      <c r="F107" s="94">
        <v>4</v>
      </c>
      <c r="G107" s="94">
        <v>80</v>
      </c>
      <c r="H107" s="94">
        <v>4</v>
      </c>
      <c r="I107" s="94">
        <v>81</v>
      </c>
      <c r="J107" s="94">
        <v>4</v>
      </c>
      <c r="K107" s="94">
        <v>85</v>
      </c>
      <c r="L107" s="94">
        <v>2</v>
      </c>
      <c r="M107" s="94">
        <v>81</v>
      </c>
      <c r="N107" s="94">
        <v>2</v>
      </c>
      <c r="O107" s="94">
        <v>80</v>
      </c>
      <c r="P107" s="94">
        <v>2</v>
      </c>
      <c r="Q107">
        <v>90</v>
      </c>
      <c r="R107">
        <v>2</v>
      </c>
      <c r="S107">
        <v>88</v>
      </c>
      <c r="T107">
        <v>2</v>
      </c>
      <c r="U107">
        <v>75</v>
      </c>
      <c r="V107">
        <v>2</v>
      </c>
      <c r="W107">
        <v>83</v>
      </c>
      <c r="X107">
        <v>2</v>
      </c>
      <c r="Y107">
        <v>78</v>
      </c>
      <c r="Z107">
        <v>1</v>
      </c>
      <c r="AA107">
        <v>92</v>
      </c>
      <c r="AB107">
        <v>1</v>
      </c>
      <c r="AC107">
        <v>70</v>
      </c>
      <c r="AD107">
        <v>1</v>
      </c>
      <c r="AE107">
        <v>84</v>
      </c>
      <c r="AF107">
        <v>2</v>
      </c>
      <c r="AG107">
        <v>92</v>
      </c>
      <c r="AH107">
        <v>2</v>
      </c>
    </row>
    <row r="108" spans="1:34">
      <c r="A108" t="s">
        <v>511</v>
      </c>
      <c r="B108" s="24">
        <v>1802</v>
      </c>
      <c r="C108" s="24" t="s">
        <v>506</v>
      </c>
      <c r="D108" s="24" t="s">
        <v>513</v>
      </c>
      <c r="E108" s="93">
        <v>88</v>
      </c>
      <c r="F108" s="94">
        <v>4</v>
      </c>
      <c r="G108" s="94">
        <v>85</v>
      </c>
      <c r="H108" s="94">
        <v>4</v>
      </c>
      <c r="I108" s="94">
        <v>65</v>
      </c>
      <c r="J108" s="94">
        <v>4</v>
      </c>
      <c r="K108" s="94">
        <v>88</v>
      </c>
      <c r="L108" s="94">
        <v>2</v>
      </c>
      <c r="M108" s="94">
        <v>87</v>
      </c>
      <c r="N108" s="94">
        <v>2</v>
      </c>
      <c r="O108" s="94">
        <v>80</v>
      </c>
      <c r="P108" s="94">
        <v>2</v>
      </c>
      <c r="Q108">
        <v>85</v>
      </c>
      <c r="R108">
        <v>2</v>
      </c>
      <c r="S108">
        <v>93</v>
      </c>
      <c r="T108">
        <v>2</v>
      </c>
      <c r="U108">
        <v>88</v>
      </c>
      <c r="V108">
        <v>2</v>
      </c>
      <c r="W108">
        <v>98</v>
      </c>
      <c r="X108">
        <v>2</v>
      </c>
      <c r="Y108">
        <v>80</v>
      </c>
      <c r="Z108">
        <v>1</v>
      </c>
      <c r="AA108">
        <v>92</v>
      </c>
      <c r="AB108">
        <v>1</v>
      </c>
      <c r="AC108">
        <v>70</v>
      </c>
      <c r="AD108">
        <v>1</v>
      </c>
      <c r="AE108">
        <v>83</v>
      </c>
      <c r="AF108">
        <v>2</v>
      </c>
      <c r="AG108">
        <v>98</v>
      </c>
      <c r="AH108">
        <v>2</v>
      </c>
    </row>
    <row r="109" spans="1:34">
      <c r="A109" t="s">
        <v>514</v>
      </c>
      <c r="B109" s="24">
        <v>1802</v>
      </c>
      <c r="C109" s="24" t="s">
        <v>509</v>
      </c>
      <c r="D109" s="24" t="s">
        <v>516</v>
      </c>
      <c r="E109" s="93">
        <v>91</v>
      </c>
      <c r="F109" s="94">
        <v>4</v>
      </c>
      <c r="G109" s="94">
        <v>85</v>
      </c>
      <c r="H109" s="94">
        <v>4</v>
      </c>
      <c r="I109" s="94">
        <v>82</v>
      </c>
      <c r="J109" s="94">
        <v>4</v>
      </c>
      <c r="K109" s="94">
        <v>88</v>
      </c>
      <c r="L109" s="94">
        <v>2</v>
      </c>
      <c r="M109" s="94">
        <v>83</v>
      </c>
      <c r="N109" s="94">
        <v>2</v>
      </c>
      <c r="O109" s="94">
        <v>80</v>
      </c>
      <c r="P109" s="94">
        <v>2</v>
      </c>
      <c r="Q109">
        <v>96</v>
      </c>
      <c r="R109">
        <v>2</v>
      </c>
      <c r="S109">
        <v>95</v>
      </c>
      <c r="T109">
        <v>2</v>
      </c>
      <c r="U109">
        <v>88</v>
      </c>
      <c r="V109">
        <v>2</v>
      </c>
      <c r="W109">
        <v>85</v>
      </c>
      <c r="X109">
        <v>2</v>
      </c>
      <c r="Y109">
        <v>79</v>
      </c>
      <c r="Z109">
        <v>1</v>
      </c>
      <c r="AA109">
        <v>92</v>
      </c>
      <c r="AB109">
        <v>1</v>
      </c>
      <c r="AC109">
        <v>88</v>
      </c>
      <c r="AD109">
        <v>1</v>
      </c>
      <c r="AE109">
        <v>82</v>
      </c>
      <c r="AF109">
        <v>2</v>
      </c>
      <c r="AG109">
        <v>98</v>
      </c>
      <c r="AH109">
        <v>2</v>
      </c>
    </row>
    <row r="110" spans="1:34">
      <c r="A110" t="s">
        <v>517</v>
      </c>
      <c r="B110" s="24">
        <v>1802</v>
      </c>
      <c r="C110" s="24" t="s">
        <v>512</v>
      </c>
      <c r="D110" s="24" t="s">
        <v>519</v>
      </c>
      <c r="E110" s="93">
        <v>91</v>
      </c>
      <c r="F110" s="94">
        <v>4</v>
      </c>
      <c r="G110" s="94">
        <v>90</v>
      </c>
      <c r="H110" s="94">
        <v>4</v>
      </c>
      <c r="I110" s="94">
        <v>89</v>
      </c>
      <c r="J110" s="94">
        <v>4</v>
      </c>
      <c r="K110" s="94">
        <v>90</v>
      </c>
      <c r="L110" s="94">
        <v>2</v>
      </c>
      <c r="M110" s="94">
        <v>86</v>
      </c>
      <c r="N110" s="94">
        <v>2</v>
      </c>
      <c r="O110" s="94">
        <v>92</v>
      </c>
      <c r="P110" s="94">
        <v>2</v>
      </c>
      <c r="Q110">
        <v>96</v>
      </c>
      <c r="R110">
        <v>2</v>
      </c>
      <c r="S110">
        <v>100</v>
      </c>
      <c r="T110">
        <v>2</v>
      </c>
      <c r="U110">
        <v>79</v>
      </c>
      <c r="V110">
        <v>2</v>
      </c>
      <c r="W110">
        <v>96</v>
      </c>
      <c r="X110">
        <v>2</v>
      </c>
      <c r="Y110">
        <v>78</v>
      </c>
      <c r="Z110">
        <v>1</v>
      </c>
      <c r="AA110">
        <v>92</v>
      </c>
      <c r="AB110">
        <v>1</v>
      </c>
      <c r="AC110">
        <v>70</v>
      </c>
      <c r="AD110">
        <v>1</v>
      </c>
      <c r="AE110">
        <v>80</v>
      </c>
      <c r="AF110">
        <v>2</v>
      </c>
      <c r="AG110">
        <v>90</v>
      </c>
      <c r="AH110">
        <v>2</v>
      </c>
    </row>
    <row r="111" spans="1:34">
      <c r="A111" t="s">
        <v>520</v>
      </c>
      <c r="B111" s="24">
        <v>1802</v>
      </c>
      <c r="C111" s="24" t="s">
        <v>515</v>
      </c>
      <c r="D111" s="24" t="s">
        <v>522</v>
      </c>
      <c r="E111" s="93">
        <v>85</v>
      </c>
      <c r="F111" s="94">
        <v>4</v>
      </c>
      <c r="G111" s="94">
        <v>85</v>
      </c>
      <c r="H111" s="94">
        <v>4</v>
      </c>
      <c r="I111" s="94">
        <v>90</v>
      </c>
      <c r="J111" s="94">
        <v>4</v>
      </c>
      <c r="K111" s="94">
        <v>82</v>
      </c>
      <c r="L111" s="94">
        <v>2</v>
      </c>
      <c r="M111" s="94">
        <v>87</v>
      </c>
      <c r="N111" s="94">
        <v>2</v>
      </c>
      <c r="O111" s="94">
        <v>80</v>
      </c>
      <c r="P111" s="94">
        <v>2</v>
      </c>
      <c r="Q111">
        <v>80</v>
      </c>
      <c r="R111">
        <v>2</v>
      </c>
      <c r="S111">
        <v>83</v>
      </c>
      <c r="T111">
        <v>2</v>
      </c>
      <c r="U111">
        <v>81</v>
      </c>
      <c r="V111">
        <v>2</v>
      </c>
      <c r="W111">
        <v>93</v>
      </c>
      <c r="X111">
        <v>2</v>
      </c>
      <c r="Y111">
        <v>76</v>
      </c>
      <c r="Z111">
        <v>1</v>
      </c>
      <c r="AA111">
        <v>92</v>
      </c>
      <c r="AB111">
        <v>1</v>
      </c>
      <c r="AC111">
        <v>68</v>
      </c>
      <c r="AD111">
        <v>1</v>
      </c>
      <c r="AE111">
        <v>79</v>
      </c>
      <c r="AF111">
        <v>2</v>
      </c>
      <c r="AG111">
        <v>97</v>
      </c>
      <c r="AH111">
        <v>2</v>
      </c>
    </row>
    <row r="112" spans="1:34">
      <c r="A112" t="s">
        <v>523</v>
      </c>
      <c r="B112" s="24">
        <v>1802</v>
      </c>
      <c r="C112" s="24" t="s">
        <v>518</v>
      </c>
      <c r="D112" s="24" t="s">
        <v>525</v>
      </c>
      <c r="E112" s="93">
        <v>89</v>
      </c>
      <c r="F112" s="94">
        <v>4</v>
      </c>
      <c r="G112" s="94">
        <v>85</v>
      </c>
      <c r="H112" s="94">
        <v>4</v>
      </c>
      <c r="I112" s="94">
        <v>88</v>
      </c>
      <c r="J112" s="94">
        <v>4</v>
      </c>
      <c r="K112" s="94">
        <v>88</v>
      </c>
      <c r="L112" s="94">
        <v>2</v>
      </c>
      <c r="M112" s="94">
        <v>87</v>
      </c>
      <c r="N112" s="94">
        <v>2</v>
      </c>
      <c r="O112" s="94">
        <v>87</v>
      </c>
      <c r="P112" s="94">
        <v>2</v>
      </c>
      <c r="Q112">
        <v>98</v>
      </c>
      <c r="R112">
        <v>2</v>
      </c>
      <c r="S112">
        <v>95</v>
      </c>
      <c r="T112">
        <v>2</v>
      </c>
      <c r="U112">
        <v>76</v>
      </c>
      <c r="V112">
        <v>2</v>
      </c>
      <c r="W112">
        <v>85</v>
      </c>
      <c r="X112">
        <v>2</v>
      </c>
      <c r="Y112">
        <v>80</v>
      </c>
      <c r="Z112">
        <v>1</v>
      </c>
      <c r="AA112">
        <v>92</v>
      </c>
      <c r="AB112">
        <v>1</v>
      </c>
      <c r="AC112">
        <v>78</v>
      </c>
      <c r="AD112">
        <v>1</v>
      </c>
      <c r="AE112">
        <v>84</v>
      </c>
      <c r="AF112">
        <v>2</v>
      </c>
      <c r="AG112">
        <v>95</v>
      </c>
      <c r="AH112">
        <v>2</v>
      </c>
    </row>
    <row r="113" spans="1:34">
      <c r="A113" t="s">
        <v>526</v>
      </c>
      <c r="B113" s="24">
        <v>1802</v>
      </c>
      <c r="C113" s="24" t="s">
        <v>521</v>
      </c>
      <c r="D113" s="24" t="s">
        <v>528</v>
      </c>
      <c r="E113" s="93">
        <v>84</v>
      </c>
      <c r="F113" s="94">
        <v>4</v>
      </c>
      <c r="G113" s="94">
        <v>90</v>
      </c>
      <c r="H113" s="94">
        <v>4</v>
      </c>
      <c r="I113" s="94">
        <v>79</v>
      </c>
      <c r="J113" s="94">
        <v>4</v>
      </c>
      <c r="K113" s="94">
        <v>93</v>
      </c>
      <c r="L113" s="94">
        <v>2</v>
      </c>
      <c r="M113" s="94">
        <v>89</v>
      </c>
      <c r="N113" s="94">
        <v>2</v>
      </c>
      <c r="O113" s="94">
        <v>93</v>
      </c>
      <c r="P113" s="94">
        <v>2</v>
      </c>
      <c r="Q113">
        <v>81</v>
      </c>
      <c r="R113">
        <v>2</v>
      </c>
      <c r="S113">
        <v>88</v>
      </c>
      <c r="T113">
        <v>2</v>
      </c>
      <c r="U113">
        <v>88</v>
      </c>
      <c r="V113">
        <v>2</v>
      </c>
      <c r="W113">
        <v>90</v>
      </c>
      <c r="X113">
        <v>2</v>
      </c>
      <c r="Y113">
        <v>79</v>
      </c>
      <c r="Z113">
        <v>1</v>
      </c>
      <c r="AA113">
        <v>92</v>
      </c>
      <c r="AB113">
        <v>1</v>
      </c>
      <c r="AC113">
        <v>86</v>
      </c>
      <c r="AD113">
        <v>1</v>
      </c>
      <c r="AE113">
        <v>79</v>
      </c>
      <c r="AF113">
        <v>2</v>
      </c>
      <c r="AG113">
        <v>98</v>
      </c>
      <c r="AH113">
        <v>2</v>
      </c>
    </row>
    <row r="114" spans="1:34">
      <c r="A114" t="s">
        <v>529</v>
      </c>
      <c r="B114" s="24">
        <v>1802</v>
      </c>
      <c r="C114" s="24" t="s">
        <v>524</v>
      </c>
      <c r="D114" s="24" t="s">
        <v>531</v>
      </c>
      <c r="E114" s="93">
        <v>85</v>
      </c>
      <c r="F114" s="94">
        <v>4</v>
      </c>
      <c r="G114" s="94">
        <v>80</v>
      </c>
      <c r="H114" s="94">
        <v>4</v>
      </c>
      <c r="I114" s="94">
        <v>70</v>
      </c>
      <c r="J114" s="94">
        <v>4</v>
      </c>
      <c r="K114" s="94">
        <v>87</v>
      </c>
      <c r="L114" s="94">
        <v>2</v>
      </c>
      <c r="M114" s="94">
        <v>70</v>
      </c>
      <c r="N114" s="94">
        <v>2</v>
      </c>
      <c r="O114" s="94">
        <v>80</v>
      </c>
      <c r="P114" s="94">
        <v>2</v>
      </c>
      <c r="Q114">
        <v>82</v>
      </c>
      <c r="R114">
        <v>2</v>
      </c>
      <c r="S114">
        <v>70</v>
      </c>
      <c r="T114">
        <v>2</v>
      </c>
      <c r="U114">
        <v>70</v>
      </c>
      <c r="V114">
        <v>2</v>
      </c>
      <c r="W114">
        <v>88</v>
      </c>
      <c r="X114">
        <v>2</v>
      </c>
      <c r="Y114">
        <v>82</v>
      </c>
      <c r="Z114">
        <v>1</v>
      </c>
      <c r="AA114">
        <v>92</v>
      </c>
      <c r="AB114">
        <v>1</v>
      </c>
      <c r="AC114">
        <v>72</v>
      </c>
      <c r="AD114">
        <v>1</v>
      </c>
      <c r="AE114">
        <v>74</v>
      </c>
      <c r="AF114">
        <v>2</v>
      </c>
      <c r="AG114">
        <v>55</v>
      </c>
    </row>
    <row r="115" spans="1:34">
      <c r="A115">
        <v>20181087</v>
      </c>
      <c r="B115" s="24">
        <v>1802</v>
      </c>
      <c r="C115" s="24" t="s">
        <v>527</v>
      </c>
      <c r="D115" s="24" t="s">
        <v>3250</v>
      </c>
      <c r="E115" s="93">
        <v>80</v>
      </c>
      <c r="F115" s="94">
        <v>4</v>
      </c>
      <c r="G115" s="94">
        <v>80</v>
      </c>
      <c r="H115" s="94">
        <v>4</v>
      </c>
      <c r="I115" s="94">
        <v>70</v>
      </c>
      <c r="J115" s="94">
        <v>4</v>
      </c>
      <c r="K115" s="94">
        <v>82</v>
      </c>
      <c r="L115" s="94">
        <v>2</v>
      </c>
      <c r="M115" s="94">
        <v>86</v>
      </c>
      <c r="N115" s="94">
        <v>2</v>
      </c>
      <c r="O115" s="94">
        <v>80</v>
      </c>
      <c r="P115" s="94">
        <v>2</v>
      </c>
      <c r="Q115">
        <v>82</v>
      </c>
      <c r="R115">
        <v>2</v>
      </c>
      <c r="S115">
        <v>85</v>
      </c>
      <c r="T115">
        <v>2</v>
      </c>
      <c r="U115">
        <v>86</v>
      </c>
      <c r="V115">
        <v>2</v>
      </c>
      <c r="W115">
        <v>85</v>
      </c>
      <c r="X115">
        <v>2</v>
      </c>
      <c r="Y115">
        <v>85</v>
      </c>
      <c r="Z115">
        <v>1</v>
      </c>
      <c r="AA115">
        <v>92</v>
      </c>
      <c r="AB115">
        <v>1</v>
      </c>
      <c r="AC115">
        <v>70</v>
      </c>
      <c r="AD115">
        <v>1</v>
      </c>
      <c r="AE115">
        <v>76</v>
      </c>
      <c r="AF115">
        <v>2</v>
      </c>
      <c r="AG115">
        <v>98</v>
      </c>
      <c r="AH115">
        <v>2</v>
      </c>
    </row>
    <row r="116" spans="1:34">
      <c r="A116">
        <v>20181090</v>
      </c>
      <c r="B116" s="24">
        <v>1802</v>
      </c>
      <c r="C116" s="24" t="s">
        <v>530</v>
      </c>
      <c r="D116" s="24" t="s">
        <v>3252</v>
      </c>
      <c r="E116" s="93">
        <v>88</v>
      </c>
      <c r="F116" s="94">
        <v>4</v>
      </c>
      <c r="G116" s="94">
        <v>80</v>
      </c>
      <c r="H116" s="94">
        <v>4</v>
      </c>
      <c r="I116" s="94">
        <v>94</v>
      </c>
      <c r="J116" s="94">
        <v>4</v>
      </c>
      <c r="K116" s="94">
        <v>88</v>
      </c>
      <c r="L116" s="94">
        <v>2</v>
      </c>
      <c r="M116" s="94">
        <v>86</v>
      </c>
      <c r="N116" s="94">
        <v>2</v>
      </c>
      <c r="O116" s="94">
        <v>80</v>
      </c>
      <c r="P116" s="94">
        <v>2</v>
      </c>
      <c r="Q116">
        <v>85</v>
      </c>
      <c r="R116">
        <v>2</v>
      </c>
      <c r="S116">
        <v>85</v>
      </c>
      <c r="T116">
        <v>2</v>
      </c>
      <c r="U116">
        <v>72</v>
      </c>
      <c r="V116">
        <v>2</v>
      </c>
      <c r="W116">
        <v>80</v>
      </c>
      <c r="X116">
        <v>2</v>
      </c>
      <c r="Y116">
        <v>86</v>
      </c>
      <c r="Z116">
        <v>1</v>
      </c>
      <c r="AA116">
        <v>92</v>
      </c>
      <c r="AB116">
        <v>1</v>
      </c>
      <c r="AC116">
        <v>72</v>
      </c>
      <c r="AD116">
        <v>1</v>
      </c>
      <c r="AE116">
        <v>84</v>
      </c>
      <c r="AF116">
        <v>2</v>
      </c>
      <c r="AG116">
        <v>98</v>
      </c>
      <c r="AH116">
        <v>2</v>
      </c>
    </row>
    <row r="117" spans="1:34">
      <c r="A117" t="s">
        <v>532</v>
      </c>
      <c r="B117" s="24">
        <v>1803</v>
      </c>
      <c r="C117" s="24" t="s">
        <v>533</v>
      </c>
      <c r="D117" s="24" t="s">
        <v>534</v>
      </c>
      <c r="E117" s="93">
        <v>94</v>
      </c>
      <c r="F117" s="94">
        <v>4</v>
      </c>
      <c r="G117" s="94">
        <v>93</v>
      </c>
      <c r="H117" s="94">
        <v>4</v>
      </c>
      <c r="I117" s="94">
        <v>90</v>
      </c>
      <c r="J117" s="94">
        <v>4</v>
      </c>
      <c r="K117" s="94">
        <v>93</v>
      </c>
      <c r="L117" s="94">
        <v>2</v>
      </c>
      <c r="M117" s="94">
        <v>90</v>
      </c>
      <c r="N117" s="94">
        <v>2</v>
      </c>
      <c r="O117" s="94">
        <v>92</v>
      </c>
      <c r="P117" s="94">
        <v>2</v>
      </c>
      <c r="Q117">
        <v>93</v>
      </c>
      <c r="R117">
        <v>2</v>
      </c>
      <c r="S117">
        <v>94</v>
      </c>
      <c r="T117">
        <v>2</v>
      </c>
      <c r="U117">
        <v>83</v>
      </c>
      <c r="V117">
        <v>2</v>
      </c>
      <c r="W117">
        <v>98</v>
      </c>
      <c r="X117">
        <v>2</v>
      </c>
      <c r="Y117">
        <v>83</v>
      </c>
      <c r="Z117">
        <v>1</v>
      </c>
      <c r="AA117">
        <v>91</v>
      </c>
      <c r="AB117">
        <v>1</v>
      </c>
      <c r="AC117">
        <v>86</v>
      </c>
      <c r="AD117">
        <v>1</v>
      </c>
      <c r="AE117">
        <v>84</v>
      </c>
      <c r="AF117">
        <v>2</v>
      </c>
      <c r="AG117">
        <v>98</v>
      </c>
      <c r="AH117">
        <v>2</v>
      </c>
    </row>
    <row r="118" spans="1:34">
      <c r="A118" t="s">
        <v>535</v>
      </c>
      <c r="B118" s="24">
        <v>1803</v>
      </c>
      <c r="C118" s="24" t="s">
        <v>536</v>
      </c>
      <c r="D118" s="24" t="s">
        <v>537</v>
      </c>
      <c r="E118" s="93">
        <v>80</v>
      </c>
      <c r="F118" s="94">
        <v>4</v>
      </c>
      <c r="G118" s="94">
        <v>82</v>
      </c>
      <c r="H118" s="94">
        <v>4</v>
      </c>
      <c r="I118" s="94">
        <v>75</v>
      </c>
      <c r="J118" s="94">
        <v>4</v>
      </c>
      <c r="K118" s="94">
        <v>93</v>
      </c>
      <c r="L118" s="94">
        <v>2</v>
      </c>
      <c r="M118" s="94">
        <v>90</v>
      </c>
      <c r="N118" s="94">
        <v>2</v>
      </c>
      <c r="O118" s="94">
        <v>93</v>
      </c>
      <c r="P118" s="94">
        <v>2</v>
      </c>
      <c r="Q118">
        <v>80</v>
      </c>
      <c r="R118">
        <v>2</v>
      </c>
      <c r="S118">
        <v>92</v>
      </c>
      <c r="T118">
        <v>2</v>
      </c>
      <c r="U118">
        <v>79</v>
      </c>
      <c r="V118">
        <v>2</v>
      </c>
      <c r="W118">
        <v>88</v>
      </c>
      <c r="X118">
        <v>2</v>
      </c>
      <c r="Y118">
        <v>81</v>
      </c>
      <c r="Z118">
        <v>1</v>
      </c>
      <c r="AA118">
        <v>91</v>
      </c>
      <c r="AB118">
        <v>1</v>
      </c>
      <c r="AC118">
        <v>70</v>
      </c>
      <c r="AD118">
        <v>1</v>
      </c>
      <c r="AE118">
        <v>82</v>
      </c>
      <c r="AF118">
        <v>2</v>
      </c>
      <c r="AG118">
        <v>98</v>
      </c>
      <c r="AH118">
        <v>2</v>
      </c>
    </row>
    <row r="119" spans="1:34">
      <c r="A119" t="s">
        <v>538</v>
      </c>
      <c r="B119" s="24">
        <v>1803</v>
      </c>
      <c r="C119" s="24" t="s">
        <v>539</v>
      </c>
      <c r="D119" s="24" t="s">
        <v>540</v>
      </c>
      <c r="E119" s="93">
        <v>85</v>
      </c>
      <c r="F119" s="94">
        <v>4</v>
      </c>
      <c r="G119" s="94">
        <v>80</v>
      </c>
      <c r="H119" s="94">
        <v>4</v>
      </c>
      <c r="I119" s="94">
        <v>91</v>
      </c>
      <c r="J119" s="94">
        <v>4</v>
      </c>
      <c r="K119" s="94">
        <v>88</v>
      </c>
      <c r="L119" s="94">
        <v>2</v>
      </c>
      <c r="M119" s="94">
        <v>90</v>
      </c>
      <c r="N119" s="94">
        <v>2</v>
      </c>
      <c r="O119" s="94">
        <v>86</v>
      </c>
      <c r="P119" s="94">
        <v>2</v>
      </c>
      <c r="Q119">
        <v>96</v>
      </c>
      <c r="R119">
        <v>2</v>
      </c>
      <c r="S119">
        <v>95</v>
      </c>
      <c r="T119">
        <v>2</v>
      </c>
      <c r="U119">
        <v>86</v>
      </c>
      <c r="V119">
        <v>2</v>
      </c>
      <c r="W119">
        <v>96</v>
      </c>
      <c r="X119">
        <v>2</v>
      </c>
      <c r="Y119">
        <v>82</v>
      </c>
      <c r="Z119">
        <v>1</v>
      </c>
      <c r="AA119">
        <v>91</v>
      </c>
      <c r="AB119">
        <v>1</v>
      </c>
      <c r="AC119">
        <v>68</v>
      </c>
      <c r="AD119">
        <v>1</v>
      </c>
      <c r="AE119">
        <v>86</v>
      </c>
      <c r="AF119">
        <v>2</v>
      </c>
      <c r="AG119">
        <v>98</v>
      </c>
      <c r="AH119">
        <v>2</v>
      </c>
    </row>
    <row r="120" spans="1:34">
      <c r="A120" t="s">
        <v>1557</v>
      </c>
      <c r="B120" s="24">
        <v>1803</v>
      </c>
      <c r="C120" s="24" t="s">
        <v>542</v>
      </c>
      <c r="D120" s="24" t="s">
        <v>1559</v>
      </c>
      <c r="E120" s="93">
        <v>90</v>
      </c>
      <c r="F120" s="94">
        <v>4</v>
      </c>
      <c r="G120" s="94">
        <v>91</v>
      </c>
      <c r="H120" s="94">
        <v>4</v>
      </c>
      <c r="I120" s="94">
        <v>93</v>
      </c>
      <c r="J120" s="94">
        <v>4</v>
      </c>
      <c r="K120" s="94">
        <v>92</v>
      </c>
      <c r="L120" s="94">
        <v>2</v>
      </c>
      <c r="M120" s="94">
        <v>90</v>
      </c>
      <c r="N120" s="94">
        <v>2</v>
      </c>
      <c r="O120" s="94">
        <v>100</v>
      </c>
      <c r="P120" s="94">
        <v>2</v>
      </c>
      <c r="Q120">
        <v>88</v>
      </c>
      <c r="R120">
        <v>2</v>
      </c>
      <c r="S120">
        <v>83</v>
      </c>
      <c r="T120">
        <v>2</v>
      </c>
      <c r="U120">
        <v>86</v>
      </c>
      <c r="V120">
        <v>2</v>
      </c>
      <c r="W120">
        <v>88</v>
      </c>
      <c r="X120">
        <v>2</v>
      </c>
      <c r="Y120">
        <v>87</v>
      </c>
      <c r="Z120">
        <v>1</v>
      </c>
      <c r="AA120">
        <v>91</v>
      </c>
      <c r="AB120">
        <v>1</v>
      </c>
      <c r="AC120">
        <v>72</v>
      </c>
      <c r="AD120">
        <v>1</v>
      </c>
      <c r="AE120">
        <v>84</v>
      </c>
      <c r="AF120">
        <v>2</v>
      </c>
      <c r="AG120">
        <v>98</v>
      </c>
      <c r="AH120">
        <v>2</v>
      </c>
    </row>
    <row r="121" spans="1:34">
      <c r="A121" t="s">
        <v>543</v>
      </c>
      <c r="B121" s="24">
        <v>1803</v>
      </c>
      <c r="C121" s="24" t="s">
        <v>544</v>
      </c>
      <c r="D121" s="24" t="s">
        <v>168</v>
      </c>
      <c r="E121" s="93">
        <v>90</v>
      </c>
      <c r="F121" s="94">
        <v>4</v>
      </c>
      <c r="G121" s="94">
        <v>90</v>
      </c>
      <c r="H121" s="94">
        <v>4</v>
      </c>
      <c r="I121" s="94">
        <v>95</v>
      </c>
      <c r="J121" s="94">
        <v>4</v>
      </c>
      <c r="K121" s="94">
        <v>88</v>
      </c>
      <c r="L121" s="94">
        <v>2</v>
      </c>
      <c r="M121" s="94">
        <v>92</v>
      </c>
      <c r="N121" s="94">
        <v>2</v>
      </c>
      <c r="O121" s="94">
        <v>85</v>
      </c>
      <c r="P121" s="94">
        <v>2</v>
      </c>
      <c r="Q121">
        <v>99</v>
      </c>
      <c r="R121">
        <v>2</v>
      </c>
      <c r="S121">
        <v>95</v>
      </c>
      <c r="T121">
        <v>2</v>
      </c>
      <c r="U121">
        <v>88</v>
      </c>
      <c r="V121">
        <v>2</v>
      </c>
      <c r="W121">
        <v>96</v>
      </c>
      <c r="X121">
        <v>2</v>
      </c>
      <c r="Y121">
        <v>81</v>
      </c>
      <c r="Z121">
        <v>1</v>
      </c>
      <c r="AA121">
        <v>91</v>
      </c>
      <c r="AB121">
        <v>1</v>
      </c>
      <c r="AC121">
        <v>89</v>
      </c>
      <c r="AD121">
        <v>1</v>
      </c>
      <c r="AE121">
        <v>85</v>
      </c>
      <c r="AF121">
        <v>2</v>
      </c>
      <c r="AG121">
        <v>80</v>
      </c>
      <c r="AH121">
        <v>2</v>
      </c>
    </row>
    <row r="122" spans="1:34">
      <c r="A122" t="s">
        <v>1726</v>
      </c>
      <c r="B122" s="24">
        <v>1803</v>
      </c>
      <c r="C122" s="24" t="s">
        <v>546</v>
      </c>
      <c r="D122" s="24" t="s">
        <v>1728</v>
      </c>
      <c r="E122" s="93">
        <v>90</v>
      </c>
      <c r="F122" s="94">
        <v>4</v>
      </c>
      <c r="G122" s="94">
        <v>90</v>
      </c>
      <c r="H122" s="94">
        <v>4</v>
      </c>
      <c r="I122" s="94">
        <v>91</v>
      </c>
      <c r="J122" s="94">
        <v>4</v>
      </c>
      <c r="K122" s="94">
        <v>88</v>
      </c>
      <c r="L122" s="94">
        <v>2</v>
      </c>
      <c r="M122" s="94">
        <v>90</v>
      </c>
      <c r="N122" s="94">
        <v>2</v>
      </c>
      <c r="O122" s="94">
        <v>97</v>
      </c>
      <c r="P122" s="94">
        <v>2</v>
      </c>
      <c r="Q122">
        <v>82</v>
      </c>
      <c r="R122">
        <v>2</v>
      </c>
      <c r="S122">
        <v>88</v>
      </c>
      <c r="T122">
        <v>2</v>
      </c>
      <c r="U122">
        <v>78</v>
      </c>
      <c r="V122">
        <v>2</v>
      </c>
      <c r="W122">
        <v>85</v>
      </c>
      <c r="X122">
        <v>2</v>
      </c>
      <c r="Y122">
        <v>81</v>
      </c>
      <c r="Z122">
        <v>1</v>
      </c>
      <c r="AA122">
        <v>91</v>
      </c>
      <c r="AB122">
        <v>1</v>
      </c>
      <c r="AC122">
        <v>70</v>
      </c>
      <c r="AD122">
        <v>1</v>
      </c>
      <c r="AE122">
        <v>84</v>
      </c>
      <c r="AF122">
        <v>2</v>
      </c>
      <c r="AG122">
        <v>78</v>
      </c>
      <c r="AH122">
        <v>2</v>
      </c>
    </row>
    <row r="123" spans="1:34">
      <c r="A123" t="s">
        <v>547</v>
      </c>
      <c r="B123" s="24">
        <v>1803</v>
      </c>
      <c r="C123" s="24" t="s">
        <v>548</v>
      </c>
      <c r="D123" s="24" t="s">
        <v>549</v>
      </c>
      <c r="E123" s="93">
        <v>90</v>
      </c>
      <c r="F123" s="94">
        <v>4</v>
      </c>
      <c r="G123" s="94">
        <v>85</v>
      </c>
      <c r="H123" s="94">
        <v>4</v>
      </c>
      <c r="I123" s="94">
        <v>93</v>
      </c>
      <c r="J123" s="94">
        <v>4</v>
      </c>
      <c r="K123" s="94">
        <v>90</v>
      </c>
      <c r="L123" s="94">
        <v>2</v>
      </c>
      <c r="M123" s="94">
        <v>84</v>
      </c>
      <c r="N123" s="94">
        <v>2</v>
      </c>
      <c r="O123" s="94">
        <v>80</v>
      </c>
      <c r="P123" s="94">
        <v>2</v>
      </c>
      <c r="Q123">
        <v>100</v>
      </c>
      <c r="R123">
        <v>2</v>
      </c>
      <c r="S123">
        <v>92</v>
      </c>
      <c r="T123">
        <v>2</v>
      </c>
      <c r="U123">
        <v>77</v>
      </c>
      <c r="V123">
        <v>2</v>
      </c>
      <c r="W123">
        <v>88</v>
      </c>
      <c r="X123">
        <v>2</v>
      </c>
      <c r="Y123">
        <v>82</v>
      </c>
      <c r="Z123">
        <v>1</v>
      </c>
      <c r="AA123">
        <v>91</v>
      </c>
      <c r="AB123">
        <v>1</v>
      </c>
      <c r="AC123">
        <v>78</v>
      </c>
      <c r="AD123">
        <v>1</v>
      </c>
      <c r="AE123">
        <v>86</v>
      </c>
      <c r="AF123">
        <v>2</v>
      </c>
      <c r="AG123">
        <v>98</v>
      </c>
      <c r="AH123">
        <v>2</v>
      </c>
    </row>
    <row r="124" spans="1:34">
      <c r="A124" t="s">
        <v>550</v>
      </c>
      <c r="B124" s="24">
        <v>1803</v>
      </c>
      <c r="C124" s="24" t="s">
        <v>551</v>
      </c>
      <c r="D124" s="24" t="s">
        <v>552</v>
      </c>
      <c r="E124" s="93">
        <v>83</v>
      </c>
      <c r="F124" s="94">
        <v>4</v>
      </c>
      <c r="G124" s="94">
        <v>79</v>
      </c>
      <c r="H124" s="94">
        <v>4</v>
      </c>
      <c r="I124" s="94">
        <v>78</v>
      </c>
      <c r="J124" s="94">
        <v>4</v>
      </c>
      <c r="K124" s="94">
        <v>87</v>
      </c>
      <c r="L124" s="94">
        <v>2</v>
      </c>
      <c r="M124" s="94">
        <v>85</v>
      </c>
      <c r="N124" s="94">
        <v>2</v>
      </c>
      <c r="O124" s="94">
        <v>60</v>
      </c>
      <c r="P124" s="94">
        <v>2</v>
      </c>
      <c r="Q124">
        <v>82</v>
      </c>
      <c r="R124">
        <v>2</v>
      </c>
      <c r="S124">
        <v>92</v>
      </c>
      <c r="T124">
        <v>2</v>
      </c>
      <c r="U124">
        <v>79</v>
      </c>
      <c r="V124">
        <v>2</v>
      </c>
      <c r="W124">
        <v>85</v>
      </c>
      <c r="X124">
        <v>2</v>
      </c>
      <c r="Y124">
        <v>78</v>
      </c>
      <c r="Z124">
        <v>1</v>
      </c>
      <c r="AA124">
        <v>91</v>
      </c>
      <c r="AB124">
        <v>1</v>
      </c>
      <c r="AC124">
        <v>82</v>
      </c>
      <c r="AD124">
        <v>1</v>
      </c>
      <c r="AE124">
        <v>84</v>
      </c>
      <c r="AF124">
        <v>2</v>
      </c>
      <c r="AG124">
        <v>95</v>
      </c>
      <c r="AH124">
        <v>2</v>
      </c>
    </row>
    <row r="125" spans="1:34">
      <c r="A125" t="s">
        <v>553</v>
      </c>
      <c r="B125" s="24">
        <v>1803</v>
      </c>
      <c r="C125" s="24" t="s">
        <v>554</v>
      </c>
      <c r="D125" s="24" t="s">
        <v>555</v>
      </c>
      <c r="E125" s="93">
        <v>80</v>
      </c>
      <c r="F125" s="94">
        <v>4</v>
      </c>
      <c r="G125" s="94">
        <v>80</v>
      </c>
      <c r="H125" s="94">
        <v>4</v>
      </c>
      <c r="I125" s="94">
        <v>86</v>
      </c>
      <c r="J125" s="94">
        <v>4</v>
      </c>
      <c r="K125" s="94">
        <v>88</v>
      </c>
      <c r="L125" s="94">
        <v>2</v>
      </c>
      <c r="M125" s="94">
        <v>83</v>
      </c>
      <c r="N125" s="94">
        <v>2</v>
      </c>
      <c r="O125" s="94">
        <v>80</v>
      </c>
      <c r="P125" s="94">
        <v>2</v>
      </c>
      <c r="Q125">
        <v>88</v>
      </c>
      <c r="R125">
        <v>2</v>
      </c>
      <c r="S125">
        <v>81</v>
      </c>
      <c r="T125">
        <v>2</v>
      </c>
      <c r="U125">
        <v>72</v>
      </c>
      <c r="V125">
        <v>2</v>
      </c>
      <c r="W125">
        <v>80</v>
      </c>
      <c r="X125">
        <v>2</v>
      </c>
      <c r="Y125">
        <v>79</v>
      </c>
      <c r="Z125">
        <v>1</v>
      </c>
      <c r="AA125">
        <v>91</v>
      </c>
      <c r="AB125">
        <v>1</v>
      </c>
      <c r="AC125">
        <v>70</v>
      </c>
      <c r="AD125">
        <v>1</v>
      </c>
      <c r="AE125">
        <v>87</v>
      </c>
      <c r="AF125">
        <v>2</v>
      </c>
      <c r="AG125">
        <v>98</v>
      </c>
      <c r="AH125">
        <v>2</v>
      </c>
    </row>
    <row r="126" spans="1:34">
      <c r="A126" t="s">
        <v>556</v>
      </c>
      <c r="B126" s="24">
        <v>1803</v>
      </c>
      <c r="C126" s="24" t="s">
        <v>557</v>
      </c>
      <c r="D126" s="24" t="s">
        <v>558</v>
      </c>
      <c r="E126" s="93">
        <v>73</v>
      </c>
      <c r="F126" s="94">
        <v>4</v>
      </c>
      <c r="G126" s="94">
        <v>79</v>
      </c>
      <c r="H126" s="94">
        <v>4</v>
      </c>
      <c r="I126" s="94">
        <v>65</v>
      </c>
      <c r="J126" s="94">
        <v>4</v>
      </c>
      <c r="K126" s="94">
        <v>85</v>
      </c>
      <c r="L126" s="94">
        <v>2</v>
      </c>
      <c r="M126" s="94">
        <v>90</v>
      </c>
      <c r="N126" s="94">
        <v>2</v>
      </c>
      <c r="O126" s="94">
        <v>80</v>
      </c>
      <c r="P126" s="94">
        <v>2</v>
      </c>
      <c r="Q126">
        <v>83</v>
      </c>
      <c r="R126">
        <v>2</v>
      </c>
      <c r="S126">
        <v>88</v>
      </c>
      <c r="T126">
        <v>2</v>
      </c>
      <c r="U126">
        <v>78</v>
      </c>
      <c r="V126">
        <v>2</v>
      </c>
      <c r="W126">
        <v>80</v>
      </c>
      <c r="X126">
        <v>2</v>
      </c>
      <c r="Y126">
        <v>80</v>
      </c>
      <c r="Z126">
        <v>1</v>
      </c>
      <c r="AA126">
        <v>91</v>
      </c>
      <c r="AB126">
        <v>1</v>
      </c>
      <c r="AC126">
        <v>84</v>
      </c>
      <c r="AD126">
        <v>1</v>
      </c>
      <c r="AE126">
        <v>50</v>
      </c>
      <c r="AF126">
        <v>1</v>
      </c>
      <c r="AG126" t="s">
        <v>3360</v>
      </c>
    </row>
    <row r="127" spans="1:34">
      <c r="A127" t="s">
        <v>559</v>
      </c>
      <c r="B127" s="24">
        <v>1803</v>
      </c>
      <c r="C127" s="24" t="s">
        <v>560</v>
      </c>
      <c r="D127" s="24" t="s">
        <v>561</v>
      </c>
      <c r="E127" s="93">
        <v>80</v>
      </c>
      <c r="F127" s="94">
        <v>4</v>
      </c>
      <c r="G127" s="94">
        <v>80</v>
      </c>
      <c r="H127" s="94">
        <v>4</v>
      </c>
      <c r="I127" s="94">
        <v>88</v>
      </c>
      <c r="J127" s="94">
        <v>4</v>
      </c>
      <c r="K127" s="94">
        <v>87</v>
      </c>
      <c r="L127" s="94">
        <v>2</v>
      </c>
      <c r="M127" s="94">
        <v>89</v>
      </c>
      <c r="N127" s="94">
        <v>2</v>
      </c>
      <c r="O127" s="94">
        <v>80</v>
      </c>
      <c r="P127" s="94">
        <v>2</v>
      </c>
      <c r="Q127">
        <v>83</v>
      </c>
      <c r="R127">
        <v>2</v>
      </c>
      <c r="S127">
        <v>92</v>
      </c>
      <c r="T127">
        <v>2</v>
      </c>
      <c r="U127">
        <v>75</v>
      </c>
      <c r="V127">
        <v>2</v>
      </c>
      <c r="W127">
        <v>90</v>
      </c>
      <c r="X127">
        <v>2</v>
      </c>
      <c r="Y127">
        <v>80</v>
      </c>
      <c r="Z127">
        <v>1</v>
      </c>
      <c r="AA127">
        <v>91</v>
      </c>
      <c r="AB127">
        <v>1</v>
      </c>
      <c r="AC127">
        <v>75</v>
      </c>
      <c r="AD127">
        <v>1</v>
      </c>
      <c r="AE127">
        <v>86</v>
      </c>
      <c r="AF127">
        <v>2</v>
      </c>
      <c r="AG127">
        <v>94</v>
      </c>
      <c r="AH127">
        <v>2</v>
      </c>
    </row>
    <row r="128" spans="1:34">
      <c r="A128" t="s">
        <v>562</v>
      </c>
      <c r="B128" s="24">
        <v>1803</v>
      </c>
      <c r="C128" s="24" t="s">
        <v>563</v>
      </c>
      <c r="D128" s="24" t="s">
        <v>564</v>
      </c>
      <c r="E128" s="93">
        <v>82</v>
      </c>
      <c r="F128" s="94">
        <v>4</v>
      </c>
      <c r="G128" s="94">
        <v>81</v>
      </c>
      <c r="H128" s="94">
        <v>4</v>
      </c>
      <c r="I128" s="94">
        <v>86</v>
      </c>
      <c r="J128" s="94">
        <v>4</v>
      </c>
      <c r="K128" s="94">
        <v>87</v>
      </c>
      <c r="L128" s="94">
        <v>2</v>
      </c>
      <c r="M128" s="94">
        <v>85</v>
      </c>
      <c r="N128" s="94">
        <v>2</v>
      </c>
      <c r="O128" s="94">
        <v>80</v>
      </c>
      <c r="P128" s="94">
        <v>2</v>
      </c>
      <c r="Q128">
        <v>91</v>
      </c>
      <c r="R128">
        <v>2</v>
      </c>
      <c r="S128">
        <v>88</v>
      </c>
      <c r="T128">
        <v>2</v>
      </c>
      <c r="U128">
        <v>85</v>
      </c>
      <c r="V128">
        <v>2</v>
      </c>
      <c r="W128">
        <v>93</v>
      </c>
      <c r="X128">
        <v>2</v>
      </c>
      <c r="Y128">
        <v>80</v>
      </c>
      <c r="Z128">
        <v>1</v>
      </c>
      <c r="AA128">
        <v>91</v>
      </c>
      <c r="AB128">
        <v>1</v>
      </c>
      <c r="AC128">
        <v>80</v>
      </c>
      <c r="AD128">
        <v>1</v>
      </c>
      <c r="AE128">
        <v>88</v>
      </c>
      <c r="AF128">
        <v>2</v>
      </c>
      <c r="AG128">
        <v>80</v>
      </c>
      <c r="AH128">
        <v>2</v>
      </c>
    </row>
    <row r="129" spans="1:34">
      <c r="A129" t="s">
        <v>565</v>
      </c>
      <c r="B129" s="24">
        <v>1803</v>
      </c>
      <c r="C129" s="24" t="s">
        <v>566</v>
      </c>
      <c r="D129" s="24" t="s">
        <v>567</v>
      </c>
      <c r="E129" s="93">
        <v>89</v>
      </c>
      <c r="F129" s="94">
        <v>4</v>
      </c>
      <c r="G129" s="94">
        <v>93</v>
      </c>
      <c r="H129" s="94">
        <v>4</v>
      </c>
      <c r="I129" s="94">
        <v>86</v>
      </c>
      <c r="J129" s="94">
        <v>4</v>
      </c>
      <c r="K129" s="94">
        <v>90</v>
      </c>
      <c r="L129" s="94">
        <v>2</v>
      </c>
      <c r="M129" s="94">
        <v>88</v>
      </c>
      <c r="N129" s="94">
        <v>2</v>
      </c>
      <c r="O129" s="94">
        <v>89</v>
      </c>
      <c r="P129" s="94">
        <v>2</v>
      </c>
      <c r="Q129">
        <v>89</v>
      </c>
      <c r="R129">
        <v>2</v>
      </c>
      <c r="S129">
        <v>78</v>
      </c>
      <c r="T129">
        <v>2</v>
      </c>
      <c r="U129">
        <v>72</v>
      </c>
      <c r="V129">
        <v>2</v>
      </c>
      <c r="W129">
        <v>88</v>
      </c>
      <c r="X129">
        <v>2</v>
      </c>
      <c r="Y129">
        <v>81</v>
      </c>
      <c r="Z129">
        <v>1</v>
      </c>
      <c r="AA129">
        <v>91</v>
      </c>
      <c r="AB129">
        <v>1</v>
      </c>
      <c r="AC129">
        <v>83</v>
      </c>
      <c r="AD129">
        <v>1</v>
      </c>
      <c r="AE129">
        <v>54</v>
      </c>
      <c r="AF129">
        <v>1</v>
      </c>
      <c r="AG129">
        <v>98</v>
      </c>
      <c r="AH129">
        <v>2</v>
      </c>
    </row>
    <row r="130" spans="1:34">
      <c r="A130" t="s">
        <v>568</v>
      </c>
      <c r="B130" s="24">
        <v>1803</v>
      </c>
      <c r="C130" s="24" t="s">
        <v>569</v>
      </c>
      <c r="D130" s="24" t="s">
        <v>570</v>
      </c>
      <c r="E130" s="93">
        <v>78</v>
      </c>
      <c r="F130" s="94">
        <v>4</v>
      </c>
      <c r="G130" s="94">
        <v>88</v>
      </c>
      <c r="H130" s="94">
        <v>4</v>
      </c>
      <c r="I130" s="94">
        <v>80</v>
      </c>
      <c r="J130" s="94">
        <v>4</v>
      </c>
      <c r="K130" s="94">
        <v>85</v>
      </c>
      <c r="L130" s="94">
        <v>2</v>
      </c>
      <c r="M130" s="94">
        <v>88</v>
      </c>
      <c r="N130" s="94">
        <v>2</v>
      </c>
      <c r="O130" s="94">
        <v>80</v>
      </c>
      <c r="P130" s="94">
        <v>2</v>
      </c>
      <c r="Q130">
        <v>87</v>
      </c>
      <c r="R130">
        <v>2</v>
      </c>
      <c r="S130">
        <v>86</v>
      </c>
      <c r="T130">
        <v>2</v>
      </c>
      <c r="U130">
        <v>82</v>
      </c>
      <c r="V130">
        <v>2</v>
      </c>
      <c r="W130">
        <v>88</v>
      </c>
      <c r="X130">
        <v>2</v>
      </c>
      <c r="Y130">
        <v>80</v>
      </c>
      <c r="Z130">
        <v>1</v>
      </c>
      <c r="AA130">
        <v>91</v>
      </c>
      <c r="AB130">
        <v>1</v>
      </c>
      <c r="AC130">
        <v>70</v>
      </c>
      <c r="AD130">
        <v>1</v>
      </c>
      <c r="AE130">
        <v>88</v>
      </c>
      <c r="AF130">
        <v>2</v>
      </c>
      <c r="AG130">
        <v>98</v>
      </c>
      <c r="AH130">
        <v>2</v>
      </c>
    </row>
    <row r="131" spans="1:34">
      <c r="A131" t="s">
        <v>571</v>
      </c>
      <c r="B131" s="24">
        <v>1803</v>
      </c>
      <c r="C131" s="24" t="s">
        <v>572</v>
      </c>
      <c r="D131" s="24" t="s">
        <v>573</v>
      </c>
      <c r="E131" s="93">
        <v>95</v>
      </c>
      <c r="F131" s="94">
        <v>4</v>
      </c>
      <c r="G131" s="94">
        <v>86</v>
      </c>
      <c r="H131" s="94">
        <v>4</v>
      </c>
      <c r="I131" s="94">
        <v>87</v>
      </c>
      <c r="J131" s="94">
        <v>4</v>
      </c>
      <c r="K131" s="94">
        <v>85</v>
      </c>
      <c r="L131" s="94">
        <v>2</v>
      </c>
      <c r="M131" s="94">
        <v>87</v>
      </c>
      <c r="N131" s="94">
        <v>2</v>
      </c>
      <c r="O131" s="94">
        <v>85</v>
      </c>
      <c r="P131" s="94">
        <v>2</v>
      </c>
      <c r="Q131">
        <v>93</v>
      </c>
      <c r="R131">
        <v>2</v>
      </c>
      <c r="S131">
        <v>86</v>
      </c>
      <c r="T131">
        <v>2</v>
      </c>
      <c r="U131">
        <v>75</v>
      </c>
      <c r="V131">
        <v>2</v>
      </c>
      <c r="W131">
        <v>90</v>
      </c>
      <c r="X131">
        <v>2</v>
      </c>
      <c r="Y131">
        <v>78</v>
      </c>
      <c r="Z131">
        <v>1</v>
      </c>
      <c r="AA131">
        <v>91</v>
      </c>
      <c r="AB131">
        <v>1</v>
      </c>
      <c r="AC131">
        <v>76</v>
      </c>
      <c r="AD131">
        <v>1</v>
      </c>
      <c r="AE131">
        <v>89</v>
      </c>
      <c r="AF131">
        <v>2</v>
      </c>
      <c r="AG131">
        <v>98</v>
      </c>
      <c r="AH131">
        <v>2</v>
      </c>
    </row>
    <row r="132" spans="1:34">
      <c r="A132" t="s">
        <v>574</v>
      </c>
      <c r="B132" s="24">
        <v>1803</v>
      </c>
      <c r="C132" s="24" t="s">
        <v>575</v>
      </c>
      <c r="D132" s="24" t="s">
        <v>576</v>
      </c>
      <c r="E132" s="93">
        <v>87</v>
      </c>
      <c r="F132" s="94">
        <v>4</v>
      </c>
      <c r="G132" s="94">
        <v>87</v>
      </c>
      <c r="H132" s="94">
        <v>4</v>
      </c>
      <c r="I132" s="94">
        <v>88</v>
      </c>
      <c r="J132" s="94">
        <v>4</v>
      </c>
      <c r="K132" s="94">
        <v>87</v>
      </c>
      <c r="L132" s="94">
        <v>2</v>
      </c>
      <c r="M132" s="94">
        <v>89</v>
      </c>
      <c r="N132" s="94">
        <v>2</v>
      </c>
      <c r="O132" s="94">
        <v>80</v>
      </c>
      <c r="P132" s="94">
        <v>2</v>
      </c>
      <c r="Q132">
        <v>88</v>
      </c>
      <c r="R132">
        <v>2</v>
      </c>
      <c r="S132">
        <v>92</v>
      </c>
      <c r="T132">
        <v>2</v>
      </c>
      <c r="U132">
        <v>71</v>
      </c>
      <c r="V132">
        <v>2</v>
      </c>
      <c r="W132">
        <v>88</v>
      </c>
      <c r="X132">
        <v>2</v>
      </c>
      <c r="Y132">
        <v>82</v>
      </c>
      <c r="Z132">
        <v>1</v>
      </c>
      <c r="AA132">
        <v>91</v>
      </c>
      <c r="AB132">
        <v>1</v>
      </c>
      <c r="AC132">
        <v>80</v>
      </c>
      <c r="AD132">
        <v>1</v>
      </c>
      <c r="AE132">
        <v>50</v>
      </c>
      <c r="AF132">
        <v>1</v>
      </c>
      <c r="AG132">
        <v>86</v>
      </c>
      <c r="AH132">
        <v>2</v>
      </c>
    </row>
    <row r="133" spans="1:34">
      <c r="A133" t="s">
        <v>577</v>
      </c>
      <c r="B133" s="24">
        <v>1803</v>
      </c>
      <c r="C133" s="24" t="s">
        <v>578</v>
      </c>
      <c r="D133" s="24" t="s">
        <v>579</v>
      </c>
      <c r="E133" s="93">
        <v>82</v>
      </c>
      <c r="F133" s="94">
        <v>4</v>
      </c>
      <c r="G133" s="94">
        <v>88</v>
      </c>
      <c r="H133" s="94">
        <v>4</v>
      </c>
      <c r="I133" s="94">
        <v>80</v>
      </c>
      <c r="J133" s="94">
        <v>4</v>
      </c>
      <c r="K133" s="94">
        <v>88</v>
      </c>
      <c r="L133" s="94">
        <v>2</v>
      </c>
      <c r="M133" s="94">
        <v>80</v>
      </c>
      <c r="N133" s="94">
        <v>2</v>
      </c>
      <c r="O133" s="94">
        <v>86</v>
      </c>
      <c r="P133" s="94">
        <v>2</v>
      </c>
      <c r="Q133">
        <v>89</v>
      </c>
      <c r="R133">
        <v>2</v>
      </c>
      <c r="S133">
        <v>93</v>
      </c>
      <c r="T133">
        <v>2</v>
      </c>
      <c r="U133">
        <v>77</v>
      </c>
      <c r="V133">
        <v>2</v>
      </c>
      <c r="W133">
        <v>85</v>
      </c>
      <c r="X133">
        <v>2</v>
      </c>
      <c r="Y133">
        <v>84</v>
      </c>
      <c r="Z133">
        <v>1</v>
      </c>
      <c r="AA133">
        <v>91</v>
      </c>
      <c r="AB133">
        <v>1</v>
      </c>
      <c r="AC133">
        <v>67</v>
      </c>
      <c r="AD133">
        <v>1</v>
      </c>
      <c r="AE133">
        <v>86</v>
      </c>
      <c r="AF133">
        <v>2</v>
      </c>
      <c r="AG133">
        <v>99</v>
      </c>
      <c r="AH133">
        <v>2</v>
      </c>
    </row>
    <row r="134" spans="1:34">
      <c r="A134" t="s">
        <v>580</v>
      </c>
      <c r="B134" s="24">
        <v>1803</v>
      </c>
      <c r="C134" s="24" t="s">
        <v>581</v>
      </c>
      <c r="D134" s="24" t="s">
        <v>582</v>
      </c>
      <c r="E134" s="93">
        <v>86</v>
      </c>
      <c r="F134" s="94">
        <v>4</v>
      </c>
      <c r="G134" s="94">
        <v>90</v>
      </c>
      <c r="H134" s="94">
        <v>4</v>
      </c>
      <c r="I134" s="94">
        <v>98</v>
      </c>
      <c r="J134" s="94">
        <v>4</v>
      </c>
      <c r="K134" s="94">
        <v>88</v>
      </c>
      <c r="L134" s="94">
        <v>2</v>
      </c>
      <c r="M134" s="94">
        <v>85</v>
      </c>
      <c r="N134" s="94">
        <v>2</v>
      </c>
      <c r="O134" s="94">
        <v>80</v>
      </c>
      <c r="P134" s="94">
        <v>2</v>
      </c>
      <c r="Q134">
        <v>82</v>
      </c>
      <c r="R134">
        <v>2</v>
      </c>
      <c r="S134">
        <v>70</v>
      </c>
      <c r="T134">
        <v>2</v>
      </c>
      <c r="U134">
        <v>71</v>
      </c>
      <c r="V134">
        <v>2</v>
      </c>
      <c r="W134">
        <v>85</v>
      </c>
      <c r="X134">
        <v>2</v>
      </c>
      <c r="Y134">
        <v>83</v>
      </c>
      <c r="Z134">
        <v>1</v>
      </c>
      <c r="AA134">
        <v>91</v>
      </c>
      <c r="AB134">
        <v>1</v>
      </c>
      <c r="AC134">
        <v>78</v>
      </c>
      <c r="AD134">
        <v>1</v>
      </c>
      <c r="AE134">
        <v>84</v>
      </c>
      <c r="AF134">
        <v>2</v>
      </c>
      <c r="AG134">
        <v>98</v>
      </c>
      <c r="AH134">
        <v>2</v>
      </c>
    </row>
    <row r="135" spans="1:34">
      <c r="A135" t="s">
        <v>583</v>
      </c>
      <c r="B135" s="24">
        <v>1803</v>
      </c>
      <c r="C135" s="24" t="s">
        <v>584</v>
      </c>
      <c r="D135" s="24" t="s">
        <v>585</v>
      </c>
      <c r="E135" s="93">
        <v>86</v>
      </c>
      <c r="F135" s="94">
        <v>4</v>
      </c>
      <c r="G135" s="94">
        <v>88</v>
      </c>
      <c r="H135" s="94">
        <v>4</v>
      </c>
      <c r="I135" s="94">
        <v>87</v>
      </c>
      <c r="J135" s="94">
        <v>4</v>
      </c>
      <c r="K135" s="94">
        <v>88</v>
      </c>
      <c r="L135" s="94">
        <v>2</v>
      </c>
      <c r="M135" s="94">
        <v>88</v>
      </c>
      <c r="N135" s="94">
        <v>2</v>
      </c>
      <c r="O135" s="94">
        <v>100</v>
      </c>
      <c r="P135" s="94">
        <v>2</v>
      </c>
      <c r="Q135">
        <v>92</v>
      </c>
      <c r="R135">
        <v>2</v>
      </c>
      <c r="S135">
        <v>90</v>
      </c>
      <c r="T135">
        <v>2</v>
      </c>
      <c r="U135">
        <v>80</v>
      </c>
      <c r="V135">
        <v>2</v>
      </c>
      <c r="W135">
        <v>85</v>
      </c>
      <c r="X135">
        <v>2</v>
      </c>
      <c r="Y135">
        <v>78</v>
      </c>
      <c r="Z135">
        <v>1</v>
      </c>
      <c r="AA135">
        <v>91</v>
      </c>
      <c r="AB135">
        <v>1</v>
      </c>
      <c r="AC135">
        <v>90</v>
      </c>
      <c r="AD135">
        <v>1</v>
      </c>
      <c r="AE135">
        <v>89</v>
      </c>
      <c r="AF135">
        <v>2</v>
      </c>
      <c r="AG135">
        <v>98</v>
      </c>
      <c r="AH135">
        <v>2</v>
      </c>
    </row>
    <row r="136" spans="1:34">
      <c r="A136" t="s">
        <v>586</v>
      </c>
      <c r="B136" s="24">
        <v>1803</v>
      </c>
      <c r="C136" s="24" t="s">
        <v>587</v>
      </c>
      <c r="D136" s="24" t="s">
        <v>588</v>
      </c>
      <c r="E136" s="93">
        <v>87</v>
      </c>
      <c r="F136" s="94">
        <v>4</v>
      </c>
      <c r="G136" s="94">
        <v>85</v>
      </c>
      <c r="H136" s="94">
        <v>4</v>
      </c>
      <c r="I136" s="94">
        <v>90</v>
      </c>
      <c r="J136" s="94">
        <v>4</v>
      </c>
      <c r="K136" s="94">
        <v>90</v>
      </c>
      <c r="L136" s="94">
        <v>2</v>
      </c>
      <c r="M136" s="94">
        <v>89</v>
      </c>
      <c r="N136" s="94">
        <v>2</v>
      </c>
      <c r="O136" s="94">
        <v>80</v>
      </c>
      <c r="P136" s="94">
        <v>2</v>
      </c>
      <c r="Q136">
        <v>96</v>
      </c>
      <c r="R136">
        <v>2</v>
      </c>
      <c r="S136">
        <v>83</v>
      </c>
      <c r="T136">
        <v>2</v>
      </c>
      <c r="U136">
        <v>70</v>
      </c>
      <c r="V136">
        <v>2</v>
      </c>
      <c r="W136">
        <v>95</v>
      </c>
      <c r="X136">
        <v>2</v>
      </c>
      <c r="Y136">
        <v>80</v>
      </c>
      <c r="Z136">
        <v>1</v>
      </c>
      <c r="AA136">
        <v>91</v>
      </c>
      <c r="AB136">
        <v>1</v>
      </c>
      <c r="AC136">
        <v>76</v>
      </c>
      <c r="AD136">
        <v>1</v>
      </c>
      <c r="AE136">
        <v>90</v>
      </c>
      <c r="AF136">
        <v>2</v>
      </c>
      <c r="AG136">
        <v>98</v>
      </c>
      <c r="AH136">
        <v>2</v>
      </c>
    </row>
    <row r="137" spans="1:34">
      <c r="A137" t="s">
        <v>589</v>
      </c>
      <c r="B137" s="24">
        <v>1803</v>
      </c>
      <c r="C137" s="24" t="s">
        <v>590</v>
      </c>
      <c r="D137" s="24" t="s">
        <v>591</v>
      </c>
      <c r="E137" s="93">
        <v>90</v>
      </c>
      <c r="F137" s="94">
        <v>4</v>
      </c>
      <c r="G137" s="94">
        <v>92</v>
      </c>
      <c r="H137" s="94">
        <v>4</v>
      </c>
      <c r="I137" s="94">
        <v>85</v>
      </c>
      <c r="J137" s="94">
        <v>4</v>
      </c>
      <c r="K137" s="94">
        <v>88</v>
      </c>
      <c r="L137" s="94">
        <v>2</v>
      </c>
      <c r="M137" s="94">
        <v>85</v>
      </c>
      <c r="N137" s="94">
        <v>2</v>
      </c>
      <c r="O137" s="94">
        <v>80</v>
      </c>
      <c r="P137" s="94">
        <v>2</v>
      </c>
      <c r="Q137">
        <v>85</v>
      </c>
      <c r="R137">
        <v>2</v>
      </c>
      <c r="S137">
        <v>90</v>
      </c>
      <c r="T137">
        <v>2</v>
      </c>
      <c r="U137">
        <v>86</v>
      </c>
      <c r="V137">
        <v>2</v>
      </c>
      <c r="W137">
        <v>83</v>
      </c>
      <c r="X137">
        <v>2</v>
      </c>
      <c r="Y137">
        <v>80</v>
      </c>
      <c r="Z137">
        <v>1</v>
      </c>
      <c r="AA137">
        <v>91</v>
      </c>
      <c r="AB137">
        <v>1</v>
      </c>
      <c r="AC137">
        <v>95</v>
      </c>
      <c r="AD137">
        <v>1</v>
      </c>
      <c r="AE137">
        <v>86</v>
      </c>
      <c r="AF137">
        <v>2</v>
      </c>
      <c r="AG137">
        <v>99</v>
      </c>
      <c r="AH137">
        <v>2</v>
      </c>
    </row>
    <row r="138" spans="1:34">
      <c r="A138" t="s">
        <v>592</v>
      </c>
      <c r="B138" s="24">
        <v>1803</v>
      </c>
      <c r="C138" s="24" t="s">
        <v>593</v>
      </c>
      <c r="D138" s="24" t="s">
        <v>594</v>
      </c>
      <c r="E138" s="93">
        <v>87</v>
      </c>
      <c r="F138" s="94">
        <v>4</v>
      </c>
      <c r="G138" s="94">
        <v>89</v>
      </c>
      <c r="H138" s="94">
        <v>4</v>
      </c>
      <c r="I138" s="94">
        <v>89</v>
      </c>
      <c r="J138" s="94">
        <v>4</v>
      </c>
      <c r="K138" s="94">
        <v>87</v>
      </c>
      <c r="L138" s="94">
        <v>2</v>
      </c>
      <c r="M138" s="94">
        <v>83</v>
      </c>
      <c r="N138" s="94">
        <v>2</v>
      </c>
      <c r="O138" s="94">
        <v>80</v>
      </c>
      <c r="P138" s="94">
        <v>2</v>
      </c>
      <c r="Q138">
        <v>80</v>
      </c>
      <c r="R138">
        <v>2</v>
      </c>
      <c r="S138">
        <v>80</v>
      </c>
      <c r="T138">
        <v>2</v>
      </c>
      <c r="U138">
        <v>75</v>
      </c>
      <c r="V138">
        <v>2</v>
      </c>
      <c r="W138">
        <v>85</v>
      </c>
      <c r="X138">
        <v>2</v>
      </c>
      <c r="Y138">
        <v>86</v>
      </c>
      <c r="Z138">
        <v>1</v>
      </c>
      <c r="AA138">
        <v>91</v>
      </c>
      <c r="AB138">
        <v>1</v>
      </c>
      <c r="AC138">
        <v>88</v>
      </c>
      <c r="AD138">
        <v>1</v>
      </c>
      <c r="AE138">
        <v>84</v>
      </c>
      <c r="AF138">
        <v>2</v>
      </c>
      <c r="AG138">
        <v>98</v>
      </c>
      <c r="AH138">
        <v>2</v>
      </c>
    </row>
    <row r="139" spans="1:34">
      <c r="A139" t="s">
        <v>595</v>
      </c>
      <c r="B139" s="24">
        <v>1803</v>
      </c>
      <c r="C139" s="24" t="s">
        <v>596</v>
      </c>
      <c r="D139" s="24" t="s">
        <v>597</v>
      </c>
      <c r="E139" s="93">
        <v>85</v>
      </c>
      <c r="F139" s="94">
        <v>4</v>
      </c>
      <c r="G139" s="94">
        <v>90</v>
      </c>
      <c r="H139" s="94">
        <v>4</v>
      </c>
      <c r="I139" s="94">
        <v>87</v>
      </c>
      <c r="J139" s="94">
        <v>4</v>
      </c>
      <c r="K139" s="94">
        <v>95</v>
      </c>
      <c r="L139" s="94">
        <v>2</v>
      </c>
      <c r="M139" s="94">
        <v>89</v>
      </c>
      <c r="N139" s="94">
        <v>2</v>
      </c>
      <c r="O139" s="94">
        <v>93</v>
      </c>
      <c r="P139" s="94">
        <v>2</v>
      </c>
      <c r="Q139">
        <v>87</v>
      </c>
      <c r="R139">
        <v>2</v>
      </c>
      <c r="S139">
        <v>88</v>
      </c>
      <c r="T139">
        <v>2</v>
      </c>
      <c r="U139">
        <v>78</v>
      </c>
      <c r="V139">
        <v>2</v>
      </c>
      <c r="W139">
        <v>88</v>
      </c>
      <c r="X139">
        <v>2</v>
      </c>
      <c r="Y139">
        <v>85</v>
      </c>
      <c r="Z139">
        <v>1</v>
      </c>
      <c r="AA139">
        <v>91</v>
      </c>
      <c r="AB139">
        <v>1</v>
      </c>
      <c r="AC139">
        <v>70</v>
      </c>
      <c r="AD139">
        <v>1</v>
      </c>
      <c r="AE139">
        <v>85</v>
      </c>
      <c r="AF139">
        <v>2</v>
      </c>
      <c r="AG139">
        <v>98</v>
      </c>
      <c r="AH139">
        <v>2</v>
      </c>
    </row>
    <row r="140" spans="1:34">
      <c r="A140" t="s">
        <v>598</v>
      </c>
      <c r="B140" s="24">
        <v>1803</v>
      </c>
      <c r="C140" s="24" t="s">
        <v>599</v>
      </c>
      <c r="D140" s="24" t="s">
        <v>600</v>
      </c>
      <c r="E140" s="93">
        <v>80</v>
      </c>
      <c r="F140" s="94">
        <v>4</v>
      </c>
      <c r="G140" s="94">
        <v>90</v>
      </c>
      <c r="H140" s="94">
        <v>4</v>
      </c>
      <c r="I140" s="94">
        <v>75</v>
      </c>
      <c r="J140" s="94">
        <v>4</v>
      </c>
      <c r="K140" s="94">
        <v>88</v>
      </c>
      <c r="L140" s="94">
        <v>2</v>
      </c>
      <c r="M140" s="94">
        <v>78</v>
      </c>
      <c r="N140" s="94">
        <v>2</v>
      </c>
      <c r="O140" s="94">
        <v>80</v>
      </c>
      <c r="P140" s="94">
        <v>2</v>
      </c>
      <c r="Q140">
        <v>85</v>
      </c>
      <c r="R140">
        <v>2</v>
      </c>
      <c r="S140">
        <v>86</v>
      </c>
      <c r="T140">
        <v>2</v>
      </c>
      <c r="U140">
        <v>70</v>
      </c>
      <c r="V140">
        <v>2</v>
      </c>
      <c r="W140">
        <v>80</v>
      </c>
      <c r="X140">
        <v>2</v>
      </c>
      <c r="Y140">
        <v>80</v>
      </c>
      <c r="Z140">
        <v>1</v>
      </c>
      <c r="AA140">
        <v>91</v>
      </c>
      <c r="AB140">
        <v>1</v>
      </c>
      <c r="AC140">
        <v>76</v>
      </c>
      <c r="AD140">
        <v>1</v>
      </c>
      <c r="AE140">
        <v>84</v>
      </c>
      <c r="AF140">
        <v>2</v>
      </c>
      <c r="AG140">
        <v>98</v>
      </c>
      <c r="AH140">
        <v>2</v>
      </c>
    </row>
    <row r="141" spans="1:34">
      <c r="A141" t="s">
        <v>601</v>
      </c>
      <c r="B141" s="24">
        <v>1803</v>
      </c>
      <c r="C141" s="24" t="s">
        <v>602</v>
      </c>
      <c r="D141" s="24" t="s">
        <v>603</v>
      </c>
      <c r="E141" s="93">
        <v>73</v>
      </c>
      <c r="F141" s="94">
        <v>4</v>
      </c>
      <c r="G141" s="94">
        <v>82</v>
      </c>
      <c r="H141" s="94">
        <v>4</v>
      </c>
      <c r="I141" s="94">
        <v>81</v>
      </c>
      <c r="J141" s="94">
        <v>4</v>
      </c>
      <c r="K141" s="94">
        <v>83</v>
      </c>
      <c r="L141" s="94">
        <v>2</v>
      </c>
      <c r="M141" s="94">
        <v>82</v>
      </c>
      <c r="N141" s="94">
        <v>2</v>
      </c>
      <c r="O141" s="94">
        <v>80</v>
      </c>
      <c r="P141" s="94">
        <v>2</v>
      </c>
      <c r="Q141">
        <v>76</v>
      </c>
      <c r="R141">
        <v>2</v>
      </c>
      <c r="S141">
        <v>68</v>
      </c>
      <c r="T141">
        <v>2</v>
      </c>
      <c r="U141">
        <v>70</v>
      </c>
      <c r="V141">
        <v>2</v>
      </c>
      <c r="W141">
        <v>90</v>
      </c>
      <c r="X141">
        <v>2</v>
      </c>
      <c r="Y141">
        <v>84</v>
      </c>
      <c r="Z141">
        <v>1</v>
      </c>
      <c r="AA141">
        <v>91</v>
      </c>
      <c r="AB141">
        <v>1</v>
      </c>
      <c r="AC141">
        <v>90</v>
      </c>
      <c r="AD141">
        <v>1</v>
      </c>
      <c r="AE141">
        <v>86</v>
      </c>
      <c r="AF141">
        <v>2</v>
      </c>
      <c r="AG141">
        <v>78</v>
      </c>
      <c r="AH141">
        <v>2</v>
      </c>
    </row>
    <row r="142" spans="1:34">
      <c r="A142" t="s">
        <v>604</v>
      </c>
      <c r="B142" s="24">
        <v>1803</v>
      </c>
      <c r="C142" s="24" t="s">
        <v>605</v>
      </c>
      <c r="D142" s="24" t="s">
        <v>606</v>
      </c>
      <c r="E142" s="93">
        <v>89</v>
      </c>
      <c r="F142" s="94">
        <v>4</v>
      </c>
      <c r="G142" s="94">
        <v>89</v>
      </c>
      <c r="H142" s="94">
        <v>4</v>
      </c>
      <c r="I142" s="94">
        <v>92</v>
      </c>
      <c r="J142" s="94">
        <v>4</v>
      </c>
      <c r="K142" s="94">
        <v>87</v>
      </c>
      <c r="L142" s="94">
        <v>2</v>
      </c>
      <c r="M142" s="94">
        <v>87</v>
      </c>
      <c r="N142" s="94">
        <v>2</v>
      </c>
      <c r="O142" s="94">
        <v>85</v>
      </c>
      <c r="P142" s="94">
        <v>2</v>
      </c>
      <c r="Q142">
        <v>92</v>
      </c>
      <c r="R142">
        <v>2</v>
      </c>
      <c r="S142">
        <v>81</v>
      </c>
      <c r="T142">
        <v>2</v>
      </c>
      <c r="U142">
        <v>75</v>
      </c>
      <c r="V142">
        <v>2</v>
      </c>
      <c r="W142">
        <v>88</v>
      </c>
      <c r="X142">
        <v>2</v>
      </c>
      <c r="Y142">
        <v>83</v>
      </c>
      <c r="Z142">
        <v>1</v>
      </c>
      <c r="AA142">
        <v>91</v>
      </c>
      <c r="AB142">
        <v>1</v>
      </c>
      <c r="AC142">
        <v>75</v>
      </c>
      <c r="AD142">
        <v>1</v>
      </c>
      <c r="AE142">
        <v>88</v>
      </c>
      <c r="AF142">
        <v>2</v>
      </c>
      <c r="AG142">
        <v>98</v>
      </c>
      <c r="AH142">
        <v>2</v>
      </c>
    </row>
    <row r="143" spans="1:34">
      <c r="A143" t="s">
        <v>607</v>
      </c>
      <c r="B143" s="24">
        <v>1803</v>
      </c>
      <c r="C143" s="24" t="s">
        <v>608</v>
      </c>
      <c r="D143" s="24" t="s">
        <v>40</v>
      </c>
      <c r="E143" s="93">
        <v>80</v>
      </c>
      <c r="F143" s="94">
        <v>4</v>
      </c>
      <c r="G143" s="94">
        <v>92</v>
      </c>
      <c r="H143" s="94">
        <v>4</v>
      </c>
      <c r="I143" s="94">
        <v>80</v>
      </c>
      <c r="J143" s="94">
        <v>4</v>
      </c>
      <c r="K143" s="94">
        <v>90</v>
      </c>
      <c r="L143" s="94">
        <v>2</v>
      </c>
      <c r="M143" s="94">
        <v>92</v>
      </c>
      <c r="N143" s="94">
        <v>2</v>
      </c>
      <c r="O143" s="94">
        <v>80</v>
      </c>
      <c r="P143" s="94">
        <v>2</v>
      </c>
      <c r="Q143">
        <v>83</v>
      </c>
      <c r="R143">
        <v>2</v>
      </c>
      <c r="S143">
        <v>88</v>
      </c>
      <c r="T143">
        <v>2</v>
      </c>
      <c r="U143">
        <v>70</v>
      </c>
      <c r="V143">
        <v>2</v>
      </c>
      <c r="W143">
        <v>95</v>
      </c>
      <c r="X143">
        <v>2</v>
      </c>
      <c r="Y143">
        <v>80</v>
      </c>
      <c r="Z143">
        <v>1</v>
      </c>
      <c r="AA143">
        <v>91</v>
      </c>
      <c r="AB143">
        <v>1</v>
      </c>
      <c r="AC143">
        <v>92</v>
      </c>
      <c r="AD143">
        <v>1</v>
      </c>
      <c r="AE143">
        <v>50</v>
      </c>
      <c r="AF143">
        <v>1</v>
      </c>
      <c r="AG143">
        <v>96</v>
      </c>
      <c r="AH143">
        <v>2</v>
      </c>
    </row>
    <row r="144" spans="1:34">
      <c r="A144" t="s">
        <v>1695</v>
      </c>
      <c r="B144" s="24">
        <v>1803</v>
      </c>
      <c r="C144" s="24" t="s">
        <v>610</v>
      </c>
      <c r="D144" s="24" t="s">
        <v>1697</v>
      </c>
      <c r="E144" s="93">
        <v>80</v>
      </c>
      <c r="F144" s="94">
        <v>4</v>
      </c>
      <c r="G144" s="94">
        <v>84</v>
      </c>
      <c r="H144" s="94">
        <v>4</v>
      </c>
      <c r="I144" s="94">
        <v>91</v>
      </c>
      <c r="J144" s="94">
        <v>4</v>
      </c>
      <c r="K144" s="94">
        <v>85</v>
      </c>
      <c r="L144" s="94">
        <v>2</v>
      </c>
      <c r="M144" s="94">
        <v>82</v>
      </c>
      <c r="N144" s="94">
        <v>2</v>
      </c>
      <c r="O144" s="94">
        <v>80</v>
      </c>
      <c r="P144" s="94">
        <v>2</v>
      </c>
      <c r="Q144">
        <v>82</v>
      </c>
      <c r="R144">
        <v>2</v>
      </c>
      <c r="S144">
        <v>95</v>
      </c>
      <c r="T144">
        <v>2</v>
      </c>
      <c r="U144">
        <v>78</v>
      </c>
      <c r="V144">
        <v>2</v>
      </c>
      <c r="W144">
        <v>90</v>
      </c>
      <c r="X144">
        <v>2</v>
      </c>
      <c r="Y144">
        <v>82</v>
      </c>
      <c r="Z144">
        <v>1</v>
      </c>
      <c r="AA144">
        <v>91</v>
      </c>
      <c r="AB144">
        <v>1</v>
      </c>
      <c r="AC144">
        <v>75</v>
      </c>
      <c r="AD144">
        <v>1</v>
      </c>
      <c r="AE144">
        <v>84</v>
      </c>
      <c r="AF144">
        <v>2</v>
      </c>
      <c r="AG144">
        <v>98</v>
      </c>
      <c r="AH144">
        <v>2</v>
      </c>
    </row>
    <row r="145" spans="1:34">
      <c r="A145" t="s">
        <v>612</v>
      </c>
      <c r="B145" s="24">
        <v>1803</v>
      </c>
      <c r="C145" s="24" t="s">
        <v>613</v>
      </c>
      <c r="D145" s="24" t="s">
        <v>614</v>
      </c>
      <c r="E145" s="93">
        <v>82</v>
      </c>
      <c r="F145" s="94">
        <v>4</v>
      </c>
      <c r="G145" s="94">
        <v>86</v>
      </c>
      <c r="H145" s="94">
        <v>4</v>
      </c>
      <c r="I145" s="94">
        <v>80</v>
      </c>
      <c r="J145" s="94">
        <v>4</v>
      </c>
      <c r="K145" s="94">
        <v>88</v>
      </c>
      <c r="L145" s="94">
        <v>2</v>
      </c>
      <c r="M145" s="94">
        <v>80</v>
      </c>
      <c r="N145" s="94">
        <v>2</v>
      </c>
      <c r="O145" s="94">
        <v>80</v>
      </c>
      <c r="P145" s="94">
        <v>2</v>
      </c>
      <c r="Q145">
        <v>81</v>
      </c>
      <c r="R145">
        <v>2</v>
      </c>
      <c r="S145">
        <v>86</v>
      </c>
      <c r="T145">
        <v>2</v>
      </c>
      <c r="U145">
        <v>82</v>
      </c>
      <c r="V145">
        <v>2</v>
      </c>
      <c r="W145">
        <v>85</v>
      </c>
      <c r="X145">
        <v>2</v>
      </c>
      <c r="Y145">
        <v>81</v>
      </c>
      <c r="Z145">
        <v>1</v>
      </c>
      <c r="AA145">
        <v>91</v>
      </c>
      <c r="AB145">
        <v>1</v>
      </c>
      <c r="AC145">
        <v>83</v>
      </c>
      <c r="AD145">
        <v>1</v>
      </c>
      <c r="AE145">
        <v>50</v>
      </c>
      <c r="AF145">
        <v>1</v>
      </c>
      <c r="AG145">
        <v>88</v>
      </c>
      <c r="AH145">
        <v>2</v>
      </c>
    </row>
    <row r="146" spans="1:34">
      <c r="A146" t="s">
        <v>1636</v>
      </c>
      <c r="B146" s="24">
        <v>1803</v>
      </c>
      <c r="C146" s="24" t="s">
        <v>616</v>
      </c>
      <c r="D146" s="24" t="s">
        <v>1638</v>
      </c>
      <c r="E146" s="93">
        <v>86</v>
      </c>
      <c r="F146" s="94">
        <v>4</v>
      </c>
      <c r="G146" s="94">
        <v>83</v>
      </c>
      <c r="H146" s="94">
        <v>4</v>
      </c>
      <c r="I146" s="94">
        <v>92</v>
      </c>
      <c r="J146" s="94">
        <v>4</v>
      </c>
      <c r="K146" s="94">
        <v>82</v>
      </c>
      <c r="L146" s="94">
        <v>2</v>
      </c>
      <c r="M146" s="94">
        <v>81</v>
      </c>
      <c r="N146" s="94">
        <v>2</v>
      </c>
      <c r="O146" s="94">
        <v>88</v>
      </c>
      <c r="P146" s="94">
        <v>2</v>
      </c>
      <c r="Q146">
        <v>91</v>
      </c>
      <c r="R146">
        <v>2</v>
      </c>
      <c r="S146">
        <v>88</v>
      </c>
      <c r="T146">
        <v>2</v>
      </c>
      <c r="U146">
        <v>75</v>
      </c>
      <c r="V146">
        <v>2</v>
      </c>
      <c r="W146">
        <v>85</v>
      </c>
      <c r="X146">
        <v>2</v>
      </c>
      <c r="Y146">
        <v>83</v>
      </c>
      <c r="Z146">
        <v>1</v>
      </c>
      <c r="AA146">
        <v>91</v>
      </c>
      <c r="AB146">
        <v>1</v>
      </c>
      <c r="AC146">
        <v>83</v>
      </c>
      <c r="AD146">
        <v>1</v>
      </c>
      <c r="AE146">
        <v>82</v>
      </c>
      <c r="AF146">
        <v>2</v>
      </c>
      <c r="AG146">
        <v>96</v>
      </c>
      <c r="AH146">
        <v>2</v>
      </c>
    </row>
    <row r="147" spans="1:34">
      <c r="A147" t="s">
        <v>618</v>
      </c>
      <c r="B147" s="24">
        <v>1803</v>
      </c>
      <c r="C147" s="24" t="s">
        <v>619</v>
      </c>
      <c r="D147" s="24" t="s">
        <v>620</v>
      </c>
      <c r="E147" s="93">
        <v>88</v>
      </c>
      <c r="F147" s="94">
        <v>4</v>
      </c>
      <c r="G147" s="94">
        <v>89</v>
      </c>
      <c r="H147" s="94">
        <v>4</v>
      </c>
      <c r="I147" s="94">
        <v>87</v>
      </c>
      <c r="J147" s="94">
        <v>4</v>
      </c>
      <c r="K147" s="94">
        <v>85</v>
      </c>
      <c r="L147" s="94">
        <v>2</v>
      </c>
      <c r="M147" s="94">
        <v>90</v>
      </c>
      <c r="N147" s="94">
        <v>2</v>
      </c>
      <c r="O147" s="94">
        <v>95</v>
      </c>
      <c r="P147" s="94">
        <v>2</v>
      </c>
      <c r="Q147">
        <v>99</v>
      </c>
      <c r="R147">
        <v>2</v>
      </c>
      <c r="S147">
        <v>93</v>
      </c>
      <c r="T147">
        <v>2</v>
      </c>
      <c r="U147">
        <v>80</v>
      </c>
      <c r="V147">
        <v>2</v>
      </c>
      <c r="W147">
        <v>95</v>
      </c>
      <c r="X147">
        <v>2</v>
      </c>
      <c r="Y147">
        <v>80</v>
      </c>
      <c r="Z147">
        <v>1</v>
      </c>
      <c r="AA147">
        <v>91</v>
      </c>
      <c r="AB147">
        <v>1</v>
      </c>
      <c r="AC147">
        <v>90</v>
      </c>
      <c r="AD147">
        <v>1</v>
      </c>
      <c r="AE147">
        <v>86</v>
      </c>
      <c r="AF147">
        <v>2</v>
      </c>
      <c r="AG147">
        <v>98</v>
      </c>
      <c r="AH147">
        <v>2</v>
      </c>
    </row>
    <row r="148" spans="1:34">
      <c r="A148" t="s">
        <v>621</v>
      </c>
      <c r="B148" s="24">
        <v>1803</v>
      </c>
      <c r="C148" s="24" t="s">
        <v>622</v>
      </c>
      <c r="D148" s="24" t="s">
        <v>623</v>
      </c>
      <c r="E148" s="93">
        <v>83</v>
      </c>
      <c r="F148" s="94">
        <v>4</v>
      </c>
      <c r="G148" s="94">
        <v>92</v>
      </c>
      <c r="H148" s="94">
        <v>4</v>
      </c>
      <c r="I148" s="94">
        <v>88</v>
      </c>
      <c r="J148" s="94">
        <v>4</v>
      </c>
      <c r="K148" s="94">
        <v>90</v>
      </c>
      <c r="L148" s="94">
        <v>2</v>
      </c>
      <c r="M148" s="94">
        <v>89</v>
      </c>
      <c r="N148" s="94">
        <v>2</v>
      </c>
      <c r="O148" s="94">
        <v>89</v>
      </c>
      <c r="P148" s="94">
        <v>2</v>
      </c>
      <c r="Q148">
        <v>89</v>
      </c>
      <c r="R148">
        <v>2</v>
      </c>
      <c r="S148">
        <v>86</v>
      </c>
      <c r="T148">
        <v>2</v>
      </c>
      <c r="U148">
        <v>79</v>
      </c>
      <c r="V148">
        <v>2</v>
      </c>
      <c r="W148">
        <v>90</v>
      </c>
      <c r="X148">
        <v>2</v>
      </c>
      <c r="Y148">
        <v>80</v>
      </c>
      <c r="Z148">
        <v>1</v>
      </c>
      <c r="AA148">
        <v>91</v>
      </c>
      <c r="AB148">
        <v>1</v>
      </c>
      <c r="AC148">
        <v>60</v>
      </c>
      <c r="AD148">
        <v>1</v>
      </c>
      <c r="AE148">
        <v>84</v>
      </c>
      <c r="AF148">
        <v>2</v>
      </c>
      <c r="AG148">
        <v>92</v>
      </c>
      <c r="AH148">
        <v>2</v>
      </c>
    </row>
    <row r="149" spans="1:34">
      <c r="A149" t="s">
        <v>624</v>
      </c>
      <c r="B149" s="24">
        <v>1803</v>
      </c>
      <c r="C149" s="24" t="s">
        <v>625</v>
      </c>
      <c r="D149" s="24" t="s">
        <v>626</v>
      </c>
      <c r="E149" s="93">
        <v>95</v>
      </c>
      <c r="F149" s="94">
        <v>4</v>
      </c>
      <c r="G149" s="94">
        <v>90</v>
      </c>
      <c r="H149" s="94">
        <v>4</v>
      </c>
      <c r="I149" s="94">
        <v>90</v>
      </c>
      <c r="J149" s="94">
        <v>4</v>
      </c>
      <c r="K149" s="94">
        <v>88</v>
      </c>
      <c r="L149" s="94">
        <v>2</v>
      </c>
      <c r="M149" s="94">
        <v>89</v>
      </c>
      <c r="N149" s="94">
        <v>2</v>
      </c>
      <c r="O149" s="94">
        <v>88</v>
      </c>
      <c r="P149" s="94">
        <v>2</v>
      </c>
      <c r="Q149">
        <v>90</v>
      </c>
      <c r="R149">
        <v>2</v>
      </c>
      <c r="S149">
        <v>93</v>
      </c>
      <c r="T149">
        <v>2</v>
      </c>
      <c r="U149">
        <v>93</v>
      </c>
      <c r="V149">
        <v>2</v>
      </c>
      <c r="W149">
        <v>88</v>
      </c>
      <c r="X149">
        <v>2</v>
      </c>
      <c r="Y149">
        <v>90</v>
      </c>
      <c r="Z149">
        <v>1</v>
      </c>
      <c r="AA149">
        <v>91</v>
      </c>
      <c r="AB149">
        <v>1</v>
      </c>
      <c r="AC149">
        <v>86</v>
      </c>
      <c r="AD149">
        <v>1</v>
      </c>
      <c r="AE149">
        <v>88</v>
      </c>
      <c r="AF149">
        <v>2</v>
      </c>
      <c r="AG149">
        <v>94</v>
      </c>
      <c r="AH149">
        <v>2</v>
      </c>
    </row>
    <row r="150" spans="1:34">
      <c r="A150" t="s">
        <v>627</v>
      </c>
      <c r="B150" s="24">
        <v>1803</v>
      </c>
      <c r="C150" s="24" t="s">
        <v>628</v>
      </c>
      <c r="D150" s="24" t="s">
        <v>629</v>
      </c>
      <c r="E150" s="93">
        <v>92</v>
      </c>
      <c r="F150" s="94">
        <v>4</v>
      </c>
      <c r="G150" s="94">
        <v>83</v>
      </c>
      <c r="H150" s="94">
        <v>4</v>
      </c>
      <c r="I150" s="94">
        <v>93</v>
      </c>
      <c r="J150" s="94">
        <v>4</v>
      </c>
      <c r="K150" s="94">
        <v>88</v>
      </c>
      <c r="L150" s="94">
        <v>2</v>
      </c>
      <c r="M150" s="94">
        <v>83</v>
      </c>
      <c r="N150" s="94">
        <v>2</v>
      </c>
      <c r="O150" s="94">
        <v>84</v>
      </c>
      <c r="P150" s="94">
        <v>2</v>
      </c>
      <c r="Q150">
        <v>91</v>
      </c>
      <c r="R150">
        <v>2</v>
      </c>
      <c r="S150">
        <v>86</v>
      </c>
      <c r="T150">
        <v>2</v>
      </c>
      <c r="U150">
        <v>90</v>
      </c>
      <c r="V150">
        <v>2</v>
      </c>
      <c r="W150">
        <v>88</v>
      </c>
      <c r="X150">
        <v>2</v>
      </c>
      <c r="Y150">
        <v>80</v>
      </c>
      <c r="Z150">
        <v>1</v>
      </c>
      <c r="AA150">
        <v>91</v>
      </c>
      <c r="AB150">
        <v>1</v>
      </c>
      <c r="AC150">
        <v>80</v>
      </c>
      <c r="AD150">
        <v>1</v>
      </c>
      <c r="AE150">
        <v>90</v>
      </c>
      <c r="AF150">
        <v>2</v>
      </c>
      <c r="AG150">
        <v>98</v>
      </c>
      <c r="AH150">
        <v>2</v>
      </c>
    </row>
    <row r="151" spans="1:34">
      <c r="A151" t="s">
        <v>630</v>
      </c>
      <c r="B151" s="24">
        <v>1803</v>
      </c>
      <c r="C151" s="24" t="s">
        <v>631</v>
      </c>
      <c r="D151" s="24" t="s">
        <v>632</v>
      </c>
      <c r="E151" s="93">
        <v>90</v>
      </c>
      <c r="F151" s="94">
        <v>4</v>
      </c>
      <c r="G151" s="94">
        <v>87</v>
      </c>
      <c r="H151" s="94">
        <v>4</v>
      </c>
      <c r="I151" s="94">
        <v>93</v>
      </c>
      <c r="J151" s="94">
        <v>4</v>
      </c>
      <c r="K151" s="94">
        <v>88</v>
      </c>
      <c r="L151" s="94">
        <v>2</v>
      </c>
      <c r="M151" s="94">
        <v>92</v>
      </c>
      <c r="N151" s="94">
        <v>2</v>
      </c>
      <c r="O151" s="94">
        <v>98</v>
      </c>
      <c r="P151" s="94">
        <v>2</v>
      </c>
      <c r="Q151">
        <v>98</v>
      </c>
      <c r="R151">
        <v>2</v>
      </c>
      <c r="S151">
        <v>86</v>
      </c>
      <c r="T151">
        <v>2</v>
      </c>
      <c r="U151">
        <v>79</v>
      </c>
      <c r="V151">
        <v>2</v>
      </c>
      <c r="W151">
        <v>90</v>
      </c>
      <c r="X151">
        <v>2</v>
      </c>
      <c r="Y151">
        <v>82</v>
      </c>
      <c r="Z151">
        <v>1</v>
      </c>
      <c r="AA151">
        <v>91</v>
      </c>
      <c r="AB151">
        <v>1</v>
      </c>
      <c r="AC151">
        <v>85</v>
      </c>
      <c r="AD151">
        <v>1</v>
      </c>
      <c r="AE151">
        <v>86</v>
      </c>
      <c r="AF151">
        <v>2</v>
      </c>
      <c r="AG151">
        <v>98</v>
      </c>
      <c r="AH151">
        <v>2</v>
      </c>
    </row>
    <row r="152" spans="1:34">
      <c r="A152" t="s">
        <v>633</v>
      </c>
      <c r="B152" s="24">
        <v>1803</v>
      </c>
      <c r="C152" s="24" t="s">
        <v>634</v>
      </c>
      <c r="D152" s="24" t="s">
        <v>635</v>
      </c>
      <c r="E152" s="93">
        <v>94</v>
      </c>
      <c r="F152" s="94">
        <v>4</v>
      </c>
      <c r="G152" s="94">
        <v>81</v>
      </c>
      <c r="H152" s="94">
        <v>4</v>
      </c>
      <c r="I152" s="94">
        <v>95</v>
      </c>
      <c r="J152" s="94">
        <v>4</v>
      </c>
      <c r="K152" s="94">
        <v>85</v>
      </c>
      <c r="L152" s="94">
        <v>2</v>
      </c>
      <c r="M152" s="94">
        <v>88</v>
      </c>
      <c r="N152" s="94">
        <v>2</v>
      </c>
      <c r="O152" s="94">
        <v>80</v>
      </c>
      <c r="P152" s="94">
        <v>2</v>
      </c>
      <c r="Q152">
        <v>93</v>
      </c>
      <c r="R152">
        <v>2</v>
      </c>
      <c r="S152">
        <v>86</v>
      </c>
      <c r="T152">
        <v>2</v>
      </c>
      <c r="U152">
        <v>92</v>
      </c>
      <c r="V152">
        <v>2</v>
      </c>
      <c r="W152">
        <v>95</v>
      </c>
      <c r="X152">
        <v>2</v>
      </c>
      <c r="Y152">
        <v>84</v>
      </c>
      <c r="Z152">
        <v>1</v>
      </c>
      <c r="AA152">
        <v>91</v>
      </c>
      <c r="AB152">
        <v>1</v>
      </c>
      <c r="AC152">
        <v>75</v>
      </c>
      <c r="AD152">
        <v>1</v>
      </c>
      <c r="AE152">
        <v>84</v>
      </c>
      <c r="AF152">
        <v>2</v>
      </c>
      <c r="AG152">
        <v>99</v>
      </c>
      <c r="AH152">
        <v>2</v>
      </c>
    </row>
    <row r="153" spans="1:34">
      <c r="A153" t="s">
        <v>636</v>
      </c>
      <c r="B153" s="24">
        <v>1803</v>
      </c>
      <c r="C153" s="24" t="s">
        <v>637</v>
      </c>
      <c r="D153" s="24" t="s">
        <v>638</v>
      </c>
      <c r="E153" s="93">
        <v>80</v>
      </c>
      <c r="F153" s="94">
        <v>4</v>
      </c>
      <c r="G153" s="94">
        <v>83</v>
      </c>
      <c r="H153" s="94">
        <v>4</v>
      </c>
      <c r="I153" s="94">
        <v>85</v>
      </c>
      <c r="J153" s="94">
        <v>4</v>
      </c>
      <c r="K153" s="94">
        <v>87</v>
      </c>
      <c r="L153" s="94">
        <v>2</v>
      </c>
      <c r="M153" s="94">
        <v>87</v>
      </c>
      <c r="N153" s="94">
        <v>2</v>
      </c>
      <c r="O153" s="94">
        <v>80</v>
      </c>
      <c r="P153" s="94">
        <v>2</v>
      </c>
      <c r="Q153">
        <v>92</v>
      </c>
      <c r="R153">
        <v>2</v>
      </c>
      <c r="S153">
        <v>90</v>
      </c>
      <c r="T153">
        <v>2</v>
      </c>
      <c r="U153">
        <v>85</v>
      </c>
      <c r="V153">
        <v>2</v>
      </c>
      <c r="W153">
        <v>88</v>
      </c>
      <c r="X153">
        <v>2</v>
      </c>
      <c r="Y153">
        <v>81</v>
      </c>
      <c r="Z153">
        <v>1</v>
      </c>
      <c r="AA153">
        <v>91</v>
      </c>
      <c r="AB153">
        <v>1</v>
      </c>
      <c r="AC153">
        <v>70</v>
      </c>
      <c r="AD153">
        <v>1</v>
      </c>
      <c r="AE153">
        <v>89</v>
      </c>
      <c r="AF153">
        <v>2</v>
      </c>
      <c r="AG153">
        <v>98</v>
      </c>
      <c r="AH153">
        <v>2</v>
      </c>
    </row>
    <row r="154" spans="1:34">
      <c r="A154" t="s">
        <v>639</v>
      </c>
      <c r="B154" s="24">
        <v>1803</v>
      </c>
      <c r="C154" s="24" t="s">
        <v>640</v>
      </c>
      <c r="D154" s="24" t="s">
        <v>641</v>
      </c>
      <c r="E154" s="93">
        <v>83</v>
      </c>
      <c r="F154" s="94">
        <v>4</v>
      </c>
      <c r="G154" s="94">
        <v>84</v>
      </c>
      <c r="H154" s="94">
        <v>4</v>
      </c>
      <c r="I154" s="94">
        <v>85</v>
      </c>
      <c r="J154" s="94">
        <v>4</v>
      </c>
      <c r="K154" s="94">
        <v>90</v>
      </c>
      <c r="L154" s="94">
        <v>2</v>
      </c>
      <c r="M154" s="94">
        <v>86</v>
      </c>
      <c r="N154" s="94">
        <v>2</v>
      </c>
      <c r="O154" s="94">
        <v>80</v>
      </c>
      <c r="P154" s="94">
        <v>2</v>
      </c>
      <c r="Q154">
        <v>80</v>
      </c>
      <c r="R154">
        <v>2</v>
      </c>
      <c r="S154">
        <v>70</v>
      </c>
      <c r="T154">
        <v>2</v>
      </c>
      <c r="U154">
        <v>70</v>
      </c>
      <c r="V154">
        <v>2</v>
      </c>
      <c r="W154">
        <v>88</v>
      </c>
      <c r="X154">
        <v>2</v>
      </c>
      <c r="Y154">
        <v>80</v>
      </c>
      <c r="Z154">
        <v>1</v>
      </c>
      <c r="AA154">
        <v>91</v>
      </c>
      <c r="AB154">
        <v>1</v>
      </c>
      <c r="AC154">
        <v>78</v>
      </c>
      <c r="AD154">
        <v>1</v>
      </c>
      <c r="AE154">
        <v>90</v>
      </c>
      <c r="AF154">
        <v>2</v>
      </c>
      <c r="AG154">
        <v>96</v>
      </c>
      <c r="AH154">
        <v>2</v>
      </c>
    </row>
    <row r="155" spans="1:34">
      <c r="A155" t="s">
        <v>642</v>
      </c>
      <c r="B155" s="24">
        <v>1803</v>
      </c>
      <c r="C155" s="24" t="s">
        <v>643</v>
      </c>
      <c r="D155" s="24" t="s">
        <v>644</v>
      </c>
      <c r="E155" s="93">
        <v>90</v>
      </c>
      <c r="F155" s="94">
        <v>4</v>
      </c>
      <c r="G155" s="94">
        <v>87</v>
      </c>
      <c r="H155" s="94">
        <v>4</v>
      </c>
      <c r="I155" s="94">
        <v>88</v>
      </c>
      <c r="J155" s="94">
        <v>4</v>
      </c>
      <c r="K155" s="94">
        <v>90</v>
      </c>
      <c r="L155" s="94">
        <v>2</v>
      </c>
      <c r="M155" s="94">
        <v>90</v>
      </c>
      <c r="N155" s="94">
        <v>2</v>
      </c>
      <c r="O155" s="94">
        <v>87</v>
      </c>
      <c r="P155" s="94">
        <v>2</v>
      </c>
      <c r="Q155">
        <v>88</v>
      </c>
      <c r="R155">
        <v>2</v>
      </c>
      <c r="S155">
        <v>76</v>
      </c>
      <c r="T155">
        <v>2</v>
      </c>
      <c r="U155">
        <v>73</v>
      </c>
      <c r="V155">
        <v>2</v>
      </c>
      <c r="W155">
        <v>88</v>
      </c>
      <c r="X155">
        <v>2</v>
      </c>
      <c r="Y155">
        <v>82</v>
      </c>
      <c r="Z155">
        <v>1</v>
      </c>
      <c r="AA155">
        <v>91</v>
      </c>
      <c r="AB155">
        <v>1</v>
      </c>
      <c r="AC155">
        <v>86</v>
      </c>
      <c r="AD155">
        <v>1</v>
      </c>
      <c r="AE155">
        <v>84</v>
      </c>
      <c r="AF155">
        <v>2</v>
      </c>
      <c r="AG155">
        <v>98</v>
      </c>
      <c r="AH155">
        <v>2</v>
      </c>
    </row>
    <row r="156" spans="1:34">
      <c r="A156" t="s">
        <v>645</v>
      </c>
      <c r="B156" s="24">
        <v>1803</v>
      </c>
      <c r="C156" s="24" t="s">
        <v>646</v>
      </c>
      <c r="D156" s="24" t="s">
        <v>647</v>
      </c>
      <c r="E156" s="93">
        <v>90</v>
      </c>
      <c r="F156" s="94">
        <v>4</v>
      </c>
      <c r="G156" s="94">
        <v>80</v>
      </c>
      <c r="H156" s="94">
        <v>4</v>
      </c>
      <c r="I156" s="94">
        <v>86</v>
      </c>
      <c r="J156" s="94">
        <v>4</v>
      </c>
      <c r="K156" s="94">
        <v>88</v>
      </c>
      <c r="L156" s="94">
        <v>2</v>
      </c>
      <c r="M156" s="94">
        <v>86</v>
      </c>
      <c r="N156" s="94">
        <v>2</v>
      </c>
      <c r="O156" s="94">
        <v>80</v>
      </c>
      <c r="P156" s="94">
        <v>2</v>
      </c>
      <c r="Q156">
        <v>83</v>
      </c>
      <c r="R156">
        <v>2</v>
      </c>
      <c r="S156">
        <v>83</v>
      </c>
      <c r="T156">
        <v>2</v>
      </c>
      <c r="U156">
        <v>78</v>
      </c>
      <c r="V156">
        <v>2</v>
      </c>
      <c r="W156">
        <v>80</v>
      </c>
      <c r="X156">
        <v>2</v>
      </c>
      <c r="Y156">
        <v>91</v>
      </c>
      <c r="Z156">
        <v>1</v>
      </c>
      <c r="AA156">
        <v>91</v>
      </c>
      <c r="AB156">
        <v>1</v>
      </c>
      <c r="AC156">
        <v>72</v>
      </c>
      <c r="AD156">
        <v>1</v>
      </c>
      <c r="AE156">
        <v>88</v>
      </c>
      <c r="AF156">
        <v>2</v>
      </c>
      <c r="AG156" t="s">
        <v>3360</v>
      </c>
    </row>
    <row r="157" spans="1:34">
      <c r="A157" t="s">
        <v>648</v>
      </c>
      <c r="B157" s="24">
        <v>1803</v>
      </c>
      <c r="C157" s="24" t="s">
        <v>649</v>
      </c>
      <c r="D157" s="24" t="s">
        <v>650</v>
      </c>
      <c r="E157" s="93">
        <v>88</v>
      </c>
      <c r="F157" s="94">
        <v>4</v>
      </c>
      <c r="G157" s="94">
        <v>86</v>
      </c>
      <c r="H157" s="94">
        <v>4</v>
      </c>
      <c r="I157" s="94">
        <v>86</v>
      </c>
      <c r="J157" s="94">
        <v>4</v>
      </c>
      <c r="K157" s="94">
        <v>92</v>
      </c>
      <c r="L157" s="94">
        <v>2</v>
      </c>
      <c r="M157" s="94">
        <v>93</v>
      </c>
      <c r="N157" s="94">
        <v>2</v>
      </c>
      <c r="O157" s="94">
        <v>90</v>
      </c>
      <c r="P157" s="94">
        <v>2</v>
      </c>
      <c r="Q157">
        <v>93</v>
      </c>
      <c r="R157">
        <v>2</v>
      </c>
      <c r="S157">
        <v>70</v>
      </c>
      <c r="T157">
        <v>2</v>
      </c>
      <c r="U157">
        <v>83</v>
      </c>
      <c r="V157">
        <v>2</v>
      </c>
      <c r="W157">
        <v>88</v>
      </c>
      <c r="X157">
        <v>2</v>
      </c>
      <c r="Y157">
        <v>78</v>
      </c>
      <c r="Z157">
        <v>1</v>
      </c>
      <c r="AA157">
        <v>91</v>
      </c>
      <c r="AB157">
        <v>1</v>
      </c>
      <c r="AC157">
        <v>70</v>
      </c>
      <c r="AD157">
        <v>1</v>
      </c>
      <c r="AE157">
        <v>90</v>
      </c>
      <c r="AF157">
        <v>2</v>
      </c>
      <c r="AG157">
        <v>92</v>
      </c>
      <c r="AH157">
        <v>2</v>
      </c>
    </row>
    <row r="158" spans="1:34">
      <c r="A158" t="s">
        <v>651</v>
      </c>
      <c r="B158" s="24">
        <v>1803</v>
      </c>
      <c r="C158" s="24" t="s">
        <v>652</v>
      </c>
      <c r="D158" s="24" t="s">
        <v>653</v>
      </c>
      <c r="E158" s="93">
        <v>89</v>
      </c>
      <c r="F158" s="94">
        <v>4</v>
      </c>
      <c r="G158" s="94">
        <v>90</v>
      </c>
      <c r="H158" s="94">
        <v>4</v>
      </c>
      <c r="I158" s="94">
        <v>85</v>
      </c>
      <c r="J158" s="94">
        <v>4</v>
      </c>
      <c r="K158" s="94">
        <v>88</v>
      </c>
      <c r="L158" s="94">
        <v>2</v>
      </c>
      <c r="M158" s="94">
        <v>87</v>
      </c>
      <c r="N158" s="94">
        <v>2</v>
      </c>
      <c r="O158" s="94">
        <v>92</v>
      </c>
      <c r="P158" s="94">
        <v>2</v>
      </c>
      <c r="Q158">
        <v>92</v>
      </c>
      <c r="R158">
        <v>2</v>
      </c>
      <c r="S158">
        <v>93</v>
      </c>
      <c r="T158">
        <v>2</v>
      </c>
      <c r="U158">
        <v>78</v>
      </c>
      <c r="V158">
        <v>2</v>
      </c>
      <c r="W158">
        <v>88</v>
      </c>
      <c r="X158">
        <v>2</v>
      </c>
      <c r="Y158">
        <v>77</v>
      </c>
      <c r="Z158">
        <v>1</v>
      </c>
      <c r="AA158">
        <v>91</v>
      </c>
      <c r="AB158">
        <v>1</v>
      </c>
      <c r="AC158">
        <v>92</v>
      </c>
      <c r="AD158">
        <v>1</v>
      </c>
      <c r="AE158">
        <v>86</v>
      </c>
      <c r="AF158">
        <v>2</v>
      </c>
      <c r="AG158">
        <v>87</v>
      </c>
      <c r="AH158">
        <v>2</v>
      </c>
    </row>
    <row r="159" spans="1:34">
      <c r="A159" t="s">
        <v>654</v>
      </c>
      <c r="B159" s="24">
        <v>1803</v>
      </c>
      <c r="C159" s="24" t="s">
        <v>655</v>
      </c>
      <c r="D159" s="24" t="s">
        <v>656</v>
      </c>
      <c r="E159" s="93">
        <v>83</v>
      </c>
      <c r="F159" s="94">
        <v>4</v>
      </c>
      <c r="G159" s="94">
        <v>85</v>
      </c>
      <c r="H159" s="94">
        <v>4</v>
      </c>
      <c r="I159" s="94">
        <v>85</v>
      </c>
      <c r="J159" s="94">
        <v>4</v>
      </c>
      <c r="K159" s="94">
        <v>85</v>
      </c>
      <c r="L159" s="94">
        <v>2</v>
      </c>
      <c r="M159" s="94">
        <v>80</v>
      </c>
      <c r="N159" s="94">
        <v>2</v>
      </c>
      <c r="O159" s="94">
        <v>85</v>
      </c>
      <c r="P159" s="94">
        <v>2</v>
      </c>
      <c r="Q159">
        <v>88</v>
      </c>
      <c r="R159">
        <v>2</v>
      </c>
      <c r="S159">
        <v>83</v>
      </c>
      <c r="T159">
        <v>2</v>
      </c>
      <c r="U159">
        <v>73</v>
      </c>
      <c r="V159">
        <v>2</v>
      </c>
      <c r="W159">
        <v>90</v>
      </c>
      <c r="X159">
        <v>2</v>
      </c>
      <c r="Y159">
        <v>82</v>
      </c>
      <c r="Z159">
        <v>1</v>
      </c>
      <c r="AA159">
        <v>91</v>
      </c>
      <c r="AB159">
        <v>1</v>
      </c>
      <c r="AC159">
        <v>80</v>
      </c>
      <c r="AD159">
        <v>1</v>
      </c>
      <c r="AE159">
        <v>84</v>
      </c>
      <c r="AF159">
        <v>2</v>
      </c>
      <c r="AG159">
        <v>98</v>
      </c>
      <c r="AH159">
        <v>2</v>
      </c>
    </row>
    <row r="160" spans="1:34">
      <c r="A160" t="s">
        <v>657</v>
      </c>
      <c r="B160" s="24">
        <v>1803</v>
      </c>
      <c r="C160" s="24" t="s">
        <v>658</v>
      </c>
      <c r="D160" s="24" t="s">
        <v>659</v>
      </c>
      <c r="E160" s="93">
        <v>80</v>
      </c>
      <c r="F160" s="94">
        <v>4</v>
      </c>
      <c r="G160" s="94">
        <v>91</v>
      </c>
      <c r="H160" s="94">
        <v>4</v>
      </c>
      <c r="I160" s="94">
        <v>85</v>
      </c>
      <c r="J160" s="94">
        <v>4</v>
      </c>
      <c r="K160" s="94">
        <v>87</v>
      </c>
      <c r="L160" s="94">
        <v>2</v>
      </c>
      <c r="M160" s="94">
        <v>89</v>
      </c>
      <c r="N160" s="94">
        <v>2</v>
      </c>
      <c r="O160" s="94">
        <v>80</v>
      </c>
      <c r="P160" s="94">
        <v>2</v>
      </c>
      <c r="Q160">
        <v>97</v>
      </c>
      <c r="R160">
        <v>2</v>
      </c>
      <c r="S160">
        <v>98</v>
      </c>
      <c r="T160">
        <v>2</v>
      </c>
      <c r="U160">
        <v>75</v>
      </c>
      <c r="V160">
        <v>2</v>
      </c>
      <c r="W160">
        <v>85</v>
      </c>
      <c r="X160">
        <v>2</v>
      </c>
      <c r="Y160">
        <v>79</v>
      </c>
      <c r="Z160">
        <v>1</v>
      </c>
      <c r="AA160">
        <v>91</v>
      </c>
      <c r="AB160">
        <v>1</v>
      </c>
      <c r="AC160">
        <v>80</v>
      </c>
      <c r="AD160">
        <v>1</v>
      </c>
      <c r="AE160">
        <v>85</v>
      </c>
      <c r="AF160">
        <v>2</v>
      </c>
      <c r="AG160">
        <v>98</v>
      </c>
      <c r="AH160">
        <v>2</v>
      </c>
    </row>
    <row r="161" spans="1:34">
      <c r="A161" t="s">
        <v>660</v>
      </c>
      <c r="B161" s="24">
        <v>1803</v>
      </c>
      <c r="C161" s="24" t="s">
        <v>661</v>
      </c>
      <c r="D161" s="24" t="s">
        <v>18</v>
      </c>
      <c r="E161" s="93">
        <v>95</v>
      </c>
      <c r="F161" s="94">
        <v>4</v>
      </c>
      <c r="G161" s="94">
        <v>88</v>
      </c>
      <c r="H161" s="94">
        <v>4</v>
      </c>
      <c r="I161" s="94">
        <v>87</v>
      </c>
      <c r="J161" s="94">
        <v>4</v>
      </c>
      <c r="K161" s="94">
        <v>88</v>
      </c>
      <c r="L161" s="94">
        <v>2</v>
      </c>
      <c r="M161" s="94">
        <v>89</v>
      </c>
      <c r="N161" s="94">
        <v>2</v>
      </c>
      <c r="O161" s="94">
        <v>85</v>
      </c>
      <c r="P161" s="94">
        <v>2</v>
      </c>
      <c r="Q161">
        <v>83</v>
      </c>
      <c r="R161">
        <v>2</v>
      </c>
      <c r="S161">
        <v>88</v>
      </c>
      <c r="T161">
        <v>2</v>
      </c>
      <c r="U161">
        <v>82</v>
      </c>
      <c r="V161">
        <v>2</v>
      </c>
      <c r="W161">
        <v>85</v>
      </c>
      <c r="X161">
        <v>2</v>
      </c>
      <c r="Y161">
        <v>82</v>
      </c>
      <c r="Z161">
        <v>1</v>
      </c>
      <c r="AA161">
        <v>91</v>
      </c>
      <c r="AB161">
        <v>1</v>
      </c>
      <c r="AC161">
        <v>85</v>
      </c>
      <c r="AD161">
        <v>1</v>
      </c>
      <c r="AE161">
        <v>84</v>
      </c>
      <c r="AF161">
        <v>2</v>
      </c>
      <c r="AG161">
        <v>86</v>
      </c>
      <c r="AH161">
        <v>2</v>
      </c>
    </row>
    <row r="162" spans="1:34">
      <c r="A162" t="s">
        <v>662</v>
      </c>
      <c r="B162" s="24">
        <v>1803</v>
      </c>
      <c r="C162" s="24" t="s">
        <v>663</v>
      </c>
      <c r="D162" s="24" t="s">
        <v>664</v>
      </c>
      <c r="E162" s="93">
        <v>88</v>
      </c>
      <c r="F162" s="94">
        <v>4</v>
      </c>
      <c r="G162" s="94">
        <v>87</v>
      </c>
      <c r="H162" s="94">
        <v>4</v>
      </c>
      <c r="I162" s="94">
        <v>91</v>
      </c>
      <c r="J162" s="94">
        <v>4</v>
      </c>
      <c r="K162" s="94">
        <v>87</v>
      </c>
      <c r="L162" s="94">
        <v>2</v>
      </c>
      <c r="M162" s="94">
        <v>83</v>
      </c>
      <c r="N162" s="94">
        <v>2</v>
      </c>
      <c r="O162" s="94">
        <v>86</v>
      </c>
      <c r="P162" s="94">
        <v>2</v>
      </c>
      <c r="Q162">
        <v>85</v>
      </c>
      <c r="R162">
        <v>2</v>
      </c>
      <c r="S162">
        <v>83</v>
      </c>
      <c r="T162">
        <v>2</v>
      </c>
      <c r="U162">
        <v>70</v>
      </c>
      <c r="V162">
        <v>2</v>
      </c>
      <c r="W162">
        <v>80</v>
      </c>
      <c r="X162">
        <v>2</v>
      </c>
      <c r="Y162">
        <v>78</v>
      </c>
      <c r="Z162">
        <v>1</v>
      </c>
      <c r="AA162">
        <v>91</v>
      </c>
      <c r="AB162">
        <v>1</v>
      </c>
      <c r="AC162">
        <v>75</v>
      </c>
      <c r="AD162">
        <v>1</v>
      </c>
      <c r="AE162">
        <v>86</v>
      </c>
      <c r="AF162">
        <v>2</v>
      </c>
      <c r="AG162">
        <v>95</v>
      </c>
      <c r="AH162">
        <v>2</v>
      </c>
    </row>
    <row r="163" spans="1:34">
      <c r="A163" t="s">
        <v>665</v>
      </c>
      <c r="B163" s="24">
        <v>1803</v>
      </c>
      <c r="C163" s="24" t="s">
        <v>666</v>
      </c>
      <c r="D163" s="24" t="s">
        <v>667</v>
      </c>
      <c r="E163" s="93">
        <v>89</v>
      </c>
      <c r="F163" s="94">
        <v>4</v>
      </c>
      <c r="G163" s="94">
        <v>94</v>
      </c>
      <c r="H163" s="94">
        <v>4</v>
      </c>
      <c r="I163" s="94">
        <v>92</v>
      </c>
      <c r="J163" s="94">
        <v>4</v>
      </c>
      <c r="K163" s="94">
        <v>93</v>
      </c>
      <c r="L163" s="94">
        <v>2</v>
      </c>
      <c r="M163" s="94">
        <v>93</v>
      </c>
      <c r="N163" s="94">
        <v>2</v>
      </c>
      <c r="O163" s="94">
        <v>95</v>
      </c>
      <c r="P163" s="94">
        <v>2</v>
      </c>
      <c r="Q163">
        <v>95</v>
      </c>
      <c r="R163">
        <v>2</v>
      </c>
      <c r="S163">
        <v>93</v>
      </c>
      <c r="T163">
        <v>2</v>
      </c>
      <c r="U163">
        <v>88</v>
      </c>
      <c r="V163">
        <v>2</v>
      </c>
      <c r="W163">
        <v>93</v>
      </c>
      <c r="X163">
        <v>2</v>
      </c>
      <c r="Y163">
        <v>80</v>
      </c>
      <c r="Z163">
        <v>1</v>
      </c>
      <c r="AA163">
        <v>91</v>
      </c>
      <c r="AB163">
        <v>1</v>
      </c>
      <c r="AC163">
        <v>70</v>
      </c>
      <c r="AD163">
        <v>1</v>
      </c>
      <c r="AE163">
        <v>88</v>
      </c>
      <c r="AF163">
        <v>2</v>
      </c>
      <c r="AG163">
        <v>98</v>
      </c>
      <c r="AH163">
        <v>2</v>
      </c>
    </row>
    <row r="164" spans="1:34">
      <c r="A164" t="s">
        <v>668</v>
      </c>
      <c r="B164" s="24">
        <v>1803</v>
      </c>
      <c r="C164" s="24" t="s">
        <v>669</v>
      </c>
      <c r="D164" s="24" t="s">
        <v>670</v>
      </c>
      <c r="E164" s="93">
        <v>90</v>
      </c>
      <c r="F164" s="94">
        <v>4</v>
      </c>
      <c r="G164" s="94">
        <v>90</v>
      </c>
      <c r="H164" s="94">
        <v>4</v>
      </c>
      <c r="I164" s="94">
        <v>86</v>
      </c>
      <c r="J164" s="94">
        <v>4</v>
      </c>
      <c r="K164" s="94">
        <v>87</v>
      </c>
      <c r="L164" s="94">
        <v>2</v>
      </c>
      <c r="M164" s="94">
        <v>90</v>
      </c>
      <c r="N164" s="94">
        <v>2</v>
      </c>
      <c r="O164" s="94">
        <v>80</v>
      </c>
      <c r="P164" s="94">
        <v>2</v>
      </c>
      <c r="Q164">
        <v>96</v>
      </c>
      <c r="R164">
        <v>2</v>
      </c>
      <c r="S164">
        <v>92</v>
      </c>
      <c r="T164">
        <v>2</v>
      </c>
      <c r="U164">
        <v>72</v>
      </c>
      <c r="V164">
        <v>2</v>
      </c>
      <c r="W164">
        <v>80</v>
      </c>
      <c r="X164">
        <v>2</v>
      </c>
      <c r="Y164">
        <v>90</v>
      </c>
      <c r="Z164">
        <v>1</v>
      </c>
      <c r="AA164">
        <v>91</v>
      </c>
      <c r="AB164">
        <v>1</v>
      </c>
      <c r="AC164">
        <v>90</v>
      </c>
      <c r="AD164">
        <v>1</v>
      </c>
      <c r="AE164">
        <v>89</v>
      </c>
      <c r="AF164">
        <v>2</v>
      </c>
      <c r="AG164">
        <v>98</v>
      </c>
      <c r="AH164">
        <v>2</v>
      </c>
    </row>
    <row r="165" spans="1:34">
      <c r="A165" t="s">
        <v>671</v>
      </c>
      <c r="B165" s="24">
        <v>1803</v>
      </c>
      <c r="C165" s="24" t="s">
        <v>672</v>
      </c>
      <c r="D165" s="24" t="s">
        <v>673</v>
      </c>
      <c r="E165" s="93">
        <v>94</v>
      </c>
      <c r="F165" s="94">
        <v>4</v>
      </c>
      <c r="G165" s="94">
        <v>92</v>
      </c>
      <c r="H165" s="94">
        <v>4</v>
      </c>
      <c r="I165" s="94">
        <v>98</v>
      </c>
      <c r="J165" s="94">
        <v>4</v>
      </c>
      <c r="K165" s="94">
        <v>90</v>
      </c>
      <c r="L165" s="94">
        <v>2</v>
      </c>
      <c r="M165" s="94">
        <v>90</v>
      </c>
      <c r="N165" s="94">
        <v>2</v>
      </c>
      <c r="O165" s="94">
        <v>86</v>
      </c>
      <c r="P165" s="94">
        <v>2</v>
      </c>
      <c r="Q165">
        <v>98</v>
      </c>
      <c r="R165">
        <v>2</v>
      </c>
      <c r="S165">
        <v>98</v>
      </c>
      <c r="T165">
        <v>2</v>
      </c>
      <c r="U165">
        <v>98</v>
      </c>
      <c r="V165">
        <v>2</v>
      </c>
      <c r="W165">
        <v>98</v>
      </c>
      <c r="X165">
        <v>2</v>
      </c>
      <c r="Y165">
        <v>80</v>
      </c>
      <c r="Z165">
        <v>1</v>
      </c>
      <c r="AA165">
        <v>91</v>
      </c>
      <c r="AB165">
        <v>1</v>
      </c>
      <c r="AC165">
        <v>67</v>
      </c>
      <c r="AD165">
        <v>1</v>
      </c>
      <c r="AE165">
        <v>82</v>
      </c>
      <c r="AF165">
        <v>2</v>
      </c>
      <c r="AG165">
        <v>98</v>
      </c>
      <c r="AH165">
        <v>2</v>
      </c>
    </row>
    <row r="166" spans="1:34">
      <c r="A166" t="s">
        <v>674</v>
      </c>
      <c r="B166" s="24">
        <v>1803</v>
      </c>
      <c r="C166" s="24" t="s">
        <v>675</v>
      </c>
      <c r="D166" s="24" t="s">
        <v>676</v>
      </c>
      <c r="E166" s="93">
        <v>90</v>
      </c>
      <c r="F166" s="94">
        <v>4</v>
      </c>
      <c r="G166" s="94">
        <v>86</v>
      </c>
      <c r="H166" s="94">
        <v>4</v>
      </c>
      <c r="I166" s="94">
        <v>98</v>
      </c>
      <c r="J166" s="94">
        <v>4</v>
      </c>
      <c r="K166" s="94">
        <v>87</v>
      </c>
      <c r="L166" s="94">
        <v>2</v>
      </c>
      <c r="M166" s="94">
        <v>88</v>
      </c>
      <c r="N166" s="94">
        <v>2</v>
      </c>
      <c r="O166" s="94">
        <v>87</v>
      </c>
      <c r="P166" s="94">
        <v>2</v>
      </c>
      <c r="Q166">
        <v>83</v>
      </c>
      <c r="R166">
        <v>2</v>
      </c>
      <c r="S166">
        <v>78</v>
      </c>
      <c r="T166">
        <v>2</v>
      </c>
      <c r="U166">
        <v>79</v>
      </c>
      <c r="V166">
        <v>2</v>
      </c>
      <c r="W166">
        <v>88</v>
      </c>
      <c r="X166">
        <v>2</v>
      </c>
      <c r="Y166">
        <v>79</v>
      </c>
      <c r="Z166">
        <v>1</v>
      </c>
      <c r="AA166">
        <v>91</v>
      </c>
      <c r="AB166">
        <v>1</v>
      </c>
      <c r="AC166">
        <v>70</v>
      </c>
      <c r="AD166">
        <v>1</v>
      </c>
      <c r="AE166">
        <v>86</v>
      </c>
      <c r="AF166">
        <v>2</v>
      </c>
      <c r="AG166">
        <v>98</v>
      </c>
      <c r="AH166">
        <v>2</v>
      </c>
    </row>
    <row r="167" spans="1:34">
      <c r="A167" t="s">
        <v>677</v>
      </c>
      <c r="B167" s="24">
        <v>1803</v>
      </c>
      <c r="C167" s="24" t="s">
        <v>678</v>
      </c>
      <c r="D167" s="24" t="s">
        <v>679</v>
      </c>
      <c r="E167" s="93">
        <v>90</v>
      </c>
      <c r="F167" s="94">
        <v>4</v>
      </c>
      <c r="G167" s="94">
        <v>90</v>
      </c>
      <c r="H167" s="94">
        <v>4</v>
      </c>
      <c r="I167" s="94">
        <v>80</v>
      </c>
      <c r="J167" s="94">
        <v>4</v>
      </c>
      <c r="K167" s="94">
        <v>90</v>
      </c>
      <c r="L167" s="94">
        <v>2</v>
      </c>
      <c r="M167" s="94">
        <v>92</v>
      </c>
      <c r="N167" s="94">
        <v>2</v>
      </c>
      <c r="O167" s="94">
        <v>90</v>
      </c>
      <c r="P167" s="94">
        <v>2</v>
      </c>
      <c r="Q167">
        <v>95</v>
      </c>
      <c r="R167">
        <v>2</v>
      </c>
      <c r="S167">
        <v>90</v>
      </c>
      <c r="T167">
        <v>2</v>
      </c>
      <c r="U167">
        <v>90</v>
      </c>
      <c r="V167">
        <v>2</v>
      </c>
      <c r="W167">
        <v>90</v>
      </c>
      <c r="X167">
        <v>2</v>
      </c>
      <c r="Y167">
        <v>83</v>
      </c>
      <c r="Z167">
        <v>1</v>
      </c>
      <c r="AA167">
        <v>91</v>
      </c>
      <c r="AB167">
        <v>1</v>
      </c>
      <c r="AC167">
        <v>78</v>
      </c>
      <c r="AD167">
        <v>1</v>
      </c>
      <c r="AE167">
        <v>84</v>
      </c>
      <c r="AF167">
        <v>2</v>
      </c>
      <c r="AG167">
        <v>93</v>
      </c>
      <c r="AH167">
        <v>2</v>
      </c>
    </row>
    <row r="168" spans="1:34">
      <c r="A168" t="s">
        <v>680</v>
      </c>
      <c r="B168" s="24">
        <v>1803</v>
      </c>
      <c r="C168" s="24" t="s">
        <v>681</v>
      </c>
      <c r="D168" s="24" t="s">
        <v>682</v>
      </c>
      <c r="E168" s="93">
        <v>87</v>
      </c>
      <c r="F168" s="94">
        <v>4</v>
      </c>
      <c r="G168" s="94">
        <v>88</v>
      </c>
      <c r="H168" s="94">
        <v>4</v>
      </c>
      <c r="I168" s="94">
        <v>85</v>
      </c>
      <c r="J168" s="94">
        <v>4</v>
      </c>
      <c r="K168" s="94">
        <v>90</v>
      </c>
      <c r="L168" s="94">
        <v>2</v>
      </c>
      <c r="M168" s="94">
        <v>90</v>
      </c>
      <c r="N168" s="94">
        <v>2</v>
      </c>
      <c r="O168" s="94">
        <v>85</v>
      </c>
      <c r="P168" s="94">
        <v>2</v>
      </c>
      <c r="Q168">
        <v>82</v>
      </c>
      <c r="R168">
        <v>2</v>
      </c>
      <c r="S168">
        <v>83</v>
      </c>
      <c r="T168">
        <v>2</v>
      </c>
      <c r="U168">
        <v>86</v>
      </c>
      <c r="V168">
        <v>2</v>
      </c>
      <c r="W168">
        <v>96</v>
      </c>
      <c r="X168">
        <v>2</v>
      </c>
      <c r="Y168">
        <v>82</v>
      </c>
      <c r="Z168">
        <v>1</v>
      </c>
      <c r="AA168">
        <v>91</v>
      </c>
      <c r="AB168">
        <v>1</v>
      </c>
      <c r="AC168">
        <v>85</v>
      </c>
      <c r="AD168">
        <v>1</v>
      </c>
      <c r="AE168">
        <v>85</v>
      </c>
      <c r="AF168">
        <v>2</v>
      </c>
      <c r="AG168">
        <v>84</v>
      </c>
      <c r="AH168">
        <v>2</v>
      </c>
    </row>
    <row r="169" spans="1:34">
      <c r="A169" t="s">
        <v>683</v>
      </c>
      <c r="B169" s="24">
        <v>1803</v>
      </c>
      <c r="C169" s="24" t="s">
        <v>684</v>
      </c>
      <c r="D169" s="24" t="s">
        <v>685</v>
      </c>
      <c r="E169" s="93">
        <v>86</v>
      </c>
      <c r="F169" s="94">
        <v>4</v>
      </c>
      <c r="G169" s="94">
        <v>87</v>
      </c>
      <c r="H169" s="94">
        <v>4</v>
      </c>
      <c r="I169" s="94">
        <v>86</v>
      </c>
      <c r="J169" s="94">
        <v>4</v>
      </c>
      <c r="K169" s="94">
        <v>87</v>
      </c>
      <c r="L169" s="94">
        <v>2</v>
      </c>
      <c r="M169" s="94">
        <v>83</v>
      </c>
      <c r="N169" s="94">
        <v>2</v>
      </c>
      <c r="O169" s="94">
        <v>80</v>
      </c>
      <c r="P169" s="94">
        <v>2</v>
      </c>
      <c r="Q169">
        <v>96</v>
      </c>
      <c r="R169">
        <v>2</v>
      </c>
      <c r="S169">
        <v>82</v>
      </c>
      <c r="T169">
        <v>2</v>
      </c>
      <c r="U169">
        <v>78</v>
      </c>
      <c r="V169">
        <v>2</v>
      </c>
      <c r="W169">
        <v>85</v>
      </c>
      <c r="X169">
        <v>2</v>
      </c>
      <c r="Y169">
        <v>82</v>
      </c>
      <c r="Z169">
        <v>1</v>
      </c>
      <c r="AA169">
        <v>91</v>
      </c>
      <c r="AB169">
        <v>1</v>
      </c>
      <c r="AC169">
        <v>83</v>
      </c>
      <c r="AD169">
        <v>1</v>
      </c>
      <c r="AE169">
        <v>84</v>
      </c>
      <c r="AF169">
        <v>2</v>
      </c>
      <c r="AG169">
        <v>84</v>
      </c>
      <c r="AH169">
        <v>2</v>
      </c>
    </row>
    <row r="170" spans="1:34">
      <c r="A170" t="s">
        <v>686</v>
      </c>
      <c r="B170" s="24">
        <v>1803</v>
      </c>
      <c r="C170" s="24" t="s">
        <v>687</v>
      </c>
      <c r="D170" s="24" t="s">
        <v>209</v>
      </c>
      <c r="E170" s="93">
        <v>94</v>
      </c>
      <c r="F170" s="94">
        <v>4</v>
      </c>
      <c r="G170" s="94">
        <v>89</v>
      </c>
      <c r="H170" s="94">
        <v>4</v>
      </c>
      <c r="I170" s="94">
        <v>92</v>
      </c>
      <c r="J170" s="94">
        <v>4</v>
      </c>
      <c r="K170" s="94">
        <v>87</v>
      </c>
      <c r="L170" s="94">
        <v>2</v>
      </c>
      <c r="M170" s="94">
        <v>90</v>
      </c>
      <c r="N170" s="94">
        <v>2</v>
      </c>
      <c r="O170" s="94">
        <v>99</v>
      </c>
      <c r="P170" s="94">
        <v>2</v>
      </c>
      <c r="Q170">
        <v>95</v>
      </c>
      <c r="R170">
        <v>2</v>
      </c>
      <c r="S170">
        <v>96</v>
      </c>
      <c r="T170">
        <v>2</v>
      </c>
      <c r="U170">
        <v>88</v>
      </c>
      <c r="V170">
        <v>2</v>
      </c>
      <c r="W170">
        <v>98</v>
      </c>
      <c r="X170">
        <v>2</v>
      </c>
      <c r="Y170">
        <v>82</v>
      </c>
      <c r="Z170">
        <v>1</v>
      </c>
      <c r="AA170">
        <v>91</v>
      </c>
      <c r="AB170">
        <v>1</v>
      </c>
      <c r="AC170">
        <v>85</v>
      </c>
      <c r="AD170">
        <v>1</v>
      </c>
      <c r="AE170">
        <v>86</v>
      </c>
      <c r="AF170">
        <v>2</v>
      </c>
      <c r="AG170">
        <v>88</v>
      </c>
      <c r="AH170">
        <v>2</v>
      </c>
    </row>
    <row r="171" spans="1:34">
      <c r="A171" t="s">
        <v>688</v>
      </c>
      <c r="B171" s="24">
        <v>1803</v>
      </c>
      <c r="C171" s="24" t="s">
        <v>689</v>
      </c>
      <c r="D171" s="24" t="s">
        <v>690</v>
      </c>
      <c r="E171" s="93">
        <v>84</v>
      </c>
      <c r="F171" s="94">
        <v>4</v>
      </c>
      <c r="G171" s="94">
        <v>81</v>
      </c>
      <c r="H171" s="94">
        <v>4</v>
      </c>
      <c r="I171" s="94">
        <v>87</v>
      </c>
      <c r="J171" s="94">
        <v>4</v>
      </c>
      <c r="K171" s="94">
        <v>86</v>
      </c>
      <c r="L171" s="94">
        <v>2</v>
      </c>
      <c r="M171" s="94">
        <v>87</v>
      </c>
      <c r="N171" s="94">
        <v>2</v>
      </c>
      <c r="O171" s="94">
        <v>80</v>
      </c>
      <c r="P171" s="94">
        <v>2</v>
      </c>
      <c r="Q171">
        <v>85</v>
      </c>
      <c r="R171">
        <v>2</v>
      </c>
      <c r="S171">
        <v>81</v>
      </c>
      <c r="T171">
        <v>2</v>
      </c>
      <c r="U171">
        <v>71</v>
      </c>
      <c r="V171">
        <v>2</v>
      </c>
      <c r="W171">
        <v>80</v>
      </c>
      <c r="X171">
        <v>2</v>
      </c>
      <c r="Y171">
        <v>84</v>
      </c>
      <c r="Z171">
        <v>1</v>
      </c>
      <c r="AA171">
        <v>91</v>
      </c>
      <c r="AB171">
        <v>1</v>
      </c>
      <c r="AC171">
        <v>85</v>
      </c>
      <c r="AD171">
        <v>1</v>
      </c>
      <c r="AE171">
        <v>88</v>
      </c>
      <c r="AF171">
        <v>2</v>
      </c>
      <c r="AG171">
        <v>89</v>
      </c>
      <c r="AH171">
        <v>2</v>
      </c>
    </row>
    <row r="172" spans="1:34">
      <c r="A172" t="s">
        <v>691</v>
      </c>
      <c r="B172" s="24">
        <v>1803</v>
      </c>
      <c r="C172" s="24" t="s">
        <v>692</v>
      </c>
      <c r="D172" s="24" t="s">
        <v>145</v>
      </c>
      <c r="E172" s="93">
        <v>90</v>
      </c>
      <c r="F172" s="94">
        <v>4</v>
      </c>
      <c r="G172" s="94">
        <v>82</v>
      </c>
      <c r="H172" s="94">
        <v>4</v>
      </c>
      <c r="I172" s="94">
        <v>91</v>
      </c>
      <c r="J172" s="94">
        <v>4</v>
      </c>
      <c r="K172" s="94">
        <v>93</v>
      </c>
      <c r="L172" s="94">
        <v>2</v>
      </c>
      <c r="M172" s="94">
        <v>83</v>
      </c>
      <c r="N172" s="94">
        <v>2</v>
      </c>
      <c r="O172" s="94">
        <v>100</v>
      </c>
      <c r="P172" s="94">
        <v>2</v>
      </c>
      <c r="Q172">
        <v>98</v>
      </c>
      <c r="R172">
        <v>2</v>
      </c>
      <c r="S172">
        <v>86</v>
      </c>
      <c r="T172">
        <v>2</v>
      </c>
      <c r="U172">
        <v>95</v>
      </c>
      <c r="V172">
        <v>2</v>
      </c>
      <c r="W172">
        <v>95</v>
      </c>
      <c r="X172">
        <v>2</v>
      </c>
      <c r="Y172">
        <v>81</v>
      </c>
      <c r="Z172">
        <v>1</v>
      </c>
      <c r="AA172">
        <v>91</v>
      </c>
      <c r="AB172">
        <v>1</v>
      </c>
      <c r="AC172">
        <v>78</v>
      </c>
      <c r="AD172">
        <v>1</v>
      </c>
      <c r="AE172">
        <v>89</v>
      </c>
      <c r="AF172">
        <v>2</v>
      </c>
      <c r="AG172">
        <v>96</v>
      </c>
      <c r="AH172">
        <v>2</v>
      </c>
    </row>
    <row r="173" spans="1:34">
      <c r="A173" t="s">
        <v>693</v>
      </c>
      <c r="B173" s="24">
        <v>1803</v>
      </c>
      <c r="C173" s="24" t="s">
        <v>694</v>
      </c>
      <c r="D173" s="24" t="s">
        <v>695</v>
      </c>
      <c r="E173" s="93">
        <v>87</v>
      </c>
      <c r="F173" s="94">
        <v>4</v>
      </c>
      <c r="G173" s="94">
        <v>82</v>
      </c>
      <c r="H173" s="94">
        <v>4</v>
      </c>
      <c r="I173" s="94">
        <v>98</v>
      </c>
      <c r="J173" s="94">
        <v>4</v>
      </c>
      <c r="K173" s="94">
        <v>85</v>
      </c>
      <c r="L173" s="94">
        <v>2</v>
      </c>
      <c r="M173" s="94">
        <v>82</v>
      </c>
      <c r="N173" s="94">
        <v>2</v>
      </c>
      <c r="O173" s="94">
        <v>87</v>
      </c>
      <c r="P173" s="94">
        <v>2</v>
      </c>
      <c r="Q173">
        <v>86</v>
      </c>
      <c r="R173">
        <v>2</v>
      </c>
      <c r="S173">
        <v>75</v>
      </c>
      <c r="T173">
        <v>2</v>
      </c>
      <c r="U173">
        <v>78</v>
      </c>
      <c r="V173">
        <v>2</v>
      </c>
      <c r="W173">
        <v>83</v>
      </c>
      <c r="X173">
        <v>2</v>
      </c>
      <c r="Y173">
        <v>83</v>
      </c>
      <c r="Z173">
        <v>1</v>
      </c>
      <c r="AA173">
        <v>91</v>
      </c>
      <c r="AB173">
        <v>1</v>
      </c>
      <c r="AC173">
        <v>88</v>
      </c>
      <c r="AD173">
        <v>1</v>
      </c>
      <c r="AE173">
        <v>82</v>
      </c>
      <c r="AF173">
        <v>2</v>
      </c>
      <c r="AG173">
        <v>98</v>
      </c>
      <c r="AH173">
        <v>2</v>
      </c>
    </row>
    <row r="174" spans="1:34">
      <c r="A174" t="s">
        <v>696</v>
      </c>
      <c r="B174" s="24">
        <v>1804</v>
      </c>
      <c r="C174" s="24" t="s">
        <v>697</v>
      </c>
      <c r="D174" s="24" t="s">
        <v>698</v>
      </c>
      <c r="E174" s="93">
        <v>90</v>
      </c>
      <c r="F174" s="94">
        <v>4</v>
      </c>
      <c r="G174" s="94">
        <v>90</v>
      </c>
      <c r="H174" s="94">
        <v>4</v>
      </c>
      <c r="I174" s="94">
        <v>93</v>
      </c>
      <c r="J174" s="94">
        <v>4</v>
      </c>
      <c r="K174" s="94">
        <v>92</v>
      </c>
      <c r="L174" s="94">
        <v>2</v>
      </c>
      <c r="M174" s="94">
        <v>90</v>
      </c>
      <c r="N174" s="94">
        <v>2</v>
      </c>
      <c r="O174" s="94">
        <v>81</v>
      </c>
      <c r="P174" s="94">
        <v>2</v>
      </c>
      <c r="Q174">
        <v>95</v>
      </c>
      <c r="R174">
        <v>2</v>
      </c>
      <c r="S174">
        <v>88</v>
      </c>
      <c r="T174">
        <v>2</v>
      </c>
      <c r="U174">
        <v>86</v>
      </c>
      <c r="V174">
        <v>2</v>
      </c>
      <c r="W174">
        <v>93</v>
      </c>
      <c r="X174">
        <v>2</v>
      </c>
      <c r="Y174">
        <v>86</v>
      </c>
      <c r="Z174">
        <v>1</v>
      </c>
      <c r="AA174">
        <v>92</v>
      </c>
      <c r="AB174">
        <v>1</v>
      </c>
      <c r="AC174">
        <v>76</v>
      </c>
      <c r="AD174">
        <v>1</v>
      </c>
      <c r="AE174">
        <v>82</v>
      </c>
      <c r="AF174">
        <v>2</v>
      </c>
      <c r="AG174">
        <v>98</v>
      </c>
      <c r="AH174">
        <v>2</v>
      </c>
    </row>
    <row r="175" spans="1:34">
      <c r="A175" t="s">
        <v>699</v>
      </c>
      <c r="B175" s="24">
        <v>1804</v>
      </c>
      <c r="C175" s="24" t="s">
        <v>700</v>
      </c>
      <c r="D175" s="24" t="s">
        <v>701</v>
      </c>
      <c r="E175" s="93">
        <v>88</v>
      </c>
      <c r="F175" s="94">
        <v>4</v>
      </c>
      <c r="G175" s="94">
        <v>87</v>
      </c>
      <c r="H175" s="94">
        <v>4</v>
      </c>
      <c r="I175" s="94">
        <v>86</v>
      </c>
      <c r="J175" s="94">
        <v>4</v>
      </c>
      <c r="K175" s="94">
        <v>80</v>
      </c>
      <c r="L175" s="94">
        <v>2</v>
      </c>
      <c r="M175" s="94">
        <v>84</v>
      </c>
      <c r="N175" s="94">
        <v>2</v>
      </c>
      <c r="O175" s="94">
        <v>85</v>
      </c>
      <c r="P175" s="94">
        <v>2</v>
      </c>
      <c r="Q175">
        <v>89</v>
      </c>
      <c r="R175">
        <v>2</v>
      </c>
      <c r="S175">
        <v>87</v>
      </c>
      <c r="T175">
        <v>2</v>
      </c>
      <c r="U175">
        <v>72</v>
      </c>
      <c r="V175">
        <v>2</v>
      </c>
      <c r="W175">
        <v>93</v>
      </c>
      <c r="X175">
        <v>2</v>
      </c>
      <c r="Y175">
        <v>85</v>
      </c>
      <c r="Z175">
        <v>1</v>
      </c>
      <c r="AA175">
        <v>92</v>
      </c>
      <c r="AB175">
        <v>1</v>
      </c>
      <c r="AC175">
        <v>82</v>
      </c>
      <c r="AD175">
        <v>1</v>
      </c>
      <c r="AE175">
        <v>81</v>
      </c>
      <c r="AF175">
        <v>2</v>
      </c>
      <c r="AG175">
        <v>92</v>
      </c>
      <c r="AH175">
        <v>2</v>
      </c>
    </row>
    <row r="176" spans="1:34">
      <c r="A176" t="s">
        <v>702</v>
      </c>
      <c r="B176" s="24">
        <v>1804</v>
      </c>
      <c r="C176" s="24" t="s">
        <v>703</v>
      </c>
      <c r="D176" s="24" t="s">
        <v>704</v>
      </c>
      <c r="E176" s="93">
        <v>88</v>
      </c>
      <c r="F176" s="94">
        <v>4</v>
      </c>
      <c r="G176" s="94">
        <v>88</v>
      </c>
      <c r="H176" s="94">
        <v>4</v>
      </c>
      <c r="I176" s="94">
        <v>95</v>
      </c>
      <c r="J176" s="94">
        <v>4</v>
      </c>
      <c r="K176" s="94">
        <v>85</v>
      </c>
      <c r="L176" s="94">
        <v>2</v>
      </c>
      <c r="M176" s="94">
        <v>87</v>
      </c>
      <c r="N176" s="94">
        <v>2</v>
      </c>
      <c r="O176" s="94">
        <v>80</v>
      </c>
      <c r="P176" s="94">
        <v>2</v>
      </c>
      <c r="Q176">
        <v>84</v>
      </c>
      <c r="R176">
        <v>2</v>
      </c>
      <c r="S176">
        <v>80</v>
      </c>
      <c r="T176">
        <v>2</v>
      </c>
      <c r="U176">
        <v>80</v>
      </c>
      <c r="V176">
        <v>2</v>
      </c>
      <c r="W176">
        <v>88</v>
      </c>
      <c r="X176">
        <v>2</v>
      </c>
      <c r="Y176">
        <v>82</v>
      </c>
      <c r="Z176">
        <v>1</v>
      </c>
      <c r="AA176">
        <v>92</v>
      </c>
      <c r="AB176">
        <v>1</v>
      </c>
      <c r="AC176">
        <v>78</v>
      </c>
      <c r="AD176">
        <v>1</v>
      </c>
      <c r="AE176">
        <v>82</v>
      </c>
      <c r="AF176">
        <v>2</v>
      </c>
      <c r="AG176">
        <v>85</v>
      </c>
      <c r="AH176">
        <v>2</v>
      </c>
    </row>
    <row r="177" spans="1:34">
      <c r="A177" t="s">
        <v>705</v>
      </c>
      <c r="B177" s="24">
        <v>1804</v>
      </c>
      <c r="C177" s="24" t="s">
        <v>706</v>
      </c>
      <c r="D177" s="24" t="s">
        <v>707</v>
      </c>
      <c r="E177" s="93">
        <v>88</v>
      </c>
      <c r="F177" s="94">
        <v>4</v>
      </c>
      <c r="G177" s="94">
        <v>85</v>
      </c>
      <c r="H177" s="94">
        <v>4</v>
      </c>
      <c r="I177" s="94">
        <v>85</v>
      </c>
      <c r="J177" s="94">
        <v>4</v>
      </c>
      <c r="K177" s="94">
        <v>96</v>
      </c>
      <c r="L177" s="94">
        <v>2</v>
      </c>
      <c r="M177" s="94">
        <v>86</v>
      </c>
      <c r="N177" s="94">
        <v>2</v>
      </c>
      <c r="O177" s="94">
        <v>60</v>
      </c>
      <c r="P177" s="94">
        <v>2</v>
      </c>
      <c r="Q177">
        <v>83</v>
      </c>
      <c r="R177">
        <v>2</v>
      </c>
      <c r="S177">
        <v>87</v>
      </c>
      <c r="T177">
        <v>2</v>
      </c>
      <c r="U177">
        <v>78</v>
      </c>
      <c r="V177">
        <v>2</v>
      </c>
      <c r="W177">
        <v>80</v>
      </c>
      <c r="X177">
        <v>2</v>
      </c>
      <c r="Y177">
        <v>80</v>
      </c>
      <c r="Z177">
        <v>1</v>
      </c>
      <c r="AA177">
        <v>92</v>
      </c>
      <c r="AB177">
        <v>1</v>
      </c>
      <c r="AC177">
        <v>86</v>
      </c>
      <c r="AD177">
        <v>1</v>
      </c>
      <c r="AE177">
        <v>86</v>
      </c>
      <c r="AF177">
        <v>2</v>
      </c>
      <c r="AG177">
        <v>80</v>
      </c>
      <c r="AH177">
        <v>2</v>
      </c>
    </row>
    <row r="178" spans="1:34">
      <c r="A178" t="s">
        <v>708</v>
      </c>
      <c r="B178" s="24">
        <v>1804</v>
      </c>
      <c r="C178" s="24" t="s">
        <v>709</v>
      </c>
      <c r="D178" s="24" t="s">
        <v>710</v>
      </c>
      <c r="E178" s="93">
        <v>100</v>
      </c>
      <c r="F178" s="94">
        <v>4</v>
      </c>
      <c r="G178" s="94">
        <v>89</v>
      </c>
      <c r="H178" s="94">
        <v>4</v>
      </c>
      <c r="I178" s="94">
        <v>92</v>
      </c>
      <c r="J178" s="94">
        <v>4</v>
      </c>
      <c r="K178" s="94">
        <v>92</v>
      </c>
      <c r="L178" s="94">
        <v>2</v>
      </c>
      <c r="M178" s="94">
        <v>90</v>
      </c>
      <c r="N178" s="94">
        <v>2</v>
      </c>
      <c r="O178" s="94">
        <v>80</v>
      </c>
      <c r="P178" s="94">
        <v>2</v>
      </c>
      <c r="Q178">
        <v>95</v>
      </c>
      <c r="R178">
        <v>2</v>
      </c>
      <c r="S178">
        <v>93</v>
      </c>
      <c r="T178">
        <v>2</v>
      </c>
      <c r="U178">
        <v>77</v>
      </c>
      <c r="V178">
        <v>2</v>
      </c>
      <c r="W178">
        <v>90</v>
      </c>
      <c r="X178">
        <v>2</v>
      </c>
      <c r="Y178">
        <v>81</v>
      </c>
      <c r="Z178">
        <v>1</v>
      </c>
      <c r="AA178">
        <v>92</v>
      </c>
      <c r="AB178">
        <v>1</v>
      </c>
      <c r="AC178">
        <v>90</v>
      </c>
      <c r="AD178">
        <v>1</v>
      </c>
      <c r="AE178">
        <v>84</v>
      </c>
      <c r="AF178">
        <v>2</v>
      </c>
      <c r="AG178">
        <v>83</v>
      </c>
      <c r="AH178">
        <v>2</v>
      </c>
    </row>
    <row r="179" spans="1:34">
      <c r="A179" t="s">
        <v>711</v>
      </c>
      <c r="B179" s="24">
        <v>1804</v>
      </c>
      <c r="C179" s="24" t="s">
        <v>712</v>
      </c>
      <c r="D179" s="24" t="s">
        <v>713</v>
      </c>
      <c r="E179" s="93">
        <v>88</v>
      </c>
      <c r="F179" s="94">
        <v>4</v>
      </c>
      <c r="G179" s="94">
        <v>80</v>
      </c>
      <c r="H179" s="94">
        <v>4</v>
      </c>
      <c r="I179" s="94">
        <v>84</v>
      </c>
      <c r="J179" s="94">
        <v>4</v>
      </c>
      <c r="K179" s="94">
        <v>80</v>
      </c>
      <c r="L179" s="94">
        <v>2</v>
      </c>
      <c r="M179" s="94">
        <v>83</v>
      </c>
      <c r="N179" s="94">
        <v>2</v>
      </c>
      <c r="O179" s="94">
        <v>80</v>
      </c>
      <c r="P179" s="94">
        <v>2</v>
      </c>
      <c r="Q179">
        <v>82</v>
      </c>
      <c r="R179">
        <v>2</v>
      </c>
      <c r="S179">
        <v>89</v>
      </c>
      <c r="T179">
        <v>2</v>
      </c>
      <c r="U179">
        <v>72</v>
      </c>
      <c r="V179">
        <v>2</v>
      </c>
      <c r="W179">
        <v>85</v>
      </c>
      <c r="X179">
        <v>2</v>
      </c>
      <c r="Y179">
        <v>80</v>
      </c>
      <c r="Z179">
        <v>1</v>
      </c>
      <c r="AA179">
        <v>92</v>
      </c>
      <c r="AB179">
        <v>1</v>
      </c>
      <c r="AC179">
        <v>65</v>
      </c>
      <c r="AD179">
        <v>1</v>
      </c>
      <c r="AE179">
        <v>85</v>
      </c>
      <c r="AF179">
        <v>2</v>
      </c>
      <c r="AG179">
        <v>80</v>
      </c>
      <c r="AH179">
        <v>2</v>
      </c>
    </row>
    <row r="180" spans="1:34">
      <c r="A180" t="s">
        <v>714</v>
      </c>
      <c r="B180" s="24">
        <v>1804</v>
      </c>
      <c r="C180" s="24" t="s">
        <v>715</v>
      </c>
      <c r="D180" s="24" t="s">
        <v>716</v>
      </c>
      <c r="E180" s="93">
        <v>78</v>
      </c>
      <c r="F180" s="94">
        <v>4</v>
      </c>
      <c r="G180" s="94">
        <v>81</v>
      </c>
      <c r="H180" s="94">
        <v>4</v>
      </c>
      <c r="I180" s="94">
        <v>89</v>
      </c>
      <c r="J180" s="94">
        <v>4</v>
      </c>
      <c r="K180" s="94">
        <v>88</v>
      </c>
      <c r="L180" s="94">
        <v>2</v>
      </c>
      <c r="M180" s="94">
        <v>85</v>
      </c>
      <c r="N180" s="94">
        <v>2</v>
      </c>
      <c r="O180" s="94">
        <v>87</v>
      </c>
      <c r="P180" s="94">
        <v>2</v>
      </c>
      <c r="Q180">
        <v>80</v>
      </c>
      <c r="R180">
        <v>2</v>
      </c>
      <c r="S180">
        <v>82</v>
      </c>
      <c r="T180">
        <v>2</v>
      </c>
      <c r="U180">
        <v>70</v>
      </c>
      <c r="V180">
        <v>2</v>
      </c>
      <c r="W180">
        <v>85</v>
      </c>
      <c r="X180">
        <v>2</v>
      </c>
      <c r="Y180">
        <v>79</v>
      </c>
      <c r="Z180">
        <v>1</v>
      </c>
      <c r="AA180">
        <v>92</v>
      </c>
      <c r="AB180">
        <v>1</v>
      </c>
      <c r="AC180">
        <v>76</v>
      </c>
      <c r="AD180">
        <v>1</v>
      </c>
      <c r="AE180">
        <v>84</v>
      </c>
      <c r="AF180">
        <v>2</v>
      </c>
      <c r="AG180">
        <v>86</v>
      </c>
      <c r="AH180">
        <v>2</v>
      </c>
    </row>
    <row r="181" spans="1:34">
      <c r="A181" t="s">
        <v>717</v>
      </c>
      <c r="B181" s="24">
        <v>1804</v>
      </c>
      <c r="C181" s="24" t="s">
        <v>718</v>
      </c>
      <c r="D181" s="24" t="s">
        <v>719</v>
      </c>
      <c r="E181" s="93">
        <v>84</v>
      </c>
      <c r="F181" s="94">
        <v>4</v>
      </c>
      <c r="G181" s="94">
        <v>81</v>
      </c>
      <c r="H181" s="94">
        <v>4</v>
      </c>
      <c r="I181" s="94">
        <v>87</v>
      </c>
      <c r="J181" s="94">
        <v>4</v>
      </c>
      <c r="K181" s="94">
        <v>87</v>
      </c>
      <c r="L181" s="94">
        <v>2</v>
      </c>
      <c r="M181" s="94">
        <v>85</v>
      </c>
      <c r="N181" s="94">
        <v>2</v>
      </c>
      <c r="O181" s="94">
        <v>80</v>
      </c>
      <c r="P181" s="94">
        <v>2</v>
      </c>
      <c r="Q181">
        <v>80</v>
      </c>
      <c r="R181">
        <v>2</v>
      </c>
      <c r="S181">
        <v>82</v>
      </c>
      <c r="T181">
        <v>2</v>
      </c>
      <c r="U181">
        <v>71</v>
      </c>
      <c r="V181">
        <v>2</v>
      </c>
      <c r="W181">
        <v>85</v>
      </c>
      <c r="X181">
        <v>2</v>
      </c>
      <c r="Y181">
        <v>78</v>
      </c>
      <c r="Z181">
        <v>1</v>
      </c>
      <c r="AA181">
        <v>92</v>
      </c>
      <c r="AB181">
        <v>1</v>
      </c>
      <c r="AC181">
        <v>90</v>
      </c>
      <c r="AD181">
        <v>1</v>
      </c>
      <c r="AE181">
        <v>86</v>
      </c>
      <c r="AF181">
        <v>2</v>
      </c>
      <c r="AG181">
        <v>80</v>
      </c>
      <c r="AH181">
        <v>2</v>
      </c>
    </row>
    <row r="182" spans="1:34">
      <c r="A182" t="s">
        <v>720</v>
      </c>
      <c r="B182" s="24">
        <v>1804</v>
      </c>
      <c r="C182" s="24" t="s">
        <v>721</v>
      </c>
      <c r="D182" s="24" t="s">
        <v>722</v>
      </c>
      <c r="E182" s="93">
        <v>94</v>
      </c>
      <c r="F182" s="94">
        <v>4</v>
      </c>
      <c r="G182" s="94">
        <v>85</v>
      </c>
      <c r="H182" s="94">
        <v>4</v>
      </c>
      <c r="I182" s="94">
        <v>90</v>
      </c>
      <c r="J182" s="94">
        <v>4</v>
      </c>
      <c r="K182" s="94">
        <v>87</v>
      </c>
      <c r="L182" s="94">
        <v>2</v>
      </c>
      <c r="M182" s="94">
        <v>88</v>
      </c>
      <c r="N182" s="94">
        <v>2</v>
      </c>
      <c r="O182" s="94">
        <v>87</v>
      </c>
      <c r="P182" s="94">
        <v>2</v>
      </c>
      <c r="Q182">
        <v>91</v>
      </c>
      <c r="R182">
        <v>2</v>
      </c>
      <c r="S182">
        <v>82</v>
      </c>
      <c r="T182">
        <v>2</v>
      </c>
      <c r="U182">
        <v>70</v>
      </c>
      <c r="V182">
        <v>2</v>
      </c>
      <c r="W182">
        <v>88</v>
      </c>
      <c r="X182">
        <v>2</v>
      </c>
      <c r="Y182">
        <v>80</v>
      </c>
      <c r="Z182">
        <v>1</v>
      </c>
      <c r="AA182">
        <v>92</v>
      </c>
      <c r="AB182">
        <v>1</v>
      </c>
      <c r="AC182">
        <v>72</v>
      </c>
      <c r="AD182">
        <v>1</v>
      </c>
      <c r="AE182">
        <v>86</v>
      </c>
      <c r="AF182">
        <v>2</v>
      </c>
      <c r="AG182">
        <v>84</v>
      </c>
      <c r="AH182">
        <v>2</v>
      </c>
    </row>
    <row r="183" spans="1:34">
      <c r="A183" t="s">
        <v>723</v>
      </c>
      <c r="B183" s="24">
        <v>1804</v>
      </c>
      <c r="C183" s="24" t="s">
        <v>724</v>
      </c>
      <c r="D183" s="24" t="s">
        <v>725</v>
      </c>
      <c r="E183" s="93">
        <v>87</v>
      </c>
      <c r="F183" s="94">
        <v>4</v>
      </c>
      <c r="G183" s="94">
        <v>86</v>
      </c>
      <c r="H183" s="94">
        <v>4</v>
      </c>
      <c r="I183" s="94">
        <v>90</v>
      </c>
      <c r="J183" s="94">
        <v>4</v>
      </c>
      <c r="K183" s="94">
        <v>87</v>
      </c>
      <c r="L183" s="94">
        <v>2</v>
      </c>
      <c r="M183" s="94">
        <v>92</v>
      </c>
      <c r="N183" s="94">
        <v>2</v>
      </c>
      <c r="O183" s="94">
        <v>95</v>
      </c>
      <c r="P183" s="94">
        <v>2</v>
      </c>
      <c r="Q183">
        <v>84</v>
      </c>
      <c r="R183">
        <v>2</v>
      </c>
      <c r="S183">
        <v>88</v>
      </c>
      <c r="T183">
        <v>2</v>
      </c>
      <c r="U183">
        <v>70</v>
      </c>
      <c r="V183">
        <v>2</v>
      </c>
      <c r="W183">
        <v>80</v>
      </c>
      <c r="X183">
        <v>2</v>
      </c>
      <c r="Y183">
        <v>77</v>
      </c>
      <c r="Z183">
        <v>1</v>
      </c>
      <c r="AA183">
        <v>92</v>
      </c>
      <c r="AB183">
        <v>1</v>
      </c>
      <c r="AC183">
        <v>90</v>
      </c>
      <c r="AD183">
        <v>1</v>
      </c>
      <c r="AE183">
        <v>84</v>
      </c>
      <c r="AF183">
        <v>2</v>
      </c>
      <c r="AG183">
        <v>55</v>
      </c>
    </row>
    <row r="184" spans="1:34">
      <c r="A184" t="s">
        <v>726</v>
      </c>
      <c r="B184" s="24">
        <v>1804</v>
      </c>
      <c r="C184" s="24" t="s">
        <v>727</v>
      </c>
      <c r="D184" s="24" t="s">
        <v>728</v>
      </c>
      <c r="E184" s="93">
        <v>89</v>
      </c>
      <c r="F184" s="94">
        <v>4</v>
      </c>
      <c r="G184" s="94">
        <v>86</v>
      </c>
      <c r="H184" s="94">
        <v>4</v>
      </c>
      <c r="I184" s="94">
        <v>92</v>
      </c>
      <c r="J184" s="94">
        <v>4</v>
      </c>
      <c r="K184" s="94">
        <v>86</v>
      </c>
      <c r="L184" s="94">
        <v>2</v>
      </c>
      <c r="M184" s="94">
        <v>90</v>
      </c>
      <c r="N184" s="94">
        <v>2</v>
      </c>
      <c r="O184" s="94">
        <v>80</v>
      </c>
      <c r="P184" s="94">
        <v>2</v>
      </c>
      <c r="Q184">
        <v>86</v>
      </c>
      <c r="R184">
        <v>2</v>
      </c>
      <c r="S184">
        <v>80</v>
      </c>
      <c r="T184">
        <v>2</v>
      </c>
      <c r="U184">
        <v>70</v>
      </c>
      <c r="V184">
        <v>2</v>
      </c>
      <c r="W184">
        <v>95</v>
      </c>
      <c r="X184">
        <v>2</v>
      </c>
      <c r="Y184">
        <v>83</v>
      </c>
      <c r="Z184">
        <v>1</v>
      </c>
      <c r="AA184">
        <v>92</v>
      </c>
      <c r="AB184">
        <v>1</v>
      </c>
      <c r="AC184">
        <v>75</v>
      </c>
      <c r="AD184">
        <v>1</v>
      </c>
      <c r="AE184">
        <v>85</v>
      </c>
      <c r="AF184">
        <v>2</v>
      </c>
      <c r="AG184">
        <v>93</v>
      </c>
      <c r="AH184">
        <v>2</v>
      </c>
    </row>
    <row r="185" spans="1:34">
      <c r="A185" t="s">
        <v>729</v>
      </c>
      <c r="B185" s="24">
        <v>1804</v>
      </c>
      <c r="C185" s="24" t="s">
        <v>730</v>
      </c>
      <c r="D185" s="24" t="s">
        <v>731</v>
      </c>
      <c r="E185" s="93">
        <v>98</v>
      </c>
      <c r="F185" s="94">
        <v>4</v>
      </c>
      <c r="G185" s="94">
        <v>88</v>
      </c>
      <c r="H185" s="94">
        <v>4</v>
      </c>
      <c r="I185" s="94">
        <v>90</v>
      </c>
      <c r="J185" s="94">
        <v>4</v>
      </c>
      <c r="K185" s="94">
        <v>97</v>
      </c>
      <c r="L185" s="94">
        <v>2</v>
      </c>
      <c r="M185" s="94">
        <v>89</v>
      </c>
      <c r="N185" s="94">
        <v>2</v>
      </c>
      <c r="O185" s="94">
        <v>99</v>
      </c>
      <c r="P185" s="94">
        <v>2</v>
      </c>
      <c r="Q185">
        <v>91</v>
      </c>
      <c r="R185">
        <v>2</v>
      </c>
      <c r="S185">
        <v>93</v>
      </c>
      <c r="T185">
        <v>2</v>
      </c>
      <c r="U185">
        <v>82</v>
      </c>
      <c r="V185">
        <v>2</v>
      </c>
      <c r="W185">
        <v>96</v>
      </c>
      <c r="X185">
        <v>2</v>
      </c>
      <c r="Y185">
        <v>85</v>
      </c>
      <c r="Z185">
        <v>1</v>
      </c>
      <c r="AA185">
        <v>92</v>
      </c>
      <c r="AB185">
        <v>1</v>
      </c>
      <c r="AC185">
        <v>76</v>
      </c>
      <c r="AD185">
        <v>1</v>
      </c>
      <c r="AE185">
        <v>84</v>
      </c>
      <c r="AF185">
        <v>2</v>
      </c>
      <c r="AG185">
        <v>57</v>
      </c>
    </row>
    <row r="186" spans="1:34">
      <c r="A186" t="s">
        <v>732</v>
      </c>
      <c r="B186" s="24">
        <v>1804</v>
      </c>
      <c r="C186" s="24" t="s">
        <v>733</v>
      </c>
      <c r="D186" s="24" t="s">
        <v>734</v>
      </c>
      <c r="E186" s="93">
        <v>87</v>
      </c>
      <c r="F186" s="94">
        <v>4</v>
      </c>
      <c r="G186" s="94">
        <v>89</v>
      </c>
      <c r="H186" s="94">
        <v>4</v>
      </c>
      <c r="I186" s="94">
        <v>82</v>
      </c>
      <c r="J186" s="94">
        <v>4</v>
      </c>
      <c r="K186" s="94">
        <v>80</v>
      </c>
      <c r="L186" s="94">
        <v>2</v>
      </c>
      <c r="M186" s="94">
        <v>85</v>
      </c>
      <c r="N186" s="94">
        <v>2</v>
      </c>
      <c r="O186" s="94">
        <v>80</v>
      </c>
      <c r="P186" s="94">
        <v>2</v>
      </c>
      <c r="Q186">
        <v>82</v>
      </c>
      <c r="R186">
        <v>2</v>
      </c>
      <c r="S186">
        <v>75</v>
      </c>
      <c r="T186">
        <v>2</v>
      </c>
      <c r="U186">
        <v>77</v>
      </c>
      <c r="V186">
        <v>2</v>
      </c>
      <c r="W186">
        <v>85</v>
      </c>
      <c r="X186">
        <v>2</v>
      </c>
      <c r="Y186">
        <v>82</v>
      </c>
      <c r="Z186">
        <v>1</v>
      </c>
      <c r="AA186">
        <v>92</v>
      </c>
      <c r="AB186">
        <v>1</v>
      </c>
      <c r="AC186">
        <v>87</v>
      </c>
      <c r="AD186">
        <v>1</v>
      </c>
      <c r="AE186">
        <v>86</v>
      </c>
      <c r="AF186">
        <v>2</v>
      </c>
      <c r="AG186">
        <v>98</v>
      </c>
      <c r="AH186">
        <v>2</v>
      </c>
    </row>
    <row r="187" spans="1:34">
      <c r="A187" t="s">
        <v>735</v>
      </c>
      <c r="B187" s="24">
        <v>1804</v>
      </c>
      <c r="C187" s="24" t="s">
        <v>736</v>
      </c>
      <c r="D187" s="24" t="s">
        <v>737</v>
      </c>
      <c r="E187" s="93">
        <v>88</v>
      </c>
      <c r="F187" s="94">
        <v>4</v>
      </c>
      <c r="G187" s="94">
        <v>81</v>
      </c>
      <c r="H187" s="94">
        <v>4</v>
      </c>
      <c r="I187" s="94">
        <v>92</v>
      </c>
      <c r="J187" s="94">
        <v>4</v>
      </c>
      <c r="K187" s="94">
        <v>84</v>
      </c>
      <c r="L187" s="94">
        <v>2</v>
      </c>
      <c r="M187" s="94">
        <v>85</v>
      </c>
      <c r="N187" s="94">
        <v>2</v>
      </c>
      <c r="O187" s="94">
        <v>94</v>
      </c>
      <c r="P187" s="94">
        <v>2</v>
      </c>
      <c r="Q187">
        <v>89</v>
      </c>
      <c r="R187">
        <v>2</v>
      </c>
      <c r="S187">
        <v>84</v>
      </c>
      <c r="T187">
        <v>2</v>
      </c>
      <c r="U187">
        <v>88</v>
      </c>
      <c r="V187">
        <v>2</v>
      </c>
      <c r="W187">
        <v>88</v>
      </c>
      <c r="X187">
        <v>2</v>
      </c>
      <c r="Y187">
        <v>81</v>
      </c>
      <c r="Z187">
        <v>1</v>
      </c>
      <c r="AA187">
        <v>92</v>
      </c>
      <c r="AB187">
        <v>1</v>
      </c>
      <c r="AC187">
        <v>70</v>
      </c>
      <c r="AD187">
        <v>1</v>
      </c>
      <c r="AE187">
        <v>88</v>
      </c>
      <c r="AF187">
        <v>2</v>
      </c>
      <c r="AG187">
        <v>82</v>
      </c>
      <c r="AH187">
        <v>2</v>
      </c>
    </row>
    <row r="188" spans="1:34">
      <c r="A188" t="s">
        <v>738</v>
      </c>
      <c r="B188" s="24">
        <v>1804</v>
      </c>
      <c r="C188" s="24" t="s">
        <v>739</v>
      </c>
      <c r="D188" s="24" t="s">
        <v>740</v>
      </c>
      <c r="E188" s="93">
        <v>88</v>
      </c>
      <c r="F188" s="94">
        <v>4</v>
      </c>
      <c r="G188" s="94">
        <v>80</v>
      </c>
      <c r="H188" s="94">
        <v>4</v>
      </c>
      <c r="I188" s="94">
        <v>89</v>
      </c>
      <c r="J188" s="94">
        <v>4</v>
      </c>
      <c r="K188" s="94">
        <v>80</v>
      </c>
      <c r="L188" s="94">
        <v>2</v>
      </c>
      <c r="M188" s="94">
        <v>88</v>
      </c>
      <c r="N188" s="94">
        <v>2</v>
      </c>
      <c r="O188" s="94">
        <v>97</v>
      </c>
      <c r="P188" s="94">
        <v>2</v>
      </c>
      <c r="Q188">
        <v>99</v>
      </c>
      <c r="R188">
        <v>2</v>
      </c>
      <c r="S188">
        <v>91</v>
      </c>
      <c r="T188">
        <v>2</v>
      </c>
      <c r="U188">
        <v>81</v>
      </c>
      <c r="V188">
        <v>2</v>
      </c>
      <c r="W188">
        <v>88</v>
      </c>
      <c r="X188">
        <v>2</v>
      </c>
      <c r="Y188">
        <v>80</v>
      </c>
      <c r="Z188">
        <v>1</v>
      </c>
      <c r="AA188">
        <v>92</v>
      </c>
      <c r="AB188">
        <v>1</v>
      </c>
      <c r="AC188">
        <v>85</v>
      </c>
      <c r="AD188">
        <v>1</v>
      </c>
      <c r="AE188">
        <v>86</v>
      </c>
      <c r="AF188">
        <v>2</v>
      </c>
      <c r="AG188">
        <v>78</v>
      </c>
      <c r="AH188">
        <v>2</v>
      </c>
    </row>
    <row r="189" spans="1:34">
      <c r="A189" t="s">
        <v>741</v>
      </c>
      <c r="B189" s="24">
        <v>1804</v>
      </c>
      <c r="C189" s="24" t="s">
        <v>742</v>
      </c>
      <c r="D189" s="24" t="s">
        <v>743</v>
      </c>
      <c r="E189" s="93">
        <v>90</v>
      </c>
      <c r="F189" s="94">
        <v>4</v>
      </c>
      <c r="G189" s="94">
        <v>83</v>
      </c>
      <c r="H189" s="94">
        <v>4</v>
      </c>
      <c r="I189" s="94">
        <v>86</v>
      </c>
      <c r="J189" s="94">
        <v>4</v>
      </c>
      <c r="K189" s="94">
        <v>86</v>
      </c>
      <c r="L189" s="94">
        <v>2</v>
      </c>
      <c r="M189" s="94">
        <v>90</v>
      </c>
      <c r="N189" s="94">
        <v>2</v>
      </c>
      <c r="O189" s="94">
        <v>90</v>
      </c>
      <c r="P189" s="94">
        <v>2</v>
      </c>
      <c r="Q189">
        <v>83</v>
      </c>
      <c r="R189">
        <v>2</v>
      </c>
      <c r="S189">
        <v>81</v>
      </c>
      <c r="T189">
        <v>2</v>
      </c>
      <c r="U189">
        <v>70</v>
      </c>
      <c r="V189">
        <v>2</v>
      </c>
      <c r="W189">
        <v>90</v>
      </c>
      <c r="X189">
        <v>2</v>
      </c>
      <c r="Y189">
        <v>76</v>
      </c>
      <c r="Z189">
        <v>1</v>
      </c>
      <c r="AA189">
        <v>92</v>
      </c>
      <c r="AB189">
        <v>1</v>
      </c>
      <c r="AC189">
        <v>80</v>
      </c>
      <c r="AD189">
        <v>1</v>
      </c>
      <c r="AE189">
        <v>84</v>
      </c>
      <c r="AF189">
        <v>2</v>
      </c>
      <c r="AG189">
        <v>96</v>
      </c>
      <c r="AH189">
        <v>2</v>
      </c>
    </row>
    <row r="190" spans="1:34">
      <c r="A190" t="s">
        <v>744</v>
      </c>
      <c r="B190" s="24">
        <v>1804</v>
      </c>
      <c r="C190" s="24" t="s">
        <v>745</v>
      </c>
      <c r="D190" s="24" t="s">
        <v>746</v>
      </c>
      <c r="E190" s="93">
        <v>87</v>
      </c>
      <c r="F190" s="94">
        <v>4</v>
      </c>
      <c r="G190" s="94">
        <v>86</v>
      </c>
      <c r="H190" s="94">
        <v>4</v>
      </c>
      <c r="I190" s="94">
        <v>90</v>
      </c>
      <c r="J190" s="94">
        <v>4</v>
      </c>
      <c r="K190" s="94">
        <v>80</v>
      </c>
      <c r="L190" s="94">
        <v>2</v>
      </c>
      <c r="M190" s="94">
        <v>86</v>
      </c>
      <c r="N190" s="94">
        <v>2</v>
      </c>
      <c r="O190" s="94">
        <v>80</v>
      </c>
      <c r="P190" s="94">
        <v>2</v>
      </c>
      <c r="Q190">
        <v>83</v>
      </c>
      <c r="R190">
        <v>2</v>
      </c>
      <c r="S190">
        <v>88</v>
      </c>
      <c r="T190">
        <v>2</v>
      </c>
      <c r="U190">
        <v>75</v>
      </c>
      <c r="V190">
        <v>2</v>
      </c>
      <c r="W190">
        <v>88</v>
      </c>
      <c r="X190">
        <v>2</v>
      </c>
      <c r="Y190">
        <v>78</v>
      </c>
      <c r="Z190">
        <v>1</v>
      </c>
      <c r="AA190">
        <v>92</v>
      </c>
      <c r="AB190">
        <v>1</v>
      </c>
      <c r="AC190">
        <v>70</v>
      </c>
      <c r="AD190">
        <v>1</v>
      </c>
      <c r="AE190">
        <v>89</v>
      </c>
      <c r="AF190">
        <v>2</v>
      </c>
      <c r="AG190">
        <v>57</v>
      </c>
    </row>
    <row r="191" spans="1:34">
      <c r="A191" t="s">
        <v>747</v>
      </c>
      <c r="B191" s="24">
        <v>1804</v>
      </c>
      <c r="C191" s="24" t="s">
        <v>748</v>
      </c>
      <c r="D191" s="24" t="s">
        <v>749</v>
      </c>
      <c r="E191" s="93">
        <v>87</v>
      </c>
      <c r="F191" s="94">
        <v>4</v>
      </c>
      <c r="G191" s="94">
        <v>85</v>
      </c>
      <c r="H191" s="94">
        <v>4</v>
      </c>
      <c r="I191" s="94">
        <v>81</v>
      </c>
      <c r="J191" s="94">
        <v>4</v>
      </c>
      <c r="K191" s="94">
        <v>82</v>
      </c>
      <c r="L191" s="94">
        <v>2</v>
      </c>
      <c r="M191" s="94">
        <v>85</v>
      </c>
      <c r="N191" s="94">
        <v>2</v>
      </c>
      <c r="O191" s="94">
        <v>80</v>
      </c>
      <c r="P191" s="94">
        <v>2</v>
      </c>
      <c r="Q191">
        <v>90</v>
      </c>
      <c r="R191">
        <v>2</v>
      </c>
      <c r="S191">
        <v>90</v>
      </c>
      <c r="T191">
        <v>2</v>
      </c>
      <c r="U191">
        <v>80</v>
      </c>
      <c r="V191">
        <v>2</v>
      </c>
      <c r="W191">
        <v>88</v>
      </c>
      <c r="X191">
        <v>2</v>
      </c>
      <c r="Y191">
        <v>77</v>
      </c>
      <c r="Z191">
        <v>1</v>
      </c>
      <c r="AA191">
        <v>92</v>
      </c>
      <c r="AB191">
        <v>1</v>
      </c>
      <c r="AC191">
        <v>75</v>
      </c>
      <c r="AD191">
        <v>1</v>
      </c>
      <c r="AE191">
        <v>84</v>
      </c>
      <c r="AF191">
        <v>2</v>
      </c>
      <c r="AG191">
        <v>79</v>
      </c>
      <c r="AH191">
        <v>2</v>
      </c>
    </row>
    <row r="192" spans="1:34">
      <c r="A192" t="s">
        <v>750</v>
      </c>
      <c r="B192" s="24">
        <v>1804</v>
      </c>
      <c r="C192" s="24" t="s">
        <v>751</v>
      </c>
      <c r="D192" s="24" t="s">
        <v>752</v>
      </c>
      <c r="E192" s="93">
        <v>90</v>
      </c>
      <c r="F192" s="94">
        <v>4</v>
      </c>
      <c r="G192" s="94">
        <v>92</v>
      </c>
      <c r="H192" s="94">
        <v>4</v>
      </c>
      <c r="I192" s="94">
        <v>90</v>
      </c>
      <c r="J192" s="94">
        <v>4</v>
      </c>
      <c r="K192" s="94">
        <v>98</v>
      </c>
      <c r="L192" s="94">
        <v>2</v>
      </c>
      <c r="M192" s="94">
        <v>92</v>
      </c>
      <c r="N192" s="94">
        <v>2</v>
      </c>
      <c r="O192" s="94">
        <v>88</v>
      </c>
      <c r="P192" s="94">
        <v>2</v>
      </c>
      <c r="Q192">
        <v>85</v>
      </c>
      <c r="R192">
        <v>2</v>
      </c>
      <c r="S192">
        <v>84</v>
      </c>
      <c r="T192">
        <v>2</v>
      </c>
      <c r="U192">
        <v>77</v>
      </c>
      <c r="V192">
        <v>2</v>
      </c>
      <c r="W192">
        <v>83</v>
      </c>
      <c r="X192">
        <v>2</v>
      </c>
      <c r="Y192">
        <v>77</v>
      </c>
      <c r="Z192">
        <v>1</v>
      </c>
      <c r="AA192">
        <v>92</v>
      </c>
      <c r="AB192">
        <v>1</v>
      </c>
      <c r="AC192">
        <v>70</v>
      </c>
      <c r="AD192">
        <v>1</v>
      </c>
      <c r="AE192">
        <v>85</v>
      </c>
      <c r="AF192">
        <v>2</v>
      </c>
      <c r="AG192">
        <v>98</v>
      </c>
      <c r="AH192">
        <v>2</v>
      </c>
    </row>
    <row r="193" spans="1:34">
      <c r="A193" t="s">
        <v>753</v>
      </c>
      <c r="B193" s="24">
        <v>1804</v>
      </c>
      <c r="C193" s="24" t="s">
        <v>754</v>
      </c>
      <c r="D193" s="24" t="s">
        <v>755</v>
      </c>
      <c r="E193" s="93">
        <v>86</v>
      </c>
      <c r="F193" s="94">
        <v>4</v>
      </c>
      <c r="G193" s="94">
        <v>87</v>
      </c>
      <c r="H193" s="94">
        <v>4</v>
      </c>
      <c r="I193" s="94">
        <v>93</v>
      </c>
      <c r="J193" s="94">
        <v>4</v>
      </c>
      <c r="K193" s="94">
        <v>97</v>
      </c>
      <c r="L193" s="94">
        <v>2</v>
      </c>
      <c r="M193" s="94">
        <v>89</v>
      </c>
      <c r="N193" s="94">
        <v>2</v>
      </c>
      <c r="O193" s="94">
        <v>90</v>
      </c>
      <c r="P193" s="94">
        <v>2</v>
      </c>
      <c r="Q193">
        <v>75</v>
      </c>
      <c r="R193">
        <v>2</v>
      </c>
      <c r="S193">
        <v>80</v>
      </c>
      <c r="T193">
        <v>2</v>
      </c>
      <c r="U193">
        <v>70</v>
      </c>
      <c r="V193">
        <v>2</v>
      </c>
      <c r="W193">
        <v>95</v>
      </c>
      <c r="X193">
        <v>2</v>
      </c>
      <c r="Y193">
        <v>78</v>
      </c>
      <c r="Z193">
        <v>1</v>
      </c>
      <c r="AA193">
        <v>92</v>
      </c>
      <c r="AB193">
        <v>1</v>
      </c>
      <c r="AC193">
        <v>76</v>
      </c>
      <c r="AD193">
        <v>1</v>
      </c>
      <c r="AE193">
        <v>82</v>
      </c>
      <c r="AF193">
        <v>2</v>
      </c>
      <c r="AG193">
        <v>80</v>
      </c>
      <c r="AH193">
        <v>2</v>
      </c>
    </row>
    <row r="194" spans="1:34">
      <c r="A194" t="s">
        <v>756</v>
      </c>
      <c r="B194" s="24">
        <v>1804</v>
      </c>
      <c r="C194" s="24" t="s">
        <v>757</v>
      </c>
      <c r="D194" s="24" t="s">
        <v>758</v>
      </c>
      <c r="E194" s="93">
        <v>92</v>
      </c>
      <c r="F194" s="94">
        <v>4</v>
      </c>
      <c r="G194" s="94">
        <v>87</v>
      </c>
      <c r="H194" s="94">
        <v>4</v>
      </c>
      <c r="I194" s="94">
        <v>92</v>
      </c>
      <c r="J194" s="94">
        <v>4</v>
      </c>
      <c r="K194" s="94">
        <v>99</v>
      </c>
      <c r="L194" s="94">
        <v>2</v>
      </c>
      <c r="M194" s="94">
        <v>88</v>
      </c>
      <c r="N194" s="94">
        <v>2</v>
      </c>
      <c r="O194" s="94">
        <v>89</v>
      </c>
      <c r="P194" s="94">
        <v>2</v>
      </c>
      <c r="Q194">
        <v>90</v>
      </c>
      <c r="R194">
        <v>2</v>
      </c>
      <c r="S194">
        <v>92</v>
      </c>
      <c r="T194">
        <v>2</v>
      </c>
      <c r="U194">
        <v>76</v>
      </c>
      <c r="V194">
        <v>2</v>
      </c>
      <c r="W194">
        <v>88</v>
      </c>
      <c r="X194">
        <v>2</v>
      </c>
      <c r="Y194">
        <v>78</v>
      </c>
      <c r="Z194">
        <v>1</v>
      </c>
      <c r="AA194">
        <v>92</v>
      </c>
      <c r="AB194">
        <v>1</v>
      </c>
      <c r="AC194">
        <v>76</v>
      </c>
      <c r="AD194">
        <v>1</v>
      </c>
      <c r="AE194">
        <v>81</v>
      </c>
      <c r="AF194">
        <v>2</v>
      </c>
      <c r="AG194">
        <v>98</v>
      </c>
      <c r="AH194">
        <v>2</v>
      </c>
    </row>
    <row r="195" spans="1:34">
      <c r="A195" t="s">
        <v>759</v>
      </c>
      <c r="B195" s="24">
        <v>1804</v>
      </c>
      <c r="C195" s="24" t="s">
        <v>760</v>
      </c>
      <c r="D195" s="24" t="s">
        <v>761</v>
      </c>
      <c r="E195" s="93">
        <v>88</v>
      </c>
      <c r="F195" s="94">
        <v>4</v>
      </c>
      <c r="G195" s="94">
        <v>81</v>
      </c>
      <c r="H195" s="94">
        <v>4</v>
      </c>
      <c r="I195" s="94">
        <v>82</v>
      </c>
      <c r="J195" s="94">
        <v>4</v>
      </c>
      <c r="K195" s="94">
        <v>83</v>
      </c>
      <c r="L195" s="94">
        <v>2</v>
      </c>
      <c r="M195" s="94">
        <v>83</v>
      </c>
      <c r="N195" s="94">
        <v>2</v>
      </c>
      <c r="O195" s="94">
        <v>89</v>
      </c>
      <c r="P195" s="94">
        <v>2</v>
      </c>
      <c r="Q195">
        <v>82</v>
      </c>
      <c r="R195">
        <v>2</v>
      </c>
      <c r="S195">
        <v>90</v>
      </c>
      <c r="T195">
        <v>2</v>
      </c>
      <c r="U195">
        <v>78</v>
      </c>
      <c r="V195">
        <v>2</v>
      </c>
      <c r="W195">
        <v>80</v>
      </c>
      <c r="X195">
        <v>2</v>
      </c>
      <c r="Y195">
        <v>74</v>
      </c>
      <c r="Z195">
        <v>1</v>
      </c>
      <c r="AA195">
        <v>92</v>
      </c>
      <c r="AB195">
        <v>1</v>
      </c>
      <c r="AC195">
        <v>86</v>
      </c>
      <c r="AD195">
        <v>1</v>
      </c>
      <c r="AE195">
        <v>85</v>
      </c>
      <c r="AF195">
        <v>2</v>
      </c>
      <c r="AG195">
        <v>93</v>
      </c>
      <c r="AH195">
        <v>2</v>
      </c>
    </row>
    <row r="196" spans="1:34">
      <c r="A196" t="s">
        <v>762</v>
      </c>
      <c r="B196" s="24">
        <v>1804</v>
      </c>
      <c r="C196" s="24" t="s">
        <v>763</v>
      </c>
      <c r="D196" s="24" t="s">
        <v>764</v>
      </c>
      <c r="E196" s="93">
        <v>86</v>
      </c>
      <c r="F196" s="94">
        <v>4</v>
      </c>
      <c r="G196" s="94">
        <v>86</v>
      </c>
      <c r="H196" s="94">
        <v>4</v>
      </c>
      <c r="I196" s="94">
        <v>82</v>
      </c>
      <c r="J196" s="94">
        <v>4</v>
      </c>
      <c r="K196" s="94">
        <v>92</v>
      </c>
      <c r="L196" s="94">
        <v>2</v>
      </c>
      <c r="M196" s="94">
        <v>85</v>
      </c>
      <c r="N196" s="94">
        <v>2</v>
      </c>
      <c r="O196" s="94">
        <v>80</v>
      </c>
      <c r="P196" s="94">
        <v>2</v>
      </c>
      <c r="Q196">
        <v>82</v>
      </c>
      <c r="R196">
        <v>2</v>
      </c>
      <c r="S196">
        <v>90</v>
      </c>
      <c r="T196">
        <v>2</v>
      </c>
      <c r="U196">
        <v>71</v>
      </c>
      <c r="V196">
        <v>2</v>
      </c>
      <c r="W196">
        <v>85</v>
      </c>
      <c r="X196">
        <v>2</v>
      </c>
      <c r="Y196">
        <v>72</v>
      </c>
      <c r="Z196">
        <v>1</v>
      </c>
      <c r="AA196">
        <v>92</v>
      </c>
      <c r="AB196">
        <v>1</v>
      </c>
      <c r="AC196">
        <v>78</v>
      </c>
      <c r="AD196">
        <v>1</v>
      </c>
      <c r="AE196">
        <v>84</v>
      </c>
      <c r="AF196">
        <v>2</v>
      </c>
      <c r="AG196">
        <v>98</v>
      </c>
      <c r="AH196">
        <v>2</v>
      </c>
    </row>
    <row r="197" spans="1:34">
      <c r="A197" t="s">
        <v>765</v>
      </c>
      <c r="B197" s="24">
        <v>1804</v>
      </c>
      <c r="C197" s="24" t="s">
        <v>766</v>
      </c>
      <c r="D197" s="24" t="s">
        <v>767</v>
      </c>
      <c r="E197" s="93">
        <v>98</v>
      </c>
      <c r="F197" s="94">
        <v>4</v>
      </c>
      <c r="G197" s="94">
        <v>92</v>
      </c>
      <c r="H197" s="94">
        <v>4</v>
      </c>
      <c r="I197" s="94">
        <v>97</v>
      </c>
      <c r="J197" s="94">
        <v>4</v>
      </c>
      <c r="K197" s="94">
        <v>91</v>
      </c>
      <c r="L197" s="94">
        <v>2</v>
      </c>
      <c r="M197" s="94">
        <v>89</v>
      </c>
      <c r="N197" s="94">
        <v>2</v>
      </c>
      <c r="O197" s="94">
        <v>99</v>
      </c>
      <c r="P197" s="94">
        <v>2</v>
      </c>
      <c r="Q197">
        <v>95</v>
      </c>
      <c r="R197">
        <v>2</v>
      </c>
      <c r="S197">
        <v>85</v>
      </c>
      <c r="T197">
        <v>2</v>
      </c>
      <c r="U197">
        <v>75</v>
      </c>
      <c r="V197">
        <v>2</v>
      </c>
      <c r="W197">
        <v>96</v>
      </c>
      <c r="X197">
        <v>2</v>
      </c>
      <c r="Y197">
        <v>74</v>
      </c>
      <c r="Z197">
        <v>1</v>
      </c>
      <c r="AA197">
        <v>92</v>
      </c>
      <c r="AB197">
        <v>1</v>
      </c>
      <c r="AC197">
        <v>78</v>
      </c>
      <c r="AD197">
        <v>1</v>
      </c>
      <c r="AE197">
        <v>86</v>
      </c>
      <c r="AF197">
        <v>2</v>
      </c>
      <c r="AG197">
        <v>95</v>
      </c>
      <c r="AH197">
        <v>2</v>
      </c>
    </row>
    <row r="198" spans="1:34">
      <c r="A198" t="s">
        <v>768</v>
      </c>
      <c r="B198" s="24">
        <v>1804</v>
      </c>
      <c r="C198" s="24" t="s">
        <v>769</v>
      </c>
      <c r="D198" s="24" t="s">
        <v>770</v>
      </c>
      <c r="E198" s="93">
        <v>88</v>
      </c>
      <c r="F198" s="94">
        <v>4</v>
      </c>
      <c r="G198" s="94">
        <v>81</v>
      </c>
      <c r="H198" s="94">
        <v>4</v>
      </c>
      <c r="I198" s="94">
        <v>85</v>
      </c>
      <c r="J198" s="94">
        <v>4</v>
      </c>
      <c r="K198" s="94">
        <v>80</v>
      </c>
      <c r="L198" s="94">
        <v>2</v>
      </c>
      <c r="M198" s="94">
        <v>85</v>
      </c>
      <c r="N198" s="94">
        <v>2</v>
      </c>
      <c r="O198" s="94">
        <v>80</v>
      </c>
      <c r="P198" s="94">
        <v>2</v>
      </c>
      <c r="Q198">
        <v>85</v>
      </c>
      <c r="R198">
        <v>2</v>
      </c>
      <c r="S198">
        <v>85</v>
      </c>
      <c r="T198">
        <v>2</v>
      </c>
      <c r="U198">
        <v>70</v>
      </c>
      <c r="V198">
        <v>2</v>
      </c>
      <c r="W198">
        <v>85</v>
      </c>
      <c r="X198">
        <v>2</v>
      </c>
      <c r="Y198">
        <v>76</v>
      </c>
      <c r="Z198">
        <v>1</v>
      </c>
      <c r="AA198">
        <v>92</v>
      </c>
      <c r="AB198">
        <v>1</v>
      </c>
      <c r="AC198">
        <v>86</v>
      </c>
      <c r="AD198">
        <v>1</v>
      </c>
      <c r="AE198">
        <v>86</v>
      </c>
      <c r="AF198">
        <v>2</v>
      </c>
      <c r="AG198">
        <v>78</v>
      </c>
      <c r="AH198">
        <v>2</v>
      </c>
    </row>
    <row r="199" spans="1:34">
      <c r="A199" t="s">
        <v>771</v>
      </c>
      <c r="B199" s="24">
        <v>1804</v>
      </c>
      <c r="C199" s="24" t="s">
        <v>772</v>
      </c>
      <c r="D199" s="24" t="s">
        <v>773</v>
      </c>
      <c r="E199" s="93">
        <v>90</v>
      </c>
      <c r="F199" s="94">
        <v>4</v>
      </c>
      <c r="G199" s="94">
        <v>84</v>
      </c>
      <c r="H199" s="94">
        <v>4</v>
      </c>
      <c r="I199" s="94">
        <v>85</v>
      </c>
      <c r="J199" s="94">
        <v>4</v>
      </c>
      <c r="K199" s="94">
        <v>93</v>
      </c>
      <c r="L199" s="94">
        <v>2</v>
      </c>
      <c r="M199" s="94">
        <v>83</v>
      </c>
      <c r="N199" s="94">
        <v>2</v>
      </c>
      <c r="O199" s="94">
        <v>80</v>
      </c>
      <c r="P199" s="94">
        <v>2</v>
      </c>
      <c r="Q199">
        <v>95</v>
      </c>
      <c r="R199">
        <v>2</v>
      </c>
      <c r="S199">
        <v>93</v>
      </c>
      <c r="T199">
        <v>2</v>
      </c>
      <c r="U199">
        <v>70</v>
      </c>
      <c r="V199">
        <v>2</v>
      </c>
      <c r="W199">
        <v>88</v>
      </c>
      <c r="X199">
        <v>2</v>
      </c>
      <c r="Y199">
        <v>82</v>
      </c>
      <c r="Z199">
        <v>1</v>
      </c>
      <c r="AA199">
        <v>92</v>
      </c>
      <c r="AB199">
        <v>1</v>
      </c>
      <c r="AC199">
        <v>86</v>
      </c>
      <c r="AD199">
        <v>1</v>
      </c>
      <c r="AE199">
        <v>84</v>
      </c>
      <c r="AF199">
        <v>2</v>
      </c>
      <c r="AG199">
        <v>95</v>
      </c>
      <c r="AH199">
        <v>2</v>
      </c>
    </row>
    <row r="200" spans="1:34">
      <c r="A200" t="s">
        <v>774</v>
      </c>
      <c r="B200" s="24">
        <v>1804</v>
      </c>
      <c r="C200" s="24" t="s">
        <v>775</v>
      </c>
      <c r="D200" s="24" t="s">
        <v>776</v>
      </c>
      <c r="E200" s="93">
        <v>89</v>
      </c>
      <c r="F200" s="94">
        <v>4</v>
      </c>
      <c r="G200" s="94">
        <v>85</v>
      </c>
      <c r="H200" s="94">
        <v>4</v>
      </c>
      <c r="I200" s="94">
        <v>85</v>
      </c>
      <c r="J200" s="94">
        <v>4</v>
      </c>
      <c r="K200" s="94">
        <v>92</v>
      </c>
      <c r="L200" s="94">
        <v>2</v>
      </c>
      <c r="M200" s="94">
        <v>87</v>
      </c>
      <c r="N200" s="94">
        <v>2</v>
      </c>
      <c r="O200" s="94">
        <v>86</v>
      </c>
      <c r="P200" s="94">
        <v>2</v>
      </c>
      <c r="Q200">
        <v>89</v>
      </c>
      <c r="R200">
        <v>2</v>
      </c>
      <c r="S200">
        <v>88</v>
      </c>
      <c r="T200">
        <v>2</v>
      </c>
      <c r="U200">
        <v>78</v>
      </c>
      <c r="V200">
        <v>2</v>
      </c>
      <c r="W200">
        <v>95</v>
      </c>
      <c r="X200">
        <v>2</v>
      </c>
      <c r="Y200">
        <v>80</v>
      </c>
      <c r="Z200">
        <v>1</v>
      </c>
      <c r="AA200">
        <v>92</v>
      </c>
      <c r="AB200">
        <v>1</v>
      </c>
      <c r="AC200">
        <v>76</v>
      </c>
      <c r="AD200">
        <v>1</v>
      </c>
      <c r="AE200">
        <v>81</v>
      </c>
      <c r="AF200">
        <v>2</v>
      </c>
      <c r="AG200">
        <v>78</v>
      </c>
      <c r="AH200">
        <v>2</v>
      </c>
    </row>
    <row r="201" spans="1:34">
      <c r="A201" t="s">
        <v>777</v>
      </c>
      <c r="B201" s="24">
        <v>1804</v>
      </c>
      <c r="C201" s="24" t="s">
        <v>778</v>
      </c>
      <c r="D201" s="24" t="s">
        <v>779</v>
      </c>
      <c r="E201" s="93">
        <v>88</v>
      </c>
      <c r="F201" s="94">
        <v>4</v>
      </c>
      <c r="G201" s="94">
        <v>83</v>
      </c>
      <c r="H201" s="94">
        <v>4</v>
      </c>
      <c r="I201" s="94">
        <v>89</v>
      </c>
      <c r="J201" s="94">
        <v>4</v>
      </c>
      <c r="K201" s="94">
        <v>82</v>
      </c>
      <c r="L201" s="94">
        <v>2</v>
      </c>
      <c r="M201" s="94">
        <v>82</v>
      </c>
      <c r="N201" s="94">
        <v>2</v>
      </c>
      <c r="O201" s="94">
        <v>80</v>
      </c>
      <c r="P201" s="94">
        <v>2</v>
      </c>
      <c r="Q201">
        <v>81</v>
      </c>
      <c r="R201">
        <v>2</v>
      </c>
      <c r="S201">
        <v>88</v>
      </c>
      <c r="T201">
        <v>2</v>
      </c>
      <c r="U201">
        <v>76</v>
      </c>
      <c r="V201">
        <v>2</v>
      </c>
      <c r="W201">
        <v>85</v>
      </c>
      <c r="X201">
        <v>2</v>
      </c>
      <c r="Y201">
        <v>78</v>
      </c>
      <c r="Z201">
        <v>1</v>
      </c>
      <c r="AA201">
        <v>92</v>
      </c>
      <c r="AB201">
        <v>1</v>
      </c>
      <c r="AC201">
        <v>86</v>
      </c>
      <c r="AD201">
        <v>1</v>
      </c>
      <c r="AE201">
        <v>82</v>
      </c>
      <c r="AF201">
        <v>2</v>
      </c>
      <c r="AG201">
        <v>95</v>
      </c>
      <c r="AH201">
        <v>2</v>
      </c>
    </row>
    <row r="202" spans="1:34">
      <c r="A202" t="s">
        <v>1687</v>
      </c>
      <c r="B202" s="24">
        <v>1804</v>
      </c>
      <c r="C202" s="24" t="s">
        <v>781</v>
      </c>
      <c r="D202" s="24" t="s">
        <v>1689</v>
      </c>
      <c r="E202" s="93">
        <v>88</v>
      </c>
      <c r="F202" s="94">
        <v>4</v>
      </c>
      <c r="G202" s="94">
        <v>83</v>
      </c>
      <c r="H202" s="94">
        <v>4</v>
      </c>
      <c r="I202" s="94">
        <v>92</v>
      </c>
      <c r="J202" s="94">
        <v>4</v>
      </c>
      <c r="K202" s="94">
        <v>98</v>
      </c>
      <c r="L202" s="94">
        <v>2</v>
      </c>
      <c r="M202" s="94">
        <v>89</v>
      </c>
      <c r="N202" s="94">
        <v>2</v>
      </c>
      <c r="O202" s="94">
        <v>80</v>
      </c>
      <c r="P202" s="94">
        <v>2</v>
      </c>
      <c r="Q202">
        <v>81</v>
      </c>
      <c r="R202">
        <v>2</v>
      </c>
      <c r="S202">
        <v>82</v>
      </c>
      <c r="T202">
        <v>2</v>
      </c>
      <c r="U202">
        <v>71</v>
      </c>
      <c r="V202">
        <v>2</v>
      </c>
      <c r="W202">
        <v>88</v>
      </c>
      <c r="X202">
        <v>2</v>
      </c>
      <c r="Y202">
        <v>80</v>
      </c>
      <c r="Z202">
        <v>1</v>
      </c>
      <c r="AA202">
        <v>92</v>
      </c>
      <c r="AB202">
        <v>1</v>
      </c>
      <c r="AC202">
        <v>86</v>
      </c>
      <c r="AD202">
        <v>1</v>
      </c>
      <c r="AE202">
        <v>86</v>
      </c>
      <c r="AF202">
        <v>2</v>
      </c>
      <c r="AG202" t="s">
        <v>3360</v>
      </c>
    </row>
    <row r="203" spans="1:34">
      <c r="A203" t="s">
        <v>782</v>
      </c>
      <c r="B203" s="24">
        <v>1804</v>
      </c>
      <c r="C203" s="24" t="s">
        <v>783</v>
      </c>
      <c r="D203" s="24" t="s">
        <v>784</v>
      </c>
      <c r="E203" s="93">
        <v>87</v>
      </c>
      <c r="F203" s="94">
        <v>4</v>
      </c>
      <c r="G203" s="94">
        <v>82</v>
      </c>
      <c r="H203" s="94">
        <v>4</v>
      </c>
      <c r="I203" s="94">
        <v>84</v>
      </c>
      <c r="J203" s="94">
        <v>4</v>
      </c>
      <c r="K203" s="94">
        <v>84</v>
      </c>
      <c r="L203" s="94">
        <v>2</v>
      </c>
      <c r="M203" s="94">
        <v>84</v>
      </c>
      <c r="N203" s="94">
        <v>2</v>
      </c>
      <c r="O203" s="94">
        <v>80</v>
      </c>
      <c r="P203" s="94">
        <v>2</v>
      </c>
      <c r="Q203">
        <v>81</v>
      </c>
      <c r="R203">
        <v>2</v>
      </c>
      <c r="S203">
        <v>90</v>
      </c>
      <c r="T203">
        <v>2</v>
      </c>
      <c r="U203">
        <v>79</v>
      </c>
      <c r="V203">
        <v>2</v>
      </c>
      <c r="W203">
        <v>80</v>
      </c>
      <c r="X203">
        <v>2</v>
      </c>
      <c r="Y203">
        <v>78</v>
      </c>
      <c r="Z203">
        <v>1</v>
      </c>
      <c r="AA203">
        <v>92</v>
      </c>
      <c r="AB203">
        <v>1</v>
      </c>
      <c r="AC203">
        <v>72</v>
      </c>
      <c r="AD203">
        <v>1</v>
      </c>
      <c r="AE203">
        <v>84</v>
      </c>
      <c r="AF203">
        <v>2</v>
      </c>
      <c r="AG203">
        <v>98</v>
      </c>
      <c r="AH203">
        <v>2</v>
      </c>
    </row>
    <row r="204" spans="1:34">
      <c r="A204" t="s">
        <v>785</v>
      </c>
      <c r="B204" s="24">
        <v>1804</v>
      </c>
      <c r="C204" s="24" t="s">
        <v>786</v>
      </c>
      <c r="D204" s="24" t="s">
        <v>787</v>
      </c>
      <c r="E204" s="93">
        <v>88</v>
      </c>
      <c r="F204" s="94">
        <v>4</v>
      </c>
      <c r="G204" s="94">
        <v>84</v>
      </c>
      <c r="H204" s="94">
        <v>4</v>
      </c>
      <c r="I204" s="94">
        <v>90</v>
      </c>
      <c r="J204" s="94">
        <v>4</v>
      </c>
      <c r="K204" s="94">
        <v>88</v>
      </c>
      <c r="L204" s="94">
        <v>2</v>
      </c>
      <c r="M204" s="94">
        <v>84</v>
      </c>
      <c r="N204" s="94">
        <v>2</v>
      </c>
      <c r="O204" s="94">
        <v>89</v>
      </c>
      <c r="P204" s="94">
        <v>2</v>
      </c>
      <c r="Q204">
        <v>95</v>
      </c>
      <c r="R204">
        <v>2</v>
      </c>
      <c r="S204">
        <v>88</v>
      </c>
      <c r="T204">
        <v>2</v>
      </c>
      <c r="U204">
        <v>70</v>
      </c>
      <c r="V204">
        <v>2</v>
      </c>
      <c r="W204">
        <v>96</v>
      </c>
      <c r="X204">
        <v>2</v>
      </c>
      <c r="Y204">
        <v>76</v>
      </c>
      <c r="Z204">
        <v>1</v>
      </c>
      <c r="AA204">
        <v>92</v>
      </c>
      <c r="AB204">
        <v>1</v>
      </c>
      <c r="AC204">
        <v>75</v>
      </c>
      <c r="AD204">
        <v>1</v>
      </c>
      <c r="AE204">
        <v>89</v>
      </c>
      <c r="AF204">
        <v>2</v>
      </c>
      <c r="AG204">
        <v>98</v>
      </c>
      <c r="AH204">
        <v>2</v>
      </c>
    </row>
    <row r="205" spans="1:34">
      <c r="A205" t="s">
        <v>788</v>
      </c>
      <c r="B205" s="24">
        <v>1804</v>
      </c>
      <c r="C205" s="24" t="s">
        <v>789</v>
      </c>
      <c r="D205" s="24" t="s">
        <v>790</v>
      </c>
      <c r="E205" s="93">
        <v>84</v>
      </c>
      <c r="F205" s="94">
        <v>4</v>
      </c>
      <c r="G205" s="94">
        <v>93</v>
      </c>
      <c r="H205" s="94">
        <v>4</v>
      </c>
      <c r="I205" s="94">
        <v>90</v>
      </c>
      <c r="J205" s="94">
        <v>4</v>
      </c>
      <c r="K205" s="94">
        <v>98</v>
      </c>
      <c r="L205" s="94">
        <v>2</v>
      </c>
      <c r="M205" s="94">
        <v>91</v>
      </c>
      <c r="N205" s="94">
        <v>2</v>
      </c>
      <c r="O205" s="94">
        <v>94</v>
      </c>
      <c r="P205" s="94">
        <v>2</v>
      </c>
      <c r="Q205">
        <v>84</v>
      </c>
      <c r="R205">
        <v>2</v>
      </c>
      <c r="S205">
        <v>86</v>
      </c>
      <c r="T205">
        <v>2</v>
      </c>
      <c r="U205">
        <v>78</v>
      </c>
      <c r="V205">
        <v>2</v>
      </c>
      <c r="W205">
        <v>88</v>
      </c>
      <c r="X205">
        <v>2</v>
      </c>
      <c r="Y205">
        <v>79</v>
      </c>
      <c r="Z205">
        <v>1</v>
      </c>
      <c r="AA205">
        <v>92</v>
      </c>
      <c r="AB205">
        <v>1</v>
      </c>
      <c r="AC205">
        <v>65</v>
      </c>
      <c r="AD205">
        <v>1</v>
      </c>
      <c r="AE205">
        <v>90</v>
      </c>
      <c r="AF205">
        <v>2</v>
      </c>
      <c r="AG205">
        <v>99</v>
      </c>
      <c r="AH205">
        <v>2</v>
      </c>
    </row>
    <row r="206" spans="1:34">
      <c r="A206" t="s">
        <v>791</v>
      </c>
      <c r="B206" s="24">
        <v>1804</v>
      </c>
      <c r="C206" s="24" t="s">
        <v>792</v>
      </c>
      <c r="D206" s="24" t="s">
        <v>793</v>
      </c>
      <c r="E206" s="93">
        <v>90</v>
      </c>
      <c r="F206" s="94">
        <v>4</v>
      </c>
      <c r="G206" s="94">
        <v>87</v>
      </c>
      <c r="H206" s="94">
        <v>4</v>
      </c>
      <c r="I206" s="94">
        <v>90</v>
      </c>
      <c r="J206" s="94">
        <v>4</v>
      </c>
      <c r="K206" s="94">
        <v>87</v>
      </c>
      <c r="L206" s="94">
        <v>2</v>
      </c>
      <c r="M206" s="94">
        <v>84</v>
      </c>
      <c r="N206" s="94">
        <v>2</v>
      </c>
      <c r="O206" s="94">
        <v>80</v>
      </c>
      <c r="P206" s="94">
        <v>2</v>
      </c>
      <c r="Q206">
        <v>90</v>
      </c>
      <c r="R206">
        <v>2</v>
      </c>
      <c r="S206">
        <v>88</v>
      </c>
      <c r="T206">
        <v>2</v>
      </c>
      <c r="U206">
        <v>71</v>
      </c>
      <c r="V206">
        <v>2</v>
      </c>
      <c r="W206">
        <v>88</v>
      </c>
      <c r="X206">
        <v>2</v>
      </c>
      <c r="Y206">
        <v>77</v>
      </c>
      <c r="Z206">
        <v>1</v>
      </c>
      <c r="AA206">
        <v>92</v>
      </c>
      <c r="AB206">
        <v>1</v>
      </c>
      <c r="AC206">
        <v>86</v>
      </c>
      <c r="AD206">
        <v>1</v>
      </c>
      <c r="AE206">
        <v>88</v>
      </c>
      <c r="AF206">
        <v>2</v>
      </c>
      <c r="AG206">
        <v>82</v>
      </c>
      <c r="AH206">
        <v>2</v>
      </c>
    </row>
    <row r="207" spans="1:34">
      <c r="A207" t="s">
        <v>794</v>
      </c>
      <c r="B207" s="24">
        <v>1804</v>
      </c>
      <c r="C207" s="24" t="s">
        <v>795</v>
      </c>
      <c r="D207" s="24" t="s">
        <v>796</v>
      </c>
      <c r="E207" s="93">
        <v>97</v>
      </c>
      <c r="F207" s="94">
        <v>4</v>
      </c>
      <c r="G207" s="94">
        <v>93</v>
      </c>
      <c r="H207" s="94">
        <v>4</v>
      </c>
      <c r="I207" s="94">
        <v>95</v>
      </c>
      <c r="J207" s="94">
        <v>4</v>
      </c>
      <c r="K207" s="94">
        <v>98</v>
      </c>
      <c r="L207" s="94">
        <v>2</v>
      </c>
      <c r="M207" s="94">
        <v>87</v>
      </c>
      <c r="N207" s="94">
        <v>2</v>
      </c>
      <c r="O207" s="94">
        <v>100</v>
      </c>
      <c r="P207" s="94">
        <v>2</v>
      </c>
      <c r="Q207">
        <v>85</v>
      </c>
      <c r="R207">
        <v>2</v>
      </c>
      <c r="S207">
        <v>81</v>
      </c>
      <c r="T207">
        <v>2</v>
      </c>
      <c r="U207">
        <v>76</v>
      </c>
      <c r="V207">
        <v>2</v>
      </c>
      <c r="W207">
        <v>90</v>
      </c>
      <c r="X207">
        <v>2</v>
      </c>
      <c r="Y207">
        <v>78</v>
      </c>
      <c r="Z207">
        <v>1</v>
      </c>
      <c r="AA207">
        <v>92</v>
      </c>
      <c r="AB207">
        <v>1</v>
      </c>
      <c r="AC207">
        <v>68</v>
      </c>
      <c r="AD207">
        <v>1</v>
      </c>
      <c r="AE207">
        <v>82</v>
      </c>
      <c r="AF207">
        <v>2</v>
      </c>
      <c r="AG207">
        <v>89</v>
      </c>
      <c r="AH207">
        <v>2</v>
      </c>
    </row>
    <row r="208" spans="1:34">
      <c r="A208" t="s">
        <v>797</v>
      </c>
      <c r="B208" s="24">
        <v>1804</v>
      </c>
      <c r="C208" s="24" t="s">
        <v>798</v>
      </c>
      <c r="D208" s="24" t="s">
        <v>799</v>
      </c>
      <c r="E208" s="93">
        <v>83</v>
      </c>
      <c r="F208" s="94">
        <v>4</v>
      </c>
      <c r="G208" s="94">
        <v>81</v>
      </c>
      <c r="H208" s="94">
        <v>4</v>
      </c>
      <c r="I208" s="94">
        <v>85</v>
      </c>
      <c r="J208" s="94">
        <v>4</v>
      </c>
      <c r="K208" s="94">
        <v>82</v>
      </c>
      <c r="L208" s="94">
        <v>2</v>
      </c>
      <c r="M208" s="94">
        <v>89</v>
      </c>
      <c r="N208" s="94">
        <v>2</v>
      </c>
      <c r="O208" s="94">
        <v>60</v>
      </c>
      <c r="P208" s="94">
        <v>2</v>
      </c>
      <c r="Q208">
        <v>86</v>
      </c>
      <c r="R208">
        <v>2</v>
      </c>
      <c r="S208">
        <v>86</v>
      </c>
      <c r="T208">
        <v>2</v>
      </c>
      <c r="U208">
        <v>81</v>
      </c>
      <c r="V208">
        <v>2</v>
      </c>
      <c r="W208">
        <v>93</v>
      </c>
      <c r="X208">
        <v>2</v>
      </c>
      <c r="Y208">
        <v>76</v>
      </c>
      <c r="Z208">
        <v>1</v>
      </c>
      <c r="AA208">
        <v>92</v>
      </c>
      <c r="AB208">
        <v>1</v>
      </c>
      <c r="AC208">
        <v>75</v>
      </c>
      <c r="AD208">
        <v>1</v>
      </c>
      <c r="AE208">
        <v>86</v>
      </c>
      <c r="AF208">
        <v>2</v>
      </c>
      <c r="AG208">
        <v>80</v>
      </c>
      <c r="AH208">
        <v>2</v>
      </c>
    </row>
    <row r="209" spans="1:34">
      <c r="A209" t="s">
        <v>800</v>
      </c>
      <c r="B209" s="24">
        <v>1804</v>
      </c>
      <c r="C209" s="24" t="s">
        <v>801</v>
      </c>
      <c r="D209" s="24" t="s">
        <v>802</v>
      </c>
      <c r="E209" s="93">
        <v>78</v>
      </c>
      <c r="F209" s="94">
        <v>4</v>
      </c>
      <c r="G209" s="94">
        <v>82</v>
      </c>
      <c r="H209" s="94">
        <v>4</v>
      </c>
      <c r="I209" s="94">
        <v>80</v>
      </c>
      <c r="J209" s="94">
        <v>4</v>
      </c>
      <c r="K209" s="94">
        <v>89</v>
      </c>
      <c r="L209" s="94">
        <v>2</v>
      </c>
      <c r="M209" s="94">
        <v>89</v>
      </c>
      <c r="N209" s="94">
        <v>2</v>
      </c>
      <c r="O209" s="94">
        <v>99</v>
      </c>
      <c r="P209" s="94">
        <v>2</v>
      </c>
      <c r="Q209">
        <v>93</v>
      </c>
      <c r="R209">
        <v>2</v>
      </c>
      <c r="S209">
        <v>91</v>
      </c>
      <c r="T209">
        <v>2</v>
      </c>
      <c r="U209">
        <v>82</v>
      </c>
      <c r="V209">
        <v>2</v>
      </c>
      <c r="W209">
        <v>88</v>
      </c>
      <c r="X209">
        <v>2</v>
      </c>
      <c r="Y209">
        <v>78</v>
      </c>
      <c r="Z209">
        <v>1</v>
      </c>
      <c r="AA209">
        <v>92</v>
      </c>
      <c r="AB209">
        <v>1</v>
      </c>
      <c r="AC209">
        <v>85</v>
      </c>
      <c r="AD209">
        <v>1</v>
      </c>
      <c r="AE209">
        <v>84</v>
      </c>
      <c r="AF209">
        <v>2</v>
      </c>
      <c r="AG209">
        <v>81</v>
      </c>
      <c r="AH209">
        <v>2</v>
      </c>
    </row>
    <row r="210" spans="1:34">
      <c r="A210" t="s">
        <v>803</v>
      </c>
      <c r="B210" s="24">
        <v>1804</v>
      </c>
      <c r="C210" s="24" t="s">
        <v>804</v>
      </c>
      <c r="D210" s="24" t="s">
        <v>805</v>
      </c>
      <c r="E210" s="93">
        <v>92</v>
      </c>
      <c r="F210" s="94">
        <v>4</v>
      </c>
      <c r="G210" s="94">
        <v>82</v>
      </c>
      <c r="H210" s="94">
        <v>4</v>
      </c>
      <c r="I210" s="94">
        <v>90</v>
      </c>
      <c r="J210" s="94">
        <v>4</v>
      </c>
      <c r="K210" s="94">
        <v>93</v>
      </c>
      <c r="L210" s="94">
        <v>2</v>
      </c>
      <c r="M210" s="94">
        <v>88</v>
      </c>
      <c r="N210" s="94">
        <v>2</v>
      </c>
      <c r="O210" s="94">
        <v>60</v>
      </c>
      <c r="P210" s="94">
        <v>2</v>
      </c>
      <c r="Q210">
        <v>84</v>
      </c>
      <c r="R210">
        <v>2</v>
      </c>
      <c r="S210">
        <v>92</v>
      </c>
      <c r="T210">
        <v>2</v>
      </c>
      <c r="U210">
        <v>88</v>
      </c>
      <c r="V210">
        <v>2</v>
      </c>
      <c r="W210">
        <v>88</v>
      </c>
      <c r="X210">
        <v>2</v>
      </c>
      <c r="Y210">
        <v>77</v>
      </c>
      <c r="Z210">
        <v>1</v>
      </c>
      <c r="AA210">
        <v>92</v>
      </c>
      <c r="AB210">
        <v>1</v>
      </c>
      <c r="AC210">
        <v>65</v>
      </c>
      <c r="AD210">
        <v>1</v>
      </c>
      <c r="AE210">
        <v>85</v>
      </c>
      <c r="AF210">
        <v>2</v>
      </c>
      <c r="AG210">
        <v>70</v>
      </c>
      <c r="AH210">
        <v>2</v>
      </c>
    </row>
    <row r="211" spans="1:34">
      <c r="A211" t="s">
        <v>806</v>
      </c>
      <c r="B211" s="24">
        <v>1804</v>
      </c>
      <c r="C211" s="24" t="s">
        <v>807</v>
      </c>
      <c r="D211" s="24" t="s">
        <v>808</v>
      </c>
      <c r="E211" s="93">
        <v>89</v>
      </c>
      <c r="F211" s="94">
        <v>4</v>
      </c>
      <c r="G211" s="94">
        <v>95</v>
      </c>
      <c r="H211" s="94">
        <v>4</v>
      </c>
      <c r="I211" s="94">
        <v>90</v>
      </c>
      <c r="J211" s="94">
        <v>4</v>
      </c>
      <c r="K211" s="94">
        <v>98</v>
      </c>
      <c r="L211" s="94">
        <v>2</v>
      </c>
      <c r="M211" s="94">
        <v>93</v>
      </c>
      <c r="N211" s="94">
        <v>2</v>
      </c>
      <c r="O211" s="94">
        <v>93</v>
      </c>
      <c r="P211" s="94">
        <v>2</v>
      </c>
      <c r="Q211">
        <v>85</v>
      </c>
      <c r="R211">
        <v>2</v>
      </c>
      <c r="S211">
        <v>86</v>
      </c>
      <c r="T211">
        <v>2</v>
      </c>
      <c r="U211">
        <v>75</v>
      </c>
      <c r="V211">
        <v>2</v>
      </c>
      <c r="W211">
        <v>90</v>
      </c>
      <c r="X211">
        <v>2</v>
      </c>
      <c r="Y211">
        <v>78</v>
      </c>
      <c r="Z211">
        <v>1</v>
      </c>
      <c r="AA211">
        <v>92</v>
      </c>
      <c r="AB211">
        <v>1</v>
      </c>
      <c r="AC211">
        <v>88</v>
      </c>
      <c r="AD211">
        <v>1</v>
      </c>
      <c r="AE211">
        <v>84</v>
      </c>
      <c r="AF211">
        <v>2</v>
      </c>
      <c r="AG211" t="s">
        <v>3360</v>
      </c>
    </row>
    <row r="212" spans="1:34">
      <c r="A212" t="s">
        <v>809</v>
      </c>
      <c r="B212" s="24">
        <v>1804</v>
      </c>
      <c r="C212" s="24" t="s">
        <v>810</v>
      </c>
      <c r="D212" s="24" t="s">
        <v>811</v>
      </c>
      <c r="E212" s="93">
        <v>100</v>
      </c>
      <c r="F212" s="94">
        <v>4</v>
      </c>
      <c r="G212" s="94">
        <v>86</v>
      </c>
      <c r="H212" s="94">
        <v>4</v>
      </c>
      <c r="I212" s="94">
        <v>96</v>
      </c>
      <c r="J212" s="94">
        <v>4</v>
      </c>
      <c r="K212" s="94">
        <v>88</v>
      </c>
      <c r="L212" s="94">
        <v>2</v>
      </c>
      <c r="M212" s="94">
        <v>93</v>
      </c>
      <c r="N212" s="94">
        <v>2</v>
      </c>
      <c r="O212" s="94">
        <v>87</v>
      </c>
      <c r="P212" s="94">
        <v>2</v>
      </c>
      <c r="Q212">
        <v>86</v>
      </c>
      <c r="R212">
        <v>2</v>
      </c>
      <c r="S212">
        <v>90</v>
      </c>
      <c r="T212">
        <v>2</v>
      </c>
      <c r="U212">
        <v>86</v>
      </c>
      <c r="V212">
        <v>2</v>
      </c>
      <c r="W212">
        <v>88</v>
      </c>
      <c r="X212">
        <v>2</v>
      </c>
      <c r="Y212">
        <v>82</v>
      </c>
      <c r="Z212">
        <v>1</v>
      </c>
      <c r="AA212">
        <v>92</v>
      </c>
      <c r="AB212">
        <v>1</v>
      </c>
      <c r="AC212">
        <v>90</v>
      </c>
      <c r="AD212">
        <v>1</v>
      </c>
      <c r="AE212">
        <v>86</v>
      </c>
      <c r="AF212">
        <v>2</v>
      </c>
      <c r="AG212">
        <v>78</v>
      </c>
      <c r="AH212">
        <v>2</v>
      </c>
    </row>
    <row r="213" spans="1:34">
      <c r="A213" t="s">
        <v>812</v>
      </c>
      <c r="B213" s="24">
        <v>1804</v>
      </c>
      <c r="C213" s="24" t="s">
        <v>813</v>
      </c>
      <c r="D213" s="24" t="s">
        <v>814</v>
      </c>
      <c r="E213" s="93">
        <v>88</v>
      </c>
      <c r="F213" s="94">
        <v>4</v>
      </c>
      <c r="G213" s="94">
        <v>86</v>
      </c>
      <c r="H213" s="94">
        <v>4</v>
      </c>
      <c r="I213" s="94">
        <v>97</v>
      </c>
      <c r="J213" s="94">
        <v>4</v>
      </c>
      <c r="K213" s="94">
        <v>86</v>
      </c>
      <c r="L213" s="94">
        <v>2</v>
      </c>
      <c r="M213" s="94">
        <v>84</v>
      </c>
      <c r="N213" s="94">
        <v>2</v>
      </c>
      <c r="O213" s="94">
        <v>80</v>
      </c>
      <c r="P213" s="94">
        <v>2</v>
      </c>
      <c r="Q213">
        <v>84</v>
      </c>
      <c r="R213">
        <v>2</v>
      </c>
      <c r="S213">
        <v>88</v>
      </c>
      <c r="T213">
        <v>2</v>
      </c>
      <c r="U213">
        <v>70</v>
      </c>
      <c r="V213">
        <v>2</v>
      </c>
      <c r="W213">
        <v>88</v>
      </c>
      <c r="X213">
        <v>2</v>
      </c>
      <c r="Y213">
        <v>80</v>
      </c>
      <c r="Z213">
        <v>1</v>
      </c>
      <c r="AA213">
        <v>92</v>
      </c>
      <c r="AB213">
        <v>1</v>
      </c>
      <c r="AC213">
        <v>86</v>
      </c>
      <c r="AD213">
        <v>1</v>
      </c>
      <c r="AE213">
        <v>88</v>
      </c>
      <c r="AF213">
        <v>2</v>
      </c>
      <c r="AG213">
        <v>78</v>
      </c>
      <c r="AH213">
        <v>2</v>
      </c>
    </row>
    <row r="214" spans="1:34">
      <c r="B214" s="24">
        <v>1804</v>
      </c>
      <c r="C214" s="24" t="s">
        <v>816</v>
      </c>
      <c r="J214" s="94">
        <v>4</v>
      </c>
      <c r="K214" s="94">
        <v>80</v>
      </c>
      <c r="L214" s="94">
        <v>2</v>
      </c>
      <c r="N214" s="94">
        <v>2</v>
      </c>
    </row>
    <row r="215" spans="1:34">
      <c r="A215" t="s">
        <v>818</v>
      </c>
      <c r="B215" s="24">
        <v>1804</v>
      </c>
      <c r="C215" s="24" t="s">
        <v>819</v>
      </c>
      <c r="D215" s="24" t="s">
        <v>820</v>
      </c>
      <c r="E215" s="93">
        <v>87</v>
      </c>
      <c r="F215" s="94">
        <v>4</v>
      </c>
      <c r="G215" s="94">
        <v>94</v>
      </c>
      <c r="H215" s="94">
        <v>4</v>
      </c>
      <c r="I215" s="94">
        <v>90</v>
      </c>
      <c r="J215" s="94">
        <v>4</v>
      </c>
      <c r="K215" s="94">
        <v>97</v>
      </c>
      <c r="L215" s="94">
        <v>2</v>
      </c>
      <c r="M215" s="94">
        <v>89</v>
      </c>
      <c r="N215" s="94">
        <v>2</v>
      </c>
      <c r="O215" s="94">
        <v>86</v>
      </c>
      <c r="P215" s="94">
        <v>2</v>
      </c>
      <c r="Q215">
        <v>92</v>
      </c>
      <c r="R215">
        <v>2</v>
      </c>
      <c r="S215">
        <v>81</v>
      </c>
      <c r="T215">
        <v>2</v>
      </c>
      <c r="U215">
        <v>70</v>
      </c>
      <c r="V215">
        <v>2</v>
      </c>
      <c r="W215">
        <v>93</v>
      </c>
      <c r="X215">
        <v>2</v>
      </c>
      <c r="Y215">
        <v>84</v>
      </c>
      <c r="Z215">
        <v>1</v>
      </c>
      <c r="AA215">
        <v>92</v>
      </c>
      <c r="AB215">
        <v>1</v>
      </c>
      <c r="AC215">
        <v>98</v>
      </c>
      <c r="AD215">
        <v>1</v>
      </c>
      <c r="AE215">
        <v>90</v>
      </c>
      <c r="AF215">
        <v>2</v>
      </c>
      <c r="AG215">
        <v>95</v>
      </c>
      <c r="AH215">
        <v>2</v>
      </c>
    </row>
    <row r="216" spans="1:34">
      <c r="A216" t="s">
        <v>821</v>
      </c>
      <c r="B216" s="24">
        <v>1804</v>
      </c>
      <c r="C216" s="24" t="s">
        <v>822</v>
      </c>
      <c r="D216" s="24" t="s">
        <v>823</v>
      </c>
      <c r="E216" s="93">
        <v>94</v>
      </c>
      <c r="F216" s="94">
        <v>4</v>
      </c>
      <c r="G216" s="94">
        <v>90</v>
      </c>
      <c r="H216" s="94">
        <v>4</v>
      </c>
      <c r="I216" s="94">
        <v>92</v>
      </c>
      <c r="J216" s="94">
        <v>4</v>
      </c>
      <c r="K216" s="94">
        <v>85</v>
      </c>
      <c r="L216" s="94">
        <v>2</v>
      </c>
      <c r="M216" s="94">
        <v>86</v>
      </c>
      <c r="N216" s="94">
        <v>2</v>
      </c>
      <c r="O216" s="94">
        <v>91</v>
      </c>
      <c r="P216" s="94">
        <v>2</v>
      </c>
      <c r="Q216">
        <v>93</v>
      </c>
      <c r="R216">
        <v>2</v>
      </c>
      <c r="S216">
        <v>89</v>
      </c>
      <c r="T216">
        <v>2</v>
      </c>
      <c r="U216">
        <v>88</v>
      </c>
      <c r="V216">
        <v>2</v>
      </c>
      <c r="W216">
        <v>95</v>
      </c>
      <c r="X216">
        <v>2</v>
      </c>
      <c r="Y216">
        <v>90</v>
      </c>
      <c r="Z216">
        <v>1</v>
      </c>
      <c r="AA216">
        <v>92</v>
      </c>
      <c r="AB216">
        <v>1</v>
      </c>
      <c r="AC216">
        <v>65</v>
      </c>
      <c r="AD216">
        <v>1</v>
      </c>
      <c r="AE216">
        <v>88</v>
      </c>
      <c r="AF216">
        <v>2</v>
      </c>
      <c r="AG216">
        <v>90</v>
      </c>
      <c r="AH216">
        <v>2</v>
      </c>
    </row>
    <row r="217" spans="1:34">
      <c r="A217" t="s">
        <v>824</v>
      </c>
      <c r="B217" s="24">
        <v>1804</v>
      </c>
      <c r="C217" s="24" t="s">
        <v>825</v>
      </c>
      <c r="D217" s="24" t="s">
        <v>122</v>
      </c>
      <c r="E217" s="93">
        <v>92</v>
      </c>
      <c r="F217" s="94">
        <v>4</v>
      </c>
      <c r="G217" s="94">
        <v>91</v>
      </c>
      <c r="H217" s="94">
        <v>4</v>
      </c>
      <c r="I217" s="94">
        <v>95</v>
      </c>
      <c r="J217" s="94">
        <v>4</v>
      </c>
      <c r="K217" s="94">
        <v>97</v>
      </c>
      <c r="L217" s="94">
        <v>2</v>
      </c>
      <c r="M217" s="94">
        <v>88</v>
      </c>
      <c r="N217" s="94">
        <v>2</v>
      </c>
      <c r="O217" s="94">
        <v>96</v>
      </c>
      <c r="P217" s="94">
        <v>2</v>
      </c>
      <c r="Q217">
        <v>87</v>
      </c>
      <c r="R217">
        <v>2</v>
      </c>
      <c r="S217">
        <v>92</v>
      </c>
      <c r="T217">
        <v>2</v>
      </c>
      <c r="U217">
        <v>86</v>
      </c>
      <c r="V217">
        <v>2</v>
      </c>
      <c r="W217">
        <v>90</v>
      </c>
      <c r="X217">
        <v>2</v>
      </c>
      <c r="Y217">
        <v>82</v>
      </c>
      <c r="Z217">
        <v>1</v>
      </c>
      <c r="AA217">
        <v>92</v>
      </c>
      <c r="AB217">
        <v>1</v>
      </c>
      <c r="AC217">
        <v>78</v>
      </c>
      <c r="AD217">
        <v>1</v>
      </c>
      <c r="AE217">
        <v>82</v>
      </c>
      <c r="AF217">
        <v>2</v>
      </c>
      <c r="AG217">
        <v>92</v>
      </c>
      <c r="AH217">
        <v>2</v>
      </c>
    </row>
    <row r="218" spans="1:34">
      <c r="A218" t="s">
        <v>826</v>
      </c>
      <c r="B218" s="24">
        <v>1804</v>
      </c>
      <c r="C218" s="24" t="s">
        <v>827</v>
      </c>
      <c r="D218" s="24" t="s">
        <v>118</v>
      </c>
      <c r="E218" s="93">
        <v>80</v>
      </c>
      <c r="F218" s="94">
        <v>4</v>
      </c>
      <c r="G218" s="94">
        <v>93</v>
      </c>
      <c r="H218" s="94">
        <v>4</v>
      </c>
      <c r="I218" s="94">
        <v>95</v>
      </c>
      <c r="J218" s="94">
        <v>4</v>
      </c>
      <c r="K218" s="94">
        <v>98</v>
      </c>
      <c r="L218" s="94">
        <v>2</v>
      </c>
      <c r="M218" s="94">
        <v>91</v>
      </c>
      <c r="N218" s="94">
        <v>2</v>
      </c>
      <c r="O218" s="94">
        <v>99</v>
      </c>
      <c r="P218" s="94">
        <v>2</v>
      </c>
      <c r="Q218">
        <v>82</v>
      </c>
      <c r="R218">
        <v>2</v>
      </c>
      <c r="S218">
        <v>82</v>
      </c>
      <c r="T218">
        <v>2</v>
      </c>
      <c r="U218">
        <v>70</v>
      </c>
      <c r="V218">
        <v>2</v>
      </c>
      <c r="W218">
        <v>96</v>
      </c>
      <c r="X218">
        <v>2</v>
      </c>
      <c r="Y218">
        <v>81</v>
      </c>
      <c r="Z218">
        <v>1</v>
      </c>
      <c r="AA218">
        <v>92</v>
      </c>
      <c r="AB218">
        <v>1</v>
      </c>
      <c r="AC218">
        <v>88</v>
      </c>
      <c r="AD218">
        <v>1</v>
      </c>
      <c r="AE218">
        <v>86</v>
      </c>
      <c r="AF218">
        <v>2</v>
      </c>
      <c r="AG218">
        <v>55</v>
      </c>
      <c r="AH218">
        <v>2</v>
      </c>
    </row>
    <row r="219" spans="1:34">
      <c r="A219" t="s">
        <v>828</v>
      </c>
      <c r="B219" s="24">
        <v>1804</v>
      </c>
      <c r="C219" s="24" t="s">
        <v>829</v>
      </c>
      <c r="D219" s="24" t="s">
        <v>830</v>
      </c>
      <c r="E219" s="93">
        <v>78</v>
      </c>
      <c r="F219" s="94">
        <v>4</v>
      </c>
      <c r="G219" s="94">
        <v>87</v>
      </c>
      <c r="H219" s="94">
        <v>4</v>
      </c>
      <c r="I219" s="94">
        <v>88</v>
      </c>
      <c r="J219" s="94">
        <v>4</v>
      </c>
      <c r="K219" s="94">
        <v>88</v>
      </c>
      <c r="L219" s="94">
        <v>2</v>
      </c>
      <c r="M219" s="94">
        <v>83</v>
      </c>
      <c r="N219" s="94">
        <v>2</v>
      </c>
      <c r="O219" s="94">
        <v>80</v>
      </c>
      <c r="P219" s="94">
        <v>2</v>
      </c>
      <c r="Q219">
        <v>75</v>
      </c>
      <c r="R219">
        <v>2</v>
      </c>
      <c r="S219">
        <v>75</v>
      </c>
      <c r="T219">
        <v>2</v>
      </c>
      <c r="U219">
        <v>70</v>
      </c>
      <c r="V219">
        <v>2</v>
      </c>
      <c r="W219">
        <v>85</v>
      </c>
      <c r="X219">
        <v>2</v>
      </c>
      <c r="Y219">
        <v>83</v>
      </c>
      <c r="Z219">
        <v>1</v>
      </c>
      <c r="AA219">
        <v>92</v>
      </c>
      <c r="AB219">
        <v>1</v>
      </c>
      <c r="AC219">
        <v>78</v>
      </c>
      <c r="AD219">
        <v>1</v>
      </c>
      <c r="AE219">
        <v>84</v>
      </c>
      <c r="AF219">
        <v>2</v>
      </c>
      <c r="AG219">
        <v>94</v>
      </c>
      <c r="AH219">
        <v>2</v>
      </c>
    </row>
    <row r="220" spans="1:34">
      <c r="A220" t="s">
        <v>831</v>
      </c>
      <c r="B220" s="24">
        <v>1804</v>
      </c>
      <c r="C220" s="24" t="s">
        <v>832</v>
      </c>
      <c r="D220" s="24" t="s">
        <v>833</v>
      </c>
      <c r="E220" s="93">
        <v>89</v>
      </c>
      <c r="F220" s="94">
        <v>4</v>
      </c>
      <c r="G220" s="94">
        <v>86</v>
      </c>
      <c r="H220" s="94">
        <v>4</v>
      </c>
      <c r="I220" s="94">
        <v>90</v>
      </c>
      <c r="J220" s="94">
        <v>4</v>
      </c>
      <c r="K220" s="94">
        <v>80</v>
      </c>
      <c r="L220" s="94">
        <v>2</v>
      </c>
      <c r="M220" s="94">
        <v>84</v>
      </c>
      <c r="N220" s="94">
        <v>2</v>
      </c>
      <c r="O220" s="94">
        <v>80</v>
      </c>
      <c r="P220" s="94">
        <v>2</v>
      </c>
      <c r="Q220">
        <v>89</v>
      </c>
      <c r="R220">
        <v>2</v>
      </c>
      <c r="S220">
        <v>91</v>
      </c>
      <c r="T220">
        <v>2</v>
      </c>
      <c r="U220">
        <v>70</v>
      </c>
      <c r="V220">
        <v>2</v>
      </c>
      <c r="W220">
        <v>85</v>
      </c>
      <c r="X220">
        <v>2</v>
      </c>
      <c r="Y220">
        <v>81</v>
      </c>
      <c r="Z220">
        <v>1</v>
      </c>
      <c r="AA220">
        <v>92</v>
      </c>
      <c r="AB220">
        <v>1</v>
      </c>
      <c r="AC220">
        <v>78</v>
      </c>
      <c r="AD220">
        <v>1</v>
      </c>
      <c r="AE220">
        <v>85</v>
      </c>
      <c r="AF220">
        <v>2</v>
      </c>
      <c r="AG220">
        <v>90</v>
      </c>
      <c r="AH220">
        <v>2</v>
      </c>
    </row>
    <row r="221" spans="1:34">
      <c r="A221" t="s">
        <v>834</v>
      </c>
      <c r="B221" s="24">
        <v>1804</v>
      </c>
      <c r="C221" s="24" t="s">
        <v>835</v>
      </c>
      <c r="D221" s="24" t="s">
        <v>836</v>
      </c>
      <c r="E221" s="93">
        <v>92</v>
      </c>
      <c r="F221" s="94">
        <v>4</v>
      </c>
      <c r="G221" s="94">
        <v>89</v>
      </c>
      <c r="H221" s="94">
        <v>4</v>
      </c>
      <c r="I221" s="94">
        <v>96</v>
      </c>
      <c r="J221" s="94">
        <v>4</v>
      </c>
      <c r="K221" s="94">
        <v>87</v>
      </c>
      <c r="L221" s="94">
        <v>2</v>
      </c>
      <c r="M221" s="94">
        <v>90</v>
      </c>
      <c r="N221" s="94">
        <v>2</v>
      </c>
      <c r="O221" s="94">
        <v>86</v>
      </c>
      <c r="P221" s="94">
        <v>2</v>
      </c>
      <c r="Q221">
        <v>99</v>
      </c>
      <c r="R221">
        <v>2</v>
      </c>
      <c r="S221">
        <v>88</v>
      </c>
      <c r="T221">
        <v>2</v>
      </c>
      <c r="U221">
        <v>70</v>
      </c>
      <c r="V221">
        <v>2</v>
      </c>
      <c r="W221">
        <v>90</v>
      </c>
      <c r="X221">
        <v>2</v>
      </c>
      <c r="Y221">
        <v>80</v>
      </c>
      <c r="Z221">
        <v>1</v>
      </c>
      <c r="AA221">
        <v>92</v>
      </c>
      <c r="AB221">
        <v>1</v>
      </c>
      <c r="AC221">
        <v>70</v>
      </c>
      <c r="AD221">
        <v>1</v>
      </c>
      <c r="AE221">
        <v>84</v>
      </c>
      <c r="AF221">
        <v>2</v>
      </c>
      <c r="AG221">
        <v>92</v>
      </c>
      <c r="AH221">
        <v>2</v>
      </c>
    </row>
    <row r="222" spans="1:34">
      <c r="A222" t="s">
        <v>837</v>
      </c>
      <c r="B222" s="24">
        <v>1804</v>
      </c>
      <c r="C222" s="24" t="s">
        <v>838</v>
      </c>
      <c r="D222" s="24" t="s">
        <v>839</v>
      </c>
      <c r="E222" s="93">
        <v>90</v>
      </c>
      <c r="F222" s="94">
        <v>4</v>
      </c>
      <c r="G222" s="94">
        <v>89</v>
      </c>
      <c r="H222" s="94">
        <v>4</v>
      </c>
      <c r="I222" s="94">
        <v>92</v>
      </c>
      <c r="J222" s="94">
        <v>4</v>
      </c>
      <c r="K222" s="94">
        <v>92</v>
      </c>
      <c r="L222" s="94">
        <v>2</v>
      </c>
      <c r="M222" s="94">
        <v>90</v>
      </c>
      <c r="N222" s="94">
        <v>2</v>
      </c>
      <c r="O222" s="94">
        <v>80</v>
      </c>
      <c r="P222" s="94">
        <v>2</v>
      </c>
      <c r="Q222">
        <v>90</v>
      </c>
      <c r="R222">
        <v>2</v>
      </c>
      <c r="S222">
        <v>88</v>
      </c>
      <c r="T222">
        <v>2</v>
      </c>
      <c r="U222">
        <v>78</v>
      </c>
      <c r="V222">
        <v>2</v>
      </c>
      <c r="W222">
        <v>93</v>
      </c>
      <c r="X222">
        <v>2</v>
      </c>
      <c r="Y222">
        <v>80</v>
      </c>
      <c r="Z222">
        <v>1</v>
      </c>
      <c r="AA222">
        <v>92</v>
      </c>
      <c r="AB222">
        <v>1</v>
      </c>
      <c r="AC222">
        <v>70</v>
      </c>
      <c r="AD222">
        <v>1</v>
      </c>
      <c r="AE222">
        <v>86</v>
      </c>
      <c r="AF222">
        <v>2</v>
      </c>
      <c r="AG222">
        <v>99</v>
      </c>
      <c r="AH222">
        <v>2</v>
      </c>
    </row>
    <row r="223" spans="1:34">
      <c r="A223" t="s">
        <v>840</v>
      </c>
      <c r="B223" s="24">
        <v>1804</v>
      </c>
      <c r="C223" s="24" t="s">
        <v>841</v>
      </c>
      <c r="D223" s="24" t="s">
        <v>842</v>
      </c>
      <c r="E223" s="93">
        <v>90</v>
      </c>
      <c r="F223" s="94">
        <v>4</v>
      </c>
      <c r="G223" s="94">
        <v>86</v>
      </c>
      <c r="H223" s="94">
        <v>4</v>
      </c>
      <c r="I223" s="94">
        <v>87</v>
      </c>
      <c r="J223" s="94">
        <v>4</v>
      </c>
      <c r="K223" s="94">
        <v>89</v>
      </c>
      <c r="L223" s="94">
        <v>2</v>
      </c>
      <c r="M223" s="94">
        <v>93</v>
      </c>
      <c r="N223" s="94">
        <v>2</v>
      </c>
      <c r="O223" s="94">
        <v>85</v>
      </c>
      <c r="P223" s="94">
        <v>2</v>
      </c>
      <c r="Q223">
        <v>82</v>
      </c>
      <c r="R223">
        <v>2</v>
      </c>
      <c r="S223">
        <v>80</v>
      </c>
      <c r="T223">
        <v>2</v>
      </c>
      <c r="U223">
        <v>70</v>
      </c>
      <c r="V223">
        <v>2</v>
      </c>
      <c r="W223">
        <v>88</v>
      </c>
      <c r="X223">
        <v>2</v>
      </c>
      <c r="Y223">
        <v>78</v>
      </c>
      <c r="Z223">
        <v>1</v>
      </c>
      <c r="AA223">
        <v>92</v>
      </c>
      <c r="AB223">
        <v>1</v>
      </c>
      <c r="AC223">
        <v>78</v>
      </c>
      <c r="AD223">
        <v>1</v>
      </c>
      <c r="AE223">
        <v>88</v>
      </c>
      <c r="AF223">
        <v>2</v>
      </c>
      <c r="AG223" t="s">
        <v>3360</v>
      </c>
    </row>
    <row r="224" spans="1:34">
      <c r="A224" t="s">
        <v>843</v>
      </c>
      <c r="B224" s="24">
        <v>1804</v>
      </c>
      <c r="C224" s="24" t="s">
        <v>844</v>
      </c>
      <c r="D224" s="24" t="s">
        <v>845</v>
      </c>
      <c r="E224" s="93">
        <v>94</v>
      </c>
      <c r="F224" s="94">
        <v>4</v>
      </c>
      <c r="G224" s="94">
        <v>84</v>
      </c>
      <c r="H224" s="94">
        <v>4</v>
      </c>
      <c r="I224" s="94">
        <v>80</v>
      </c>
      <c r="J224" s="94">
        <v>4</v>
      </c>
      <c r="K224" s="94">
        <v>87</v>
      </c>
      <c r="L224" s="94">
        <v>2</v>
      </c>
      <c r="M224" s="94">
        <v>85</v>
      </c>
      <c r="N224" s="94">
        <v>2</v>
      </c>
      <c r="O224" s="94">
        <v>80</v>
      </c>
      <c r="P224" s="94">
        <v>2</v>
      </c>
      <c r="Q224">
        <v>80</v>
      </c>
      <c r="R224">
        <v>2</v>
      </c>
      <c r="S224">
        <v>80</v>
      </c>
      <c r="T224">
        <v>2</v>
      </c>
      <c r="U224">
        <v>70</v>
      </c>
      <c r="V224">
        <v>2</v>
      </c>
      <c r="W224">
        <v>80</v>
      </c>
      <c r="X224">
        <v>2</v>
      </c>
      <c r="Y224">
        <v>85</v>
      </c>
      <c r="Z224">
        <v>1</v>
      </c>
      <c r="AA224">
        <v>92</v>
      </c>
      <c r="AB224">
        <v>1</v>
      </c>
      <c r="AC224">
        <v>70</v>
      </c>
      <c r="AD224">
        <v>1</v>
      </c>
      <c r="AE224">
        <v>84</v>
      </c>
      <c r="AF224">
        <v>2</v>
      </c>
      <c r="AG224">
        <v>83</v>
      </c>
      <c r="AH224">
        <v>2</v>
      </c>
    </row>
    <row r="225" spans="1:34">
      <c r="A225" t="s">
        <v>846</v>
      </c>
      <c r="B225" s="24">
        <v>1804</v>
      </c>
      <c r="C225" s="24" t="s">
        <v>847</v>
      </c>
      <c r="D225" s="24" t="s">
        <v>848</v>
      </c>
      <c r="E225" s="93">
        <v>93</v>
      </c>
      <c r="F225" s="94">
        <v>4</v>
      </c>
      <c r="G225" s="94">
        <v>84</v>
      </c>
      <c r="H225" s="94">
        <v>4</v>
      </c>
      <c r="I225" s="94">
        <v>90</v>
      </c>
      <c r="J225" s="94">
        <v>4</v>
      </c>
      <c r="K225" s="94">
        <v>80</v>
      </c>
      <c r="L225" s="94">
        <v>2</v>
      </c>
      <c r="M225" s="94">
        <v>87</v>
      </c>
      <c r="N225" s="94">
        <v>2</v>
      </c>
      <c r="O225" s="94">
        <v>80</v>
      </c>
      <c r="P225" s="94">
        <v>2</v>
      </c>
      <c r="Q225">
        <v>82</v>
      </c>
      <c r="R225">
        <v>2</v>
      </c>
      <c r="S225">
        <v>88</v>
      </c>
      <c r="T225">
        <v>2</v>
      </c>
      <c r="U225">
        <v>77</v>
      </c>
      <c r="V225">
        <v>2</v>
      </c>
      <c r="W225">
        <v>88</v>
      </c>
      <c r="X225">
        <v>2</v>
      </c>
      <c r="Y225">
        <v>84</v>
      </c>
      <c r="Z225">
        <v>1</v>
      </c>
      <c r="AA225">
        <v>92</v>
      </c>
      <c r="AB225">
        <v>1</v>
      </c>
      <c r="AC225">
        <v>90</v>
      </c>
      <c r="AD225">
        <v>1</v>
      </c>
      <c r="AE225">
        <v>86</v>
      </c>
      <c r="AF225">
        <v>2</v>
      </c>
      <c r="AG225">
        <v>88</v>
      </c>
      <c r="AH225">
        <v>2</v>
      </c>
    </row>
    <row r="226" spans="1:34">
      <c r="A226" t="s">
        <v>849</v>
      </c>
      <c r="B226" s="24">
        <v>1804</v>
      </c>
      <c r="C226" s="24" t="s">
        <v>850</v>
      </c>
      <c r="D226" s="24" t="s">
        <v>851</v>
      </c>
      <c r="E226" s="93">
        <v>95</v>
      </c>
      <c r="F226" s="94">
        <v>4</v>
      </c>
      <c r="G226" s="94">
        <v>85</v>
      </c>
      <c r="H226" s="94">
        <v>4</v>
      </c>
      <c r="I226" s="94">
        <v>92</v>
      </c>
      <c r="J226" s="94">
        <v>4</v>
      </c>
      <c r="K226" s="94">
        <v>88</v>
      </c>
      <c r="L226" s="94">
        <v>2</v>
      </c>
      <c r="M226" s="94">
        <v>85</v>
      </c>
      <c r="N226" s="94">
        <v>2</v>
      </c>
      <c r="O226" s="94">
        <v>93</v>
      </c>
      <c r="P226" s="94">
        <v>2</v>
      </c>
      <c r="Q226">
        <v>100</v>
      </c>
      <c r="R226">
        <v>2</v>
      </c>
      <c r="S226">
        <v>90</v>
      </c>
      <c r="T226">
        <v>2</v>
      </c>
      <c r="U226">
        <v>70</v>
      </c>
      <c r="V226">
        <v>2</v>
      </c>
      <c r="W226">
        <v>85</v>
      </c>
      <c r="X226">
        <v>2</v>
      </c>
      <c r="Y226">
        <v>81</v>
      </c>
      <c r="Z226">
        <v>1</v>
      </c>
      <c r="AA226">
        <v>92</v>
      </c>
      <c r="AB226">
        <v>1</v>
      </c>
      <c r="AC226">
        <v>80</v>
      </c>
      <c r="AD226">
        <v>1</v>
      </c>
      <c r="AE226">
        <v>84</v>
      </c>
      <c r="AF226">
        <v>2</v>
      </c>
      <c r="AG226">
        <v>78</v>
      </c>
      <c r="AH226">
        <v>2</v>
      </c>
    </row>
    <row r="227" spans="1:34">
      <c r="A227" t="s">
        <v>852</v>
      </c>
      <c r="B227" s="24">
        <v>1804</v>
      </c>
      <c r="C227" s="24" t="s">
        <v>853</v>
      </c>
      <c r="D227" s="24" t="s">
        <v>854</v>
      </c>
      <c r="E227" s="93">
        <v>96</v>
      </c>
      <c r="F227" s="94">
        <v>4</v>
      </c>
      <c r="G227" s="94">
        <v>85</v>
      </c>
      <c r="H227" s="94">
        <v>4</v>
      </c>
      <c r="I227" s="94">
        <v>90</v>
      </c>
      <c r="J227" s="94">
        <v>4</v>
      </c>
      <c r="K227" s="94">
        <v>82</v>
      </c>
      <c r="L227" s="94">
        <v>2</v>
      </c>
      <c r="M227" s="94">
        <v>87</v>
      </c>
      <c r="N227" s="94">
        <v>2</v>
      </c>
      <c r="O227" s="94">
        <v>80</v>
      </c>
      <c r="P227" s="94">
        <v>2</v>
      </c>
      <c r="Q227">
        <v>90</v>
      </c>
      <c r="R227">
        <v>2</v>
      </c>
      <c r="S227">
        <v>88</v>
      </c>
      <c r="T227">
        <v>2</v>
      </c>
      <c r="U227">
        <v>73</v>
      </c>
      <c r="V227">
        <v>2</v>
      </c>
      <c r="W227">
        <v>90</v>
      </c>
      <c r="X227">
        <v>2</v>
      </c>
      <c r="Y227">
        <v>82</v>
      </c>
      <c r="Z227">
        <v>1</v>
      </c>
      <c r="AA227">
        <v>92</v>
      </c>
      <c r="AB227">
        <v>1</v>
      </c>
      <c r="AC227">
        <v>90</v>
      </c>
      <c r="AD227">
        <v>1</v>
      </c>
      <c r="AE227">
        <v>85</v>
      </c>
      <c r="AF227">
        <v>2</v>
      </c>
      <c r="AG227">
        <v>82</v>
      </c>
      <c r="AH227">
        <v>2</v>
      </c>
    </row>
    <row r="228" spans="1:34">
      <c r="A228" t="s">
        <v>855</v>
      </c>
      <c r="B228" s="24">
        <v>1804</v>
      </c>
      <c r="C228" s="24" t="s">
        <v>856</v>
      </c>
      <c r="D228" s="24" t="s">
        <v>857</v>
      </c>
      <c r="E228" s="93">
        <v>87</v>
      </c>
      <c r="F228" s="94">
        <v>4</v>
      </c>
      <c r="G228" s="94">
        <v>88</v>
      </c>
      <c r="H228" s="94">
        <v>4</v>
      </c>
      <c r="I228" s="94">
        <v>90</v>
      </c>
      <c r="J228" s="94">
        <v>4</v>
      </c>
      <c r="K228" s="94">
        <v>98</v>
      </c>
      <c r="L228" s="94">
        <v>2</v>
      </c>
      <c r="M228" s="94">
        <v>89</v>
      </c>
      <c r="N228" s="94">
        <v>2</v>
      </c>
      <c r="O228" s="94">
        <v>91</v>
      </c>
      <c r="P228" s="94">
        <v>2</v>
      </c>
      <c r="Q228">
        <v>90</v>
      </c>
      <c r="R228">
        <v>2</v>
      </c>
      <c r="S228">
        <v>88</v>
      </c>
      <c r="T228">
        <v>2</v>
      </c>
      <c r="U228">
        <v>83</v>
      </c>
      <c r="V228">
        <v>2</v>
      </c>
      <c r="W228">
        <v>90</v>
      </c>
      <c r="X228">
        <v>2</v>
      </c>
      <c r="Y228">
        <v>80</v>
      </c>
      <c r="Z228">
        <v>1</v>
      </c>
      <c r="AA228">
        <v>92</v>
      </c>
      <c r="AB228">
        <v>1</v>
      </c>
      <c r="AC228">
        <v>86</v>
      </c>
      <c r="AD228">
        <v>1</v>
      </c>
      <c r="AE228">
        <v>84</v>
      </c>
      <c r="AF228">
        <v>2</v>
      </c>
      <c r="AG228">
        <v>80</v>
      </c>
      <c r="AH228">
        <v>2</v>
      </c>
    </row>
    <row r="229" spans="1:34">
      <c r="A229" t="s">
        <v>858</v>
      </c>
      <c r="B229" s="24">
        <v>1804</v>
      </c>
      <c r="C229" s="24" t="s">
        <v>859</v>
      </c>
      <c r="D229" s="24" t="s">
        <v>860</v>
      </c>
      <c r="E229" s="93">
        <v>90</v>
      </c>
      <c r="F229" s="94">
        <v>4</v>
      </c>
      <c r="G229" s="94">
        <v>83</v>
      </c>
      <c r="H229" s="94">
        <v>4</v>
      </c>
      <c r="I229" s="94">
        <v>88</v>
      </c>
      <c r="J229" s="94">
        <v>4</v>
      </c>
      <c r="K229" s="94">
        <v>87</v>
      </c>
      <c r="L229" s="94">
        <v>2</v>
      </c>
      <c r="M229" s="94">
        <v>74</v>
      </c>
      <c r="N229" s="94">
        <v>2</v>
      </c>
      <c r="O229" s="94">
        <v>87</v>
      </c>
      <c r="P229" s="94">
        <v>2</v>
      </c>
      <c r="Q229">
        <v>83</v>
      </c>
      <c r="R229">
        <v>2</v>
      </c>
      <c r="S229">
        <v>88</v>
      </c>
      <c r="T229">
        <v>2</v>
      </c>
      <c r="U229">
        <v>71</v>
      </c>
      <c r="V229">
        <v>2</v>
      </c>
      <c r="W229">
        <v>80</v>
      </c>
      <c r="X229">
        <v>2</v>
      </c>
      <c r="Y229">
        <v>81</v>
      </c>
      <c r="Z229">
        <v>1</v>
      </c>
      <c r="AA229">
        <v>92</v>
      </c>
      <c r="AB229">
        <v>1</v>
      </c>
      <c r="AC229">
        <v>75</v>
      </c>
      <c r="AD229">
        <v>1</v>
      </c>
      <c r="AE229">
        <v>85</v>
      </c>
      <c r="AF229">
        <v>2</v>
      </c>
      <c r="AG229">
        <v>75</v>
      </c>
      <c r="AH229">
        <v>2</v>
      </c>
    </row>
    <row r="230" spans="1:34">
      <c r="A230" t="s">
        <v>861</v>
      </c>
      <c r="B230" s="24">
        <v>1804</v>
      </c>
      <c r="C230" s="24" t="s">
        <v>862</v>
      </c>
      <c r="D230" s="24" t="s">
        <v>863</v>
      </c>
      <c r="E230" s="93">
        <v>87</v>
      </c>
      <c r="F230" s="94">
        <v>4</v>
      </c>
      <c r="G230" s="94">
        <v>82</v>
      </c>
      <c r="H230" s="94">
        <v>4</v>
      </c>
      <c r="I230" s="94">
        <v>90</v>
      </c>
      <c r="J230" s="94">
        <v>4</v>
      </c>
      <c r="K230" s="94">
        <v>89</v>
      </c>
      <c r="L230" s="94">
        <v>2</v>
      </c>
      <c r="M230" s="94">
        <v>91</v>
      </c>
      <c r="N230" s="94">
        <v>2</v>
      </c>
      <c r="O230" s="94">
        <v>86</v>
      </c>
      <c r="P230" s="94">
        <v>2</v>
      </c>
      <c r="Q230">
        <v>82</v>
      </c>
      <c r="R230">
        <v>2</v>
      </c>
      <c r="S230">
        <v>83</v>
      </c>
      <c r="T230">
        <v>2</v>
      </c>
      <c r="U230">
        <v>85</v>
      </c>
      <c r="V230">
        <v>2</v>
      </c>
      <c r="W230">
        <v>88</v>
      </c>
      <c r="X230">
        <v>2</v>
      </c>
      <c r="Y230">
        <v>83</v>
      </c>
      <c r="Z230">
        <v>1</v>
      </c>
      <c r="AA230">
        <v>92</v>
      </c>
      <c r="AB230">
        <v>1</v>
      </c>
      <c r="AC230">
        <v>76</v>
      </c>
      <c r="AD230">
        <v>1</v>
      </c>
      <c r="AE230">
        <v>86</v>
      </c>
      <c r="AF230">
        <v>2</v>
      </c>
      <c r="AG230">
        <v>87</v>
      </c>
      <c r="AH230">
        <v>2</v>
      </c>
    </row>
    <row r="231" spans="1:34">
      <c r="A231" t="s">
        <v>864</v>
      </c>
      <c r="B231" s="24">
        <v>1805</v>
      </c>
      <c r="C231" s="24" t="s">
        <v>865</v>
      </c>
      <c r="D231" s="24" t="s">
        <v>866</v>
      </c>
      <c r="E231" s="93">
        <v>80</v>
      </c>
      <c r="F231" s="94">
        <v>4</v>
      </c>
      <c r="G231" s="94">
        <v>90</v>
      </c>
      <c r="H231" s="94">
        <v>4</v>
      </c>
      <c r="I231" s="94">
        <v>82</v>
      </c>
      <c r="J231" s="94">
        <v>4</v>
      </c>
      <c r="K231" s="94">
        <v>81</v>
      </c>
      <c r="L231" s="94">
        <v>2</v>
      </c>
      <c r="M231" s="94">
        <v>78</v>
      </c>
      <c r="N231" s="94">
        <v>2</v>
      </c>
      <c r="O231" s="94">
        <v>81</v>
      </c>
      <c r="P231" s="94">
        <v>2</v>
      </c>
      <c r="Q231">
        <v>91</v>
      </c>
      <c r="R231">
        <v>2</v>
      </c>
      <c r="S231">
        <v>88</v>
      </c>
      <c r="T231">
        <v>2</v>
      </c>
      <c r="U231">
        <v>78</v>
      </c>
      <c r="V231">
        <v>2</v>
      </c>
      <c r="W231">
        <v>83</v>
      </c>
      <c r="X231">
        <v>2</v>
      </c>
      <c r="Y231">
        <v>85</v>
      </c>
      <c r="Z231">
        <v>1</v>
      </c>
      <c r="AA231">
        <v>91</v>
      </c>
      <c r="AB231">
        <v>1</v>
      </c>
      <c r="AC231">
        <v>68</v>
      </c>
      <c r="AD231">
        <v>1</v>
      </c>
      <c r="AE231">
        <v>89</v>
      </c>
      <c r="AF231">
        <v>2</v>
      </c>
      <c r="AG231">
        <v>93</v>
      </c>
      <c r="AH231">
        <v>2</v>
      </c>
    </row>
    <row r="232" spans="1:34">
      <c r="A232" t="s">
        <v>867</v>
      </c>
      <c r="B232" s="24">
        <v>1805</v>
      </c>
      <c r="C232" s="24" t="s">
        <v>868</v>
      </c>
      <c r="D232" s="24" t="s">
        <v>869</v>
      </c>
      <c r="E232" s="93">
        <v>90</v>
      </c>
      <c r="F232" s="94">
        <v>4</v>
      </c>
      <c r="G232" s="94">
        <v>92</v>
      </c>
      <c r="H232" s="94">
        <v>4</v>
      </c>
      <c r="I232" s="94">
        <v>85</v>
      </c>
      <c r="J232" s="94">
        <v>4</v>
      </c>
      <c r="K232" s="94">
        <v>82</v>
      </c>
      <c r="L232" s="94">
        <v>2</v>
      </c>
      <c r="M232" s="94">
        <v>80</v>
      </c>
      <c r="N232" s="94">
        <v>2</v>
      </c>
      <c r="O232" s="94">
        <v>75</v>
      </c>
      <c r="P232" s="94">
        <v>2</v>
      </c>
      <c r="Q232">
        <v>86</v>
      </c>
      <c r="R232">
        <v>2</v>
      </c>
      <c r="S232">
        <v>90</v>
      </c>
      <c r="T232">
        <v>2</v>
      </c>
      <c r="U232">
        <v>82</v>
      </c>
      <c r="V232">
        <v>2</v>
      </c>
      <c r="W232">
        <v>80</v>
      </c>
      <c r="X232">
        <v>2</v>
      </c>
      <c r="Y232">
        <v>81</v>
      </c>
      <c r="Z232">
        <v>1</v>
      </c>
      <c r="AA232">
        <v>91</v>
      </c>
      <c r="AB232">
        <v>1</v>
      </c>
      <c r="AC232">
        <v>78</v>
      </c>
      <c r="AD232">
        <v>1</v>
      </c>
      <c r="AE232">
        <v>90</v>
      </c>
      <c r="AF232">
        <v>2</v>
      </c>
      <c r="AG232">
        <v>98</v>
      </c>
      <c r="AH232">
        <v>2</v>
      </c>
    </row>
    <row r="233" spans="1:34">
      <c r="A233" t="s">
        <v>870</v>
      </c>
      <c r="B233" s="24">
        <v>1805</v>
      </c>
      <c r="C233" s="24" t="s">
        <v>871</v>
      </c>
      <c r="D233" s="24" t="s">
        <v>872</v>
      </c>
      <c r="E233" s="93">
        <v>80</v>
      </c>
      <c r="F233" s="94">
        <v>4</v>
      </c>
      <c r="G233" s="94">
        <v>88</v>
      </c>
      <c r="H233" s="94">
        <v>4</v>
      </c>
      <c r="I233" s="94">
        <v>80</v>
      </c>
      <c r="J233" s="94">
        <v>4</v>
      </c>
      <c r="K233" s="94">
        <v>80</v>
      </c>
      <c r="L233" s="94">
        <v>2</v>
      </c>
      <c r="M233" s="94">
        <v>74</v>
      </c>
      <c r="N233" s="94">
        <v>2</v>
      </c>
      <c r="O233" s="94">
        <v>65</v>
      </c>
      <c r="P233" s="94">
        <v>2</v>
      </c>
      <c r="Q233">
        <v>81</v>
      </c>
      <c r="R233">
        <v>2</v>
      </c>
      <c r="S233">
        <v>82</v>
      </c>
      <c r="T233">
        <v>2</v>
      </c>
      <c r="U233">
        <v>70</v>
      </c>
      <c r="V233">
        <v>2</v>
      </c>
      <c r="W233">
        <v>85</v>
      </c>
      <c r="X233">
        <v>2</v>
      </c>
      <c r="Y233">
        <v>80</v>
      </c>
      <c r="Z233">
        <v>1</v>
      </c>
      <c r="AA233">
        <v>91</v>
      </c>
      <c r="AB233">
        <v>1</v>
      </c>
      <c r="AC233">
        <v>72</v>
      </c>
      <c r="AD233">
        <v>1</v>
      </c>
      <c r="AE233">
        <v>88</v>
      </c>
      <c r="AF233">
        <v>2</v>
      </c>
      <c r="AG233">
        <v>50</v>
      </c>
    </row>
    <row r="234" spans="1:34">
      <c r="A234" t="s">
        <v>873</v>
      </c>
      <c r="B234" s="24">
        <v>1805</v>
      </c>
      <c r="C234" s="24" t="s">
        <v>874</v>
      </c>
      <c r="D234" s="24" t="s">
        <v>875</v>
      </c>
      <c r="E234" s="93">
        <v>96</v>
      </c>
      <c r="F234" s="94">
        <v>4</v>
      </c>
      <c r="G234" s="94">
        <v>90</v>
      </c>
      <c r="H234" s="94">
        <v>4</v>
      </c>
      <c r="I234" s="94">
        <v>96</v>
      </c>
      <c r="J234" s="94">
        <v>4</v>
      </c>
      <c r="K234" s="94">
        <v>85</v>
      </c>
      <c r="L234" s="94">
        <v>2</v>
      </c>
      <c r="M234" s="94">
        <v>79</v>
      </c>
      <c r="N234" s="94">
        <v>2</v>
      </c>
      <c r="O234" s="94">
        <v>75</v>
      </c>
      <c r="P234" s="94">
        <v>2</v>
      </c>
      <c r="Q234">
        <v>88</v>
      </c>
      <c r="R234">
        <v>2</v>
      </c>
      <c r="S234">
        <v>84</v>
      </c>
      <c r="T234">
        <v>2</v>
      </c>
      <c r="U234">
        <v>78</v>
      </c>
      <c r="V234">
        <v>2</v>
      </c>
      <c r="W234">
        <v>85</v>
      </c>
      <c r="X234">
        <v>2</v>
      </c>
      <c r="Y234">
        <v>82</v>
      </c>
      <c r="Z234">
        <v>1</v>
      </c>
      <c r="AA234">
        <v>91</v>
      </c>
      <c r="AB234">
        <v>1</v>
      </c>
      <c r="AC234">
        <v>75</v>
      </c>
      <c r="AD234">
        <v>1</v>
      </c>
      <c r="AE234">
        <v>84</v>
      </c>
      <c r="AF234">
        <v>2</v>
      </c>
      <c r="AG234">
        <v>92</v>
      </c>
      <c r="AH234">
        <v>2</v>
      </c>
    </row>
    <row r="235" spans="1:34">
      <c r="A235" t="s">
        <v>876</v>
      </c>
      <c r="B235" s="24">
        <v>1805</v>
      </c>
      <c r="C235" s="24" t="s">
        <v>877</v>
      </c>
      <c r="D235" s="24" t="s">
        <v>878</v>
      </c>
      <c r="E235" s="93">
        <v>87</v>
      </c>
      <c r="F235" s="94">
        <v>4</v>
      </c>
      <c r="G235" s="94">
        <v>92</v>
      </c>
      <c r="H235" s="94">
        <v>4</v>
      </c>
      <c r="I235" s="94">
        <v>82</v>
      </c>
      <c r="J235" s="94">
        <v>4</v>
      </c>
      <c r="K235" s="94">
        <v>98</v>
      </c>
      <c r="L235" s="94">
        <v>2</v>
      </c>
      <c r="M235" s="94">
        <v>96</v>
      </c>
      <c r="N235" s="94">
        <v>2</v>
      </c>
      <c r="O235" s="94">
        <v>92</v>
      </c>
      <c r="P235" s="94">
        <v>2</v>
      </c>
      <c r="Q235">
        <v>88</v>
      </c>
      <c r="R235">
        <v>2</v>
      </c>
      <c r="S235">
        <v>95</v>
      </c>
      <c r="T235">
        <v>2</v>
      </c>
      <c r="U235">
        <v>70</v>
      </c>
      <c r="V235">
        <v>2</v>
      </c>
      <c r="W235">
        <v>95</v>
      </c>
      <c r="X235">
        <v>2</v>
      </c>
      <c r="Y235">
        <v>80</v>
      </c>
      <c r="Z235">
        <v>1</v>
      </c>
      <c r="AA235">
        <v>91</v>
      </c>
      <c r="AB235">
        <v>1</v>
      </c>
      <c r="AC235">
        <v>85</v>
      </c>
      <c r="AD235">
        <v>1</v>
      </c>
      <c r="AE235">
        <v>86</v>
      </c>
      <c r="AF235">
        <v>2</v>
      </c>
      <c r="AG235">
        <v>97</v>
      </c>
      <c r="AH235">
        <v>2</v>
      </c>
    </row>
    <row r="236" spans="1:34">
      <c r="A236" t="s">
        <v>879</v>
      </c>
      <c r="B236" s="24">
        <v>1805</v>
      </c>
      <c r="C236" s="24" t="s">
        <v>880</v>
      </c>
      <c r="D236" s="24" t="s">
        <v>881</v>
      </c>
      <c r="E236" s="93">
        <v>86</v>
      </c>
      <c r="F236" s="94">
        <v>4</v>
      </c>
      <c r="G236" s="94">
        <v>96</v>
      </c>
      <c r="H236" s="94">
        <v>4</v>
      </c>
      <c r="I236" s="94">
        <v>84</v>
      </c>
      <c r="J236" s="94">
        <v>4</v>
      </c>
      <c r="K236" s="94">
        <v>93</v>
      </c>
      <c r="L236" s="94">
        <v>2</v>
      </c>
      <c r="M236" s="94">
        <v>93</v>
      </c>
      <c r="N236" s="94">
        <v>2</v>
      </c>
      <c r="O236" s="94">
        <v>93</v>
      </c>
      <c r="P236" s="94">
        <v>2</v>
      </c>
      <c r="Q236">
        <v>90</v>
      </c>
      <c r="R236">
        <v>2</v>
      </c>
      <c r="S236">
        <v>86</v>
      </c>
      <c r="T236">
        <v>2</v>
      </c>
      <c r="U236">
        <v>72</v>
      </c>
      <c r="V236">
        <v>2</v>
      </c>
      <c r="W236">
        <v>88</v>
      </c>
      <c r="X236">
        <v>2</v>
      </c>
      <c r="Y236">
        <v>72</v>
      </c>
      <c r="Z236">
        <v>1</v>
      </c>
      <c r="AA236">
        <v>91</v>
      </c>
      <c r="AB236">
        <v>1</v>
      </c>
      <c r="AC236">
        <v>75</v>
      </c>
      <c r="AD236">
        <v>1</v>
      </c>
      <c r="AE236">
        <v>84</v>
      </c>
      <c r="AF236">
        <v>2</v>
      </c>
      <c r="AG236">
        <v>85</v>
      </c>
      <c r="AH236">
        <v>2</v>
      </c>
    </row>
    <row r="237" spans="1:34">
      <c r="A237" t="s">
        <v>1649</v>
      </c>
      <c r="B237" s="24">
        <v>1805</v>
      </c>
      <c r="C237" s="24" t="s">
        <v>883</v>
      </c>
      <c r="D237" s="24" t="s">
        <v>1651</v>
      </c>
      <c r="E237" s="93">
        <v>92</v>
      </c>
      <c r="F237" s="94">
        <v>4</v>
      </c>
      <c r="G237" s="94">
        <v>95</v>
      </c>
      <c r="H237" s="94">
        <v>4</v>
      </c>
      <c r="I237" s="94">
        <v>93</v>
      </c>
      <c r="J237" s="94">
        <v>4</v>
      </c>
      <c r="K237" s="94">
        <v>89</v>
      </c>
      <c r="L237" s="94">
        <v>2</v>
      </c>
      <c r="M237" s="94">
        <v>93</v>
      </c>
      <c r="N237" s="94">
        <v>2</v>
      </c>
      <c r="O237" s="94">
        <v>87</v>
      </c>
      <c r="P237" s="94">
        <v>2</v>
      </c>
      <c r="Q237">
        <v>93</v>
      </c>
      <c r="R237">
        <v>2</v>
      </c>
      <c r="S237">
        <v>84</v>
      </c>
      <c r="T237">
        <v>2</v>
      </c>
      <c r="U237">
        <v>78</v>
      </c>
      <c r="V237">
        <v>2</v>
      </c>
      <c r="W237">
        <v>88</v>
      </c>
      <c r="X237">
        <v>2</v>
      </c>
      <c r="Y237">
        <v>76</v>
      </c>
      <c r="Z237">
        <v>1</v>
      </c>
      <c r="AA237">
        <v>91</v>
      </c>
      <c r="AB237">
        <v>1</v>
      </c>
      <c r="AC237">
        <v>80</v>
      </c>
      <c r="AD237">
        <v>1</v>
      </c>
      <c r="AE237">
        <v>86</v>
      </c>
      <c r="AF237">
        <v>2</v>
      </c>
      <c r="AG237">
        <v>88</v>
      </c>
      <c r="AH237">
        <v>2</v>
      </c>
    </row>
    <row r="238" spans="1:34">
      <c r="A238" t="s">
        <v>885</v>
      </c>
      <c r="B238" s="24">
        <v>1805</v>
      </c>
      <c r="C238" s="24" t="s">
        <v>886</v>
      </c>
      <c r="D238" s="24" t="s">
        <v>887</v>
      </c>
      <c r="E238" s="93">
        <v>76</v>
      </c>
      <c r="F238" s="94">
        <v>4</v>
      </c>
      <c r="G238" s="94">
        <v>90</v>
      </c>
      <c r="H238" s="94">
        <v>4</v>
      </c>
      <c r="I238" s="94">
        <v>87</v>
      </c>
      <c r="J238" s="94">
        <v>4</v>
      </c>
      <c r="K238" s="94">
        <v>92</v>
      </c>
      <c r="L238" s="94">
        <v>2</v>
      </c>
      <c r="M238" s="94">
        <v>86</v>
      </c>
      <c r="N238" s="94">
        <v>2</v>
      </c>
      <c r="O238" s="94">
        <v>97</v>
      </c>
      <c r="P238" s="94">
        <v>2</v>
      </c>
      <c r="Q238">
        <v>73</v>
      </c>
      <c r="R238">
        <v>2</v>
      </c>
      <c r="S238">
        <v>80</v>
      </c>
      <c r="T238">
        <v>2</v>
      </c>
      <c r="U238">
        <v>70</v>
      </c>
      <c r="V238">
        <v>2</v>
      </c>
      <c r="W238">
        <v>85</v>
      </c>
      <c r="X238">
        <v>2</v>
      </c>
      <c r="Y238">
        <v>80</v>
      </c>
      <c r="Z238">
        <v>1</v>
      </c>
      <c r="AA238">
        <v>91</v>
      </c>
      <c r="AB238">
        <v>1</v>
      </c>
      <c r="AC238">
        <v>88</v>
      </c>
      <c r="AD238">
        <v>1</v>
      </c>
      <c r="AE238">
        <v>85</v>
      </c>
      <c r="AF238">
        <v>2</v>
      </c>
      <c r="AG238">
        <v>98</v>
      </c>
      <c r="AH238">
        <v>2</v>
      </c>
    </row>
    <row r="239" spans="1:34">
      <c r="A239" t="s">
        <v>888</v>
      </c>
      <c r="B239" s="24">
        <v>1805</v>
      </c>
      <c r="C239" s="24" t="s">
        <v>889</v>
      </c>
      <c r="D239" s="24" t="s">
        <v>890</v>
      </c>
      <c r="E239" s="93">
        <v>90</v>
      </c>
      <c r="F239" s="94">
        <v>4</v>
      </c>
      <c r="G239" s="94">
        <v>95</v>
      </c>
      <c r="H239" s="94">
        <v>4</v>
      </c>
      <c r="I239" s="94">
        <v>88</v>
      </c>
      <c r="J239" s="94">
        <v>4</v>
      </c>
      <c r="K239" s="94">
        <v>87</v>
      </c>
      <c r="L239" s="94">
        <v>2</v>
      </c>
      <c r="M239" s="94">
        <v>80</v>
      </c>
      <c r="N239" s="94">
        <v>2</v>
      </c>
      <c r="O239" s="94">
        <v>75</v>
      </c>
      <c r="P239" s="94">
        <v>2</v>
      </c>
      <c r="Q239">
        <v>95</v>
      </c>
      <c r="R239">
        <v>2</v>
      </c>
      <c r="S239">
        <v>86</v>
      </c>
      <c r="T239">
        <v>2</v>
      </c>
      <c r="U239">
        <v>79</v>
      </c>
      <c r="V239">
        <v>2</v>
      </c>
      <c r="W239">
        <v>85</v>
      </c>
      <c r="X239">
        <v>2</v>
      </c>
      <c r="Y239">
        <v>81</v>
      </c>
      <c r="Z239">
        <v>1</v>
      </c>
      <c r="AA239">
        <v>91</v>
      </c>
      <c r="AB239">
        <v>1</v>
      </c>
      <c r="AC239">
        <v>86</v>
      </c>
      <c r="AD239">
        <v>1</v>
      </c>
      <c r="AE239">
        <v>84</v>
      </c>
      <c r="AF239">
        <v>2</v>
      </c>
      <c r="AG239">
        <v>98</v>
      </c>
      <c r="AH239">
        <v>2</v>
      </c>
    </row>
    <row r="240" spans="1:34">
      <c r="A240" t="s">
        <v>1660</v>
      </c>
      <c r="B240" s="24">
        <v>1805</v>
      </c>
      <c r="C240" s="24" t="s">
        <v>892</v>
      </c>
      <c r="D240" s="24" t="s">
        <v>1662</v>
      </c>
      <c r="E240" s="93">
        <v>90</v>
      </c>
      <c r="F240" s="94">
        <v>4</v>
      </c>
      <c r="G240" s="94">
        <v>90</v>
      </c>
      <c r="H240" s="94">
        <v>4</v>
      </c>
      <c r="I240" s="94">
        <v>86</v>
      </c>
      <c r="J240" s="94">
        <v>4</v>
      </c>
      <c r="K240" s="94">
        <v>83</v>
      </c>
      <c r="L240" s="94">
        <v>2</v>
      </c>
      <c r="M240" s="94">
        <v>82</v>
      </c>
      <c r="N240" s="94">
        <v>2</v>
      </c>
      <c r="O240" s="94">
        <v>80</v>
      </c>
      <c r="P240" s="94">
        <v>2</v>
      </c>
      <c r="Q240">
        <v>84</v>
      </c>
      <c r="R240">
        <v>2</v>
      </c>
      <c r="S240">
        <v>71</v>
      </c>
      <c r="T240">
        <v>2</v>
      </c>
      <c r="U240">
        <v>70</v>
      </c>
      <c r="V240">
        <v>2</v>
      </c>
      <c r="W240">
        <v>88</v>
      </c>
      <c r="X240">
        <v>2</v>
      </c>
      <c r="Y240">
        <v>78</v>
      </c>
      <c r="Z240">
        <v>1</v>
      </c>
      <c r="AA240">
        <v>91</v>
      </c>
      <c r="AB240">
        <v>1</v>
      </c>
      <c r="AC240">
        <v>70</v>
      </c>
      <c r="AD240">
        <v>1</v>
      </c>
      <c r="AE240">
        <v>84</v>
      </c>
      <c r="AF240">
        <v>2</v>
      </c>
      <c r="AG240">
        <v>86</v>
      </c>
      <c r="AH240">
        <v>2</v>
      </c>
    </row>
    <row r="241" spans="1:34">
      <c r="A241" t="s">
        <v>893</v>
      </c>
      <c r="B241" s="24">
        <v>1805</v>
      </c>
      <c r="C241" s="24" t="s">
        <v>894</v>
      </c>
      <c r="D241" s="24" t="s">
        <v>895</v>
      </c>
      <c r="E241" s="93">
        <v>84</v>
      </c>
      <c r="F241" s="94">
        <v>4</v>
      </c>
      <c r="G241" s="94">
        <v>88</v>
      </c>
      <c r="H241" s="94">
        <v>4</v>
      </c>
      <c r="I241" s="94">
        <v>94</v>
      </c>
      <c r="J241" s="94">
        <v>4</v>
      </c>
      <c r="K241" s="94">
        <v>88</v>
      </c>
      <c r="L241" s="94">
        <v>2</v>
      </c>
      <c r="M241" s="94">
        <v>80</v>
      </c>
      <c r="N241" s="94">
        <v>2</v>
      </c>
      <c r="O241" s="94">
        <v>88</v>
      </c>
      <c r="P241" s="94">
        <v>2</v>
      </c>
      <c r="Q241">
        <v>86</v>
      </c>
      <c r="R241">
        <v>2</v>
      </c>
      <c r="S241">
        <v>80</v>
      </c>
      <c r="T241">
        <v>2</v>
      </c>
      <c r="U241">
        <v>86</v>
      </c>
      <c r="V241">
        <v>2</v>
      </c>
      <c r="W241">
        <v>88</v>
      </c>
      <c r="X241">
        <v>2</v>
      </c>
      <c r="Y241">
        <v>82</v>
      </c>
      <c r="Z241">
        <v>1</v>
      </c>
      <c r="AA241">
        <v>91</v>
      </c>
      <c r="AB241">
        <v>1</v>
      </c>
      <c r="AC241">
        <v>80</v>
      </c>
      <c r="AD241">
        <v>1</v>
      </c>
      <c r="AE241">
        <v>83</v>
      </c>
      <c r="AF241">
        <v>2</v>
      </c>
      <c r="AG241">
        <v>99</v>
      </c>
      <c r="AH241">
        <v>2</v>
      </c>
    </row>
    <row r="242" spans="1:34">
      <c r="A242" t="s">
        <v>896</v>
      </c>
      <c r="B242" s="24">
        <v>1805</v>
      </c>
      <c r="C242" s="24" t="s">
        <v>897</v>
      </c>
      <c r="D242" s="24" t="s">
        <v>898</v>
      </c>
      <c r="E242" s="93">
        <v>76</v>
      </c>
      <c r="F242" s="94">
        <v>4</v>
      </c>
      <c r="G242" s="94">
        <v>89</v>
      </c>
      <c r="H242" s="94">
        <v>4</v>
      </c>
      <c r="I242" s="94">
        <v>88</v>
      </c>
      <c r="J242" s="94">
        <v>4</v>
      </c>
      <c r="K242" s="94">
        <v>80</v>
      </c>
      <c r="L242" s="94">
        <v>2</v>
      </c>
      <c r="M242" s="94">
        <v>74</v>
      </c>
      <c r="N242" s="94">
        <v>2</v>
      </c>
      <c r="O242" s="94">
        <v>77</v>
      </c>
      <c r="P242" s="94">
        <v>2</v>
      </c>
      <c r="Q242">
        <v>80</v>
      </c>
      <c r="R242">
        <v>2</v>
      </c>
      <c r="S242">
        <v>80</v>
      </c>
      <c r="T242">
        <v>2</v>
      </c>
      <c r="U242">
        <v>70</v>
      </c>
      <c r="V242">
        <v>2</v>
      </c>
      <c r="W242">
        <v>85</v>
      </c>
      <c r="X242">
        <v>2</v>
      </c>
      <c r="Y242">
        <v>83</v>
      </c>
      <c r="Z242">
        <v>1</v>
      </c>
      <c r="AA242">
        <v>91</v>
      </c>
      <c r="AB242">
        <v>1</v>
      </c>
      <c r="AC242">
        <v>75</v>
      </c>
      <c r="AD242">
        <v>1</v>
      </c>
      <c r="AE242">
        <v>84</v>
      </c>
      <c r="AF242">
        <v>2</v>
      </c>
      <c r="AG242">
        <v>82</v>
      </c>
      <c r="AH242">
        <v>2</v>
      </c>
    </row>
    <row r="243" spans="1:34">
      <c r="A243" t="s">
        <v>899</v>
      </c>
      <c r="B243" s="24">
        <v>1805</v>
      </c>
      <c r="C243" s="24" t="s">
        <v>900</v>
      </c>
      <c r="D243" s="24" t="s">
        <v>901</v>
      </c>
      <c r="E243" s="93">
        <v>83</v>
      </c>
      <c r="F243" s="94">
        <v>4</v>
      </c>
      <c r="G243" s="94">
        <v>92</v>
      </c>
      <c r="H243" s="94">
        <v>4</v>
      </c>
      <c r="I243" s="94">
        <v>90</v>
      </c>
      <c r="J243" s="94">
        <v>4</v>
      </c>
      <c r="K243" s="94">
        <v>95</v>
      </c>
      <c r="L243" s="94">
        <v>2</v>
      </c>
      <c r="M243" s="94">
        <v>87</v>
      </c>
      <c r="N243" s="94">
        <v>2</v>
      </c>
      <c r="O243" s="94">
        <v>93</v>
      </c>
      <c r="P243" s="94">
        <v>2</v>
      </c>
      <c r="Q243">
        <v>94</v>
      </c>
      <c r="R243">
        <v>2</v>
      </c>
      <c r="S243">
        <v>82</v>
      </c>
      <c r="T243">
        <v>2</v>
      </c>
      <c r="U243">
        <v>81</v>
      </c>
      <c r="V243">
        <v>2</v>
      </c>
      <c r="W243">
        <v>88</v>
      </c>
      <c r="X243">
        <v>2</v>
      </c>
      <c r="Y243">
        <v>76</v>
      </c>
      <c r="Z243">
        <v>1</v>
      </c>
      <c r="AA243">
        <v>91</v>
      </c>
      <c r="AB243">
        <v>1</v>
      </c>
      <c r="AC243">
        <v>78</v>
      </c>
      <c r="AD243">
        <v>1</v>
      </c>
      <c r="AE243">
        <v>84</v>
      </c>
      <c r="AF243">
        <v>2</v>
      </c>
      <c r="AG243">
        <v>96</v>
      </c>
      <c r="AH243">
        <v>2</v>
      </c>
    </row>
    <row r="244" spans="1:34">
      <c r="A244" t="s">
        <v>1712</v>
      </c>
      <c r="B244" s="24">
        <v>1805</v>
      </c>
      <c r="C244" s="24" t="s">
        <v>903</v>
      </c>
      <c r="D244" s="24" t="s">
        <v>1714</v>
      </c>
      <c r="E244" s="93">
        <v>81</v>
      </c>
      <c r="F244" s="94">
        <v>4</v>
      </c>
      <c r="G244" s="94">
        <v>95</v>
      </c>
      <c r="H244" s="94">
        <v>4</v>
      </c>
      <c r="I244" s="94">
        <v>92</v>
      </c>
      <c r="J244" s="94">
        <v>4</v>
      </c>
      <c r="K244" s="94">
        <v>97</v>
      </c>
      <c r="L244" s="94">
        <v>2</v>
      </c>
      <c r="M244" s="94">
        <v>96</v>
      </c>
      <c r="N244" s="94">
        <v>2</v>
      </c>
      <c r="O244" s="94">
        <v>85</v>
      </c>
      <c r="P244" s="94">
        <v>2</v>
      </c>
      <c r="Q244">
        <v>86</v>
      </c>
      <c r="R244">
        <v>2</v>
      </c>
      <c r="S244">
        <v>90</v>
      </c>
      <c r="T244">
        <v>2</v>
      </c>
      <c r="U244">
        <v>78</v>
      </c>
      <c r="V244">
        <v>2</v>
      </c>
      <c r="W244">
        <v>85</v>
      </c>
      <c r="X244">
        <v>2</v>
      </c>
      <c r="Y244">
        <v>80</v>
      </c>
      <c r="Z244">
        <v>1</v>
      </c>
      <c r="AA244">
        <v>91</v>
      </c>
      <c r="AB244">
        <v>1</v>
      </c>
      <c r="AC244">
        <v>85</v>
      </c>
      <c r="AD244">
        <v>1</v>
      </c>
      <c r="AE244">
        <v>86</v>
      </c>
      <c r="AF244">
        <v>2</v>
      </c>
      <c r="AG244">
        <v>85</v>
      </c>
      <c r="AH244">
        <v>2</v>
      </c>
    </row>
    <row r="245" spans="1:34">
      <c r="A245" t="s">
        <v>904</v>
      </c>
      <c r="B245" s="24">
        <v>1805</v>
      </c>
      <c r="C245" s="24" t="s">
        <v>905</v>
      </c>
      <c r="D245" s="24" t="s">
        <v>906</v>
      </c>
      <c r="E245" s="93">
        <v>85</v>
      </c>
      <c r="F245" s="94">
        <v>4</v>
      </c>
      <c r="G245" s="94">
        <v>95</v>
      </c>
      <c r="H245" s="94">
        <v>4</v>
      </c>
      <c r="I245" s="94">
        <v>93</v>
      </c>
      <c r="J245" s="94">
        <v>4</v>
      </c>
      <c r="K245" s="94">
        <v>91</v>
      </c>
      <c r="L245" s="94">
        <v>2</v>
      </c>
      <c r="M245" s="94">
        <v>88</v>
      </c>
      <c r="N245" s="94">
        <v>2</v>
      </c>
      <c r="O245" s="94">
        <v>89</v>
      </c>
      <c r="P245" s="94">
        <v>2</v>
      </c>
      <c r="Q245">
        <v>82</v>
      </c>
      <c r="R245">
        <v>2</v>
      </c>
      <c r="S245">
        <v>82</v>
      </c>
      <c r="T245">
        <v>2</v>
      </c>
      <c r="U245">
        <v>72</v>
      </c>
      <c r="V245">
        <v>2</v>
      </c>
      <c r="W245">
        <v>88</v>
      </c>
      <c r="X245">
        <v>2</v>
      </c>
      <c r="Y245">
        <v>75</v>
      </c>
      <c r="Z245">
        <v>1</v>
      </c>
      <c r="AA245">
        <v>91</v>
      </c>
      <c r="AB245">
        <v>1</v>
      </c>
      <c r="AC245">
        <v>78</v>
      </c>
      <c r="AD245">
        <v>1</v>
      </c>
      <c r="AE245">
        <v>88</v>
      </c>
      <c r="AF245">
        <v>2</v>
      </c>
      <c r="AG245">
        <v>78</v>
      </c>
      <c r="AH245">
        <v>2</v>
      </c>
    </row>
    <row r="246" spans="1:34">
      <c r="A246" t="s">
        <v>1595</v>
      </c>
      <c r="B246" s="24">
        <v>1805</v>
      </c>
      <c r="C246" s="24" t="s">
        <v>908</v>
      </c>
      <c r="D246" s="24" t="s">
        <v>1597</v>
      </c>
      <c r="E246" s="93">
        <v>88</v>
      </c>
      <c r="F246" s="94">
        <v>4</v>
      </c>
      <c r="G246" s="94">
        <v>96</v>
      </c>
      <c r="H246" s="94">
        <v>4</v>
      </c>
      <c r="I246" s="94">
        <v>94</v>
      </c>
      <c r="J246" s="94">
        <v>4</v>
      </c>
      <c r="K246" s="94">
        <v>90</v>
      </c>
      <c r="L246" s="94">
        <v>2</v>
      </c>
      <c r="M246" s="94">
        <v>87</v>
      </c>
      <c r="N246" s="94">
        <v>2</v>
      </c>
      <c r="O246" s="94">
        <v>86</v>
      </c>
      <c r="P246" s="94">
        <v>2</v>
      </c>
      <c r="Q246">
        <v>99</v>
      </c>
      <c r="R246">
        <v>2</v>
      </c>
      <c r="S246">
        <v>93</v>
      </c>
      <c r="T246">
        <v>2</v>
      </c>
      <c r="U246">
        <v>82</v>
      </c>
      <c r="V246">
        <v>2</v>
      </c>
      <c r="W246">
        <v>88</v>
      </c>
      <c r="X246">
        <v>2</v>
      </c>
      <c r="Y246">
        <v>83</v>
      </c>
      <c r="Z246">
        <v>1</v>
      </c>
      <c r="AA246">
        <v>91</v>
      </c>
      <c r="AB246">
        <v>1</v>
      </c>
      <c r="AC246">
        <v>76</v>
      </c>
      <c r="AD246">
        <v>1</v>
      </c>
      <c r="AE246">
        <v>86</v>
      </c>
      <c r="AF246">
        <v>2</v>
      </c>
      <c r="AG246">
        <v>88</v>
      </c>
      <c r="AH246">
        <v>2</v>
      </c>
    </row>
    <row r="247" spans="1:34">
      <c r="A247" t="s">
        <v>910</v>
      </c>
      <c r="B247" s="24">
        <v>1805</v>
      </c>
      <c r="C247" s="24" t="s">
        <v>911</v>
      </c>
      <c r="D247" s="24" t="s">
        <v>912</v>
      </c>
      <c r="E247" s="93">
        <v>83</v>
      </c>
      <c r="F247" s="94">
        <v>4</v>
      </c>
      <c r="G247" s="94">
        <v>90</v>
      </c>
      <c r="H247" s="94">
        <v>4</v>
      </c>
      <c r="I247" s="94">
        <v>91</v>
      </c>
      <c r="J247" s="94">
        <v>4</v>
      </c>
      <c r="K247" s="94">
        <v>88</v>
      </c>
      <c r="L247" s="94">
        <v>2</v>
      </c>
      <c r="M247" s="94">
        <v>74</v>
      </c>
      <c r="N247" s="94">
        <v>2</v>
      </c>
      <c r="O247" s="94">
        <v>78</v>
      </c>
      <c r="P247" s="94">
        <v>2</v>
      </c>
      <c r="Q247">
        <v>81</v>
      </c>
      <c r="R247">
        <v>2</v>
      </c>
      <c r="S247">
        <v>71</v>
      </c>
      <c r="T247">
        <v>2</v>
      </c>
      <c r="U247">
        <v>73</v>
      </c>
      <c r="V247">
        <v>2</v>
      </c>
      <c r="W247">
        <v>88</v>
      </c>
      <c r="X247">
        <v>2</v>
      </c>
      <c r="Y247">
        <v>81</v>
      </c>
      <c r="Z247">
        <v>1</v>
      </c>
      <c r="AA247">
        <v>91</v>
      </c>
      <c r="AB247">
        <v>1</v>
      </c>
      <c r="AC247">
        <v>68</v>
      </c>
      <c r="AD247">
        <v>1</v>
      </c>
      <c r="AE247">
        <v>84</v>
      </c>
      <c r="AF247">
        <v>2</v>
      </c>
      <c r="AG247">
        <v>90</v>
      </c>
      <c r="AH247">
        <v>2</v>
      </c>
    </row>
    <row r="248" spans="1:34">
      <c r="A248" t="s">
        <v>913</v>
      </c>
      <c r="B248" s="24">
        <v>1805</v>
      </c>
      <c r="C248" s="24" t="s">
        <v>914</v>
      </c>
      <c r="D248" s="24" t="s">
        <v>915</v>
      </c>
      <c r="E248" s="93">
        <v>85</v>
      </c>
      <c r="F248" s="94">
        <v>4</v>
      </c>
      <c r="G248" s="94">
        <v>90</v>
      </c>
      <c r="H248" s="94">
        <v>4</v>
      </c>
      <c r="I248" s="94">
        <v>80</v>
      </c>
      <c r="J248" s="94">
        <v>4</v>
      </c>
      <c r="K248" s="94">
        <v>86</v>
      </c>
      <c r="L248" s="94">
        <v>2</v>
      </c>
      <c r="M248" s="94">
        <v>74</v>
      </c>
      <c r="N248" s="94">
        <v>2</v>
      </c>
      <c r="O248" s="94">
        <v>75</v>
      </c>
      <c r="P248" s="94">
        <v>2</v>
      </c>
      <c r="Q248">
        <v>87</v>
      </c>
      <c r="R248">
        <v>2</v>
      </c>
      <c r="S248">
        <v>82</v>
      </c>
      <c r="T248">
        <v>2</v>
      </c>
      <c r="U248">
        <v>77</v>
      </c>
      <c r="V248">
        <v>2</v>
      </c>
      <c r="W248">
        <v>90</v>
      </c>
      <c r="X248">
        <v>2</v>
      </c>
      <c r="Y248">
        <v>82</v>
      </c>
      <c r="Z248">
        <v>1</v>
      </c>
      <c r="AA248">
        <v>91</v>
      </c>
      <c r="AB248">
        <v>1</v>
      </c>
      <c r="AC248">
        <v>78</v>
      </c>
      <c r="AD248">
        <v>1</v>
      </c>
      <c r="AE248">
        <v>85</v>
      </c>
      <c r="AF248">
        <v>2</v>
      </c>
      <c r="AG248">
        <v>95</v>
      </c>
      <c r="AH248">
        <v>2</v>
      </c>
    </row>
    <row r="249" spans="1:34">
      <c r="A249" t="s">
        <v>916</v>
      </c>
      <c r="B249" s="24">
        <v>1805</v>
      </c>
      <c r="C249" s="24" t="s">
        <v>917</v>
      </c>
      <c r="D249" s="24" t="s">
        <v>918</v>
      </c>
      <c r="E249" s="93">
        <v>92</v>
      </c>
      <c r="F249" s="94">
        <v>4</v>
      </c>
      <c r="G249" s="94">
        <v>91</v>
      </c>
      <c r="H249" s="94">
        <v>4</v>
      </c>
      <c r="I249" s="94">
        <v>80</v>
      </c>
      <c r="J249" s="94">
        <v>4</v>
      </c>
      <c r="K249" s="94">
        <v>80</v>
      </c>
      <c r="L249" s="94">
        <v>2</v>
      </c>
      <c r="M249" s="94">
        <v>75</v>
      </c>
      <c r="N249" s="94">
        <v>2</v>
      </c>
      <c r="O249" s="94">
        <v>80</v>
      </c>
      <c r="P249" s="94">
        <v>2</v>
      </c>
      <c r="Q249">
        <v>96</v>
      </c>
      <c r="R249">
        <v>2</v>
      </c>
      <c r="S249">
        <v>88</v>
      </c>
      <c r="T249">
        <v>2</v>
      </c>
      <c r="U249">
        <v>71</v>
      </c>
      <c r="V249">
        <v>2</v>
      </c>
      <c r="W249">
        <v>85</v>
      </c>
      <c r="X249">
        <v>2</v>
      </c>
      <c r="Y249">
        <v>83</v>
      </c>
      <c r="Z249">
        <v>1</v>
      </c>
      <c r="AA249">
        <v>91</v>
      </c>
      <c r="AB249">
        <v>1</v>
      </c>
      <c r="AC249">
        <v>86</v>
      </c>
      <c r="AD249">
        <v>1</v>
      </c>
      <c r="AE249">
        <v>84</v>
      </c>
      <c r="AF249">
        <v>2</v>
      </c>
      <c r="AG249">
        <v>90</v>
      </c>
      <c r="AH249">
        <v>2</v>
      </c>
    </row>
    <row r="250" spans="1:34">
      <c r="A250" t="s">
        <v>919</v>
      </c>
      <c r="B250" s="24">
        <v>1805</v>
      </c>
      <c r="C250" s="24" t="s">
        <v>920</v>
      </c>
      <c r="D250" s="24" t="s">
        <v>921</v>
      </c>
      <c r="E250" s="93">
        <v>85</v>
      </c>
      <c r="F250" s="94">
        <v>4</v>
      </c>
      <c r="G250" s="94">
        <v>90</v>
      </c>
      <c r="H250" s="94">
        <v>4</v>
      </c>
      <c r="I250" s="94">
        <v>81</v>
      </c>
      <c r="J250" s="94">
        <v>4</v>
      </c>
      <c r="K250" s="94">
        <v>87</v>
      </c>
      <c r="L250" s="94">
        <v>2</v>
      </c>
      <c r="M250" s="94">
        <v>80</v>
      </c>
      <c r="N250" s="94">
        <v>2</v>
      </c>
      <c r="O250" s="94">
        <v>88</v>
      </c>
      <c r="P250" s="94">
        <v>2</v>
      </c>
      <c r="Q250">
        <v>90</v>
      </c>
      <c r="R250">
        <v>2</v>
      </c>
      <c r="S250">
        <v>86</v>
      </c>
      <c r="T250">
        <v>2</v>
      </c>
      <c r="U250">
        <v>71</v>
      </c>
      <c r="V250">
        <v>2</v>
      </c>
      <c r="W250">
        <v>85</v>
      </c>
      <c r="X250">
        <v>2</v>
      </c>
      <c r="Y250">
        <v>76</v>
      </c>
      <c r="Z250">
        <v>1</v>
      </c>
      <c r="AA250">
        <v>91</v>
      </c>
      <c r="AB250">
        <v>1</v>
      </c>
      <c r="AC250">
        <v>86</v>
      </c>
      <c r="AD250">
        <v>1</v>
      </c>
      <c r="AE250">
        <v>86</v>
      </c>
      <c r="AF250">
        <v>2</v>
      </c>
      <c r="AG250">
        <v>75</v>
      </c>
      <c r="AH250">
        <v>2</v>
      </c>
    </row>
    <row r="251" spans="1:34">
      <c r="A251" t="s">
        <v>922</v>
      </c>
      <c r="B251" s="24">
        <v>1805</v>
      </c>
      <c r="C251" s="24" t="s">
        <v>923</v>
      </c>
      <c r="D251" s="24" t="s">
        <v>924</v>
      </c>
      <c r="E251" s="93">
        <v>98</v>
      </c>
      <c r="F251" s="94">
        <v>4</v>
      </c>
      <c r="G251" s="94">
        <v>89</v>
      </c>
      <c r="H251" s="94">
        <v>4</v>
      </c>
      <c r="I251" s="94">
        <v>82</v>
      </c>
      <c r="J251" s="94">
        <v>4</v>
      </c>
      <c r="K251" s="94">
        <v>80</v>
      </c>
      <c r="L251" s="94">
        <v>2</v>
      </c>
      <c r="M251" s="94">
        <v>78</v>
      </c>
      <c r="N251" s="94">
        <v>2</v>
      </c>
      <c r="O251" s="94">
        <v>78</v>
      </c>
      <c r="P251" s="94">
        <v>2</v>
      </c>
      <c r="Q251">
        <v>90</v>
      </c>
      <c r="R251">
        <v>2</v>
      </c>
      <c r="S251">
        <v>86</v>
      </c>
      <c r="T251">
        <v>2</v>
      </c>
      <c r="U251">
        <v>70</v>
      </c>
      <c r="V251">
        <v>2</v>
      </c>
      <c r="W251">
        <v>85</v>
      </c>
      <c r="X251">
        <v>2</v>
      </c>
      <c r="Y251">
        <v>80</v>
      </c>
      <c r="Z251">
        <v>1</v>
      </c>
      <c r="AA251">
        <v>91</v>
      </c>
      <c r="AB251">
        <v>1</v>
      </c>
      <c r="AC251">
        <v>75</v>
      </c>
      <c r="AD251">
        <v>1</v>
      </c>
      <c r="AE251">
        <v>88</v>
      </c>
      <c r="AF251">
        <v>2</v>
      </c>
      <c r="AG251">
        <v>85</v>
      </c>
      <c r="AH251">
        <v>2</v>
      </c>
    </row>
    <row r="252" spans="1:34">
      <c r="A252" t="s">
        <v>925</v>
      </c>
      <c r="B252" s="24">
        <v>1805</v>
      </c>
      <c r="C252" s="24" t="s">
        <v>926</v>
      </c>
      <c r="D252" s="24" t="s">
        <v>927</v>
      </c>
      <c r="E252" s="93">
        <v>85</v>
      </c>
      <c r="F252" s="94">
        <v>4</v>
      </c>
      <c r="G252" s="94">
        <v>93</v>
      </c>
      <c r="H252" s="94">
        <v>4</v>
      </c>
      <c r="I252" s="94">
        <v>88</v>
      </c>
      <c r="J252" s="94">
        <v>4</v>
      </c>
      <c r="K252" s="94">
        <v>90</v>
      </c>
      <c r="L252" s="94">
        <v>2</v>
      </c>
      <c r="M252" s="94">
        <v>89</v>
      </c>
      <c r="N252" s="94">
        <v>2</v>
      </c>
      <c r="O252" s="94">
        <v>75</v>
      </c>
      <c r="P252" s="94">
        <v>2</v>
      </c>
      <c r="Q252">
        <v>84</v>
      </c>
      <c r="R252">
        <v>2</v>
      </c>
      <c r="S252">
        <v>84</v>
      </c>
      <c r="T252">
        <v>2</v>
      </c>
      <c r="U252">
        <v>78</v>
      </c>
      <c r="V252">
        <v>2</v>
      </c>
      <c r="W252">
        <v>88</v>
      </c>
      <c r="X252">
        <v>2</v>
      </c>
      <c r="Y252">
        <v>76</v>
      </c>
      <c r="Z252">
        <v>1</v>
      </c>
      <c r="AA252">
        <v>91</v>
      </c>
      <c r="AB252">
        <v>1</v>
      </c>
      <c r="AC252">
        <v>75</v>
      </c>
      <c r="AD252">
        <v>1</v>
      </c>
      <c r="AE252">
        <v>84</v>
      </c>
      <c r="AF252">
        <v>2</v>
      </c>
      <c r="AG252">
        <v>99</v>
      </c>
      <c r="AH252">
        <v>2</v>
      </c>
    </row>
    <row r="253" spans="1:34">
      <c r="A253" t="s">
        <v>3321</v>
      </c>
      <c r="B253" s="24">
        <v>1805</v>
      </c>
      <c r="C253" s="24" t="s">
        <v>3322</v>
      </c>
      <c r="D253" s="24" t="s">
        <v>3323</v>
      </c>
      <c r="E253" s="93" t="s">
        <v>3308</v>
      </c>
      <c r="G253" s="94">
        <v>90</v>
      </c>
      <c r="H253" s="94">
        <v>4</v>
      </c>
      <c r="K253" s="94">
        <v>80</v>
      </c>
      <c r="L253" s="94">
        <v>2</v>
      </c>
      <c r="O253" s="94">
        <v>80</v>
      </c>
      <c r="P253" s="94">
        <v>2</v>
      </c>
      <c r="S253">
        <v>80</v>
      </c>
      <c r="T253">
        <v>2</v>
      </c>
      <c r="U253">
        <v>70</v>
      </c>
      <c r="V253">
        <v>2</v>
      </c>
      <c r="W253">
        <v>80</v>
      </c>
      <c r="X253">
        <v>2</v>
      </c>
      <c r="Z253">
        <v>1</v>
      </c>
      <c r="AA253">
        <v>91</v>
      </c>
      <c r="AB253">
        <v>1</v>
      </c>
      <c r="AC253">
        <v>70</v>
      </c>
      <c r="AD253">
        <v>1</v>
      </c>
      <c r="AE253">
        <v>89</v>
      </c>
      <c r="AF253">
        <v>2</v>
      </c>
      <c r="AG253" t="s">
        <v>3361</v>
      </c>
    </row>
    <row r="254" spans="1:34">
      <c r="A254" t="s">
        <v>928</v>
      </c>
      <c r="B254" s="24">
        <v>1805</v>
      </c>
      <c r="C254" s="24" t="s">
        <v>929</v>
      </c>
      <c r="D254" s="24" t="s">
        <v>930</v>
      </c>
      <c r="E254" s="93">
        <v>85</v>
      </c>
      <c r="F254" s="94">
        <v>4</v>
      </c>
      <c r="G254" s="94">
        <v>92</v>
      </c>
      <c r="H254" s="94">
        <v>4</v>
      </c>
      <c r="I254" s="94">
        <v>89</v>
      </c>
      <c r="J254" s="94">
        <v>4</v>
      </c>
      <c r="K254" s="94">
        <v>97</v>
      </c>
      <c r="L254" s="94">
        <v>2</v>
      </c>
      <c r="M254" s="94">
        <v>82</v>
      </c>
      <c r="N254" s="94">
        <v>2</v>
      </c>
      <c r="O254" s="94">
        <v>80</v>
      </c>
      <c r="P254" s="94">
        <v>2</v>
      </c>
      <c r="Q254">
        <v>87</v>
      </c>
      <c r="R254">
        <v>2</v>
      </c>
      <c r="S254">
        <v>86</v>
      </c>
      <c r="T254">
        <v>2</v>
      </c>
      <c r="U254">
        <v>70</v>
      </c>
      <c r="V254">
        <v>2</v>
      </c>
      <c r="W254">
        <v>88</v>
      </c>
      <c r="X254">
        <v>2</v>
      </c>
      <c r="Y254">
        <v>85</v>
      </c>
      <c r="Z254">
        <v>1</v>
      </c>
      <c r="AA254">
        <v>91</v>
      </c>
      <c r="AB254">
        <v>1</v>
      </c>
      <c r="AC254">
        <v>75</v>
      </c>
      <c r="AD254">
        <v>1</v>
      </c>
      <c r="AE254">
        <v>90</v>
      </c>
      <c r="AF254">
        <v>2</v>
      </c>
      <c r="AG254">
        <v>96</v>
      </c>
      <c r="AH254">
        <v>2</v>
      </c>
    </row>
    <row r="255" spans="1:34">
      <c r="A255" t="s">
        <v>931</v>
      </c>
      <c r="B255" s="24">
        <v>1805</v>
      </c>
      <c r="C255" s="24" t="s">
        <v>932</v>
      </c>
      <c r="D255" s="24" t="s">
        <v>933</v>
      </c>
      <c r="E255" s="93">
        <v>81</v>
      </c>
      <c r="F255" s="94">
        <v>4</v>
      </c>
      <c r="G255" s="94">
        <v>90</v>
      </c>
      <c r="H255" s="94">
        <v>4</v>
      </c>
      <c r="I255" s="94">
        <v>92</v>
      </c>
      <c r="J255" s="94">
        <v>4</v>
      </c>
      <c r="K255" s="94">
        <v>87</v>
      </c>
      <c r="L255" s="94">
        <v>2</v>
      </c>
      <c r="M255" s="94">
        <v>79</v>
      </c>
      <c r="N255" s="94">
        <v>2</v>
      </c>
      <c r="O255" s="94">
        <v>90</v>
      </c>
      <c r="P255" s="94">
        <v>2</v>
      </c>
      <c r="Q255">
        <v>84</v>
      </c>
      <c r="R255">
        <v>2</v>
      </c>
      <c r="S255">
        <v>82</v>
      </c>
      <c r="T255">
        <v>2</v>
      </c>
      <c r="U255">
        <v>75</v>
      </c>
      <c r="V255">
        <v>2</v>
      </c>
      <c r="W255">
        <v>85</v>
      </c>
      <c r="X255">
        <v>2</v>
      </c>
      <c r="Y255">
        <v>77</v>
      </c>
      <c r="Z255">
        <v>1</v>
      </c>
      <c r="AA255">
        <v>91</v>
      </c>
      <c r="AB255">
        <v>1</v>
      </c>
      <c r="AC255">
        <v>70</v>
      </c>
      <c r="AD255">
        <v>1</v>
      </c>
      <c r="AE255">
        <v>88</v>
      </c>
      <c r="AF255">
        <v>2</v>
      </c>
      <c r="AG255">
        <v>84</v>
      </c>
      <c r="AH255">
        <v>2</v>
      </c>
    </row>
    <row r="256" spans="1:34">
      <c r="A256" t="s">
        <v>934</v>
      </c>
      <c r="B256" s="24">
        <v>1805</v>
      </c>
      <c r="C256" s="24" t="s">
        <v>935</v>
      </c>
      <c r="D256" s="24" t="s">
        <v>936</v>
      </c>
      <c r="E256" s="93">
        <v>84</v>
      </c>
      <c r="F256" s="94">
        <v>4</v>
      </c>
      <c r="G256" s="94">
        <v>89</v>
      </c>
      <c r="H256" s="94">
        <v>4</v>
      </c>
      <c r="I256" s="94">
        <v>87</v>
      </c>
      <c r="J256" s="94">
        <v>4</v>
      </c>
      <c r="K256" s="94">
        <v>80</v>
      </c>
      <c r="L256" s="94">
        <v>2</v>
      </c>
      <c r="M256" s="94">
        <v>82</v>
      </c>
      <c r="N256" s="94">
        <v>2</v>
      </c>
      <c r="O256" s="94">
        <v>75</v>
      </c>
      <c r="P256" s="94">
        <v>2</v>
      </c>
      <c r="Q256">
        <v>99</v>
      </c>
      <c r="R256">
        <v>2</v>
      </c>
      <c r="S256">
        <v>86</v>
      </c>
      <c r="T256">
        <v>2</v>
      </c>
      <c r="U256">
        <v>73</v>
      </c>
      <c r="V256">
        <v>2</v>
      </c>
      <c r="W256">
        <v>80</v>
      </c>
      <c r="X256">
        <v>2</v>
      </c>
      <c r="Y256">
        <v>82</v>
      </c>
      <c r="Z256">
        <v>1</v>
      </c>
      <c r="AA256">
        <v>91</v>
      </c>
      <c r="AB256">
        <v>1</v>
      </c>
      <c r="AC256">
        <v>76</v>
      </c>
      <c r="AD256">
        <v>1</v>
      </c>
      <c r="AE256">
        <v>84</v>
      </c>
      <c r="AF256">
        <v>2</v>
      </c>
      <c r="AG256">
        <v>88</v>
      </c>
      <c r="AH256">
        <v>2</v>
      </c>
    </row>
    <row r="257" spans="1:34">
      <c r="A257" t="s">
        <v>937</v>
      </c>
      <c r="B257" s="24">
        <v>1805</v>
      </c>
      <c r="C257" s="24" t="s">
        <v>938</v>
      </c>
      <c r="D257" s="24" t="s">
        <v>939</v>
      </c>
      <c r="E257" s="93">
        <v>85</v>
      </c>
      <c r="F257" s="94">
        <v>4</v>
      </c>
      <c r="G257" s="94">
        <v>95</v>
      </c>
      <c r="H257" s="94">
        <v>4</v>
      </c>
      <c r="I257" s="94">
        <v>90</v>
      </c>
      <c r="J257" s="94">
        <v>4</v>
      </c>
      <c r="K257" s="94">
        <v>97</v>
      </c>
      <c r="L257" s="94">
        <v>2</v>
      </c>
      <c r="M257" s="94">
        <v>88</v>
      </c>
      <c r="N257" s="94">
        <v>2</v>
      </c>
      <c r="O257" s="94">
        <v>89</v>
      </c>
      <c r="P257" s="94">
        <v>2</v>
      </c>
      <c r="Q257">
        <v>82</v>
      </c>
      <c r="R257">
        <v>2</v>
      </c>
      <c r="S257">
        <v>86</v>
      </c>
      <c r="T257">
        <v>2</v>
      </c>
      <c r="U257">
        <v>86</v>
      </c>
      <c r="V257">
        <v>2</v>
      </c>
      <c r="W257">
        <v>90</v>
      </c>
      <c r="X257">
        <v>2</v>
      </c>
      <c r="Y257">
        <v>80</v>
      </c>
      <c r="Z257">
        <v>1</v>
      </c>
      <c r="AA257">
        <v>91</v>
      </c>
      <c r="AB257">
        <v>1</v>
      </c>
      <c r="AC257">
        <v>78</v>
      </c>
      <c r="AD257">
        <v>1</v>
      </c>
      <c r="AE257">
        <v>82</v>
      </c>
      <c r="AF257">
        <v>2</v>
      </c>
      <c r="AG257">
        <v>95</v>
      </c>
      <c r="AH257">
        <v>2</v>
      </c>
    </row>
    <row r="258" spans="1:34">
      <c r="A258" t="s">
        <v>1690</v>
      </c>
      <c r="B258" s="24">
        <v>1805</v>
      </c>
      <c r="C258" s="24" t="s">
        <v>941</v>
      </c>
      <c r="D258" s="24" t="s">
        <v>1692</v>
      </c>
      <c r="E258" s="93">
        <v>84</v>
      </c>
      <c r="F258" s="94">
        <v>4</v>
      </c>
      <c r="G258" s="94">
        <v>91</v>
      </c>
      <c r="H258" s="94">
        <v>4</v>
      </c>
      <c r="I258" s="94">
        <v>93</v>
      </c>
      <c r="J258" s="94">
        <v>4</v>
      </c>
      <c r="K258" s="94">
        <v>88</v>
      </c>
      <c r="L258" s="94">
        <v>2</v>
      </c>
      <c r="M258" s="94">
        <v>96</v>
      </c>
      <c r="N258" s="94">
        <v>2</v>
      </c>
      <c r="O258" s="94">
        <v>75</v>
      </c>
      <c r="P258" s="94">
        <v>2</v>
      </c>
      <c r="Q258">
        <v>100</v>
      </c>
      <c r="R258">
        <v>2</v>
      </c>
      <c r="S258">
        <v>84</v>
      </c>
      <c r="T258">
        <v>2</v>
      </c>
      <c r="U258">
        <v>76</v>
      </c>
      <c r="V258">
        <v>2</v>
      </c>
      <c r="W258">
        <v>83</v>
      </c>
      <c r="X258">
        <v>2</v>
      </c>
      <c r="Y258">
        <v>80</v>
      </c>
      <c r="Z258">
        <v>1</v>
      </c>
      <c r="AA258">
        <v>91</v>
      </c>
      <c r="AB258">
        <v>1</v>
      </c>
      <c r="AC258">
        <v>80</v>
      </c>
      <c r="AD258">
        <v>1</v>
      </c>
      <c r="AE258">
        <v>84</v>
      </c>
      <c r="AF258">
        <v>2</v>
      </c>
      <c r="AG258">
        <v>90</v>
      </c>
      <c r="AH258">
        <v>2</v>
      </c>
    </row>
    <row r="259" spans="1:34">
      <c r="A259" t="s">
        <v>942</v>
      </c>
      <c r="B259" s="24">
        <v>1805</v>
      </c>
      <c r="C259" s="24" t="s">
        <v>943</v>
      </c>
      <c r="D259" s="24" t="s">
        <v>944</v>
      </c>
      <c r="E259" s="93">
        <v>81</v>
      </c>
      <c r="F259" s="94">
        <v>4</v>
      </c>
      <c r="G259" s="94">
        <v>95</v>
      </c>
      <c r="H259" s="94">
        <v>4</v>
      </c>
      <c r="I259" s="94">
        <v>92</v>
      </c>
      <c r="J259" s="94">
        <v>4</v>
      </c>
      <c r="K259" s="94">
        <v>90</v>
      </c>
      <c r="L259" s="94">
        <v>2</v>
      </c>
      <c r="M259" s="94">
        <v>93</v>
      </c>
      <c r="N259" s="94">
        <v>2</v>
      </c>
      <c r="O259" s="94">
        <v>90</v>
      </c>
      <c r="P259" s="94">
        <v>2</v>
      </c>
      <c r="Q259">
        <v>87</v>
      </c>
      <c r="R259">
        <v>2</v>
      </c>
      <c r="S259">
        <v>71</v>
      </c>
      <c r="T259">
        <v>2</v>
      </c>
      <c r="U259">
        <v>70</v>
      </c>
      <c r="V259">
        <v>2</v>
      </c>
      <c r="W259">
        <v>80</v>
      </c>
      <c r="X259">
        <v>2</v>
      </c>
      <c r="Y259">
        <v>78</v>
      </c>
      <c r="Z259">
        <v>1</v>
      </c>
      <c r="AA259">
        <v>91</v>
      </c>
      <c r="AB259">
        <v>1</v>
      </c>
      <c r="AC259">
        <v>76</v>
      </c>
      <c r="AD259">
        <v>1</v>
      </c>
      <c r="AE259">
        <v>82</v>
      </c>
      <c r="AF259">
        <v>2</v>
      </c>
      <c r="AG259">
        <v>87</v>
      </c>
      <c r="AH259">
        <v>2</v>
      </c>
    </row>
    <row r="260" spans="1:34">
      <c r="A260" t="s">
        <v>945</v>
      </c>
      <c r="B260" s="24">
        <v>1805</v>
      </c>
      <c r="C260" s="24" t="s">
        <v>946</v>
      </c>
      <c r="D260" s="24" t="s">
        <v>947</v>
      </c>
      <c r="E260" s="93">
        <v>90</v>
      </c>
      <c r="F260" s="94">
        <v>4</v>
      </c>
      <c r="G260" s="94">
        <v>93</v>
      </c>
      <c r="H260" s="94">
        <v>4</v>
      </c>
      <c r="I260" s="94">
        <v>90</v>
      </c>
      <c r="J260" s="94">
        <v>4</v>
      </c>
      <c r="K260" s="94">
        <v>99</v>
      </c>
      <c r="L260" s="94">
        <v>2</v>
      </c>
      <c r="M260" s="94">
        <v>98</v>
      </c>
      <c r="N260" s="94">
        <v>2</v>
      </c>
      <c r="O260" s="94">
        <v>88</v>
      </c>
      <c r="P260" s="94">
        <v>2</v>
      </c>
      <c r="Q260">
        <v>87</v>
      </c>
      <c r="R260">
        <v>2</v>
      </c>
      <c r="S260">
        <v>90</v>
      </c>
      <c r="T260">
        <v>2</v>
      </c>
      <c r="U260">
        <v>75</v>
      </c>
      <c r="V260">
        <v>2</v>
      </c>
      <c r="W260">
        <v>95</v>
      </c>
      <c r="X260">
        <v>2</v>
      </c>
      <c r="Y260">
        <v>80</v>
      </c>
      <c r="Z260">
        <v>1</v>
      </c>
      <c r="AA260">
        <v>91</v>
      </c>
      <c r="AB260">
        <v>1</v>
      </c>
      <c r="AC260">
        <v>73</v>
      </c>
      <c r="AD260">
        <v>1</v>
      </c>
      <c r="AE260">
        <v>86</v>
      </c>
      <c r="AF260">
        <v>2</v>
      </c>
      <c r="AG260">
        <v>85</v>
      </c>
      <c r="AH260">
        <v>2</v>
      </c>
    </row>
    <row r="261" spans="1:34">
      <c r="A261" t="s">
        <v>948</v>
      </c>
      <c r="B261" s="24">
        <v>1805</v>
      </c>
      <c r="C261" s="24" t="s">
        <v>949</v>
      </c>
      <c r="D261" s="24" t="s">
        <v>950</v>
      </c>
      <c r="E261" s="93">
        <v>83</v>
      </c>
      <c r="F261" s="94">
        <v>4</v>
      </c>
      <c r="G261" s="94">
        <v>90</v>
      </c>
      <c r="H261" s="94">
        <v>4</v>
      </c>
      <c r="I261" s="94">
        <v>88</v>
      </c>
      <c r="J261" s="94">
        <v>4</v>
      </c>
      <c r="K261" s="94">
        <v>83</v>
      </c>
      <c r="L261" s="94">
        <v>2</v>
      </c>
      <c r="M261" s="94">
        <v>73</v>
      </c>
      <c r="N261" s="94">
        <v>2</v>
      </c>
      <c r="O261" s="94">
        <v>76</v>
      </c>
      <c r="P261" s="94">
        <v>2</v>
      </c>
      <c r="Q261">
        <v>80</v>
      </c>
      <c r="R261">
        <v>2</v>
      </c>
      <c r="S261">
        <v>84</v>
      </c>
      <c r="T261">
        <v>2</v>
      </c>
      <c r="U261">
        <v>78</v>
      </c>
      <c r="V261">
        <v>2</v>
      </c>
      <c r="W261">
        <v>85</v>
      </c>
      <c r="X261">
        <v>2</v>
      </c>
      <c r="Y261">
        <v>80</v>
      </c>
      <c r="Z261">
        <v>1</v>
      </c>
      <c r="AA261">
        <v>91</v>
      </c>
      <c r="AB261">
        <v>1</v>
      </c>
      <c r="AC261">
        <v>78</v>
      </c>
      <c r="AD261">
        <v>1</v>
      </c>
      <c r="AE261">
        <v>84</v>
      </c>
      <c r="AF261">
        <v>2</v>
      </c>
      <c r="AG261">
        <v>88</v>
      </c>
      <c r="AH261">
        <v>2</v>
      </c>
    </row>
    <row r="262" spans="1:34">
      <c r="A262" t="s">
        <v>951</v>
      </c>
      <c r="B262" s="24">
        <v>1805</v>
      </c>
      <c r="C262" s="24" t="s">
        <v>952</v>
      </c>
      <c r="D262" s="24" t="s">
        <v>953</v>
      </c>
      <c r="E262" s="93">
        <v>85</v>
      </c>
      <c r="F262" s="94">
        <v>4</v>
      </c>
      <c r="G262" s="94">
        <v>92</v>
      </c>
      <c r="H262" s="94">
        <v>4</v>
      </c>
      <c r="I262" s="94">
        <v>86</v>
      </c>
      <c r="J262" s="94">
        <v>4</v>
      </c>
      <c r="K262" s="94">
        <v>84</v>
      </c>
      <c r="L262" s="94">
        <v>2</v>
      </c>
      <c r="M262" s="94">
        <v>77</v>
      </c>
      <c r="N262" s="94">
        <v>2</v>
      </c>
      <c r="O262" s="94">
        <v>76</v>
      </c>
      <c r="P262" s="94">
        <v>2</v>
      </c>
      <c r="Q262">
        <v>92</v>
      </c>
      <c r="R262">
        <v>2</v>
      </c>
      <c r="S262">
        <v>90</v>
      </c>
      <c r="T262">
        <v>2</v>
      </c>
      <c r="U262">
        <v>80</v>
      </c>
      <c r="V262">
        <v>2</v>
      </c>
      <c r="W262">
        <v>96</v>
      </c>
      <c r="X262">
        <v>2</v>
      </c>
      <c r="Y262">
        <v>82</v>
      </c>
      <c r="Z262">
        <v>1</v>
      </c>
      <c r="AA262">
        <v>91</v>
      </c>
      <c r="AB262">
        <v>1</v>
      </c>
      <c r="AC262">
        <v>76</v>
      </c>
      <c r="AD262">
        <v>1</v>
      </c>
      <c r="AE262">
        <v>85</v>
      </c>
      <c r="AF262">
        <v>2</v>
      </c>
      <c r="AG262">
        <v>98</v>
      </c>
      <c r="AH262">
        <v>2</v>
      </c>
    </row>
    <row r="263" spans="1:34">
      <c r="A263" t="s">
        <v>954</v>
      </c>
      <c r="B263" s="24">
        <v>1805</v>
      </c>
      <c r="C263" s="24" t="s">
        <v>955</v>
      </c>
      <c r="D263" s="24" t="s">
        <v>956</v>
      </c>
      <c r="E263" s="93">
        <v>80</v>
      </c>
      <c r="F263" s="94">
        <v>4</v>
      </c>
      <c r="G263" s="94">
        <v>90</v>
      </c>
      <c r="H263" s="94">
        <v>4</v>
      </c>
      <c r="I263" s="94">
        <v>80</v>
      </c>
      <c r="J263" s="94">
        <v>4</v>
      </c>
      <c r="K263" s="94">
        <v>85</v>
      </c>
      <c r="L263" s="94">
        <v>2</v>
      </c>
      <c r="M263" s="94">
        <v>76</v>
      </c>
      <c r="N263" s="94">
        <v>2</v>
      </c>
      <c r="O263" s="94">
        <v>75</v>
      </c>
      <c r="P263" s="94">
        <v>2</v>
      </c>
      <c r="Q263">
        <v>90</v>
      </c>
      <c r="R263">
        <v>2</v>
      </c>
      <c r="S263">
        <v>86</v>
      </c>
      <c r="T263">
        <v>2</v>
      </c>
      <c r="U263">
        <v>83</v>
      </c>
      <c r="V263">
        <v>2</v>
      </c>
      <c r="W263">
        <v>85</v>
      </c>
      <c r="X263">
        <v>2</v>
      </c>
      <c r="Y263">
        <v>83</v>
      </c>
      <c r="Z263">
        <v>1</v>
      </c>
      <c r="AA263">
        <v>91</v>
      </c>
      <c r="AB263">
        <v>1</v>
      </c>
      <c r="AC263">
        <v>82</v>
      </c>
      <c r="AD263">
        <v>1</v>
      </c>
      <c r="AE263">
        <v>84</v>
      </c>
      <c r="AF263">
        <v>2</v>
      </c>
      <c r="AG263">
        <v>92</v>
      </c>
      <c r="AH263">
        <v>2</v>
      </c>
    </row>
    <row r="264" spans="1:34">
      <c r="A264" t="s">
        <v>957</v>
      </c>
      <c r="B264" s="24">
        <v>1805</v>
      </c>
      <c r="C264" s="24" t="s">
        <v>958</v>
      </c>
      <c r="D264" s="24" t="s">
        <v>959</v>
      </c>
      <c r="E264" s="93">
        <v>86</v>
      </c>
      <c r="F264" s="94">
        <v>4</v>
      </c>
      <c r="G264" s="94">
        <v>92</v>
      </c>
      <c r="H264" s="94">
        <v>4</v>
      </c>
      <c r="I264" s="94">
        <v>93</v>
      </c>
      <c r="J264" s="94">
        <v>4</v>
      </c>
      <c r="K264" s="94">
        <v>89</v>
      </c>
      <c r="L264" s="94">
        <v>2</v>
      </c>
      <c r="M264" s="94">
        <v>76</v>
      </c>
      <c r="N264" s="94">
        <v>2</v>
      </c>
      <c r="O264" s="94">
        <v>80</v>
      </c>
      <c r="P264" s="94">
        <v>2</v>
      </c>
      <c r="Q264">
        <v>91</v>
      </c>
      <c r="R264">
        <v>2</v>
      </c>
      <c r="S264">
        <v>86</v>
      </c>
      <c r="T264">
        <v>2</v>
      </c>
      <c r="U264">
        <v>78</v>
      </c>
      <c r="V264">
        <v>2</v>
      </c>
      <c r="W264">
        <v>95</v>
      </c>
      <c r="X264">
        <v>2</v>
      </c>
      <c r="Y264">
        <v>81</v>
      </c>
      <c r="Z264">
        <v>1</v>
      </c>
      <c r="AA264">
        <v>91</v>
      </c>
      <c r="AB264">
        <v>1</v>
      </c>
      <c r="AC264">
        <v>88</v>
      </c>
      <c r="AD264">
        <v>1</v>
      </c>
      <c r="AE264">
        <v>86</v>
      </c>
      <c r="AF264">
        <v>2</v>
      </c>
      <c r="AG264">
        <v>92</v>
      </c>
      <c r="AH264">
        <v>2</v>
      </c>
    </row>
    <row r="265" spans="1:34">
      <c r="A265">
        <v>20181082</v>
      </c>
      <c r="B265" s="24">
        <v>1805</v>
      </c>
      <c r="C265" s="24" t="s">
        <v>961</v>
      </c>
      <c r="D265" s="24" t="s">
        <v>3247</v>
      </c>
      <c r="E265" s="93">
        <v>77</v>
      </c>
      <c r="F265" s="94">
        <v>4</v>
      </c>
      <c r="G265" s="94">
        <v>92</v>
      </c>
      <c r="H265" s="94">
        <v>4</v>
      </c>
      <c r="I265" s="94">
        <v>87</v>
      </c>
      <c r="J265" s="94">
        <v>4</v>
      </c>
      <c r="K265" s="94">
        <v>89</v>
      </c>
      <c r="L265" s="94">
        <v>2</v>
      </c>
      <c r="M265" s="94">
        <v>76</v>
      </c>
      <c r="N265" s="94">
        <v>2</v>
      </c>
      <c r="O265" s="94">
        <v>78</v>
      </c>
      <c r="P265" s="94">
        <v>2</v>
      </c>
      <c r="Q265">
        <v>82</v>
      </c>
      <c r="R265">
        <v>2</v>
      </c>
      <c r="S265">
        <v>88</v>
      </c>
      <c r="T265">
        <v>2</v>
      </c>
      <c r="U265">
        <v>72</v>
      </c>
      <c r="V265">
        <v>2</v>
      </c>
      <c r="W265">
        <v>85</v>
      </c>
      <c r="X265">
        <v>2</v>
      </c>
      <c r="Y265">
        <v>78</v>
      </c>
      <c r="Z265">
        <v>1</v>
      </c>
      <c r="AA265">
        <v>91</v>
      </c>
      <c r="AB265">
        <v>1</v>
      </c>
      <c r="AC265">
        <v>90</v>
      </c>
      <c r="AD265">
        <v>1</v>
      </c>
      <c r="AE265">
        <v>88</v>
      </c>
      <c r="AF265">
        <v>2</v>
      </c>
      <c r="AG265">
        <v>86</v>
      </c>
      <c r="AH265">
        <v>2</v>
      </c>
    </row>
    <row r="266" spans="1:34">
      <c r="A266" t="s">
        <v>962</v>
      </c>
      <c r="B266" s="24">
        <v>1805</v>
      </c>
      <c r="C266" s="24" t="s">
        <v>963</v>
      </c>
      <c r="D266" s="24" t="s">
        <v>964</v>
      </c>
      <c r="E266" s="93">
        <v>81</v>
      </c>
      <c r="F266" s="94">
        <v>4</v>
      </c>
      <c r="G266" s="94">
        <v>90</v>
      </c>
      <c r="H266" s="94">
        <v>4</v>
      </c>
      <c r="I266" s="94">
        <v>88</v>
      </c>
      <c r="J266" s="94">
        <v>4</v>
      </c>
      <c r="K266" s="94">
        <v>86</v>
      </c>
      <c r="L266" s="94">
        <v>2</v>
      </c>
      <c r="M266" s="94">
        <v>75</v>
      </c>
      <c r="N266" s="94">
        <v>2</v>
      </c>
      <c r="O266" s="94">
        <v>78</v>
      </c>
      <c r="P266" s="94">
        <v>2</v>
      </c>
      <c r="Q266">
        <v>78</v>
      </c>
      <c r="R266">
        <v>2</v>
      </c>
      <c r="S266">
        <v>80</v>
      </c>
      <c r="T266">
        <v>2</v>
      </c>
      <c r="U266">
        <v>75</v>
      </c>
      <c r="V266">
        <v>2</v>
      </c>
      <c r="W266">
        <v>80</v>
      </c>
      <c r="X266">
        <v>2</v>
      </c>
      <c r="Y266">
        <v>78</v>
      </c>
      <c r="Z266">
        <v>1</v>
      </c>
      <c r="AA266">
        <v>91</v>
      </c>
      <c r="AB266">
        <v>1</v>
      </c>
      <c r="AC266">
        <v>86</v>
      </c>
      <c r="AD266">
        <v>1</v>
      </c>
      <c r="AE266">
        <v>89</v>
      </c>
      <c r="AF266">
        <v>2</v>
      </c>
      <c r="AG266">
        <v>98</v>
      </c>
      <c r="AH266">
        <v>2</v>
      </c>
    </row>
    <row r="267" spans="1:34">
      <c r="A267" t="s">
        <v>965</v>
      </c>
      <c r="B267" s="24">
        <v>1805</v>
      </c>
      <c r="C267" s="24" t="s">
        <v>966</v>
      </c>
      <c r="D267" s="24" t="s">
        <v>967</v>
      </c>
      <c r="E267" s="93">
        <v>81</v>
      </c>
      <c r="F267" s="94">
        <v>4</v>
      </c>
      <c r="G267" s="94">
        <v>91</v>
      </c>
      <c r="H267" s="94">
        <v>4</v>
      </c>
      <c r="I267" s="94">
        <v>86</v>
      </c>
      <c r="J267" s="94">
        <v>4</v>
      </c>
      <c r="K267" s="94">
        <v>99</v>
      </c>
      <c r="L267" s="94">
        <v>2</v>
      </c>
      <c r="M267" s="94">
        <v>77</v>
      </c>
      <c r="N267" s="94">
        <v>2</v>
      </c>
      <c r="O267" s="94">
        <v>76</v>
      </c>
      <c r="P267" s="94">
        <v>2</v>
      </c>
      <c r="Q267">
        <v>91</v>
      </c>
      <c r="R267">
        <v>2</v>
      </c>
      <c r="S267">
        <v>86</v>
      </c>
      <c r="T267">
        <v>2</v>
      </c>
      <c r="U267">
        <v>78</v>
      </c>
      <c r="V267">
        <v>2</v>
      </c>
      <c r="W267">
        <v>88</v>
      </c>
      <c r="X267">
        <v>2</v>
      </c>
      <c r="Y267">
        <v>81</v>
      </c>
      <c r="Z267">
        <v>1</v>
      </c>
      <c r="AA267">
        <v>91</v>
      </c>
      <c r="AB267">
        <v>1</v>
      </c>
      <c r="AC267">
        <v>87</v>
      </c>
      <c r="AD267">
        <v>1</v>
      </c>
      <c r="AE267">
        <v>90</v>
      </c>
      <c r="AF267">
        <v>2</v>
      </c>
      <c r="AG267">
        <v>98</v>
      </c>
      <c r="AH267">
        <v>2</v>
      </c>
    </row>
    <row r="268" spans="1:34">
      <c r="A268" t="s">
        <v>968</v>
      </c>
      <c r="B268" s="24">
        <v>1805</v>
      </c>
      <c r="C268" s="24" t="s">
        <v>969</v>
      </c>
      <c r="D268" s="24" t="s">
        <v>970</v>
      </c>
      <c r="E268" s="93">
        <v>98</v>
      </c>
      <c r="F268" s="94">
        <v>4</v>
      </c>
      <c r="G268" s="94">
        <v>90</v>
      </c>
      <c r="H268" s="94">
        <v>4</v>
      </c>
      <c r="I268" s="94">
        <v>90</v>
      </c>
      <c r="J268" s="94">
        <v>4</v>
      </c>
      <c r="K268" s="94">
        <v>85</v>
      </c>
      <c r="L268" s="94">
        <v>2</v>
      </c>
      <c r="M268" s="94">
        <v>75</v>
      </c>
      <c r="N268" s="94">
        <v>2</v>
      </c>
      <c r="O268" s="94">
        <v>75</v>
      </c>
      <c r="P268" s="94">
        <v>2</v>
      </c>
      <c r="Q268">
        <v>84</v>
      </c>
      <c r="R268">
        <v>2</v>
      </c>
      <c r="S268">
        <v>82</v>
      </c>
      <c r="T268">
        <v>2</v>
      </c>
      <c r="U268">
        <v>85</v>
      </c>
      <c r="V268">
        <v>2</v>
      </c>
      <c r="W268">
        <v>83</v>
      </c>
      <c r="X268">
        <v>2</v>
      </c>
      <c r="Y268">
        <v>82</v>
      </c>
      <c r="Z268">
        <v>1</v>
      </c>
      <c r="AA268">
        <v>91</v>
      </c>
      <c r="AB268">
        <v>1</v>
      </c>
      <c r="AC268">
        <v>79</v>
      </c>
      <c r="AD268">
        <v>1</v>
      </c>
      <c r="AE268">
        <v>88</v>
      </c>
      <c r="AF268">
        <v>2</v>
      </c>
      <c r="AG268">
        <v>95</v>
      </c>
      <c r="AH268">
        <v>2</v>
      </c>
    </row>
    <row r="269" spans="1:34">
      <c r="A269" t="s">
        <v>971</v>
      </c>
      <c r="B269" s="24">
        <v>1805</v>
      </c>
      <c r="C269" s="24" t="s">
        <v>972</v>
      </c>
      <c r="D269" s="24" t="s">
        <v>973</v>
      </c>
      <c r="E269" s="93">
        <v>78</v>
      </c>
      <c r="F269" s="94">
        <v>4</v>
      </c>
      <c r="G269" s="94">
        <v>89</v>
      </c>
      <c r="H269" s="94">
        <v>4</v>
      </c>
      <c r="I269" s="94">
        <v>78</v>
      </c>
      <c r="J269" s="94">
        <v>4</v>
      </c>
      <c r="K269" s="94">
        <v>82</v>
      </c>
      <c r="L269" s="94">
        <v>2</v>
      </c>
      <c r="M269" s="94">
        <v>72</v>
      </c>
      <c r="N269" s="94">
        <v>2</v>
      </c>
      <c r="O269" s="94">
        <v>75</v>
      </c>
      <c r="P269" s="94">
        <v>2</v>
      </c>
      <c r="Q269">
        <v>72</v>
      </c>
      <c r="R269">
        <v>2</v>
      </c>
      <c r="S269">
        <v>60</v>
      </c>
      <c r="T269">
        <v>2</v>
      </c>
      <c r="U269">
        <v>70</v>
      </c>
      <c r="V269">
        <v>2</v>
      </c>
      <c r="W269">
        <v>80</v>
      </c>
      <c r="X269">
        <v>2</v>
      </c>
      <c r="Y269">
        <v>80</v>
      </c>
      <c r="Z269">
        <v>1</v>
      </c>
      <c r="AA269">
        <v>91</v>
      </c>
      <c r="AB269">
        <v>1</v>
      </c>
      <c r="AC269">
        <v>90</v>
      </c>
      <c r="AD269">
        <v>1</v>
      </c>
      <c r="AE269">
        <v>82</v>
      </c>
      <c r="AF269">
        <v>2</v>
      </c>
      <c r="AG269">
        <v>90</v>
      </c>
      <c r="AH269">
        <v>2</v>
      </c>
    </row>
    <row r="270" spans="1:34">
      <c r="A270" t="s">
        <v>974</v>
      </c>
      <c r="B270" s="24">
        <v>1805</v>
      </c>
      <c r="C270" s="24" t="s">
        <v>975</v>
      </c>
      <c r="D270" s="24" t="s">
        <v>976</v>
      </c>
      <c r="E270" s="93">
        <v>90</v>
      </c>
      <c r="F270" s="94">
        <v>4</v>
      </c>
      <c r="G270" s="94">
        <v>90</v>
      </c>
      <c r="H270" s="94">
        <v>4</v>
      </c>
      <c r="I270" s="94">
        <v>88</v>
      </c>
      <c r="J270" s="94">
        <v>4</v>
      </c>
      <c r="K270" s="94">
        <v>92</v>
      </c>
      <c r="L270" s="94">
        <v>2</v>
      </c>
      <c r="M270" s="94">
        <v>85</v>
      </c>
      <c r="N270" s="94">
        <v>2</v>
      </c>
      <c r="O270" s="94">
        <v>90</v>
      </c>
      <c r="P270" s="94">
        <v>2</v>
      </c>
      <c r="Q270">
        <v>80</v>
      </c>
      <c r="R270">
        <v>2</v>
      </c>
      <c r="S270">
        <v>71</v>
      </c>
      <c r="T270">
        <v>2</v>
      </c>
      <c r="U270">
        <v>70</v>
      </c>
      <c r="V270">
        <v>2</v>
      </c>
      <c r="W270">
        <v>88</v>
      </c>
      <c r="X270">
        <v>2</v>
      </c>
      <c r="Y270">
        <v>81</v>
      </c>
      <c r="Z270">
        <v>1</v>
      </c>
      <c r="AA270">
        <v>91</v>
      </c>
      <c r="AB270">
        <v>1</v>
      </c>
      <c r="AC270">
        <v>75</v>
      </c>
      <c r="AD270">
        <v>1</v>
      </c>
      <c r="AE270">
        <v>86</v>
      </c>
      <c r="AF270">
        <v>2</v>
      </c>
      <c r="AG270">
        <v>98</v>
      </c>
      <c r="AH270">
        <v>2</v>
      </c>
    </row>
    <row r="271" spans="1:34">
      <c r="A271" t="s">
        <v>977</v>
      </c>
      <c r="B271" s="24">
        <v>1805</v>
      </c>
      <c r="C271" s="24" t="s">
        <v>978</v>
      </c>
      <c r="D271" s="24" t="s">
        <v>979</v>
      </c>
      <c r="E271" s="93">
        <v>81</v>
      </c>
      <c r="F271" s="94">
        <v>4</v>
      </c>
      <c r="G271" s="94">
        <v>91</v>
      </c>
      <c r="H271" s="94">
        <v>4</v>
      </c>
      <c r="I271" s="94">
        <v>78</v>
      </c>
      <c r="J271" s="94">
        <v>4</v>
      </c>
      <c r="K271" s="94">
        <v>82</v>
      </c>
      <c r="L271" s="94">
        <v>2</v>
      </c>
      <c r="M271" s="94">
        <v>74</v>
      </c>
      <c r="N271" s="94">
        <v>2</v>
      </c>
      <c r="O271" s="94">
        <v>78</v>
      </c>
      <c r="P271" s="94">
        <v>2</v>
      </c>
      <c r="Q271">
        <v>82</v>
      </c>
      <c r="R271">
        <v>2</v>
      </c>
      <c r="S271">
        <v>84</v>
      </c>
      <c r="T271">
        <v>2</v>
      </c>
      <c r="U271">
        <v>79</v>
      </c>
      <c r="V271">
        <v>2</v>
      </c>
      <c r="W271">
        <v>85</v>
      </c>
      <c r="X271">
        <v>2</v>
      </c>
      <c r="Y271">
        <v>78</v>
      </c>
      <c r="Z271">
        <v>1</v>
      </c>
      <c r="AA271">
        <v>91</v>
      </c>
      <c r="AB271">
        <v>1</v>
      </c>
      <c r="AC271">
        <v>80</v>
      </c>
      <c r="AD271">
        <v>1</v>
      </c>
      <c r="AE271">
        <v>84</v>
      </c>
      <c r="AF271">
        <v>2</v>
      </c>
      <c r="AG271">
        <v>50</v>
      </c>
    </row>
    <row r="272" spans="1:34">
      <c r="A272" t="s">
        <v>980</v>
      </c>
      <c r="B272" s="24">
        <v>1805</v>
      </c>
      <c r="C272" s="24" t="s">
        <v>981</v>
      </c>
      <c r="D272" s="24" t="s">
        <v>982</v>
      </c>
      <c r="E272" s="93">
        <v>80</v>
      </c>
      <c r="F272" s="94">
        <v>4</v>
      </c>
      <c r="G272" s="94">
        <v>95</v>
      </c>
      <c r="H272" s="94">
        <v>4</v>
      </c>
      <c r="I272" s="94">
        <v>82</v>
      </c>
      <c r="J272" s="94">
        <v>4</v>
      </c>
      <c r="K272" s="94">
        <v>98</v>
      </c>
      <c r="L272" s="94">
        <v>2</v>
      </c>
      <c r="M272" s="94">
        <v>87</v>
      </c>
      <c r="N272" s="94">
        <v>2</v>
      </c>
      <c r="O272" s="94">
        <v>85</v>
      </c>
      <c r="P272" s="94">
        <v>2</v>
      </c>
      <c r="Q272">
        <v>85</v>
      </c>
      <c r="R272">
        <v>2</v>
      </c>
      <c r="S272">
        <v>84</v>
      </c>
      <c r="T272">
        <v>2</v>
      </c>
      <c r="U272">
        <v>79</v>
      </c>
      <c r="V272">
        <v>2</v>
      </c>
      <c r="W272">
        <v>80</v>
      </c>
      <c r="X272">
        <v>2</v>
      </c>
      <c r="Y272">
        <v>77</v>
      </c>
      <c r="Z272">
        <v>1</v>
      </c>
      <c r="AA272">
        <v>91</v>
      </c>
      <c r="AB272">
        <v>1</v>
      </c>
      <c r="AC272">
        <v>86</v>
      </c>
      <c r="AD272">
        <v>1</v>
      </c>
      <c r="AE272">
        <v>88</v>
      </c>
      <c r="AF272">
        <v>2</v>
      </c>
      <c r="AG272">
        <v>90</v>
      </c>
      <c r="AH272">
        <v>2</v>
      </c>
    </row>
    <row r="273" spans="1:34">
      <c r="A273" t="s">
        <v>983</v>
      </c>
      <c r="B273" s="24">
        <v>1805</v>
      </c>
      <c r="C273" s="24" t="s">
        <v>984</v>
      </c>
      <c r="D273" s="24" t="s">
        <v>985</v>
      </c>
      <c r="E273" s="93">
        <v>85</v>
      </c>
      <c r="F273" s="94">
        <v>4</v>
      </c>
      <c r="G273" s="94">
        <v>90</v>
      </c>
      <c r="H273" s="94">
        <v>4</v>
      </c>
      <c r="I273" s="94">
        <v>83</v>
      </c>
      <c r="J273" s="94">
        <v>4</v>
      </c>
      <c r="K273" s="94">
        <v>93</v>
      </c>
      <c r="L273" s="94">
        <v>2</v>
      </c>
      <c r="M273" s="94">
        <v>76</v>
      </c>
      <c r="N273" s="94">
        <v>2</v>
      </c>
      <c r="O273" s="94">
        <v>80</v>
      </c>
      <c r="P273" s="94">
        <v>2</v>
      </c>
      <c r="Q273">
        <v>97</v>
      </c>
      <c r="R273">
        <v>2</v>
      </c>
      <c r="S273">
        <v>86</v>
      </c>
      <c r="T273">
        <v>2</v>
      </c>
      <c r="U273">
        <v>83</v>
      </c>
      <c r="V273">
        <v>2</v>
      </c>
      <c r="W273">
        <v>85</v>
      </c>
      <c r="X273">
        <v>2</v>
      </c>
      <c r="Y273">
        <v>80</v>
      </c>
      <c r="Z273">
        <v>1</v>
      </c>
      <c r="AA273">
        <v>91</v>
      </c>
      <c r="AB273">
        <v>1</v>
      </c>
      <c r="AC273">
        <v>70</v>
      </c>
      <c r="AD273">
        <v>1</v>
      </c>
      <c r="AE273">
        <v>84</v>
      </c>
      <c r="AF273">
        <v>2</v>
      </c>
      <c r="AG273">
        <v>98</v>
      </c>
      <c r="AH273">
        <v>2</v>
      </c>
    </row>
    <row r="274" spans="1:34">
      <c r="A274" t="s">
        <v>986</v>
      </c>
      <c r="B274" s="24">
        <v>1805</v>
      </c>
      <c r="C274" s="24" t="s">
        <v>987</v>
      </c>
      <c r="D274" s="24" t="s">
        <v>988</v>
      </c>
      <c r="E274" s="93">
        <v>78</v>
      </c>
      <c r="F274" s="94">
        <v>4</v>
      </c>
      <c r="G274" s="94">
        <v>85</v>
      </c>
      <c r="H274" s="94">
        <v>4</v>
      </c>
      <c r="I274" s="94">
        <v>96</v>
      </c>
      <c r="J274" s="94">
        <v>4</v>
      </c>
      <c r="K274" s="94">
        <v>80</v>
      </c>
      <c r="L274" s="94">
        <v>2</v>
      </c>
      <c r="M274" s="94">
        <v>77</v>
      </c>
      <c r="N274" s="94">
        <v>2</v>
      </c>
      <c r="O274" s="94">
        <v>70</v>
      </c>
      <c r="P274" s="94">
        <v>2</v>
      </c>
      <c r="Q274">
        <v>87</v>
      </c>
      <c r="R274">
        <v>2</v>
      </c>
      <c r="S274">
        <v>82</v>
      </c>
      <c r="T274">
        <v>2</v>
      </c>
      <c r="U274">
        <v>85</v>
      </c>
      <c r="V274">
        <v>2</v>
      </c>
      <c r="W274">
        <v>88</v>
      </c>
      <c r="X274">
        <v>2</v>
      </c>
      <c r="Y274">
        <v>80</v>
      </c>
      <c r="Z274">
        <v>1</v>
      </c>
      <c r="AA274">
        <v>91</v>
      </c>
      <c r="AB274">
        <v>1</v>
      </c>
      <c r="AC274">
        <v>76</v>
      </c>
      <c r="AD274">
        <v>1</v>
      </c>
      <c r="AE274">
        <v>86</v>
      </c>
      <c r="AF274">
        <v>2</v>
      </c>
      <c r="AG274">
        <v>50</v>
      </c>
    </row>
    <row r="275" spans="1:34">
      <c r="A275" t="s">
        <v>989</v>
      </c>
      <c r="B275" s="24">
        <v>1805</v>
      </c>
      <c r="C275" s="24" t="s">
        <v>990</v>
      </c>
      <c r="D275" s="24" t="s">
        <v>991</v>
      </c>
      <c r="E275" s="93">
        <v>85</v>
      </c>
      <c r="F275" s="94">
        <v>4</v>
      </c>
      <c r="G275" s="94">
        <v>90</v>
      </c>
      <c r="H275" s="94">
        <v>4</v>
      </c>
      <c r="I275" s="94">
        <v>85</v>
      </c>
      <c r="J275" s="94">
        <v>4</v>
      </c>
      <c r="K275" s="94">
        <v>80</v>
      </c>
      <c r="L275" s="94">
        <v>2</v>
      </c>
      <c r="M275" s="94">
        <v>85</v>
      </c>
      <c r="N275" s="94">
        <v>2</v>
      </c>
      <c r="O275" s="94">
        <v>70</v>
      </c>
      <c r="P275" s="94">
        <v>2</v>
      </c>
      <c r="Q275">
        <v>89</v>
      </c>
      <c r="R275">
        <v>2</v>
      </c>
      <c r="S275">
        <v>80</v>
      </c>
      <c r="T275">
        <v>2</v>
      </c>
      <c r="U275">
        <v>80</v>
      </c>
      <c r="V275">
        <v>2</v>
      </c>
      <c r="W275">
        <v>85</v>
      </c>
      <c r="X275">
        <v>2</v>
      </c>
      <c r="Y275">
        <v>82</v>
      </c>
      <c r="Z275">
        <v>1</v>
      </c>
      <c r="AA275">
        <v>91</v>
      </c>
      <c r="AB275">
        <v>1</v>
      </c>
      <c r="AC275">
        <v>92</v>
      </c>
      <c r="AD275">
        <v>1</v>
      </c>
      <c r="AE275">
        <v>84</v>
      </c>
      <c r="AF275">
        <v>2</v>
      </c>
      <c r="AG275">
        <v>95</v>
      </c>
      <c r="AH275">
        <v>2</v>
      </c>
    </row>
    <row r="276" spans="1:34">
      <c r="A276" t="s">
        <v>992</v>
      </c>
      <c r="B276" s="24">
        <v>1805</v>
      </c>
      <c r="C276" s="24" t="s">
        <v>993</v>
      </c>
      <c r="D276" s="24" t="s">
        <v>994</v>
      </c>
      <c r="E276" s="93">
        <v>88</v>
      </c>
      <c r="F276" s="94">
        <v>4</v>
      </c>
      <c r="G276" s="94">
        <v>95</v>
      </c>
      <c r="H276" s="94">
        <v>4</v>
      </c>
      <c r="I276" s="94">
        <v>86</v>
      </c>
      <c r="J276" s="94">
        <v>4</v>
      </c>
      <c r="K276" s="94">
        <v>95</v>
      </c>
      <c r="L276" s="94">
        <v>2</v>
      </c>
      <c r="M276" s="94">
        <v>88</v>
      </c>
      <c r="N276" s="94">
        <v>2</v>
      </c>
      <c r="O276" s="94">
        <v>92</v>
      </c>
      <c r="P276" s="94">
        <v>2</v>
      </c>
      <c r="Q276">
        <v>81</v>
      </c>
      <c r="R276">
        <v>2</v>
      </c>
      <c r="S276">
        <v>91</v>
      </c>
      <c r="T276">
        <v>2</v>
      </c>
      <c r="U276">
        <v>86</v>
      </c>
      <c r="V276">
        <v>2</v>
      </c>
      <c r="W276">
        <v>93</v>
      </c>
      <c r="X276">
        <v>2</v>
      </c>
      <c r="Y276">
        <v>72</v>
      </c>
      <c r="Z276">
        <v>1</v>
      </c>
      <c r="AA276">
        <v>91</v>
      </c>
      <c r="AB276">
        <v>1</v>
      </c>
      <c r="AC276">
        <v>78</v>
      </c>
      <c r="AD276">
        <v>1</v>
      </c>
      <c r="AE276">
        <v>85</v>
      </c>
      <c r="AF276">
        <v>2</v>
      </c>
      <c r="AG276">
        <v>89</v>
      </c>
      <c r="AH276">
        <v>2</v>
      </c>
    </row>
    <row r="277" spans="1:34">
      <c r="A277" t="s">
        <v>995</v>
      </c>
      <c r="B277" s="24">
        <v>1805</v>
      </c>
      <c r="C277" s="24" t="s">
        <v>996</v>
      </c>
      <c r="D277" s="24" t="s">
        <v>997</v>
      </c>
      <c r="E277" s="93">
        <v>77</v>
      </c>
      <c r="F277" s="94">
        <v>4</v>
      </c>
      <c r="G277" s="94">
        <v>90</v>
      </c>
      <c r="H277" s="94">
        <v>4</v>
      </c>
      <c r="I277" s="94">
        <v>83</v>
      </c>
      <c r="J277" s="94">
        <v>4</v>
      </c>
      <c r="K277" s="94">
        <v>82</v>
      </c>
      <c r="L277" s="94">
        <v>2</v>
      </c>
      <c r="M277" s="94">
        <v>75</v>
      </c>
      <c r="N277" s="94">
        <v>2</v>
      </c>
      <c r="O277" s="94">
        <v>75</v>
      </c>
      <c r="P277" s="94">
        <v>2</v>
      </c>
      <c r="Q277">
        <v>85</v>
      </c>
      <c r="R277">
        <v>2</v>
      </c>
      <c r="S277">
        <v>82</v>
      </c>
      <c r="T277">
        <v>2</v>
      </c>
      <c r="U277">
        <v>82</v>
      </c>
      <c r="V277">
        <v>2</v>
      </c>
      <c r="W277">
        <v>80</v>
      </c>
      <c r="X277">
        <v>2</v>
      </c>
      <c r="Y277">
        <v>71</v>
      </c>
      <c r="Z277">
        <v>1</v>
      </c>
      <c r="AA277">
        <v>91</v>
      </c>
      <c r="AB277">
        <v>1</v>
      </c>
      <c r="AC277">
        <v>70</v>
      </c>
      <c r="AD277">
        <v>1</v>
      </c>
      <c r="AE277">
        <v>84</v>
      </c>
      <c r="AF277">
        <v>2</v>
      </c>
      <c r="AG277">
        <v>98</v>
      </c>
      <c r="AH277">
        <v>2</v>
      </c>
    </row>
    <row r="278" spans="1:34">
      <c r="A278" t="s">
        <v>998</v>
      </c>
      <c r="B278" s="24">
        <v>1805</v>
      </c>
      <c r="C278" s="24" t="s">
        <v>999</v>
      </c>
      <c r="D278" s="24" t="s">
        <v>1000</v>
      </c>
      <c r="E278" s="93">
        <v>84</v>
      </c>
      <c r="F278" s="94">
        <v>4</v>
      </c>
      <c r="G278" s="94">
        <v>90</v>
      </c>
      <c r="H278" s="94">
        <v>4</v>
      </c>
      <c r="I278" s="94">
        <v>82</v>
      </c>
      <c r="J278" s="94">
        <v>4</v>
      </c>
      <c r="K278" s="94">
        <v>89</v>
      </c>
      <c r="L278" s="94">
        <v>2</v>
      </c>
      <c r="M278" s="94">
        <v>74</v>
      </c>
      <c r="N278" s="94">
        <v>2</v>
      </c>
      <c r="O278" s="94">
        <v>75</v>
      </c>
      <c r="P278" s="94">
        <v>2</v>
      </c>
      <c r="Q278">
        <v>83</v>
      </c>
      <c r="R278">
        <v>2</v>
      </c>
      <c r="S278">
        <v>84</v>
      </c>
      <c r="T278">
        <v>2</v>
      </c>
      <c r="U278">
        <v>80</v>
      </c>
      <c r="V278">
        <v>2</v>
      </c>
      <c r="W278">
        <v>83</v>
      </c>
      <c r="X278">
        <v>2</v>
      </c>
      <c r="Y278">
        <v>73</v>
      </c>
      <c r="Z278">
        <v>1</v>
      </c>
      <c r="AA278">
        <v>91</v>
      </c>
      <c r="AB278">
        <v>1</v>
      </c>
      <c r="AC278">
        <v>76</v>
      </c>
      <c r="AD278">
        <v>1</v>
      </c>
      <c r="AE278">
        <v>86</v>
      </c>
      <c r="AF278">
        <v>2</v>
      </c>
      <c r="AG278">
        <v>58</v>
      </c>
    </row>
    <row r="279" spans="1:34">
      <c r="A279" t="s">
        <v>1001</v>
      </c>
      <c r="B279" s="24">
        <v>1805</v>
      </c>
      <c r="C279" s="24" t="s">
        <v>1002</v>
      </c>
      <c r="D279" s="24" t="s">
        <v>1003</v>
      </c>
      <c r="E279" s="93">
        <v>75</v>
      </c>
      <c r="F279" s="94">
        <v>4</v>
      </c>
      <c r="G279" s="94">
        <v>88</v>
      </c>
      <c r="H279" s="94">
        <v>4</v>
      </c>
      <c r="I279" s="94">
        <v>78</v>
      </c>
      <c r="J279" s="94">
        <v>4</v>
      </c>
      <c r="K279" s="94">
        <v>85</v>
      </c>
      <c r="L279" s="94">
        <v>2</v>
      </c>
      <c r="M279" s="94">
        <v>73</v>
      </c>
      <c r="N279" s="94">
        <v>2</v>
      </c>
      <c r="O279" s="94">
        <v>72</v>
      </c>
      <c r="P279" s="94">
        <v>2</v>
      </c>
      <c r="Q279">
        <v>83</v>
      </c>
      <c r="R279">
        <v>2</v>
      </c>
      <c r="S279">
        <v>82</v>
      </c>
      <c r="T279">
        <v>2</v>
      </c>
      <c r="U279">
        <v>70</v>
      </c>
      <c r="V279">
        <v>2</v>
      </c>
      <c r="W279">
        <v>88</v>
      </c>
      <c r="X279">
        <v>2</v>
      </c>
      <c r="Y279">
        <v>88</v>
      </c>
      <c r="Z279">
        <v>1</v>
      </c>
      <c r="AA279">
        <v>91</v>
      </c>
      <c r="AB279">
        <v>1</v>
      </c>
      <c r="AC279">
        <v>75</v>
      </c>
      <c r="AD279">
        <v>1</v>
      </c>
      <c r="AE279">
        <v>50</v>
      </c>
      <c r="AF279">
        <v>1</v>
      </c>
      <c r="AG279">
        <v>88</v>
      </c>
      <c r="AH279">
        <v>2</v>
      </c>
    </row>
    <row r="280" spans="1:34">
      <c r="A280" t="s">
        <v>1004</v>
      </c>
      <c r="B280" s="24">
        <v>1805</v>
      </c>
      <c r="C280" s="24" t="s">
        <v>1005</v>
      </c>
      <c r="D280" s="24" t="s">
        <v>1006</v>
      </c>
      <c r="E280" s="93">
        <v>81</v>
      </c>
      <c r="F280" s="94">
        <v>4</v>
      </c>
      <c r="G280" s="94">
        <v>90</v>
      </c>
      <c r="H280" s="94">
        <v>4</v>
      </c>
      <c r="I280" s="94">
        <v>80</v>
      </c>
      <c r="J280" s="94">
        <v>4</v>
      </c>
      <c r="K280" s="94">
        <v>85</v>
      </c>
      <c r="L280" s="94">
        <v>2</v>
      </c>
      <c r="M280" s="94">
        <v>75</v>
      </c>
      <c r="N280" s="94">
        <v>2</v>
      </c>
      <c r="O280" s="94">
        <v>75</v>
      </c>
      <c r="P280" s="94">
        <v>2</v>
      </c>
      <c r="Q280">
        <v>84</v>
      </c>
      <c r="R280">
        <v>2</v>
      </c>
      <c r="S280">
        <v>80</v>
      </c>
      <c r="T280">
        <v>2</v>
      </c>
      <c r="U280">
        <v>70</v>
      </c>
      <c r="V280">
        <v>2</v>
      </c>
      <c r="W280">
        <v>88</v>
      </c>
      <c r="X280">
        <v>2</v>
      </c>
      <c r="Y280">
        <v>70</v>
      </c>
      <c r="Z280">
        <v>1</v>
      </c>
      <c r="AA280">
        <v>91</v>
      </c>
      <c r="AB280">
        <v>1</v>
      </c>
      <c r="AC280">
        <v>85</v>
      </c>
      <c r="AD280">
        <v>1</v>
      </c>
      <c r="AE280">
        <v>86</v>
      </c>
      <c r="AF280">
        <v>2</v>
      </c>
      <c r="AG280">
        <v>84</v>
      </c>
      <c r="AH280">
        <v>2</v>
      </c>
    </row>
    <row r="281" spans="1:34">
      <c r="A281" t="s">
        <v>1007</v>
      </c>
      <c r="B281" s="24">
        <v>1805</v>
      </c>
      <c r="C281" s="24" t="s">
        <v>1008</v>
      </c>
      <c r="D281" s="24" t="s">
        <v>1009</v>
      </c>
      <c r="E281" s="93">
        <v>100</v>
      </c>
      <c r="F281" s="94">
        <v>4</v>
      </c>
      <c r="G281" s="94">
        <v>89</v>
      </c>
      <c r="H281" s="94">
        <v>4</v>
      </c>
      <c r="I281" s="94">
        <v>82</v>
      </c>
      <c r="J281" s="94">
        <v>4</v>
      </c>
      <c r="K281" s="94">
        <v>81</v>
      </c>
      <c r="L281" s="94">
        <v>2</v>
      </c>
      <c r="M281" s="94">
        <v>73</v>
      </c>
      <c r="N281" s="94">
        <v>2</v>
      </c>
      <c r="O281" s="94">
        <v>75</v>
      </c>
      <c r="P281" s="94">
        <v>2</v>
      </c>
      <c r="Q281">
        <v>96</v>
      </c>
      <c r="R281">
        <v>2</v>
      </c>
      <c r="S281">
        <v>88</v>
      </c>
      <c r="T281">
        <v>2</v>
      </c>
      <c r="U281">
        <v>77</v>
      </c>
      <c r="V281">
        <v>2</v>
      </c>
      <c r="W281">
        <v>88</v>
      </c>
      <c r="X281">
        <v>2</v>
      </c>
      <c r="Y281">
        <v>93</v>
      </c>
      <c r="Z281">
        <v>1</v>
      </c>
      <c r="AA281">
        <v>91</v>
      </c>
      <c r="AB281">
        <v>1</v>
      </c>
      <c r="AC281">
        <v>75</v>
      </c>
      <c r="AD281">
        <v>1</v>
      </c>
      <c r="AE281">
        <v>84</v>
      </c>
      <c r="AF281">
        <v>2</v>
      </c>
      <c r="AG281">
        <v>78</v>
      </c>
      <c r="AH281">
        <v>2</v>
      </c>
    </row>
    <row r="282" spans="1:34">
      <c r="A282" t="s">
        <v>1010</v>
      </c>
      <c r="B282" s="24">
        <v>1805</v>
      </c>
      <c r="C282" s="24" t="s">
        <v>1011</v>
      </c>
      <c r="D282" s="24" t="s">
        <v>1012</v>
      </c>
      <c r="E282" s="93">
        <v>83</v>
      </c>
      <c r="F282" s="94">
        <v>4</v>
      </c>
      <c r="G282" s="94">
        <v>90</v>
      </c>
      <c r="H282" s="94">
        <v>4</v>
      </c>
      <c r="I282" s="94">
        <v>83</v>
      </c>
      <c r="J282" s="94">
        <v>4</v>
      </c>
      <c r="K282" s="94">
        <v>94</v>
      </c>
      <c r="L282" s="94">
        <v>2</v>
      </c>
      <c r="M282" s="94">
        <v>76</v>
      </c>
      <c r="N282" s="94">
        <v>2</v>
      </c>
      <c r="O282" s="94">
        <v>75</v>
      </c>
      <c r="P282" s="94">
        <v>2</v>
      </c>
      <c r="Q282">
        <v>83</v>
      </c>
      <c r="R282">
        <v>2</v>
      </c>
      <c r="S282">
        <v>86</v>
      </c>
      <c r="T282">
        <v>2</v>
      </c>
      <c r="U282">
        <v>72</v>
      </c>
      <c r="V282">
        <v>2</v>
      </c>
      <c r="W282">
        <v>85</v>
      </c>
      <c r="X282">
        <v>2</v>
      </c>
      <c r="Y282">
        <v>78</v>
      </c>
      <c r="Z282">
        <v>1</v>
      </c>
      <c r="AA282">
        <v>91</v>
      </c>
      <c r="AB282">
        <v>1</v>
      </c>
      <c r="AC282">
        <v>78</v>
      </c>
      <c r="AD282">
        <v>1</v>
      </c>
      <c r="AE282">
        <v>89</v>
      </c>
      <c r="AF282">
        <v>2</v>
      </c>
      <c r="AG282">
        <v>78</v>
      </c>
      <c r="AH282">
        <v>2</v>
      </c>
    </row>
    <row r="283" spans="1:34">
      <c r="A283" t="s">
        <v>1013</v>
      </c>
      <c r="B283" s="24">
        <v>1805</v>
      </c>
      <c r="C283" s="24" t="s">
        <v>1014</v>
      </c>
      <c r="D283" s="24" t="s">
        <v>1015</v>
      </c>
      <c r="E283" s="93">
        <v>90</v>
      </c>
      <c r="F283" s="94">
        <v>4</v>
      </c>
      <c r="G283" s="94">
        <v>90</v>
      </c>
      <c r="H283" s="94">
        <v>4</v>
      </c>
      <c r="I283" s="94">
        <v>86</v>
      </c>
      <c r="J283" s="94">
        <v>4</v>
      </c>
      <c r="K283" s="94">
        <v>86</v>
      </c>
      <c r="L283" s="94">
        <v>2</v>
      </c>
      <c r="M283" s="94">
        <v>77</v>
      </c>
      <c r="N283" s="94">
        <v>2</v>
      </c>
      <c r="O283" s="94">
        <v>75</v>
      </c>
      <c r="P283" s="94">
        <v>2</v>
      </c>
      <c r="Q283">
        <v>99</v>
      </c>
      <c r="R283">
        <v>2</v>
      </c>
      <c r="S283">
        <v>82</v>
      </c>
      <c r="T283">
        <v>2</v>
      </c>
      <c r="U283">
        <v>78</v>
      </c>
      <c r="V283">
        <v>2</v>
      </c>
      <c r="W283">
        <v>85</v>
      </c>
      <c r="X283">
        <v>2</v>
      </c>
      <c r="Y283">
        <v>77</v>
      </c>
      <c r="Z283">
        <v>1</v>
      </c>
      <c r="AA283">
        <v>91</v>
      </c>
      <c r="AB283">
        <v>1</v>
      </c>
      <c r="AC283">
        <v>78</v>
      </c>
      <c r="AD283">
        <v>1</v>
      </c>
      <c r="AE283">
        <v>90</v>
      </c>
      <c r="AF283">
        <v>2</v>
      </c>
      <c r="AG283">
        <v>92</v>
      </c>
      <c r="AH283">
        <v>2</v>
      </c>
    </row>
    <row r="284" spans="1:34">
      <c r="A284" t="s">
        <v>1016</v>
      </c>
      <c r="B284" s="24">
        <v>1805</v>
      </c>
      <c r="C284" s="24" t="s">
        <v>1017</v>
      </c>
      <c r="D284" s="24" t="s">
        <v>1018</v>
      </c>
      <c r="E284" s="93">
        <v>83</v>
      </c>
      <c r="F284" s="94">
        <v>4</v>
      </c>
      <c r="G284" s="94">
        <v>90</v>
      </c>
      <c r="H284" s="94">
        <v>4</v>
      </c>
      <c r="I284" s="94">
        <v>86</v>
      </c>
      <c r="J284" s="94">
        <v>4</v>
      </c>
      <c r="K284" s="94">
        <v>85</v>
      </c>
      <c r="L284" s="94">
        <v>2</v>
      </c>
      <c r="M284" s="94">
        <v>80</v>
      </c>
      <c r="N284" s="94">
        <v>2</v>
      </c>
      <c r="O284" s="94">
        <v>75</v>
      </c>
      <c r="P284" s="94">
        <v>2</v>
      </c>
      <c r="Q284">
        <v>80</v>
      </c>
      <c r="R284">
        <v>2</v>
      </c>
      <c r="S284">
        <v>71</v>
      </c>
      <c r="T284">
        <v>2</v>
      </c>
      <c r="U284">
        <v>70</v>
      </c>
      <c r="V284">
        <v>2</v>
      </c>
      <c r="W284">
        <v>80</v>
      </c>
      <c r="X284">
        <v>2</v>
      </c>
      <c r="Y284">
        <v>78</v>
      </c>
      <c r="Z284">
        <v>1</v>
      </c>
      <c r="AA284">
        <v>91</v>
      </c>
      <c r="AB284">
        <v>1</v>
      </c>
      <c r="AC284">
        <v>80</v>
      </c>
      <c r="AD284">
        <v>1</v>
      </c>
      <c r="AE284">
        <v>88</v>
      </c>
      <c r="AF284">
        <v>2</v>
      </c>
      <c r="AG284">
        <v>95</v>
      </c>
      <c r="AH284">
        <v>2</v>
      </c>
    </row>
    <row r="285" spans="1:34">
      <c r="A285" t="s">
        <v>1019</v>
      </c>
      <c r="B285" s="24">
        <v>1805</v>
      </c>
      <c r="C285" s="24" t="s">
        <v>1020</v>
      </c>
      <c r="D285" s="24" t="s">
        <v>1021</v>
      </c>
      <c r="E285" s="93">
        <v>85</v>
      </c>
      <c r="F285" s="94">
        <v>4</v>
      </c>
      <c r="G285" s="94">
        <v>93</v>
      </c>
      <c r="H285" s="94">
        <v>4</v>
      </c>
      <c r="I285" s="94">
        <v>88</v>
      </c>
      <c r="J285" s="94">
        <v>4</v>
      </c>
      <c r="K285" s="94">
        <v>97</v>
      </c>
      <c r="L285" s="94">
        <v>2</v>
      </c>
      <c r="M285" s="94">
        <v>88</v>
      </c>
      <c r="N285" s="94">
        <v>2</v>
      </c>
      <c r="O285" s="94">
        <v>80</v>
      </c>
      <c r="P285" s="94">
        <v>2</v>
      </c>
      <c r="Q285">
        <v>93</v>
      </c>
      <c r="R285">
        <v>2</v>
      </c>
      <c r="S285">
        <v>95</v>
      </c>
      <c r="T285">
        <v>2</v>
      </c>
      <c r="U285">
        <v>79</v>
      </c>
      <c r="V285">
        <v>2</v>
      </c>
      <c r="W285">
        <v>93</v>
      </c>
      <c r="X285">
        <v>2</v>
      </c>
      <c r="Y285">
        <v>77</v>
      </c>
      <c r="Z285">
        <v>1</v>
      </c>
      <c r="AA285">
        <v>91</v>
      </c>
      <c r="AB285">
        <v>1</v>
      </c>
      <c r="AC285">
        <v>80</v>
      </c>
      <c r="AD285">
        <v>1</v>
      </c>
      <c r="AE285">
        <v>82</v>
      </c>
      <c r="AF285">
        <v>2</v>
      </c>
      <c r="AG285">
        <v>96</v>
      </c>
      <c r="AH285">
        <v>2</v>
      </c>
    </row>
    <row r="286" spans="1:34">
      <c r="A286" t="s">
        <v>1022</v>
      </c>
      <c r="B286" s="24">
        <v>1805</v>
      </c>
      <c r="C286" s="24" t="s">
        <v>1023</v>
      </c>
      <c r="D286" s="24" t="s">
        <v>1024</v>
      </c>
      <c r="E286" s="93">
        <v>97</v>
      </c>
      <c r="F286" s="94">
        <v>4</v>
      </c>
      <c r="G286" s="94">
        <v>93</v>
      </c>
      <c r="H286" s="94">
        <v>4</v>
      </c>
      <c r="I286" s="94">
        <v>87</v>
      </c>
      <c r="J286" s="94">
        <v>4</v>
      </c>
      <c r="K286" s="94">
        <v>97</v>
      </c>
      <c r="L286" s="94">
        <v>2</v>
      </c>
      <c r="M286" s="94">
        <v>83</v>
      </c>
      <c r="N286" s="94">
        <v>2</v>
      </c>
      <c r="O286" s="94">
        <v>94</v>
      </c>
      <c r="P286" s="94">
        <v>2</v>
      </c>
      <c r="Q286">
        <v>88</v>
      </c>
      <c r="R286">
        <v>2</v>
      </c>
      <c r="S286">
        <v>91</v>
      </c>
      <c r="T286">
        <v>2</v>
      </c>
      <c r="U286">
        <v>79</v>
      </c>
      <c r="V286">
        <v>2</v>
      </c>
      <c r="W286">
        <v>88</v>
      </c>
      <c r="X286">
        <v>2</v>
      </c>
      <c r="Y286">
        <v>78</v>
      </c>
      <c r="Z286">
        <v>1</v>
      </c>
      <c r="AA286">
        <v>91</v>
      </c>
      <c r="AB286">
        <v>1</v>
      </c>
      <c r="AC286">
        <v>78</v>
      </c>
      <c r="AD286">
        <v>1</v>
      </c>
      <c r="AE286">
        <v>84</v>
      </c>
      <c r="AF286">
        <v>2</v>
      </c>
      <c r="AG286">
        <v>98</v>
      </c>
      <c r="AH286">
        <v>2</v>
      </c>
    </row>
    <row r="287" spans="1:34">
      <c r="A287">
        <v>20181083</v>
      </c>
      <c r="B287" s="24">
        <v>1805</v>
      </c>
      <c r="C287" s="24" t="s">
        <v>3266</v>
      </c>
      <c r="D287" s="24" t="s">
        <v>3249</v>
      </c>
      <c r="E287" s="93">
        <v>75</v>
      </c>
      <c r="F287" s="94">
        <v>4</v>
      </c>
      <c r="G287" s="94">
        <v>90</v>
      </c>
      <c r="H287" s="94">
        <v>4</v>
      </c>
      <c r="I287" s="94">
        <v>85</v>
      </c>
      <c r="J287" s="94">
        <v>4</v>
      </c>
      <c r="K287" s="94">
        <v>90</v>
      </c>
      <c r="L287" s="94">
        <v>2</v>
      </c>
      <c r="M287" s="94">
        <v>84</v>
      </c>
      <c r="N287" s="94">
        <v>2</v>
      </c>
      <c r="O287" s="94">
        <v>80</v>
      </c>
      <c r="P287" s="94">
        <v>2</v>
      </c>
      <c r="Q287">
        <v>82</v>
      </c>
      <c r="R287">
        <v>2</v>
      </c>
      <c r="S287">
        <v>86</v>
      </c>
      <c r="T287">
        <v>2</v>
      </c>
      <c r="U287">
        <v>78</v>
      </c>
      <c r="V287">
        <v>2</v>
      </c>
      <c r="W287">
        <v>95</v>
      </c>
      <c r="X287">
        <v>2</v>
      </c>
      <c r="Y287">
        <v>83</v>
      </c>
      <c r="Z287">
        <v>1</v>
      </c>
      <c r="AA287">
        <v>91</v>
      </c>
      <c r="AB287">
        <v>1</v>
      </c>
      <c r="AC287">
        <v>85</v>
      </c>
      <c r="AD287">
        <v>1</v>
      </c>
      <c r="AE287">
        <v>84</v>
      </c>
      <c r="AF287">
        <v>2</v>
      </c>
      <c r="AG287">
        <v>94</v>
      </c>
      <c r="AH287">
        <v>2</v>
      </c>
    </row>
    <row r="288" spans="1:34">
      <c r="A288" t="s">
        <v>1025</v>
      </c>
      <c r="B288" s="24">
        <v>1806</v>
      </c>
      <c r="C288" s="24" t="s">
        <v>1026</v>
      </c>
      <c r="D288" s="24" t="s">
        <v>1027</v>
      </c>
      <c r="E288" s="93">
        <v>97</v>
      </c>
      <c r="F288" s="94">
        <v>4</v>
      </c>
      <c r="G288" s="94">
        <v>88</v>
      </c>
      <c r="H288" s="94">
        <v>4</v>
      </c>
      <c r="I288" s="94">
        <v>81</v>
      </c>
      <c r="J288" s="94">
        <v>4</v>
      </c>
      <c r="K288" s="94">
        <v>80</v>
      </c>
      <c r="L288" s="94">
        <v>2</v>
      </c>
      <c r="M288" s="94">
        <v>73</v>
      </c>
      <c r="N288" s="94">
        <v>2</v>
      </c>
      <c r="O288" s="94">
        <v>70</v>
      </c>
      <c r="P288" s="94">
        <v>2</v>
      </c>
      <c r="Q288">
        <v>81</v>
      </c>
      <c r="R288">
        <v>2</v>
      </c>
      <c r="S288">
        <v>92</v>
      </c>
      <c r="T288">
        <v>2</v>
      </c>
      <c r="U288">
        <v>70</v>
      </c>
      <c r="V288">
        <v>2</v>
      </c>
      <c r="W288">
        <v>83</v>
      </c>
      <c r="X288">
        <v>2</v>
      </c>
      <c r="Y288">
        <v>78</v>
      </c>
      <c r="Z288">
        <v>1</v>
      </c>
      <c r="AA288">
        <v>90</v>
      </c>
      <c r="AB288">
        <v>1</v>
      </c>
      <c r="AC288">
        <v>80</v>
      </c>
      <c r="AD288">
        <v>1</v>
      </c>
      <c r="AE288">
        <v>84</v>
      </c>
      <c r="AF288">
        <v>2</v>
      </c>
      <c r="AG288">
        <v>98</v>
      </c>
      <c r="AH288">
        <v>2</v>
      </c>
    </row>
    <row r="289" spans="1:34">
      <c r="A289" t="s">
        <v>1028</v>
      </c>
      <c r="B289" s="24">
        <v>1806</v>
      </c>
      <c r="C289" s="24" t="s">
        <v>1029</v>
      </c>
      <c r="D289" s="24" t="s">
        <v>1030</v>
      </c>
      <c r="E289" s="93">
        <v>70</v>
      </c>
      <c r="F289" s="94">
        <v>4</v>
      </c>
      <c r="G289" s="94">
        <v>89</v>
      </c>
      <c r="H289" s="94">
        <v>4</v>
      </c>
      <c r="I289" s="94">
        <v>82</v>
      </c>
      <c r="J289" s="94">
        <v>4</v>
      </c>
      <c r="K289" s="94">
        <v>94</v>
      </c>
      <c r="L289" s="94">
        <v>2</v>
      </c>
      <c r="M289" s="94">
        <v>76</v>
      </c>
      <c r="N289" s="94">
        <v>2</v>
      </c>
      <c r="O289" s="94">
        <v>79</v>
      </c>
      <c r="P289" s="94">
        <v>2</v>
      </c>
      <c r="Q289">
        <v>85</v>
      </c>
      <c r="R289">
        <v>2</v>
      </c>
      <c r="S289">
        <v>90</v>
      </c>
      <c r="T289">
        <v>2</v>
      </c>
      <c r="U289">
        <v>81</v>
      </c>
      <c r="V289">
        <v>2</v>
      </c>
      <c r="W289">
        <v>85</v>
      </c>
      <c r="X289">
        <v>2</v>
      </c>
      <c r="Y289">
        <v>76</v>
      </c>
      <c r="Z289">
        <v>1</v>
      </c>
      <c r="AA289">
        <v>90</v>
      </c>
      <c r="AB289">
        <v>1</v>
      </c>
      <c r="AC289">
        <v>72</v>
      </c>
      <c r="AD289">
        <v>1</v>
      </c>
      <c r="AE289">
        <v>86</v>
      </c>
      <c r="AF289">
        <v>2</v>
      </c>
      <c r="AG289">
        <v>88</v>
      </c>
      <c r="AH289">
        <v>2</v>
      </c>
    </row>
    <row r="290" spans="1:34">
      <c r="A290" t="s">
        <v>1031</v>
      </c>
      <c r="B290" s="24">
        <v>1806</v>
      </c>
      <c r="C290" s="24" t="s">
        <v>1032</v>
      </c>
      <c r="D290" s="24" t="s">
        <v>1033</v>
      </c>
      <c r="E290" s="93">
        <v>98</v>
      </c>
      <c r="F290" s="94">
        <v>4</v>
      </c>
      <c r="G290" s="94">
        <v>90</v>
      </c>
      <c r="H290" s="94">
        <v>4</v>
      </c>
      <c r="I290" s="94">
        <v>93</v>
      </c>
      <c r="J290" s="94">
        <v>4</v>
      </c>
      <c r="K290" s="94">
        <v>92</v>
      </c>
      <c r="L290" s="94">
        <v>2</v>
      </c>
      <c r="M290" s="94">
        <v>83</v>
      </c>
      <c r="N290" s="94">
        <v>2</v>
      </c>
      <c r="O290" s="94">
        <v>70</v>
      </c>
      <c r="P290" s="94">
        <v>2</v>
      </c>
      <c r="Q290">
        <v>75</v>
      </c>
      <c r="R290">
        <v>2</v>
      </c>
      <c r="S290">
        <v>80</v>
      </c>
      <c r="T290">
        <v>2</v>
      </c>
      <c r="U290">
        <v>70</v>
      </c>
      <c r="V290">
        <v>2</v>
      </c>
      <c r="W290">
        <v>85</v>
      </c>
      <c r="X290">
        <v>2</v>
      </c>
      <c r="Y290">
        <v>85</v>
      </c>
      <c r="Z290">
        <v>1</v>
      </c>
      <c r="AA290">
        <v>90</v>
      </c>
      <c r="AB290">
        <v>1</v>
      </c>
      <c r="AC290">
        <v>82</v>
      </c>
      <c r="AD290">
        <v>1</v>
      </c>
      <c r="AE290">
        <v>79</v>
      </c>
      <c r="AF290">
        <v>2</v>
      </c>
      <c r="AG290">
        <v>89</v>
      </c>
      <c r="AH290">
        <v>2</v>
      </c>
    </row>
    <row r="291" spans="1:34">
      <c r="A291" t="s">
        <v>1034</v>
      </c>
      <c r="B291" s="24">
        <v>1806</v>
      </c>
      <c r="C291" s="24" t="s">
        <v>1035</v>
      </c>
      <c r="D291" s="24" t="s">
        <v>186</v>
      </c>
      <c r="E291" s="93">
        <v>80</v>
      </c>
      <c r="F291" s="94">
        <v>4</v>
      </c>
      <c r="G291" s="94">
        <v>95</v>
      </c>
      <c r="H291" s="94">
        <v>4</v>
      </c>
      <c r="I291" s="94">
        <v>94</v>
      </c>
      <c r="J291" s="94">
        <v>4</v>
      </c>
      <c r="K291" s="94">
        <v>98</v>
      </c>
      <c r="L291" s="94">
        <v>2</v>
      </c>
      <c r="M291" s="94">
        <v>97</v>
      </c>
      <c r="N291" s="94">
        <v>2</v>
      </c>
      <c r="O291" s="94">
        <v>93</v>
      </c>
      <c r="P291" s="94">
        <v>2</v>
      </c>
      <c r="Q291">
        <v>100</v>
      </c>
      <c r="R291">
        <v>2</v>
      </c>
      <c r="S291">
        <v>98</v>
      </c>
      <c r="T291">
        <v>2</v>
      </c>
      <c r="U291">
        <v>71</v>
      </c>
      <c r="V291">
        <v>2</v>
      </c>
      <c r="W291">
        <v>85</v>
      </c>
      <c r="X291">
        <v>2</v>
      </c>
      <c r="Y291">
        <v>83</v>
      </c>
      <c r="Z291">
        <v>1</v>
      </c>
      <c r="AA291">
        <v>90</v>
      </c>
      <c r="AB291">
        <v>1</v>
      </c>
      <c r="AC291">
        <v>78</v>
      </c>
      <c r="AD291">
        <v>1</v>
      </c>
      <c r="AE291">
        <v>84</v>
      </c>
      <c r="AF291">
        <v>2</v>
      </c>
      <c r="AG291">
        <v>95</v>
      </c>
      <c r="AH291">
        <v>2</v>
      </c>
    </row>
    <row r="292" spans="1:34">
      <c r="A292" t="s">
        <v>1036</v>
      </c>
      <c r="B292" s="24">
        <v>1806</v>
      </c>
      <c r="C292" s="24" t="s">
        <v>1037</v>
      </c>
      <c r="D292" s="24" t="s">
        <v>69</v>
      </c>
      <c r="E292" s="93">
        <v>82</v>
      </c>
      <c r="F292" s="94">
        <v>4</v>
      </c>
      <c r="G292" s="94">
        <v>97</v>
      </c>
      <c r="H292" s="94">
        <v>4</v>
      </c>
      <c r="I292" s="94">
        <v>90</v>
      </c>
      <c r="J292" s="94">
        <v>4</v>
      </c>
      <c r="K292" s="94">
        <v>98</v>
      </c>
      <c r="L292" s="94">
        <v>2</v>
      </c>
      <c r="M292" s="94">
        <v>93</v>
      </c>
      <c r="N292" s="94">
        <v>2</v>
      </c>
      <c r="O292" s="94">
        <v>90</v>
      </c>
      <c r="P292" s="94">
        <v>2</v>
      </c>
      <c r="Q292">
        <v>88</v>
      </c>
      <c r="R292">
        <v>2</v>
      </c>
      <c r="S292">
        <v>88</v>
      </c>
      <c r="T292">
        <v>2</v>
      </c>
      <c r="U292">
        <v>70</v>
      </c>
      <c r="V292">
        <v>2</v>
      </c>
      <c r="W292">
        <v>85</v>
      </c>
      <c r="X292">
        <v>2</v>
      </c>
      <c r="Y292">
        <v>80</v>
      </c>
      <c r="Z292">
        <v>1</v>
      </c>
      <c r="AA292">
        <v>90</v>
      </c>
      <c r="AB292">
        <v>1</v>
      </c>
      <c r="AC292">
        <v>90</v>
      </c>
      <c r="AD292">
        <v>1</v>
      </c>
      <c r="AE292">
        <v>79</v>
      </c>
      <c r="AF292">
        <v>2</v>
      </c>
      <c r="AG292">
        <v>85</v>
      </c>
      <c r="AH292">
        <v>2</v>
      </c>
    </row>
    <row r="293" spans="1:34">
      <c r="A293" t="s">
        <v>1038</v>
      </c>
      <c r="B293" s="24">
        <v>1806</v>
      </c>
      <c r="C293" s="24" t="s">
        <v>1039</v>
      </c>
      <c r="D293" s="24" t="s">
        <v>1040</v>
      </c>
      <c r="E293" s="93">
        <v>93</v>
      </c>
      <c r="F293" s="94">
        <v>4</v>
      </c>
      <c r="G293" s="94">
        <v>90</v>
      </c>
      <c r="H293" s="94">
        <v>4</v>
      </c>
      <c r="I293" s="94">
        <v>95</v>
      </c>
      <c r="J293" s="94">
        <v>4</v>
      </c>
      <c r="K293" s="94">
        <v>93</v>
      </c>
      <c r="L293" s="94">
        <v>2</v>
      </c>
      <c r="M293" s="94">
        <v>91</v>
      </c>
      <c r="N293" s="94">
        <v>2</v>
      </c>
      <c r="O293" s="94">
        <v>85</v>
      </c>
      <c r="P293" s="94">
        <v>2</v>
      </c>
      <c r="Q293">
        <v>99</v>
      </c>
      <c r="R293">
        <v>2</v>
      </c>
      <c r="S293">
        <v>96</v>
      </c>
      <c r="T293">
        <v>2</v>
      </c>
      <c r="U293">
        <v>76</v>
      </c>
      <c r="V293">
        <v>2</v>
      </c>
      <c r="W293">
        <v>93</v>
      </c>
      <c r="X293">
        <v>2</v>
      </c>
      <c r="Y293">
        <v>80</v>
      </c>
      <c r="Z293">
        <v>1</v>
      </c>
      <c r="AA293">
        <v>90</v>
      </c>
      <c r="AB293">
        <v>1</v>
      </c>
      <c r="AC293">
        <v>70</v>
      </c>
      <c r="AD293">
        <v>1</v>
      </c>
      <c r="AE293">
        <v>84</v>
      </c>
      <c r="AF293">
        <v>2</v>
      </c>
      <c r="AG293">
        <v>75</v>
      </c>
      <c r="AH293">
        <v>2</v>
      </c>
    </row>
    <row r="294" spans="1:34">
      <c r="A294" t="s">
        <v>1041</v>
      </c>
      <c r="B294" s="24">
        <v>1806</v>
      </c>
      <c r="C294" s="24" t="s">
        <v>1042</v>
      </c>
      <c r="D294" s="24" t="s">
        <v>1043</v>
      </c>
      <c r="E294" s="93">
        <v>76</v>
      </c>
      <c r="F294" s="94">
        <v>4</v>
      </c>
      <c r="G294" s="94">
        <v>90</v>
      </c>
      <c r="H294" s="94">
        <v>4</v>
      </c>
      <c r="I294" s="94">
        <v>78</v>
      </c>
      <c r="J294" s="94">
        <v>4</v>
      </c>
      <c r="K294" s="94">
        <v>95</v>
      </c>
      <c r="L294" s="94">
        <v>2</v>
      </c>
      <c r="M294" s="94">
        <v>78</v>
      </c>
      <c r="N294" s="94">
        <v>2</v>
      </c>
      <c r="O294" s="94">
        <v>70</v>
      </c>
      <c r="P294" s="94">
        <v>2</v>
      </c>
      <c r="Q294">
        <v>85</v>
      </c>
      <c r="R294">
        <v>2</v>
      </c>
      <c r="S294">
        <v>90</v>
      </c>
      <c r="T294">
        <v>2</v>
      </c>
      <c r="U294">
        <v>85</v>
      </c>
      <c r="V294">
        <v>2</v>
      </c>
      <c r="W294">
        <v>98</v>
      </c>
      <c r="X294">
        <v>2</v>
      </c>
      <c r="Y294">
        <v>76</v>
      </c>
      <c r="Z294">
        <v>1</v>
      </c>
      <c r="AA294">
        <v>90</v>
      </c>
      <c r="AB294">
        <v>1</v>
      </c>
      <c r="AC294">
        <v>75</v>
      </c>
      <c r="AD294">
        <v>1</v>
      </c>
      <c r="AE294">
        <v>79</v>
      </c>
      <c r="AF294">
        <v>2</v>
      </c>
      <c r="AG294">
        <v>90</v>
      </c>
      <c r="AH294">
        <v>2</v>
      </c>
    </row>
    <row r="295" spans="1:34">
      <c r="A295" t="s">
        <v>1044</v>
      </c>
      <c r="B295" s="24">
        <v>1806</v>
      </c>
      <c r="C295" s="24" t="s">
        <v>1045</v>
      </c>
      <c r="D295" s="24" t="s">
        <v>1046</v>
      </c>
      <c r="E295" s="93">
        <v>92</v>
      </c>
      <c r="F295" s="94">
        <v>4</v>
      </c>
      <c r="G295" s="94">
        <v>93</v>
      </c>
      <c r="H295" s="94">
        <v>4</v>
      </c>
      <c r="I295" s="94">
        <v>90</v>
      </c>
      <c r="J295" s="94">
        <v>4</v>
      </c>
      <c r="K295" s="94">
        <v>89</v>
      </c>
      <c r="L295" s="94">
        <v>2</v>
      </c>
      <c r="M295" s="94">
        <v>92</v>
      </c>
      <c r="N295" s="94">
        <v>2</v>
      </c>
      <c r="O295" s="94">
        <v>94</v>
      </c>
      <c r="P295" s="94">
        <v>2</v>
      </c>
      <c r="Q295">
        <v>91</v>
      </c>
      <c r="R295">
        <v>2</v>
      </c>
      <c r="S295">
        <v>82</v>
      </c>
      <c r="T295">
        <v>2</v>
      </c>
      <c r="U295">
        <v>71</v>
      </c>
      <c r="V295">
        <v>2</v>
      </c>
      <c r="W295">
        <v>93</v>
      </c>
      <c r="X295">
        <v>2</v>
      </c>
      <c r="Y295">
        <v>81</v>
      </c>
      <c r="Z295">
        <v>1</v>
      </c>
      <c r="AA295">
        <v>90</v>
      </c>
      <c r="AB295">
        <v>1</v>
      </c>
      <c r="AC295">
        <v>85</v>
      </c>
      <c r="AD295">
        <v>1</v>
      </c>
      <c r="AE295">
        <v>80</v>
      </c>
      <c r="AF295">
        <v>2</v>
      </c>
      <c r="AG295">
        <v>98</v>
      </c>
      <c r="AH295">
        <v>2</v>
      </c>
    </row>
    <row r="296" spans="1:34">
      <c r="A296" t="s">
        <v>1047</v>
      </c>
      <c r="B296" s="24">
        <v>1806</v>
      </c>
      <c r="C296" s="24" t="s">
        <v>1048</v>
      </c>
      <c r="D296" s="24" t="s">
        <v>208</v>
      </c>
      <c r="E296" s="93">
        <v>93</v>
      </c>
      <c r="F296" s="94">
        <v>4</v>
      </c>
      <c r="G296" s="94">
        <v>93</v>
      </c>
      <c r="H296" s="94">
        <v>4</v>
      </c>
      <c r="I296" s="94">
        <v>91</v>
      </c>
      <c r="J296" s="94">
        <v>4</v>
      </c>
      <c r="K296" s="94">
        <v>96</v>
      </c>
      <c r="L296" s="94">
        <v>2</v>
      </c>
      <c r="M296" s="94">
        <v>90</v>
      </c>
      <c r="N296" s="94">
        <v>2</v>
      </c>
      <c r="O296" s="94">
        <v>90</v>
      </c>
      <c r="P296" s="94">
        <v>2</v>
      </c>
      <c r="Q296">
        <v>95</v>
      </c>
      <c r="R296">
        <v>2</v>
      </c>
      <c r="S296">
        <v>86</v>
      </c>
      <c r="T296">
        <v>2</v>
      </c>
      <c r="U296">
        <v>81</v>
      </c>
      <c r="V296">
        <v>2</v>
      </c>
      <c r="W296">
        <v>90</v>
      </c>
      <c r="X296">
        <v>2</v>
      </c>
      <c r="Y296">
        <v>83</v>
      </c>
      <c r="Z296">
        <v>1</v>
      </c>
      <c r="AA296">
        <v>90</v>
      </c>
      <c r="AB296">
        <v>1</v>
      </c>
      <c r="AC296">
        <v>68</v>
      </c>
      <c r="AD296">
        <v>1</v>
      </c>
      <c r="AE296">
        <v>85</v>
      </c>
      <c r="AF296">
        <v>2</v>
      </c>
      <c r="AG296">
        <v>90</v>
      </c>
      <c r="AH296">
        <v>2</v>
      </c>
    </row>
    <row r="297" spans="1:34">
      <c r="A297" t="s">
        <v>1049</v>
      </c>
      <c r="B297" s="24">
        <v>1806</v>
      </c>
      <c r="C297" s="24" t="s">
        <v>1050</v>
      </c>
      <c r="D297" s="24" t="s">
        <v>1051</v>
      </c>
      <c r="E297" s="93">
        <v>95</v>
      </c>
      <c r="F297" s="94">
        <v>4</v>
      </c>
      <c r="G297" s="94">
        <v>90</v>
      </c>
      <c r="H297" s="94">
        <v>4</v>
      </c>
      <c r="I297" s="94">
        <v>89</v>
      </c>
      <c r="J297" s="94">
        <v>4</v>
      </c>
      <c r="K297" s="94">
        <v>85</v>
      </c>
      <c r="L297" s="94">
        <v>2</v>
      </c>
      <c r="M297" s="94">
        <v>73</v>
      </c>
      <c r="N297" s="94">
        <v>2</v>
      </c>
      <c r="O297" s="94">
        <v>74</v>
      </c>
      <c r="P297" s="94">
        <v>2</v>
      </c>
      <c r="Q297">
        <v>87</v>
      </c>
      <c r="R297">
        <v>2</v>
      </c>
      <c r="S297">
        <v>82</v>
      </c>
      <c r="T297">
        <v>2</v>
      </c>
      <c r="U297">
        <v>88</v>
      </c>
      <c r="V297">
        <v>2</v>
      </c>
      <c r="W297">
        <v>85</v>
      </c>
      <c r="X297">
        <v>2</v>
      </c>
      <c r="Y297">
        <v>80</v>
      </c>
      <c r="Z297">
        <v>1</v>
      </c>
      <c r="AA297">
        <v>90</v>
      </c>
      <c r="AB297">
        <v>1</v>
      </c>
      <c r="AC297">
        <v>89</v>
      </c>
      <c r="AD297">
        <v>1</v>
      </c>
      <c r="AE297">
        <v>88</v>
      </c>
      <c r="AF297">
        <v>2</v>
      </c>
      <c r="AG297">
        <v>86</v>
      </c>
      <c r="AH297">
        <v>2</v>
      </c>
    </row>
    <row r="298" spans="1:34">
      <c r="A298" t="s">
        <v>1052</v>
      </c>
      <c r="B298" s="24">
        <v>1806</v>
      </c>
      <c r="C298" s="24" t="s">
        <v>1053</v>
      </c>
      <c r="D298" s="24" t="s">
        <v>1054</v>
      </c>
      <c r="E298" s="93">
        <v>94</v>
      </c>
      <c r="F298" s="94">
        <v>4</v>
      </c>
      <c r="G298" s="94">
        <v>92</v>
      </c>
      <c r="H298" s="94">
        <v>4</v>
      </c>
      <c r="I298" s="94">
        <v>92</v>
      </c>
      <c r="J298" s="94">
        <v>4</v>
      </c>
      <c r="K298" s="94">
        <v>88</v>
      </c>
      <c r="L298" s="94">
        <v>2</v>
      </c>
      <c r="M298" s="94">
        <v>80</v>
      </c>
      <c r="N298" s="94">
        <v>2</v>
      </c>
      <c r="O298" s="94">
        <v>88</v>
      </c>
      <c r="P298" s="94">
        <v>2</v>
      </c>
      <c r="Q298">
        <v>92</v>
      </c>
      <c r="R298">
        <v>2</v>
      </c>
      <c r="S298">
        <v>80</v>
      </c>
      <c r="T298">
        <v>2</v>
      </c>
      <c r="U298">
        <v>75</v>
      </c>
      <c r="V298">
        <v>2</v>
      </c>
      <c r="W298">
        <v>88</v>
      </c>
      <c r="X298">
        <v>2</v>
      </c>
      <c r="Y298">
        <v>78</v>
      </c>
      <c r="Z298">
        <v>1</v>
      </c>
      <c r="AA298">
        <v>90</v>
      </c>
      <c r="AB298">
        <v>1</v>
      </c>
      <c r="AC298">
        <v>72</v>
      </c>
      <c r="AD298">
        <v>1</v>
      </c>
      <c r="AE298">
        <v>87</v>
      </c>
      <c r="AF298">
        <v>2</v>
      </c>
      <c r="AG298">
        <v>99</v>
      </c>
      <c r="AH298">
        <v>2</v>
      </c>
    </row>
    <row r="299" spans="1:34">
      <c r="A299" t="s">
        <v>1055</v>
      </c>
      <c r="B299" s="24">
        <v>1806</v>
      </c>
      <c r="C299" s="24" t="s">
        <v>1056</v>
      </c>
      <c r="D299" s="24" t="s">
        <v>1057</v>
      </c>
      <c r="E299" s="93">
        <v>78</v>
      </c>
      <c r="F299" s="94">
        <v>4</v>
      </c>
      <c r="G299" s="94">
        <v>95</v>
      </c>
      <c r="H299" s="94">
        <v>4</v>
      </c>
      <c r="I299" s="94">
        <v>87</v>
      </c>
      <c r="J299" s="94">
        <v>4</v>
      </c>
      <c r="K299" s="94">
        <v>96</v>
      </c>
      <c r="L299" s="94">
        <v>2</v>
      </c>
      <c r="M299" s="94">
        <v>92</v>
      </c>
      <c r="N299" s="94">
        <v>2</v>
      </c>
      <c r="O299" s="94">
        <v>89</v>
      </c>
      <c r="P299" s="94">
        <v>2</v>
      </c>
      <c r="Q299">
        <v>85</v>
      </c>
      <c r="R299">
        <v>2</v>
      </c>
      <c r="S299">
        <v>82</v>
      </c>
      <c r="T299">
        <v>2</v>
      </c>
      <c r="U299">
        <v>85</v>
      </c>
      <c r="V299">
        <v>2</v>
      </c>
      <c r="W299">
        <v>88</v>
      </c>
      <c r="X299">
        <v>2</v>
      </c>
      <c r="Y299">
        <v>80</v>
      </c>
      <c r="Z299">
        <v>1</v>
      </c>
      <c r="AA299">
        <v>90</v>
      </c>
      <c r="AB299">
        <v>1</v>
      </c>
      <c r="AC299">
        <v>92</v>
      </c>
      <c r="AD299">
        <v>1</v>
      </c>
      <c r="AE299">
        <v>50</v>
      </c>
      <c r="AF299">
        <v>1</v>
      </c>
      <c r="AG299">
        <v>78</v>
      </c>
      <c r="AH299">
        <v>2</v>
      </c>
    </row>
    <row r="300" spans="1:34">
      <c r="A300" t="s">
        <v>1058</v>
      </c>
      <c r="B300" s="24">
        <v>1806</v>
      </c>
      <c r="C300" s="24" t="s">
        <v>1059</v>
      </c>
      <c r="D300" s="24" t="s">
        <v>1060</v>
      </c>
      <c r="E300" s="93">
        <v>91</v>
      </c>
      <c r="F300" s="94">
        <v>4</v>
      </c>
      <c r="G300" s="94">
        <v>96</v>
      </c>
      <c r="H300" s="94">
        <v>4</v>
      </c>
      <c r="I300" s="94">
        <v>90</v>
      </c>
      <c r="J300" s="94">
        <v>4</v>
      </c>
      <c r="K300" s="94">
        <v>85</v>
      </c>
      <c r="L300" s="94">
        <v>2</v>
      </c>
      <c r="M300" s="94">
        <v>76</v>
      </c>
      <c r="N300" s="94">
        <v>2</v>
      </c>
      <c r="O300" s="94">
        <v>85</v>
      </c>
      <c r="P300" s="94">
        <v>2</v>
      </c>
      <c r="Q300">
        <v>84</v>
      </c>
      <c r="R300">
        <v>2</v>
      </c>
      <c r="S300">
        <v>80</v>
      </c>
      <c r="T300">
        <v>2</v>
      </c>
      <c r="U300">
        <v>70</v>
      </c>
      <c r="V300">
        <v>2</v>
      </c>
      <c r="W300">
        <v>80</v>
      </c>
      <c r="X300">
        <v>2</v>
      </c>
      <c r="Y300">
        <v>76</v>
      </c>
      <c r="Z300">
        <v>1</v>
      </c>
      <c r="AA300">
        <v>90</v>
      </c>
      <c r="AB300">
        <v>1</v>
      </c>
      <c r="AC300">
        <v>85</v>
      </c>
      <c r="AD300">
        <v>1</v>
      </c>
      <c r="AE300">
        <v>84</v>
      </c>
      <c r="AF300">
        <v>2</v>
      </c>
      <c r="AG300">
        <v>95</v>
      </c>
      <c r="AH300">
        <v>2</v>
      </c>
    </row>
    <row r="301" spans="1:34">
      <c r="A301" t="s">
        <v>1061</v>
      </c>
      <c r="B301" s="24">
        <v>1806</v>
      </c>
      <c r="C301" s="24" t="s">
        <v>1062</v>
      </c>
      <c r="D301" s="24" t="s">
        <v>1063</v>
      </c>
      <c r="E301" s="93">
        <v>81</v>
      </c>
      <c r="F301" s="94">
        <v>4</v>
      </c>
      <c r="G301" s="94">
        <v>92</v>
      </c>
      <c r="H301" s="94">
        <v>4</v>
      </c>
      <c r="I301" s="94">
        <v>88</v>
      </c>
      <c r="J301" s="94">
        <v>4</v>
      </c>
      <c r="K301" s="94">
        <v>92</v>
      </c>
      <c r="L301" s="94">
        <v>2</v>
      </c>
      <c r="M301" s="94">
        <v>96</v>
      </c>
      <c r="N301" s="94">
        <v>2</v>
      </c>
      <c r="O301" s="94">
        <v>75</v>
      </c>
      <c r="P301" s="94">
        <v>2</v>
      </c>
      <c r="Q301">
        <v>78</v>
      </c>
      <c r="R301">
        <v>2</v>
      </c>
      <c r="S301">
        <v>80</v>
      </c>
      <c r="T301">
        <v>2</v>
      </c>
      <c r="U301">
        <v>72</v>
      </c>
      <c r="V301">
        <v>2</v>
      </c>
      <c r="W301">
        <v>80</v>
      </c>
      <c r="X301">
        <v>2</v>
      </c>
      <c r="Y301">
        <v>75</v>
      </c>
      <c r="Z301">
        <v>1</v>
      </c>
      <c r="AA301">
        <v>90</v>
      </c>
      <c r="AB301">
        <v>1</v>
      </c>
      <c r="AC301">
        <v>76</v>
      </c>
      <c r="AD301">
        <v>1</v>
      </c>
      <c r="AE301">
        <v>82</v>
      </c>
      <c r="AF301">
        <v>2</v>
      </c>
      <c r="AG301">
        <v>75</v>
      </c>
      <c r="AH301">
        <v>2</v>
      </c>
    </row>
    <row r="302" spans="1:34">
      <c r="A302" t="s">
        <v>1064</v>
      </c>
      <c r="B302" s="24">
        <v>1806</v>
      </c>
      <c r="C302" s="24" t="s">
        <v>1065</v>
      </c>
      <c r="D302" s="24" t="s">
        <v>1066</v>
      </c>
      <c r="E302" s="93">
        <v>82</v>
      </c>
      <c r="F302" s="94">
        <v>4</v>
      </c>
      <c r="G302" s="94">
        <v>92</v>
      </c>
      <c r="H302" s="94">
        <v>4</v>
      </c>
      <c r="I302" s="94">
        <v>86</v>
      </c>
      <c r="J302" s="94">
        <v>4</v>
      </c>
      <c r="K302" s="94">
        <v>97</v>
      </c>
      <c r="L302" s="94">
        <v>2</v>
      </c>
      <c r="M302" s="94">
        <v>95</v>
      </c>
      <c r="N302" s="94">
        <v>2</v>
      </c>
      <c r="O302" s="94">
        <v>93</v>
      </c>
      <c r="P302" s="94">
        <v>2</v>
      </c>
      <c r="Q302">
        <v>89</v>
      </c>
      <c r="R302">
        <v>2</v>
      </c>
      <c r="S302">
        <v>82</v>
      </c>
      <c r="T302">
        <v>2</v>
      </c>
      <c r="U302">
        <v>79</v>
      </c>
      <c r="V302">
        <v>2</v>
      </c>
      <c r="W302">
        <v>85</v>
      </c>
      <c r="X302">
        <v>2</v>
      </c>
      <c r="Y302">
        <v>76</v>
      </c>
      <c r="Z302">
        <v>1</v>
      </c>
      <c r="AA302">
        <v>90</v>
      </c>
      <c r="AB302">
        <v>1</v>
      </c>
      <c r="AC302">
        <v>78</v>
      </c>
      <c r="AD302">
        <v>1</v>
      </c>
      <c r="AE302">
        <v>82</v>
      </c>
      <c r="AF302">
        <v>2</v>
      </c>
      <c r="AG302">
        <v>98</v>
      </c>
      <c r="AH302">
        <v>2</v>
      </c>
    </row>
    <row r="303" spans="1:34">
      <c r="A303" t="s">
        <v>1067</v>
      </c>
      <c r="B303" s="24">
        <v>1806</v>
      </c>
      <c r="C303" s="24" t="s">
        <v>1068</v>
      </c>
      <c r="D303" s="24" t="s">
        <v>1069</v>
      </c>
      <c r="E303" s="93">
        <v>94</v>
      </c>
      <c r="F303" s="94">
        <v>4</v>
      </c>
      <c r="G303" s="94">
        <v>90</v>
      </c>
      <c r="H303" s="94">
        <v>4</v>
      </c>
      <c r="I303" s="94">
        <v>85</v>
      </c>
      <c r="J303" s="94">
        <v>4</v>
      </c>
      <c r="K303" s="94">
        <v>86</v>
      </c>
      <c r="L303" s="94">
        <v>2</v>
      </c>
      <c r="M303" s="94">
        <v>75</v>
      </c>
      <c r="N303" s="94">
        <v>2</v>
      </c>
      <c r="O303" s="94">
        <v>72</v>
      </c>
      <c r="P303" s="94">
        <v>2</v>
      </c>
      <c r="Q303">
        <v>93</v>
      </c>
      <c r="R303">
        <v>2</v>
      </c>
      <c r="S303">
        <v>80</v>
      </c>
      <c r="T303">
        <v>2</v>
      </c>
      <c r="U303">
        <v>80</v>
      </c>
      <c r="V303">
        <v>2</v>
      </c>
      <c r="W303">
        <v>85</v>
      </c>
      <c r="X303">
        <v>2</v>
      </c>
      <c r="Y303">
        <v>78</v>
      </c>
      <c r="Z303">
        <v>1</v>
      </c>
      <c r="AA303">
        <v>90</v>
      </c>
      <c r="AB303">
        <v>1</v>
      </c>
      <c r="AC303">
        <v>86</v>
      </c>
      <c r="AD303">
        <v>1</v>
      </c>
      <c r="AE303">
        <v>86</v>
      </c>
      <c r="AF303">
        <v>2</v>
      </c>
      <c r="AG303">
        <v>92</v>
      </c>
      <c r="AH303">
        <v>2</v>
      </c>
    </row>
    <row r="304" spans="1:34">
      <c r="A304" t="s">
        <v>1070</v>
      </c>
      <c r="B304" s="24">
        <v>1806</v>
      </c>
      <c r="C304" s="24" t="s">
        <v>1071</v>
      </c>
      <c r="D304" s="24" t="s">
        <v>1072</v>
      </c>
      <c r="E304" s="93">
        <v>90</v>
      </c>
      <c r="F304" s="94">
        <v>4</v>
      </c>
      <c r="G304" s="94">
        <v>91</v>
      </c>
      <c r="H304" s="94">
        <v>4</v>
      </c>
      <c r="I304" s="94">
        <v>84</v>
      </c>
      <c r="J304" s="94">
        <v>4</v>
      </c>
      <c r="K304" s="94">
        <v>89</v>
      </c>
      <c r="L304" s="94">
        <v>2</v>
      </c>
      <c r="M304" s="94">
        <v>76</v>
      </c>
      <c r="N304" s="94">
        <v>2</v>
      </c>
      <c r="O304" s="94">
        <v>77</v>
      </c>
      <c r="P304" s="94">
        <v>2</v>
      </c>
      <c r="Q304">
        <v>88</v>
      </c>
      <c r="R304">
        <v>2</v>
      </c>
      <c r="S304">
        <v>90</v>
      </c>
      <c r="T304">
        <v>2</v>
      </c>
      <c r="U304">
        <v>86</v>
      </c>
      <c r="V304">
        <v>2</v>
      </c>
      <c r="W304">
        <v>93</v>
      </c>
      <c r="X304">
        <v>2</v>
      </c>
      <c r="Y304">
        <v>77</v>
      </c>
      <c r="Z304">
        <v>1</v>
      </c>
      <c r="AA304">
        <v>90</v>
      </c>
      <c r="AB304">
        <v>1</v>
      </c>
      <c r="AC304">
        <v>72</v>
      </c>
      <c r="AD304">
        <v>1</v>
      </c>
      <c r="AE304">
        <v>87</v>
      </c>
      <c r="AF304">
        <v>2</v>
      </c>
      <c r="AG304">
        <v>88</v>
      </c>
      <c r="AH304">
        <v>2</v>
      </c>
    </row>
    <row r="305" spans="1:34">
      <c r="A305" t="s">
        <v>1073</v>
      </c>
      <c r="B305" s="24">
        <v>1806</v>
      </c>
      <c r="C305" s="24" t="s">
        <v>1074</v>
      </c>
      <c r="D305" s="24" t="s">
        <v>1075</v>
      </c>
      <c r="E305" s="93">
        <v>81</v>
      </c>
      <c r="F305" s="94">
        <v>4</v>
      </c>
      <c r="G305" s="94">
        <v>90</v>
      </c>
      <c r="H305" s="94">
        <v>4</v>
      </c>
      <c r="I305" s="94">
        <v>85</v>
      </c>
      <c r="J305" s="94">
        <v>4</v>
      </c>
      <c r="K305" s="94">
        <v>80</v>
      </c>
      <c r="L305" s="94">
        <v>2</v>
      </c>
      <c r="M305" s="94">
        <v>73</v>
      </c>
      <c r="N305" s="94">
        <v>2</v>
      </c>
      <c r="O305" s="94">
        <v>75</v>
      </c>
      <c r="P305" s="94">
        <v>2</v>
      </c>
      <c r="Q305">
        <v>91</v>
      </c>
      <c r="R305">
        <v>2</v>
      </c>
      <c r="S305">
        <v>80</v>
      </c>
      <c r="T305">
        <v>2</v>
      </c>
      <c r="U305">
        <v>76</v>
      </c>
      <c r="V305">
        <v>2</v>
      </c>
      <c r="W305">
        <v>80</v>
      </c>
      <c r="X305">
        <v>2</v>
      </c>
      <c r="Y305">
        <v>79</v>
      </c>
      <c r="Z305">
        <v>1</v>
      </c>
      <c r="AA305">
        <v>90</v>
      </c>
      <c r="AB305">
        <v>1</v>
      </c>
      <c r="AC305">
        <v>86</v>
      </c>
      <c r="AD305">
        <v>1</v>
      </c>
      <c r="AE305">
        <v>50</v>
      </c>
      <c r="AF305">
        <v>1</v>
      </c>
      <c r="AG305">
        <v>57</v>
      </c>
    </row>
    <row r="306" spans="1:34">
      <c r="A306" t="s">
        <v>1076</v>
      </c>
      <c r="B306" s="24">
        <v>1806</v>
      </c>
      <c r="C306" s="24" t="s">
        <v>1077</v>
      </c>
      <c r="D306" s="24" t="s">
        <v>1078</v>
      </c>
      <c r="E306" s="93">
        <v>85</v>
      </c>
      <c r="F306" s="94">
        <v>4</v>
      </c>
      <c r="G306" s="94">
        <v>92</v>
      </c>
      <c r="H306" s="94">
        <v>4</v>
      </c>
      <c r="I306" s="94">
        <v>90</v>
      </c>
      <c r="J306" s="94">
        <v>4</v>
      </c>
      <c r="K306" s="94">
        <v>85</v>
      </c>
      <c r="L306" s="94">
        <v>2</v>
      </c>
      <c r="M306" s="94">
        <v>92</v>
      </c>
      <c r="N306" s="94">
        <v>2</v>
      </c>
      <c r="O306" s="94">
        <v>94</v>
      </c>
      <c r="P306" s="94">
        <v>2</v>
      </c>
      <c r="Q306">
        <v>91</v>
      </c>
      <c r="R306">
        <v>2</v>
      </c>
      <c r="S306">
        <v>84</v>
      </c>
      <c r="T306">
        <v>2</v>
      </c>
      <c r="U306">
        <v>70</v>
      </c>
      <c r="V306">
        <v>2</v>
      </c>
      <c r="W306">
        <v>85</v>
      </c>
      <c r="X306">
        <v>2</v>
      </c>
      <c r="Y306">
        <v>78</v>
      </c>
      <c r="Z306">
        <v>1</v>
      </c>
      <c r="AA306">
        <v>90</v>
      </c>
      <c r="AB306">
        <v>1</v>
      </c>
      <c r="AC306">
        <v>78</v>
      </c>
      <c r="AD306">
        <v>1</v>
      </c>
      <c r="AE306">
        <v>88</v>
      </c>
      <c r="AF306">
        <v>2</v>
      </c>
      <c r="AG306">
        <v>98</v>
      </c>
      <c r="AH306">
        <v>2</v>
      </c>
    </row>
    <row r="307" spans="1:34">
      <c r="A307" t="s">
        <v>1079</v>
      </c>
      <c r="B307" s="24">
        <v>1806</v>
      </c>
      <c r="C307" s="24" t="s">
        <v>1080</v>
      </c>
      <c r="D307" s="24" t="s">
        <v>1081</v>
      </c>
      <c r="E307" s="93">
        <v>95</v>
      </c>
      <c r="F307" s="94">
        <v>4</v>
      </c>
      <c r="G307" s="94">
        <v>90</v>
      </c>
      <c r="H307" s="94">
        <v>4</v>
      </c>
      <c r="I307" s="94">
        <v>92</v>
      </c>
      <c r="J307" s="94">
        <v>4</v>
      </c>
      <c r="K307" s="94">
        <v>89</v>
      </c>
      <c r="L307" s="94">
        <v>2</v>
      </c>
      <c r="M307" s="94">
        <v>75</v>
      </c>
      <c r="N307" s="94">
        <v>2</v>
      </c>
      <c r="O307" s="94">
        <v>77</v>
      </c>
      <c r="P307" s="94">
        <v>2</v>
      </c>
      <c r="Q307">
        <v>98</v>
      </c>
      <c r="R307">
        <v>2</v>
      </c>
      <c r="S307">
        <v>98</v>
      </c>
      <c r="T307">
        <v>2</v>
      </c>
      <c r="U307">
        <v>78</v>
      </c>
      <c r="V307">
        <v>2</v>
      </c>
      <c r="W307">
        <v>93</v>
      </c>
      <c r="X307">
        <v>2</v>
      </c>
      <c r="Y307">
        <v>75</v>
      </c>
      <c r="Z307">
        <v>1</v>
      </c>
      <c r="AA307">
        <v>90</v>
      </c>
      <c r="AB307">
        <v>1</v>
      </c>
      <c r="AC307">
        <v>70</v>
      </c>
      <c r="AD307">
        <v>1</v>
      </c>
      <c r="AE307">
        <v>88</v>
      </c>
      <c r="AF307">
        <v>2</v>
      </c>
      <c r="AG307">
        <v>86</v>
      </c>
      <c r="AH307">
        <v>2</v>
      </c>
    </row>
    <row r="308" spans="1:34">
      <c r="A308" t="s">
        <v>1082</v>
      </c>
      <c r="B308" s="24">
        <v>1806</v>
      </c>
      <c r="C308" s="24" t="s">
        <v>1083</v>
      </c>
      <c r="D308" s="24" t="s">
        <v>1084</v>
      </c>
      <c r="E308" s="93">
        <v>93</v>
      </c>
      <c r="F308" s="94">
        <v>4</v>
      </c>
      <c r="G308" s="94">
        <v>92</v>
      </c>
      <c r="H308" s="94">
        <v>4</v>
      </c>
      <c r="I308" s="94">
        <v>89</v>
      </c>
      <c r="J308" s="94">
        <v>4</v>
      </c>
      <c r="K308" s="94">
        <v>81</v>
      </c>
      <c r="L308" s="94">
        <v>2</v>
      </c>
      <c r="M308" s="94">
        <v>75</v>
      </c>
      <c r="N308" s="94">
        <v>2</v>
      </c>
      <c r="O308" s="94">
        <v>75</v>
      </c>
      <c r="P308" s="94">
        <v>2</v>
      </c>
      <c r="Q308">
        <v>98</v>
      </c>
      <c r="R308">
        <v>2</v>
      </c>
      <c r="S308">
        <v>94</v>
      </c>
      <c r="T308">
        <v>2</v>
      </c>
      <c r="U308">
        <v>83</v>
      </c>
      <c r="V308">
        <v>2</v>
      </c>
      <c r="W308">
        <v>85</v>
      </c>
      <c r="X308">
        <v>2</v>
      </c>
      <c r="Y308">
        <v>80</v>
      </c>
      <c r="Z308">
        <v>1</v>
      </c>
      <c r="AA308">
        <v>90</v>
      </c>
      <c r="AB308">
        <v>1</v>
      </c>
      <c r="AC308">
        <v>70</v>
      </c>
      <c r="AD308">
        <v>1</v>
      </c>
      <c r="AE308">
        <v>89</v>
      </c>
      <c r="AF308">
        <v>2</v>
      </c>
      <c r="AG308">
        <v>98</v>
      </c>
      <c r="AH308">
        <v>2</v>
      </c>
    </row>
    <row r="309" spans="1:34">
      <c r="A309" t="s">
        <v>1085</v>
      </c>
      <c r="B309" s="24">
        <v>1806</v>
      </c>
      <c r="C309" s="24" t="s">
        <v>1086</v>
      </c>
      <c r="D309" s="24" t="s">
        <v>1087</v>
      </c>
      <c r="E309" s="93">
        <v>88</v>
      </c>
      <c r="F309" s="94">
        <v>4</v>
      </c>
      <c r="G309" s="94">
        <v>90</v>
      </c>
      <c r="H309" s="94">
        <v>4</v>
      </c>
      <c r="I309" s="94">
        <v>80</v>
      </c>
      <c r="J309" s="94">
        <v>4</v>
      </c>
      <c r="K309" s="94">
        <v>83</v>
      </c>
      <c r="L309" s="94">
        <v>2</v>
      </c>
      <c r="M309" s="94">
        <v>78</v>
      </c>
      <c r="N309" s="94">
        <v>2</v>
      </c>
      <c r="O309" s="94">
        <v>74</v>
      </c>
      <c r="P309" s="94">
        <v>2</v>
      </c>
      <c r="Q309">
        <v>83</v>
      </c>
      <c r="R309">
        <v>2</v>
      </c>
      <c r="S309">
        <v>82</v>
      </c>
      <c r="T309">
        <v>2</v>
      </c>
      <c r="U309">
        <v>86</v>
      </c>
      <c r="V309">
        <v>2</v>
      </c>
      <c r="W309">
        <v>85</v>
      </c>
      <c r="X309">
        <v>2</v>
      </c>
      <c r="Y309">
        <v>76</v>
      </c>
      <c r="Z309">
        <v>1</v>
      </c>
      <c r="AA309">
        <v>90</v>
      </c>
      <c r="AB309">
        <v>1</v>
      </c>
      <c r="AC309">
        <v>65</v>
      </c>
      <c r="AD309">
        <v>1</v>
      </c>
      <c r="AE309">
        <v>87</v>
      </c>
      <c r="AF309">
        <v>2</v>
      </c>
      <c r="AG309">
        <v>98</v>
      </c>
      <c r="AH309">
        <v>2</v>
      </c>
    </row>
    <row r="310" spans="1:34">
      <c r="A310" t="s">
        <v>1088</v>
      </c>
      <c r="B310" s="24">
        <v>1806</v>
      </c>
      <c r="C310" s="24" t="s">
        <v>1089</v>
      </c>
      <c r="D310" s="24" t="s">
        <v>1090</v>
      </c>
      <c r="E310" s="93">
        <v>84</v>
      </c>
      <c r="F310" s="94">
        <v>4</v>
      </c>
      <c r="G310" s="94">
        <v>90</v>
      </c>
      <c r="H310" s="94">
        <v>4</v>
      </c>
      <c r="I310" s="94">
        <v>86</v>
      </c>
      <c r="J310" s="94">
        <v>4</v>
      </c>
      <c r="K310" s="94">
        <v>88</v>
      </c>
      <c r="L310" s="94">
        <v>2</v>
      </c>
      <c r="M310" s="94">
        <v>77</v>
      </c>
      <c r="N310" s="94">
        <v>2</v>
      </c>
      <c r="O310" s="94">
        <v>74</v>
      </c>
      <c r="P310" s="94">
        <v>2</v>
      </c>
      <c r="Q310">
        <v>80</v>
      </c>
      <c r="R310">
        <v>2</v>
      </c>
      <c r="S310">
        <v>80</v>
      </c>
      <c r="T310">
        <v>2</v>
      </c>
      <c r="U310">
        <v>70</v>
      </c>
      <c r="V310">
        <v>2</v>
      </c>
      <c r="W310">
        <v>85</v>
      </c>
      <c r="X310">
        <v>2</v>
      </c>
      <c r="Y310">
        <v>81</v>
      </c>
      <c r="Z310">
        <v>1</v>
      </c>
      <c r="AA310">
        <v>90</v>
      </c>
      <c r="AB310">
        <v>1</v>
      </c>
      <c r="AC310">
        <v>80</v>
      </c>
      <c r="AD310">
        <v>1</v>
      </c>
      <c r="AE310">
        <v>84</v>
      </c>
      <c r="AF310">
        <v>2</v>
      </c>
      <c r="AG310">
        <v>75</v>
      </c>
      <c r="AH310">
        <v>2</v>
      </c>
    </row>
    <row r="311" spans="1:34">
      <c r="A311" t="s">
        <v>1091</v>
      </c>
      <c r="B311" s="24">
        <v>1806</v>
      </c>
      <c r="C311" s="24" t="s">
        <v>1092</v>
      </c>
      <c r="D311" s="24" t="s">
        <v>1093</v>
      </c>
      <c r="E311" s="93">
        <v>82</v>
      </c>
      <c r="F311" s="94">
        <v>4</v>
      </c>
      <c r="G311" s="94">
        <v>88</v>
      </c>
      <c r="H311" s="94">
        <v>4</v>
      </c>
      <c r="I311" s="94">
        <v>96</v>
      </c>
      <c r="J311" s="94">
        <v>4</v>
      </c>
      <c r="K311" s="94">
        <v>80</v>
      </c>
      <c r="L311" s="94">
        <v>2</v>
      </c>
      <c r="M311" s="94">
        <v>72</v>
      </c>
      <c r="N311" s="94">
        <v>2</v>
      </c>
      <c r="O311" s="94">
        <v>78</v>
      </c>
      <c r="P311" s="94">
        <v>2</v>
      </c>
      <c r="Q311">
        <v>82</v>
      </c>
      <c r="R311">
        <v>2</v>
      </c>
      <c r="S311">
        <v>80</v>
      </c>
      <c r="T311">
        <v>2</v>
      </c>
      <c r="U311">
        <v>70</v>
      </c>
      <c r="V311">
        <v>2</v>
      </c>
      <c r="W311">
        <v>80</v>
      </c>
      <c r="X311">
        <v>2</v>
      </c>
      <c r="Y311">
        <v>80</v>
      </c>
      <c r="Z311">
        <v>1</v>
      </c>
      <c r="AA311">
        <v>90</v>
      </c>
      <c r="AB311">
        <v>1</v>
      </c>
      <c r="AC311">
        <v>86</v>
      </c>
      <c r="AD311">
        <v>1</v>
      </c>
      <c r="AE311">
        <v>84</v>
      </c>
      <c r="AF311">
        <v>2</v>
      </c>
      <c r="AG311">
        <v>97</v>
      </c>
      <c r="AH311">
        <v>2</v>
      </c>
    </row>
    <row r="312" spans="1:34">
      <c r="A312" t="s">
        <v>1094</v>
      </c>
      <c r="B312" s="24">
        <v>1806</v>
      </c>
      <c r="C312" s="24" t="s">
        <v>1095</v>
      </c>
      <c r="D312" s="24" t="s">
        <v>1096</v>
      </c>
      <c r="E312" s="93">
        <v>80</v>
      </c>
      <c r="F312" s="94">
        <v>4</v>
      </c>
      <c r="G312" s="94">
        <v>92</v>
      </c>
      <c r="H312" s="94">
        <v>4</v>
      </c>
      <c r="I312" s="94">
        <v>93</v>
      </c>
      <c r="J312" s="94">
        <v>4</v>
      </c>
      <c r="K312" s="94">
        <v>97</v>
      </c>
      <c r="L312" s="94">
        <v>2</v>
      </c>
      <c r="M312" s="94">
        <v>84</v>
      </c>
      <c r="N312" s="94">
        <v>2</v>
      </c>
      <c r="O312" s="94">
        <v>73</v>
      </c>
      <c r="P312" s="94">
        <v>2</v>
      </c>
      <c r="Q312">
        <v>78</v>
      </c>
      <c r="R312">
        <v>2</v>
      </c>
      <c r="S312">
        <v>68</v>
      </c>
      <c r="T312">
        <v>2</v>
      </c>
      <c r="U312">
        <v>70</v>
      </c>
      <c r="V312">
        <v>2</v>
      </c>
      <c r="W312">
        <v>80</v>
      </c>
      <c r="X312">
        <v>2</v>
      </c>
      <c r="Y312">
        <v>76</v>
      </c>
      <c r="Z312">
        <v>1</v>
      </c>
      <c r="AA312">
        <v>90</v>
      </c>
      <c r="AB312">
        <v>1</v>
      </c>
      <c r="AC312">
        <v>88</v>
      </c>
      <c r="AD312">
        <v>1</v>
      </c>
      <c r="AE312">
        <v>50</v>
      </c>
      <c r="AF312">
        <v>1</v>
      </c>
      <c r="AG312">
        <v>80</v>
      </c>
      <c r="AH312">
        <v>2</v>
      </c>
    </row>
    <row r="313" spans="1:34">
      <c r="A313" t="s">
        <v>1097</v>
      </c>
      <c r="B313" s="24">
        <v>1806</v>
      </c>
      <c r="C313" s="24" t="s">
        <v>1098</v>
      </c>
      <c r="D313" s="24" t="s">
        <v>1099</v>
      </c>
      <c r="E313" s="93">
        <v>88</v>
      </c>
      <c r="F313" s="94">
        <v>4</v>
      </c>
      <c r="G313" s="94">
        <v>91</v>
      </c>
      <c r="H313" s="94">
        <v>4</v>
      </c>
      <c r="I313" s="94">
        <v>92</v>
      </c>
      <c r="J313" s="94">
        <v>4</v>
      </c>
      <c r="K313" s="94">
        <v>90</v>
      </c>
      <c r="L313" s="94">
        <v>2</v>
      </c>
      <c r="M313" s="94">
        <v>77</v>
      </c>
      <c r="N313" s="94">
        <v>2</v>
      </c>
      <c r="O313" s="94">
        <v>78</v>
      </c>
      <c r="P313" s="94">
        <v>2</v>
      </c>
      <c r="Q313">
        <v>96</v>
      </c>
      <c r="R313">
        <v>2</v>
      </c>
      <c r="S313">
        <v>86</v>
      </c>
      <c r="T313">
        <v>2</v>
      </c>
      <c r="U313">
        <v>72</v>
      </c>
      <c r="V313">
        <v>2</v>
      </c>
      <c r="W313">
        <v>85</v>
      </c>
      <c r="X313">
        <v>2</v>
      </c>
      <c r="Y313">
        <v>81</v>
      </c>
      <c r="Z313">
        <v>1</v>
      </c>
      <c r="AA313">
        <v>90</v>
      </c>
      <c r="AB313">
        <v>1</v>
      </c>
      <c r="AC313">
        <v>82</v>
      </c>
      <c r="AD313">
        <v>1</v>
      </c>
      <c r="AE313">
        <v>90</v>
      </c>
      <c r="AF313">
        <v>2</v>
      </c>
      <c r="AG313">
        <v>97</v>
      </c>
      <c r="AH313">
        <v>2</v>
      </c>
    </row>
    <row r="314" spans="1:34">
      <c r="A314" t="s">
        <v>1100</v>
      </c>
      <c r="B314" s="24">
        <v>1806</v>
      </c>
      <c r="C314" s="24" t="s">
        <v>1101</v>
      </c>
      <c r="D314" s="24" t="s">
        <v>1102</v>
      </c>
      <c r="E314" s="93">
        <v>66</v>
      </c>
      <c r="F314" s="94">
        <v>4</v>
      </c>
      <c r="G314" s="94">
        <v>90</v>
      </c>
      <c r="H314" s="94">
        <v>4</v>
      </c>
      <c r="I314" s="94">
        <v>85</v>
      </c>
      <c r="J314" s="94">
        <v>4</v>
      </c>
      <c r="K314" s="94">
        <v>98</v>
      </c>
      <c r="L314" s="94">
        <v>2</v>
      </c>
      <c r="M314" s="94">
        <v>79</v>
      </c>
      <c r="N314" s="94">
        <v>2</v>
      </c>
      <c r="O314" s="94">
        <v>75</v>
      </c>
      <c r="P314" s="94">
        <v>2</v>
      </c>
      <c r="Q314">
        <v>78</v>
      </c>
      <c r="R314">
        <v>2</v>
      </c>
      <c r="S314">
        <v>60</v>
      </c>
      <c r="T314">
        <v>2</v>
      </c>
      <c r="U314">
        <v>70</v>
      </c>
      <c r="V314">
        <v>2</v>
      </c>
      <c r="W314">
        <v>83</v>
      </c>
      <c r="X314">
        <v>2</v>
      </c>
      <c r="Y314">
        <v>78</v>
      </c>
      <c r="Z314">
        <v>1</v>
      </c>
      <c r="AA314">
        <v>90</v>
      </c>
      <c r="AB314">
        <v>1</v>
      </c>
      <c r="AC314">
        <v>76</v>
      </c>
      <c r="AD314">
        <v>1</v>
      </c>
      <c r="AE314">
        <v>50</v>
      </c>
      <c r="AF314">
        <v>1</v>
      </c>
      <c r="AG314">
        <v>86</v>
      </c>
      <c r="AH314">
        <v>2</v>
      </c>
    </row>
    <row r="315" spans="1:34">
      <c r="A315" t="s">
        <v>1103</v>
      </c>
      <c r="B315" s="24">
        <v>1806</v>
      </c>
      <c r="C315" s="24" t="s">
        <v>1104</v>
      </c>
      <c r="D315" s="24" t="s">
        <v>1105</v>
      </c>
      <c r="E315" s="93">
        <v>95</v>
      </c>
      <c r="F315" s="94">
        <v>4</v>
      </c>
      <c r="G315" s="94">
        <v>92</v>
      </c>
      <c r="H315" s="94">
        <v>4</v>
      </c>
      <c r="I315" s="94">
        <v>88</v>
      </c>
      <c r="J315" s="94">
        <v>4</v>
      </c>
      <c r="K315" s="94">
        <v>95</v>
      </c>
      <c r="L315" s="94">
        <v>2</v>
      </c>
      <c r="M315" s="94">
        <v>86</v>
      </c>
      <c r="N315" s="94">
        <v>2</v>
      </c>
      <c r="O315" s="94">
        <v>83</v>
      </c>
      <c r="P315" s="94">
        <v>2</v>
      </c>
      <c r="Q315">
        <v>94</v>
      </c>
      <c r="R315">
        <v>2</v>
      </c>
      <c r="S315">
        <v>80</v>
      </c>
      <c r="T315">
        <v>2</v>
      </c>
      <c r="U315">
        <v>77</v>
      </c>
      <c r="V315">
        <v>2</v>
      </c>
      <c r="W315">
        <v>95</v>
      </c>
      <c r="X315">
        <v>2</v>
      </c>
      <c r="Y315">
        <v>79</v>
      </c>
      <c r="Z315">
        <v>1</v>
      </c>
      <c r="AA315">
        <v>90</v>
      </c>
      <c r="AB315">
        <v>1</v>
      </c>
      <c r="AC315">
        <v>72</v>
      </c>
      <c r="AD315">
        <v>1</v>
      </c>
      <c r="AE315">
        <v>85</v>
      </c>
      <c r="AF315">
        <v>2</v>
      </c>
      <c r="AG315">
        <v>98</v>
      </c>
      <c r="AH315">
        <v>2</v>
      </c>
    </row>
    <row r="316" spans="1:34">
      <c r="A316" t="s">
        <v>1106</v>
      </c>
      <c r="B316" s="24">
        <v>1806</v>
      </c>
      <c r="C316" s="24" t="s">
        <v>1107</v>
      </c>
      <c r="D316" s="24" t="s">
        <v>1108</v>
      </c>
      <c r="E316" s="93">
        <v>87</v>
      </c>
      <c r="F316" s="94">
        <v>4</v>
      </c>
      <c r="G316" s="94">
        <v>90</v>
      </c>
      <c r="H316" s="94">
        <v>4</v>
      </c>
      <c r="I316" s="94">
        <v>87</v>
      </c>
      <c r="J316" s="94">
        <v>4</v>
      </c>
      <c r="K316" s="94">
        <v>86</v>
      </c>
      <c r="L316" s="94">
        <v>2</v>
      </c>
      <c r="M316" s="94">
        <v>78</v>
      </c>
      <c r="N316" s="94">
        <v>2</v>
      </c>
      <c r="O316" s="94">
        <v>76</v>
      </c>
      <c r="P316" s="94">
        <v>2</v>
      </c>
      <c r="Q316">
        <v>91</v>
      </c>
      <c r="R316">
        <v>2</v>
      </c>
      <c r="S316">
        <v>83</v>
      </c>
      <c r="T316">
        <v>2</v>
      </c>
      <c r="U316">
        <v>70</v>
      </c>
      <c r="V316">
        <v>2</v>
      </c>
      <c r="W316">
        <v>88</v>
      </c>
      <c r="X316">
        <v>2</v>
      </c>
      <c r="Y316">
        <v>80</v>
      </c>
      <c r="Z316">
        <v>1</v>
      </c>
      <c r="AA316">
        <v>90</v>
      </c>
      <c r="AB316">
        <v>1</v>
      </c>
      <c r="AC316">
        <v>73</v>
      </c>
      <c r="AD316">
        <v>1</v>
      </c>
      <c r="AE316">
        <v>90</v>
      </c>
      <c r="AF316">
        <v>2</v>
      </c>
      <c r="AG316">
        <v>98</v>
      </c>
      <c r="AH316">
        <v>2</v>
      </c>
    </row>
    <row r="317" spans="1:34">
      <c r="A317" t="s">
        <v>1657</v>
      </c>
      <c r="B317" s="24">
        <v>1806</v>
      </c>
      <c r="C317" s="24" t="s">
        <v>1110</v>
      </c>
      <c r="D317" s="24" t="s">
        <v>1659</v>
      </c>
      <c r="E317" s="93">
        <v>80</v>
      </c>
      <c r="F317" s="94">
        <v>4</v>
      </c>
      <c r="G317" s="94">
        <v>92</v>
      </c>
      <c r="H317" s="94">
        <v>4</v>
      </c>
      <c r="I317" s="94">
        <v>92</v>
      </c>
      <c r="J317" s="94">
        <v>4</v>
      </c>
      <c r="K317" s="94">
        <v>86</v>
      </c>
      <c r="L317" s="94">
        <v>2</v>
      </c>
      <c r="M317" s="94">
        <v>81</v>
      </c>
      <c r="N317" s="94">
        <v>2</v>
      </c>
      <c r="O317" s="94">
        <v>86</v>
      </c>
      <c r="P317" s="94">
        <v>2</v>
      </c>
      <c r="Q317">
        <v>86</v>
      </c>
      <c r="R317">
        <v>2</v>
      </c>
      <c r="S317">
        <v>80</v>
      </c>
      <c r="T317">
        <v>2</v>
      </c>
      <c r="U317">
        <v>70</v>
      </c>
      <c r="V317">
        <v>2</v>
      </c>
      <c r="W317">
        <v>88</v>
      </c>
      <c r="X317">
        <v>2</v>
      </c>
      <c r="Y317">
        <v>78</v>
      </c>
      <c r="Z317">
        <v>1</v>
      </c>
      <c r="AA317">
        <v>90</v>
      </c>
      <c r="AB317">
        <v>1</v>
      </c>
      <c r="AC317">
        <v>87</v>
      </c>
      <c r="AD317">
        <v>1</v>
      </c>
      <c r="AE317">
        <v>80</v>
      </c>
      <c r="AF317">
        <v>2</v>
      </c>
      <c r="AG317">
        <v>92</v>
      </c>
      <c r="AH317">
        <v>2</v>
      </c>
    </row>
    <row r="318" spans="1:34">
      <c r="A318" t="s">
        <v>1111</v>
      </c>
      <c r="B318" s="24">
        <v>1806</v>
      </c>
      <c r="C318" s="24" t="s">
        <v>1112</v>
      </c>
      <c r="D318" s="24" t="s">
        <v>1113</v>
      </c>
      <c r="E318" s="93">
        <v>97</v>
      </c>
      <c r="F318" s="94">
        <v>4</v>
      </c>
      <c r="G318" s="94">
        <v>93</v>
      </c>
      <c r="H318" s="94">
        <v>4</v>
      </c>
      <c r="I318" s="94">
        <v>95</v>
      </c>
      <c r="J318" s="94">
        <v>4</v>
      </c>
      <c r="K318" s="94">
        <v>96</v>
      </c>
      <c r="L318" s="94">
        <v>2</v>
      </c>
      <c r="M318" s="94">
        <v>81</v>
      </c>
      <c r="N318" s="94">
        <v>2</v>
      </c>
      <c r="O318" s="94">
        <v>93</v>
      </c>
      <c r="P318" s="94">
        <v>2</v>
      </c>
      <c r="Q318">
        <v>82</v>
      </c>
      <c r="R318">
        <v>2</v>
      </c>
      <c r="S318">
        <v>70</v>
      </c>
      <c r="T318">
        <v>2</v>
      </c>
      <c r="U318">
        <v>77</v>
      </c>
      <c r="V318">
        <v>2</v>
      </c>
      <c r="W318">
        <v>95</v>
      </c>
      <c r="X318">
        <v>2</v>
      </c>
      <c r="Y318">
        <v>73</v>
      </c>
      <c r="Z318">
        <v>1</v>
      </c>
      <c r="AA318">
        <v>90</v>
      </c>
      <c r="AB318">
        <v>1</v>
      </c>
      <c r="AC318">
        <v>76</v>
      </c>
      <c r="AD318">
        <v>1</v>
      </c>
      <c r="AE318">
        <v>82</v>
      </c>
      <c r="AF318">
        <v>2</v>
      </c>
      <c r="AG318">
        <v>95</v>
      </c>
      <c r="AH318">
        <v>2</v>
      </c>
    </row>
    <row r="319" spans="1:34">
      <c r="A319" t="s">
        <v>1681</v>
      </c>
      <c r="B319" s="24">
        <v>1806</v>
      </c>
      <c r="C319" s="24" t="s">
        <v>1115</v>
      </c>
      <c r="D319" s="24" t="s">
        <v>1683</v>
      </c>
      <c r="E319" s="93">
        <v>85</v>
      </c>
      <c r="F319" s="94">
        <v>4</v>
      </c>
      <c r="G319" s="94">
        <v>92</v>
      </c>
      <c r="H319" s="94">
        <v>4</v>
      </c>
      <c r="I319" s="94">
        <v>94</v>
      </c>
      <c r="J319" s="94">
        <v>4</v>
      </c>
      <c r="K319" s="94">
        <v>93</v>
      </c>
      <c r="L319" s="94">
        <v>2</v>
      </c>
      <c r="M319" s="94">
        <v>95</v>
      </c>
      <c r="N319" s="94">
        <v>2</v>
      </c>
      <c r="O319" s="94">
        <v>87</v>
      </c>
      <c r="P319" s="94">
        <v>2</v>
      </c>
      <c r="Q319">
        <v>97</v>
      </c>
      <c r="R319">
        <v>2</v>
      </c>
      <c r="S319">
        <v>80</v>
      </c>
      <c r="T319">
        <v>2</v>
      </c>
      <c r="U319">
        <v>76</v>
      </c>
      <c r="V319">
        <v>2</v>
      </c>
      <c r="W319">
        <v>85</v>
      </c>
      <c r="X319">
        <v>2</v>
      </c>
      <c r="Y319">
        <v>76</v>
      </c>
      <c r="Z319">
        <v>1</v>
      </c>
      <c r="AA319">
        <v>90</v>
      </c>
      <c r="AB319">
        <v>1</v>
      </c>
      <c r="AC319">
        <v>75</v>
      </c>
      <c r="AD319">
        <v>1</v>
      </c>
      <c r="AE319">
        <v>90</v>
      </c>
      <c r="AF319">
        <v>2</v>
      </c>
      <c r="AG319">
        <v>84</v>
      </c>
      <c r="AH319">
        <v>2</v>
      </c>
    </row>
    <row r="320" spans="1:34">
      <c r="A320" t="s">
        <v>1116</v>
      </c>
      <c r="B320" s="24">
        <v>1806</v>
      </c>
      <c r="C320" s="24" t="s">
        <v>1117</v>
      </c>
      <c r="D320" s="24" t="s">
        <v>1118</v>
      </c>
      <c r="E320" s="93">
        <v>90</v>
      </c>
      <c r="F320" s="94">
        <v>4</v>
      </c>
      <c r="G320" s="94">
        <v>91</v>
      </c>
      <c r="H320" s="94">
        <v>4</v>
      </c>
      <c r="I320" s="94">
        <v>88</v>
      </c>
      <c r="J320" s="94">
        <v>4</v>
      </c>
      <c r="K320" s="94">
        <v>80</v>
      </c>
      <c r="L320" s="94">
        <v>2</v>
      </c>
      <c r="M320" s="94">
        <v>90</v>
      </c>
      <c r="N320" s="94">
        <v>2</v>
      </c>
      <c r="O320" s="94">
        <v>85</v>
      </c>
      <c r="P320" s="94">
        <v>2</v>
      </c>
      <c r="Q320">
        <v>98</v>
      </c>
      <c r="R320">
        <v>2</v>
      </c>
      <c r="S320">
        <v>84</v>
      </c>
      <c r="T320">
        <v>2</v>
      </c>
      <c r="U320">
        <v>70</v>
      </c>
      <c r="V320">
        <v>2</v>
      </c>
      <c r="W320">
        <v>93</v>
      </c>
      <c r="X320">
        <v>2</v>
      </c>
      <c r="Y320">
        <v>80</v>
      </c>
      <c r="Z320">
        <v>1</v>
      </c>
      <c r="AA320">
        <v>90</v>
      </c>
      <c r="AB320">
        <v>1</v>
      </c>
      <c r="AC320">
        <v>76</v>
      </c>
      <c r="AD320">
        <v>1</v>
      </c>
      <c r="AE320">
        <v>88</v>
      </c>
      <c r="AF320">
        <v>2</v>
      </c>
      <c r="AG320">
        <v>89</v>
      </c>
      <c r="AH320">
        <v>2</v>
      </c>
    </row>
    <row r="321" spans="1:34">
      <c r="A321" t="s">
        <v>1119</v>
      </c>
      <c r="B321" s="24">
        <v>1806</v>
      </c>
      <c r="C321" s="24" t="s">
        <v>1120</v>
      </c>
      <c r="D321" s="24" t="s">
        <v>1121</v>
      </c>
      <c r="E321" s="93">
        <v>81</v>
      </c>
      <c r="F321" s="94">
        <v>4</v>
      </c>
      <c r="G321" s="94">
        <v>90</v>
      </c>
      <c r="H321" s="94">
        <v>4</v>
      </c>
      <c r="I321" s="94">
        <v>87</v>
      </c>
      <c r="J321" s="94">
        <v>4</v>
      </c>
      <c r="K321" s="94">
        <v>90</v>
      </c>
      <c r="L321" s="94">
        <v>2</v>
      </c>
      <c r="M321" s="94">
        <v>82</v>
      </c>
      <c r="N321" s="94">
        <v>2</v>
      </c>
      <c r="O321" s="94">
        <v>74</v>
      </c>
      <c r="P321" s="94">
        <v>2</v>
      </c>
      <c r="Q321">
        <v>84</v>
      </c>
      <c r="R321">
        <v>2</v>
      </c>
      <c r="S321">
        <v>80</v>
      </c>
      <c r="T321">
        <v>2</v>
      </c>
      <c r="U321">
        <v>85</v>
      </c>
      <c r="V321">
        <v>2</v>
      </c>
      <c r="W321">
        <v>95</v>
      </c>
      <c r="X321">
        <v>2</v>
      </c>
      <c r="Y321">
        <v>65</v>
      </c>
      <c r="Z321">
        <v>1</v>
      </c>
      <c r="AA321">
        <v>90</v>
      </c>
      <c r="AB321">
        <v>1</v>
      </c>
      <c r="AC321">
        <v>85</v>
      </c>
      <c r="AD321">
        <v>1</v>
      </c>
      <c r="AE321">
        <v>82</v>
      </c>
      <c r="AF321">
        <v>2</v>
      </c>
      <c r="AG321">
        <v>80</v>
      </c>
      <c r="AH321">
        <v>2</v>
      </c>
    </row>
    <row r="322" spans="1:34">
      <c r="A322" t="s">
        <v>1122</v>
      </c>
      <c r="B322" s="24">
        <v>1806</v>
      </c>
      <c r="C322" s="24" t="s">
        <v>1123</v>
      </c>
      <c r="D322" s="24" t="s">
        <v>1124</v>
      </c>
      <c r="E322" s="93">
        <v>65</v>
      </c>
      <c r="F322" s="94">
        <v>4</v>
      </c>
      <c r="G322" s="94">
        <v>90</v>
      </c>
      <c r="H322" s="94">
        <v>4</v>
      </c>
      <c r="I322" s="94">
        <v>82</v>
      </c>
      <c r="J322" s="94">
        <v>4</v>
      </c>
      <c r="K322" s="94">
        <v>82</v>
      </c>
      <c r="L322" s="94">
        <v>2</v>
      </c>
      <c r="M322" s="94">
        <v>75</v>
      </c>
      <c r="N322" s="94">
        <v>2</v>
      </c>
      <c r="O322" s="94">
        <v>70</v>
      </c>
      <c r="P322" s="94">
        <v>2</v>
      </c>
      <c r="Q322">
        <v>80</v>
      </c>
      <c r="R322">
        <v>2</v>
      </c>
      <c r="S322">
        <v>86</v>
      </c>
      <c r="T322">
        <v>2</v>
      </c>
      <c r="U322">
        <v>76</v>
      </c>
      <c r="V322">
        <v>2</v>
      </c>
      <c r="W322">
        <v>83</v>
      </c>
      <c r="X322">
        <v>2</v>
      </c>
      <c r="Y322">
        <v>60</v>
      </c>
      <c r="Z322">
        <v>1</v>
      </c>
      <c r="AA322">
        <v>90</v>
      </c>
      <c r="AB322">
        <v>1</v>
      </c>
      <c r="AC322">
        <v>78</v>
      </c>
      <c r="AD322">
        <v>1</v>
      </c>
      <c r="AE322">
        <v>50</v>
      </c>
      <c r="AF322">
        <v>1</v>
      </c>
      <c r="AG322">
        <v>60</v>
      </c>
      <c r="AH322">
        <v>2</v>
      </c>
    </row>
    <row r="323" spans="1:34">
      <c r="A323" t="s">
        <v>1125</v>
      </c>
      <c r="B323" s="24">
        <v>1806</v>
      </c>
      <c r="C323" s="24" t="s">
        <v>1126</v>
      </c>
      <c r="D323" s="24" t="s">
        <v>1127</v>
      </c>
      <c r="E323" s="93">
        <v>100</v>
      </c>
      <c r="F323" s="94">
        <v>4</v>
      </c>
      <c r="G323" s="94">
        <v>93</v>
      </c>
      <c r="H323" s="94">
        <v>4</v>
      </c>
      <c r="I323" s="94">
        <v>84</v>
      </c>
      <c r="J323" s="94">
        <v>4</v>
      </c>
      <c r="K323" s="94">
        <v>83</v>
      </c>
      <c r="L323" s="94">
        <v>2</v>
      </c>
      <c r="M323" s="94">
        <v>80</v>
      </c>
      <c r="N323" s="94">
        <v>2</v>
      </c>
      <c r="O323" s="94">
        <v>86</v>
      </c>
      <c r="P323" s="94">
        <v>2</v>
      </c>
      <c r="Q323">
        <v>88</v>
      </c>
      <c r="R323">
        <v>2</v>
      </c>
      <c r="S323">
        <v>80</v>
      </c>
      <c r="T323">
        <v>2</v>
      </c>
      <c r="U323">
        <v>78</v>
      </c>
      <c r="V323">
        <v>2</v>
      </c>
      <c r="W323">
        <v>95</v>
      </c>
      <c r="X323">
        <v>2</v>
      </c>
      <c r="Y323">
        <v>81</v>
      </c>
      <c r="Z323">
        <v>1</v>
      </c>
      <c r="AA323">
        <v>90</v>
      </c>
      <c r="AB323">
        <v>1</v>
      </c>
      <c r="AC323">
        <v>78</v>
      </c>
      <c r="AD323">
        <v>1</v>
      </c>
      <c r="AE323">
        <v>88</v>
      </c>
      <c r="AF323">
        <v>2</v>
      </c>
      <c r="AG323">
        <v>90</v>
      </c>
      <c r="AH323">
        <v>2</v>
      </c>
    </row>
    <row r="324" spans="1:34">
      <c r="A324" t="s">
        <v>1128</v>
      </c>
      <c r="B324" s="24">
        <v>1806</v>
      </c>
      <c r="C324" s="24" t="s">
        <v>1129</v>
      </c>
      <c r="D324" s="24" t="s">
        <v>1130</v>
      </c>
      <c r="E324" s="93">
        <v>98</v>
      </c>
      <c r="F324" s="94">
        <v>4</v>
      </c>
      <c r="G324" s="94">
        <v>95</v>
      </c>
      <c r="H324" s="94">
        <v>4</v>
      </c>
      <c r="I324" s="94">
        <v>90</v>
      </c>
      <c r="J324" s="94">
        <v>4</v>
      </c>
      <c r="K324" s="94">
        <v>88</v>
      </c>
      <c r="L324" s="94">
        <v>2</v>
      </c>
      <c r="M324" s="94">
        <v>94</v>
      </c>
      <c r="N324" s="94">
        <v>2</v>
      </c>
      <c r="O324" s="94">
        <v>94</v>
      </c>
      <c r="P324" s="94">
        <v>2</v>
      </c>
      <c r="Q324">
        <v>99</v>
      </c>
      <c r="R324">
        <v>2</v>
      </c>
      <c r="S324">
        <v>92</v>
      </c>
      <c r="T324">
        <v>2</v>
      </c>
      <c r="U324">
        <v>86</v>
      </c>
      <c r="V324">
        <v>2</v>
      </c>
      <c r="W324">
        <v>90</v>
      </c>
      <c r="X324">
        <v>2</v>
      </c>
      <c r="Y324">
        <v>82</v>
      </c>
      <c r="Z324">
        <v>1</v>
      </c>
      <c r="AA324">
        <v>90</v>
      </c>
      <c r="AB324">
        <v>1</v>
      </c>
      <c r="AC324">
        <v>78</v>
      </c>
      <c r="AD324">
        <v>1</v>
      </c>
      <c r="AE324">
        <v>89</v>
      </c>
      <c r="AF324">
        <v>2</v>
      </c>
      <c r="AG324">
        <v>87</v>
      </c>
      <c r="AH324">
        <v>2</v>
      </c>
    </row>
    <row r="325" spans="1:34">
      <c r="A325" t="s">
        <v>1131</v>
      </c>
      <c r="B325" s="24">
        <v>1806</v>
      </c>
      <c r="C325" s="24" t="s">
        <v>1132</v>
      </c>
      <c r="D325" s="24" t="s">
        <v>1133</v>
      </c>
      <c r="E325" s="93">
        <v>65</v>
      </c>
      <c r="F325" s="94">
        <v>4</v>
      </c>
      <c r="G325" s="94">
        <v>89</v>
      </c>
      <c r="H325" s="94">
        <v>4</v>
      </c>
      <c r="I325" s="94">
        <v>81</v>
      </c>
      <c r="J325" s="94">
        <v>4</v>
      </c>
      <c r="K325" s="94">
        <v>80</v>
      </c>
      <c r="L325" s="94">
        <v>2</v>
      </c>
      <c r="M325" s="94">
        <v>72</v>
      </c>
      <c r="N325" s="94">
        <v>2</v>
      </c>
      <c r="O325" s="94">
        <v>72</v>
      </c>
      <c r="P325" s="94">
        <v>2</v>
      </c>
      <c r="Q325">
        <v>81</v>
      </c>
      <c r="R325">
        <v>2</v>
      </c>
      <c r="S325">
        <v>80</v>
      </c>
      <c r="T325">
        <v>2</v>
      </c>
      <c r="U325">
        <v>76</v>
      </c>
      <c r="V325">
        <v>2</v>
      </c>
      <c r="W325">
        <v>88</v>
      </c>
      <c r="X325">
        <v>2</v>
      </c>
      <c r="Y325">
        <v>83</v>
      </c>
      <c r="Z325">
        <v>1</v>
      </c>
      <c r="AA325">
        <v>90</v>
      </c>
      <c r="AB325">
        <v>1</v>
      </c>
      <c r="AC325">
        <v>75</v>
      </c>
      <c r="AD325">
        <v>1</v>
      </c>
      <c r="AE325">
        <v>82</v>
      </c>
      <c r="AF325">
        <v>2</v>
      </c>
      <c r="AG325">
        <v>60</v>
      </c>
      <c r="AH325">
        <v>2</v>
      </c>
    </row>
    <row r="326" spans="1:34">
      <c r="A326" t="s">
        <v>1134</v>
      </c>
      <c r="B326" s="24">
        <v>1806</v>
      </c>
      <c r="C326" s="24" t="s">
        <v>1135</v>
      </c>
      <c r="D326" s="24" t="s">
        <v>1136</v>
      </c>
      <c r="E326" s="93">
        <v>97</v>
      </c>
      <c r="F326" s="94">
        <v>4</v>
      </c>
      <c r="G326" s="94">
        <v>91</v>
      </c>
      <c r="H326" s="94">
        <v>4</v>
      </c>
      <c r="I326" s="94">
        <v>93</v>
      </c>
      <c r="J326" s="94">
        <v>4</v>
      </c>
      <c r="K326" s="94">
        <v>85</v>
      </c>
      <c r="L326" s="94">
        <v>2</v>
      </c>
      <c r="M326" s="94">
        <v>90</v>
      </c>
      <c r="N326" s="94">
        <v>2</v>
      </c>
      <c r="O326" s="94">
        <v>83</v>
      </c>
      <c r="P326" s="94">
        <v>2</v>
      </c>
      <c r="Q326">
        <v>98</v>
      </c>
      <c r="R326">
        <v>2</v>
      </c>
      <c r="S326">
        <v>91</v>
      </c>
      <c r="T326">
        <v>2</v>
      </c>
      <c r="U326">
        <v>73</v>
      </c>
      <c r="V326">
        <v>2</v>
      </c>
      <c r="W326">
        <v>90</v>
      </c>
      <c r="X326">
        <v>2</v>
      </c>
      <c r="Y326">
        <v>84</v>
      </c>
      <c r="Z326">
        <v>1</v>
      </c>
      <c r="AA326">
        <v>90</v>
      </c>
      <c r="AB326">
        <v>1</v>
      </c>
      <c r="AC326">
        <v>72</v>
      </c>
      <c r="AD326">
        <v>1</v>
      </c>
      <c r="AE326">
        <v>88</v>
      </c>
      <c r="AF326">
        <v>2</v>
      </c>
      <c r="AG326">
        <v>98</v>
      </c>
      <c r="AH326">
        <v>2</v>
      </c>
    </row>
    <row r="327" spans="1:34">
      <c r="A327" t="s">
        <v>1137</v>
      </c>
      <c r="B327" s="24">
        <v>1806</v>
      </c>
      <c r="C327" s="24" t="s">
        <v>1138</v>
      </c>
      <c r="D327" s="24" t="s">
        <v>1139</v>
      </c>
      <c r="E327" s="93">
        <v>93</v>
      </c>
      <c r="F327" s="94">
        <v>4</v>
      </c>
      <c r="G327" s="94">
        <v>92</v>
      </c>
      <c r="H327" s="94">
        <v>4</v>
      </c>
      <c r="I327" s="94">
        <v>96</v>
      </c>
      <c r="J327" s="94">
        <v>4</v>
      </c>
      <c r="K327" s="94">
        <v>83</v>
      </c>
      <c r="L327" s="94">
        <v>2</v>
      </c>
      <c r="M327" s="94">
        <v>77</v>
      </c>
      <c r="N327" s="94">
        <v>2</v>
      </c>
      <c r="O327" s="94">
        <v>76</v>
      </c>
      <c r="P327" s="94">
        <v>2</v>
      </c>
      <c r="Q327">
        <v>82</v>
      </c>
      <c r="R327">
        <v>2</v>
      </c>
      <c r="S327">
        <v>68</v>
      </c>
      <c r="T327">
        <v>2</v>
      </c>
      <c r="U327">
        <v>70</v>
      </c>
      <c r="V327">
        <v>2</v>
      </c>
      <c r="W327">
        <v>80</v>
      </c>
      <c r="X327">
        <v>2</v>
      </c>
      <c r="Y327">
        <v>82</v>
      </c>
      <c r="Z327">
        <v>1</v>
      </c>
      <c r="AA327">
        <v>90</v>
      </c>
      <c r="AB327">
        <v>1</v>
      </c>
      <c r="AC327">
        <v>78</v>
      </c>
      <c r="AD327">
        <v>1</v>
      </c>
      <c r="AE327">
        <v>85</v>
      </c>
      <c r="AF327">
        <v>2</v>
      </c>
      <c r="AG327">
        <v>92</v>
      </c>
      <c r="AH327">
        <v>2</v>
      </c>
    </row>
    <row r="328" spans="1:34">
      <c r="A328" t="s">
        <v>1140</v>
      </c>
      <c r="B328" s="24">
        <v>1806</v>
      </c>
      <c r="C328" s="24" t="s">
        <v>1141</v>
      </c>
      <c r="D328" s="24" t="s">
        <v>1142</v>
      </c>
      <c r="E328" s="93">
        <v>75</v>
      </c>
      <c r="F328" s="94">
        <v>4</v>
      </c>
      <c r="G328" s="94">
        <v>90</v>
      </c>
      <c r="H328" s="94">
        <v>4</v>
      </c>
      <c r="I328" s="94">
        <v>87</v>
      </c>
      <c r="J328" s="94">
        <v>4</v>
      </c>
      <c r="K328" s="94">
        <v>99</v>
      </c>
      <c r="L328" s="94">
        <v>2</v>
      </c>
      <c r="M328" s="94">
        <v>83</v>
      </c>
      <c r="N328" s="94">
        <v>2</v>
      </c>
      <c r="O328" s="94">
        <v>70</v>
      </c>
      <c r="P328" s="94">
        <v>2</v>
      </c>
      <c r="Q328">
        <v>81</v>
      </c>
      <c r="R328">
        <v>2</v>
      </c>
      <c r="S328">
        <v>80</v>
      </c>
      <c r="T328">
        <v>2</v>
      </c>
      <c r="U328">
        <v>70</v>
      </c>
      <c r="V328">
        <v>2</v>
      </c>
      <c r="W328">
        <v>80</v>
      </c>
      <c r="X328">
        <v>2</v>
      </c>
      <c r="Y328">
        <v>75</v>
      </c>
      <c r="Z328">
        <v>1</v>
      </c>
      <c r="AA328">
        <v>90</v>
      </c>
      <c r="AB328">
        <v>1</v>
      </c>
      <c r="AC328">
        <v>82</v>
      </c>
      <c r="AD328">
        <v>1</v>
      </c>
      <c r="AE328">
        <v>84</v>
      </c>
      <c r="AF328">
        <v>2</v>
      </c>
      <c r="AG328">
        <v>86</v>
      </c>
      <c r="AH328">
        <v>2</v>
      </c>
    </row>
    <row r="329" spans="1:34">
      <c r="A329" t="s">
        <v>1706</v>
      </c>
      <c r="B329" s="24">
        <v>1806</v>
      </c>
      <c r="C329" s="24" t="s">
        <v>1144</v>
      </c>
      <c r="D329" s="24" t="s">
        <v>1708</v>
      </c>
      <c r="E329" s="93">
        <v>90</v>
      </c>
      <c r="F329" s="94">
        <v>4</v>
      </c>
      <c r="G329" s="94">
        <v>93</v>
      </c>
      <c r="H329" s="94">
        <v>4</v>
      </c>
      <c r="I329" s="94">
        <v>92</v>
      </c>
      <c r="J329" s="94">
        <v>4</v>
      </c>
      <c r="K329" s="94">
        <v>90</v>
      </c>
      <c r="L329" s="94">
        <v>2</v>
      </c>
      <c r="M329" s="94">
        <v>85</v>
      </c>
      <c r="N329" s="94">
        <v>2</v>
      </c>
      <c r="O329" s="94">
        <v>85</v>
      </c>
      <c r="P329" s="94">
        <v>2</v>
      </c>
      <c r="Q329">
        <v>88</v>
      </c>
      <c r="R329">
        <v>2</v>
      </c>
      <c r="S329">
        <v>88</v>
      </c>
      <c r="T329">
        <v>2</v>
      </c>
      <c r="U329">
        <v>72</v>
      </c>
      <c r="V329">
        <v>2</v>
      </c>
      <c r="W329">
        <v>93</v>
      </c>
      <c r="X329">
        <v>2</v>
      </c>
      <c r="Y329">
        <v>73</v>
      </c>
      <c r="Z329">
        <v>1</v>
      </c>
      <c r="AA329">
        <v>90</v>
      </c>
      <c r="AB329">
        <v>1</v>
      </c>
      <c r="AC329">
        <v>68</v>
      </c>
      <c r="AD329">
        <v>1</v>
      </c>
      <c r="AE329">
        <v>84</v>
      </c>
      <c r="AF329">
        <v>2</v>
      </c>
      <c r="AG329">
        <v>83</v>
      </c>
      <c r="AH329">
        <v>2</v>
      </c>
    </row>
    <row r="330" spans="1:34">
      <c r="A330" t="s">
        <v>1145</v>
      </c>
      <c r="B330" s="24">
        <v>1806</v>
      </c>
      <c r="C330" s="24" t="s">
        <v>1146</v>
      </c>
      <c r="D330" s="24" t="s">
        <v>1147</v>
      </c>
      <c r="E330" s="93">
        <v>78</v>
      </c>
      <c r="F330" s="94">
        <v>4</v>
      </c>
      <c r="G330" s="94">
        <v>92</v>
      </c>
      <c r="H330" s="94">
        <v>4</v>
      </c>
      <c r="I330" s="94">
        <v>93</v>
      </c>
      <c r="J330" s="94">
        <v>4</v>
      </c>
      <c r="K330" s="94">
        <v>87</v>
      </c>
      <c r="L330" s="94">
        <v>2</v>
      </c>
      <c r="M330" s="94">
        <v>81</v>
      </c>
      <c r="N330" s="94">
        <v>2</v>
      </c>
      <c r="O330" s="94">
        <v>70</v>
      </c>
      <c r="P330" s="94">
        <v>2</v>
      </c>
      <c r="Q330">
        <v>86</v>
      </c>
      <c r="R330">
        <v>2</v>
      </c>
      <c r="S330">
        <v>80</v>
      </c>
      <c r="T330">
        <v>2</v>
      </c>
      <c r="U330">
        <v>78</v>
      </c>
      <c r="V330">
        <v>2</v>
      </c>
      <c r="W330">
        <v>85</v>
      </c>
      <c r="X330">
        <v>2</v>
      </c>
      <c r="Y330">
        <v>76</v>
      </c>
      <c r="Z330">
        <v>1</v>
      </c>
      <c r="AA330">
        <v>90</v>
      </c>
      <c r="AB330">
        <v>1</v>
      </c>
      <c r="AC330">
        <v>70</v>
      </c>
      <c r="AD330">
        <v>1</v>
      </c>
      <c r="AE330">
        <v>81</v>
      </c>
      <c r="AF330">
        <v>2</v>
      </c>
      <c r="AG330">
        <v>70</v>
      </c>
      <c r="AH330">
        <v>2</v>
      </c>
    </row>
    <row r="331" spans="1:34">
      <c r="A331" t="s">
        <v>1148</v>
      </c>
      <c r="B331" s="24">
        <v>1806</v>
      </c>
      <c r="C331" s="24" t="s">
        <v>1149</v>
      </c>
      <c r="D331" s="24" t="s">
        <v>1150</v>
      </c>
      <c r="E331" s="93">
        <v>94</v>
      </c>
      <c r="F331" s="94">
        <v>4</v>
      </c>
      <c r="G331" s="94">
        <v>93</v>
      </c>
      <c r="H331" s="94">
        <v>4</v>
      </c>
      <c r="I331" s="94">
        <v>87</v>
      </c>
      <c r="J331" s="94">
        <v>4</v>
      </c>
      <c r="K331" s="94">
        <v>88</v>
      </c>
      <c r="L331" s="94">
        <v>2</v>
      </c>
      <c r="M331" s="94">
        <v>82</v>
      </c>
      <c r="N331" s="94">
        <v>2</v>
      </c>
      <c r="O331" s="94">
        <v>87</v>
      </c>
      <c r="P331" s="94">
        <v>2</v>
      </c>
      <c r="Q331">
        <v>92</v>
      </c>
      <c r="R331">
        <v>2</v>
      </c>
      <c r="S331">
        <v>100</v>
      </c>
      <c r="T331">
        <v>2</v>
      </c>
      <c r="U331">
        <v>81</v>
      </c>
      <c r="V331">
        <v>2</v>
      </c>
      <c r="W331">
        <v>88</v>
      </c>
      <c r="X331">
        <v>2</v>
      </c>
      <c r="Y331">
        <v>75</v>
      </c>
      <c r="Z331">
        <v>1</v>
      </c>
      <c r="AA331">
        <v>90</v>
      </c>
      <c r="AB331">
        <v>1</v>
      </c>
      <c r="AC331">
        <v>76</v>
      </c>
      <c r="AD331">
        <v>1</v>
      </c>
      <c r="AE331">
        <v>87</v>
      </c>
      <c r="AF331">
        <v>2</v>
      </c>
      <c r="AG331">
        <v>98</v>
      </c>
      <c r="AH331">
        <v>2</v>
      </c>
    </row>
    <row r="332" spans="1:34">
      <c r="A332" t="s">
        <v>1151</v>
      </c>
      <c r="B332" s="24">
        <v>1806</v>
      </c>
      <c r="C332" s="24" t="s">
        <v>1152</v>
      </c>
      <c r="D332" s="24" t="s">
        <v>1153</v>
      </c>
      <c r="E332" s="93">
        <v>75</v>
      </c>
      <c r="F332" s="94">
        <v>4</v>
      </c>
      <c r="G332" s="94">
        <v>90</v>
      </c>
      <c r="H332" s="94">
        <v>4</v>
      </c>
      <c r="I332" s="94">
        <v>85</v>
      </c>
      <c r="J332" s="94">
        <v>4</v>
      </c>
      <c r="K332" s="94">
        <v>83</v>
      </c>
      <c r="L332" s="94">
        <v>2</v>
      </c>
      <c r="M332" s="94">
        <v>78</v>
      </c>
      <c r="N332" s="94">
        <v>2</v>
      </c>
      <c r="O332" s="94">
        <v>74</v>
      </c>
      <c r="P332" s="94">
        <v>2</v>
      </c>
      <c r="Q332">
        <v>81</v>
      </c>
      <c r="R332">
        <v>2</v>
      </c>
      <c r="S332">
        <v>80</v>
      </c>
      <c r="T332">
        <v>2</v>
      </c>
      <c r="U332">
        <v>77</v>
      </c>
      <c r="V332">
        <v>2</v>
      </c>
      <c r="W332">
        <v>83</v>
      </c>
      <c r="X332">
        <v>2</v>
      </c>
      <c r="Y332">
        <v>70</v>
      </c>
      <c r="Z332">
        <v>1</v>
      </c>
      <c r="AA332">
        <v>90</v>
      </c>
      <c r="AB332">
        <v>1</v>
      </c>
      <c r="AC332">
        <v>76</v>
      </c>
      <c r="AD332">
        <v>1</v>
      </c>
      <c r="AE332">
        <v>80</v>
      </c>
      <c r="AF332">
        <v>2</v>
      </c>
      <c r="AG332">
        <v>98</v>
      </c>
      <c r="AH332">
        <v>2</v>
      </c>
    </row>
    <row r="333" spans="1:34">
      <c r="A333" t="s">
        <v>1154</v>
      </c>
      <c r="B333" s="24">
        <v>1806</v>
      </c>
      <c r="C333" s="24" t="s">
        <v>1155</v>
      </c>
      <c r="D333" s="24" t="s">
        <v>1156</v>
      </c>
      <c r="E333" s="93">
        <v>83</v>
      </c>
      <c r="F333" s="94">
        <v>4</v>
      </c>
      <c r="G333" s="94">
        <v>90</v>
      </c>
      <c r="H333" s="94">
        <v>4</v>
      </c>
      <c r="I333" s="94">
        <v>86</v>
      </c>
      <c r="J333" s="94">
        <v>4</v>
      </c>
      <c r="K333" s="94">
        <v>90</v>
      </c>
      <c r="L333" s="94">
        <v>2</v>
      </c>
      <c r="M333" s="94">
        <v>73</v>
      </c>
      <c r="N333" s="94">
        <v>2</v>
      </c>
      <c r="O333" s="94">
        <v>74</v>
      </c>
      <c r="P333" s="94">
        <v>2</v>
      </c>
      <c r="Q333">
        <v>82</v>
      </c>
      <c r="R333">
        <v>2</v>
      </c>
      <c r="S333">
        <v>94</v>
      </c>
      <c r="T333">
        <v>2</v>
      </c>
      <c r="U333">
        <v>72</v>
      </c>
      <c r="V333">
        <v>2</v>
      </c>
      <c r="W333">
        <v>88</v>
      </c>
      <c r="X333">
        <v>2</v>
      </c>
      <c r="Y333">
        <v>84</v>
      </c>
      <c r="Z333">
        <v>1</v>
      </c>
      <c r="AA333">
        <v>90</v>
      </c>
      <c r="AB333">
        <v>1</v>
      </c>
      <c r="AC333">
        <v>90</v>
      </c>
      <c r="AD333">
        <v>1</v>
      </c>
      <c r="AE333">
        <v>86</v>
      </c>
      <c r="AF333">
        <v>2</v>
      </c>
      <c r="AG333">
        <v>90</v>
      </c>
      <c r="AH333">
        <v>2</v>
      </c>
    </row>
    <row r="334" spans="1:34">
      <c r="A334" t="s">
        <v>1157</v>
      </c>
      <c r="B334" s="24">
        <v>1806</v>
      </c>
      <c r="C334" s="24" t="s">
        <v>1158</v>
      </c>
      <c r="D334" s="24" t="s">
        <v>1159</v>
      </c>
      <c r="E334" s="93">
        <v>86</v>
      </c>
      <c r="F334" s="94">
        <v>4</v>
      </c>
      <c r="G334" s="94">
        <v>91</v>
      </c>
      <c r="H334" s="94">
        <v>4</v>
      </c>
      <c r="I334" s="94">
        <v>82</v>
      </c>
      <c r="J334" s="94">
        <v>4</v>
      </c>
      <c r="K334" s="94">
        <v>86</v>
      </c>
      <c r="L334" s="94">
        <v>2</v>
      </c>
      <c r="M334" s="94">
        <v>72</v>
      </c>
      <c r="N334" s="94">
        <v>2</v>
      </c>
      <c r="O334" s="94">
        <v>78</v>
      </c>
      <c r="P334" s="94">
        <v>2</v>
      </c>
      <c r="Q334">
        <v>94</v>
      </c>
      <c r="R334">
        <v>2</v>
      </c>
      <c r="S334">
        <v>84</v>
      </c>
      <c r="T334">
        <v>2</v>
      </c>
      <c r="U334">
        <v>76</v>
      </c>
      <c r="V334">
        <v>2</v>
      </c>
      <c r="W334">
        <v>88</v>
      </c>
      <c r="X334">
        <v>2</v>
      </c>
      <c r="Y334">
        <v>82</v>
      </c>
      <c r="Z334">
        <v>1</v>
      </c>
      <c r="AA334">
        <v>90</v>
      </c>
      <c r="AB334">
        <v>1</v>
      </c>
      <c r="AC334">
        <v>89</v>
      </c>
      <c r="AD334">
        <v>1</v>
      </c>
      <c r="AE334">
        <v>86</v>
      </c>
      <c r="AF334">
        <v>2</v>
      </c>
      <c r="AG334">
        <v>96</v>
      </c>
      <c r="AH334">
        <v>2</v>
      </c>
    </row>
    <row r="335" spans="1:34">
      <c r="A335" t="s">
        <v>1160</v>
      </c>
      <c r="B335" s="24">
        <v>1806</v>
      </c>
      <c r="C335" s="24" t="s">
        <v>1161</v>
      </c>
      <c r="D335" s="24" t="s">
        <v>1162</v>
      </c>
      <c r="E335" s="93">
        <v>95</v>
      </c>
      <c r="F335" s="94">
        <v>4</v>
      </c>
      <c r="G335" s="94">
        <v>93</v>
      </c>
      <c r="H335" s="94">
        <v>4</v>
      </c>
      <c r="I335" s="94">
        <v>93</v>
      </c>
      <c r="J335" s="94">
        <v>4</v>
      </c>
      <c r="K335" s="94">
        <v>81</v>
      </c>
      <c r="L335" s="94">
        <v>2</v>
      </c>
      <c r="M335" s="94">
        <v>79</v>
      </c>
      <c r="N335" s="94">
        <v>2</v>
      </c>
      <c r="O335" s="94">
        <v>83</v>
      </c>
      <c r="P335" s="94">
        <v>2</v>
      </c>
      <c r="Q335">
        <v>96</v>
      </c>
      <c r="R335">
        <v>2</v>
      </c>
      <c r="S335">
        <v>91</v>
      </c>
      <c r="T335">
        <v>2</v>
      </c>
      <c r="U335">
        <v>83</v>
      </c>
      <c r="V335">
        <v>2</v>
      </c>
      <c r="W335">
        <v>90</v>
      </c>
      <c r="X335">
        <v>2</v>
      </c>
      <c r="Y335">
        <v>85</v>
      </c>
      <c r="Z335">
        <v>1</v>
      </c>
      <c r="AA335">
        <v>90</v>
      </c>
      <c r="AB335">
        <v>1</v>
      </c>
      <c r="AC335">
        <v>86</v>
      </c>
      <c r="AD335">
        <v>1</v>
      </c>
      <c r="AE335">
        <v>91</v>
      </c>
      <c r="AF335">
        <v>2</v>
      </c>
      <c r="AG335">
        <v>93</v>
      </c>
      <c r="AH335">
        <v>2</v>
      </c>
    </row>
    <row r="336" spans="1:34">
      <c r="A336" t="s">
        <v>1163</v>
      </c>
      <c r="B336" s="24">
        <v>1806</v>
      </c>
      <c r="C336" s="24" t="s">
        <v>1164</v>
      </c>
      <c r="D336" s="24" t="s">
        <v>1165</v>
      </c>
      <c r="E336" s="93">
        <v>95</v>
      </c>
      <c r="F336" s="94">
        <v>4</v>
      </c>
      <c r="G336" s="94">
        <v>92</v>
      </c>
      <c r="H336" s="94">
        <v>4</v>
      </c>
      <c r="I336" s="94">
        <v>90</v>
      </c>
      <c r="J336" s="94">
        <v>4</v>
      </c>
      <c r="K336" s="94">
        <v>92</v>
      </c>
      <c r="L336" s="94">
        <v>2</v>
      </c>
      <c r="M336" s="94">
        <v>86</v>
      </c>
      <c r="N336" s="94">
        <v>2</v>
      </c>
      <c r="O336" s="94">
        <v>84</v>
      </c>
      <c r="P336" s="94">
        <v>2</v>
      </c>
      <c r="Q336">
        <v>95</v>
      </c>
      <c r="R336">
        <v>2</v>
      </c>
      <c r="S336">
        <v>90</v>
      </c>
      <c r="T336">
        <v>2</v>
      </c>
      <c r="U336">
        <v>85</v>
      </c>
      <c r="V336">
        <v>2</v>
      </c>
      <c r="W336">
        <v>93</v>
      </c>
      <c r="X336">
        <v>2</v>
      </c>
      <c r="Y336">
        <v>81</v>
      </c>
      <c r="Z336">
        <v>1</v>
      </c>
      <c r="AA336">
        <v>90</v>
      </c>
      <c r="AB336">
        <v>1</v>
      </c>
      <c r="AC336">
        <v>76</v>
      </c>
      <c r="AD336">
        <v>1</v>
      </c>
      <c r="AE336">
        <v>88</v>
      </c>
      <c r="AF336">
        <v>2</v>
      </c>
      <c r="AG336">
        <v>75</v>
      </c>
      <c r="AH336">
        <v>2</v>
      </c>
    </row>
    <row r="337" spans="1:34">
      <c r="A337" t="s">
        <v>1166</v>
      </c>
      <c r="B337" s="24">
        <v>1806</v>
      </c>
      <c r="C337" s="24" t="s">
        <v>1167</v>
      </c>
      <c r="D337" s="24" t="s">
        <v>1168</v>
      </c>
      <c r="E337" s="93">
        <v>85</v>
      </c>
      <c r="F337" s="94">
        <v>4</v>
      </c>
      <c r="G337" s="94">
        <v>90</v>
      </c>
      <c r="H337" s="94">
        <v>4</v>
      </c>
      <c r="I337" s="94">
        <v>88</v>
      </c>
      <c r="J337" s="94">
        <v>4</v>
      </c>
      <c r="K337" s="94">
        <v>80</v>
      </c>
      <c r="L337" s="94">
        <v>2</v>
      </c>
      <c r="M337" s="94">
        <v>77</v>
      </c>
      <c r="N337" s="94">
        <v>2</v>
      </c>
      <c r="O337" s="94">
        <v>75</v>
      </c>
      <c r="P337" s="94">
        <v>2</v>
      </c>
      <c r="Q337">
        <v>83</v>
      </c>
      <c r="R337">
        <v>2</v>
      </c>
      <c r="S337">
        <v>80</v>
      </c>
      <c r="T337">
        <v>2</v>
      </c>
      <c r="U337">
        <v>70</v>
      </c>
      <c r="V337">
        <v>2</v>
      </c>
      <c r="W337">
        <v>85</v>
      </c>
      <c r="X337">
        <v>2</v>
      </c>
      <c r="Y337">
        <v>83</v>
      </c>
      <c r="Z337">
        <v>1</v>
      </c>
      <c r="AA337">
        <v>90</v>
      </c>
      <c r="AB337">
        <v>1</v>
      </c>
      <c r="AC337">
        <v>85</v>
      </c>
      <c r="AD337">
        <v>1</v>
      </c>
      <c r="AE337">
        <v>87</v>
      </c>
      <c r="AF337">
        <v>2</v>
      </c>
      <c r="AG337">
        <v>98</v>
      </c>
      <c r="AH337">
        <v>2</v>
      </c>
    </row>
    <row r="338" spans="1:34">
      <c r="A338" t="s">
        <v>1169</v>
      </c>
      <c r="B338" s="24">
        <v>1806</v>
      </c>
      <c r="C338" s="24" t="s">
        <v>1170</v>
      </c>
      <c r="D338" s="24" t="s">
        <v>1171</v>
      </c>
      <c r="E338" s="93">
        <v>91</v>
      </c>
      <c r="F338" s="94">
        <v>4</v>
      </c>
      <c r="G338" s="94">
        <v>88</v>
      </c>
      <c r="H338" s="94">
        <v>4</v>
      </c>
      <c r="I338" s="94">
        <v>78</v>
      </c>
      <c r="J338" s="94">
        <v>4</v>
      </c>
      <c r="K338" s="94">
        <v>80</v>
      </c>
      <c r="L338" s="94">
        <v>2</v>
      </c>
      <c r="M338" s="94">
        <v>73</v>
      </c>
      <c r="N338" s="94">
        <v>2</v>
      </c>
      <c r="O338" s="94">
        <v>72</v>
      </c>
      <c r="P338" s="94">
        <v>2</v>
      </c>
      <c r="Q338">
        <v>82</v>
      </c>
      <c r="R338">
        <v>2</v>
      </c>
      <c r="S338">
        <v>80</v>
      </c>
      <c r="T338">
        <v>2</v>
      </c>
      <c r="U338">
        <v>72</v>
      </c>
      <c r="V338">
        <v>2</v>
      </c>
      <c r="W338">
        <v>88</v>
      </c>
      <c r="X338">
        <v>2</v>
      </c>
      <c r="Y338">
        <v>80</v>
      </c>
      <c r="Z338">
        <v>1</v>
      </c>
      <c r="AA338">
        <v>90</v>
      </c>
      <c r="AB338">
        <v>1</v>
      </c>
      <c r="AC338">
        <v>86</v>
      </c>
      <c r="AD338">
        <v>1</v>
      </c>
      <c r="AE338">
        <v>88</v>
      </c>
      <c r="AF338">
        <v>2</v>
      </c>
      <c r="AG338">
        <v>86</v>
      </c>
      <c r="AH338">
        <v>2</v>
      </c>
    </row>
    <row r="339" spans="1:34">
      <c r="A339" t="s">
        <v>1172</v>
      </c>
      <c r="B339" s="24">
        <v>1806</v>
      </c>
      <c r="C339" s="24" t="s">
        <v>1173</v>
      </c>
      <c r="D339" s="24" t="s">
        <v>1174</v>
      </c>
      <c r="E339" s="93">
        <v>81</v>
      </c>
      <c r="F339" s="94">
        <v>4</v>
      </c>
      <c r="G339" s="94">
        <v>92</v>
      </c>
      <c r="H339" s="94">
        <v>4</v>
      </c>
      <c r="I339" s="94">
        <v>83</v>
      </c>
      <c r="J339" s="94">
        <v>4</v>
      </c>
      <c r="K339" s="94">
        <v>90</v>
      </c>
      <c r="L339" s="94">
        <v>2</v>
      </c>
      <c r="M339" s="94">
        <v>89</v>
      </c>
      <c r="N339" s="94">
        <v>2</v>
      </c>
      <c r="O339" s="94">
        <v>70</v>
      </c>
      <c r="P339" s="94">
        <v>2</v>
      </c>
      <c r="Q339">
        <v>83</v>
      </c>
      <c r="R339">
        <v>2</v>
      </c>
      <c r="S339">
        <v>68</v>
      </c>
      <c r="T339">
        <v>2</v>
      </c>
      <c r="U339">
        <v>72</v>
      </c>
      <c r="V339">
        <v>2</v>
      </c>
      <c r="W339">
        <v>90</v>
      </c>
      <c r="X339">
        <v>2</v>
      </c>
      <c r="Y339">
        <v>85</v>
      </c>
      <c r="Z339">
        <v>1</v>
      </c>
      <c r="AA339">
        <v>90</v>
      </c>
      <c r="AB339">
        <v>1</v>
      </c>
      <c r="AC339">
        <v>88</v>
      </c>
      <c r="AD339">
        <v>1</v>
      </c>
      <c r="AE339">
        <v>86</v>
      </c>
      <c r="AF339">
        <v>2</v>
      </c>
      <c r="AG339">
        <v>80</v>
      </c>
      <c r="AH339">
        <v>2</v>
      </c>
    </row>
    <row r="340" spans="1:34">
      <c r="A340" t="s">
        <v>1175</v>
      </c>
      <c r="B340" s="24">
        <v>1806</v>
      </c>
      <c r="C340" s="24" t="s">
        <v>1176</v>
      </c>
      <c r="D340" s="24" t="s">
        <v>1177</v>
      </c>
      <c r="E340" s="93">
        <v>68</v>
      </c>
      <c r="F340" s="94">
        <v>4</v>
      </c>
      <c r="G340" s="94">
        <v>89</v>
      </c>
      <c r="H340" s="94">
        <v>4</v>
      </c>
      <c r="I340" s="94">
        <v>84</v>
      </c>
      <c r="J340" s="94">
        <v>4</v>
      </c>
      <c r="K340" s="94">
        <v>87</v>
      </c>
      <c r="L340" s="94">
        <v>2</v>
      </c>
      <c r="M340" s="94">
        <v>74</v>
      </c>
      <c r="N340" s="94">
        <v>2</v>
      </c>
      <c r="O340" s="94">
        <v>70</v>
      </c>
      <c r="P340" s="94">
        <v>2</v>
      </c>
      <c r="Q340">
        <v>72</v>
      </c>
      <c r="R340">
        <v>2</v>
      </c>
      <c r="S340">
        <v>80</v>
      </c>
      <c r="T340">
        <v>2</v>
      </c>
      <c r="U340">
        <v>70</v>
      </c>
      <c r="V340">
        <v>2</v>
      </c>
      <c r="W340">
        <v>80</v>
      </c>
      <c r="X340">
        <v>2</v>
      </c>
      <c r="Y340">
        <v>83</v>
      </c>
      <c r="Z340">
        <v>1</v>
      </c>
      <c r="AA340">
        <v>90</v>
      </c>
      <c r="AB340">
        <v>1</v>
      </c>
      <c r="AC340">
        <v>90</v>
      </c>
      <c r="AD340">
        <v>1</v>
      </c>
      <c r="AE340">
        <v>84</v>
      </c>
      <c r="AF340">
        <v>2</v>
      </c>
      <c r="AG340">
        <v>71</v>
      </c>
      <c r="AH340">
        <v>2</v>
      </c>
    </row>
    <row r="341" spans="1:34">
      <c r="A341" t="s">
        <v>1178</v>
      </c>
      <c r="B341" s="24">
        <v>1806</v>
      </c>
      <c r="C341" s="24" t="s">
        <v>1179</v>
      </c>
      <c r="D341" s="24" t="s">
        <v>1180</v>
      </c>
      <c r="E341" s="93">
        <v>85</v>
      </c>
      <c r="F341" s="94">
        <v>4</v>
      </c>
      <c r="G341" s="94">
        <v>90</v>
      </c>
      <c r="H341" s="94">
        <v>4</v>
      </c>
      <c r="I341" s="94">
        <v>92</v>
      </c>
      <c r="J341" s="94">
        <v>4</v>
      </c>
      <c r="K341" s="94">
        <v>80</v>
      </c>
      <c r="L341" s="94">
        <v>2</v>
      </c>
      <c r="M341" s="94">
        <v>73</v>
      </c>
      <c r="N341" s="94">
        <v>2</v>
      </c>
      <c r="O341" s="94">
        <v>78</v>
      </c>
      <c r="P341" s="94">
        <v>2</v>
      </c>
      <c r="Q341">
        <v>80</v>
      </c>
      <c r="R341">
        <v>2</v>
      </c>
      <c r="S341">
        <v>80</v>
      </c>
      <c r="T341">
        <v>2</v>
      </c>
      <c r="U341">
        <v>70</v>
      </c>
      <c r="V341">
        <v>2</v>
      </c>
      <c r="W341">
        <v>85</v>
      </c>
      <c r="X341">
        <v>2</v>
      </c>
      <c r="Y341">
        <v>80</v>
      </c>
      <c r="Z341">
        <v>1</v>
      </c>
      <c r="AA341">
        <v>90</v>
      </c>
      <c r="AB341">
        <v>1</v>
      </c>
      <c r="AC341">
        <v>82</v>
      </c>
      <c r="AD341">
        <v>1</v>
      </c>
      <c r="AE341">
        <v>85</v>
      </c>
      <c r="AF341">
        <v>2</v>
      </c>
      <c r="AG341">
        <v>98</v>
      </c>
      <c r="AH341">
        <v>2</v>
      </c>
    </row>
    <row r="342" spans="1:34">
      <c r="A342" t="s">
        <v>1181</v>
      </c>
      <c r="B342" s="24">
        <v>1806</v>
      </c>
      <c r="C342" s="24" t="s">
        <v>1182</v>
      </c>
      <c r="D342" s="24" t="s">
        <v>1183</v>
      </c>
      <c r="E342" s="93">
        <v>91</v>
      </c>
      <c r="F342" s="94">
        <v>4</v>
      </c>
      <c r="G342" s="94">
        <v>92</v>
      </c>
      <c r="H342" s="94">
        <v>4</v>
      </c>
      <c r="I342" s="94">
        <v>87</v>
      </c>
      <c r="J342" s="94">
        <v>4</v>
      </c>
      <c r="K342" s="94">
        <v>82</v>
      </c>
      <c r="L342" s="94">
        <v>2</v>
      </c>
      <c r="M342" s="94">
        <v>76</v>
      </c>
      <c r="N342" s="94">
        <v>2</v>
      </c>
      <c r="O342" s="94">
        <v>85</v>
      </c>
      <c r="P342" s="94">
        <v>2</v>
      </c>
      <c r="Q342">
        <v>87</v>
      </c>
      <c r="R342">
        <v>2</v>
      </c>
      <c r="S342">
        <v>82</v>
      </c>
      <c r="T342">
        <v>2</v>
      </c>
      <c r="U342">
        <v>73</v>
      </c>
      <c r="V342">
        <v>2</v>
      </c>
      <c r="W342">
        <v>93</v>
      </c>
      <c r="X342">
        <v>2</v>
      </c>
      <c r="Y342">
        <v>81</v>
      </c>
      <c r="Z342">
        <v>1</v>
      </c>
      <c r="AA342">
        <v>90</v>
      </c>
      <c r="AB342">
        <v>1</v>
      </c>
      <c r="AC342">
        <v>73</v>
      </c>
      <c r="AD342">
        <v>1</v>
      </c>
      <c r="AE342">
        <v>90</v>
      </c>
      <c r="AF342">
        <v>2</v>
      </c>
      <c r="AG342">
        <v>98</v>
      </c>
      <c r="AH342">
        <v>2</v>
      </c>
    </row>
    <row r="343" spans="1:34">
      <c r="A343" t="s">
        <v>1184</v>
      </c>
      <c r="B343" s="24">
        <v>1806</v>
      </c>
      <c r="C343" s="24" t="s">
        <v>1185</v>
      </c>
      <c r="D343" s="24" t="s">
        <v>1186</v>
      </c>
      <c r="E343" s="93">
        <v>81</v>
      </c>
      <c r="F343" s="94">
        <v>4</v>
      </c>
      <c r="G343" s="94">
        <v>92</v>
      </c>
      <c r="H343" s="94">
        <v>4</v>
      </c>
      <c r="I343" s="94">
        <v>86</v>
      </c>
      <c r="J343" s="94">
        <v>4</v>
      </c>
      <c r="K343" s="94">
        <v>96</v>
      </c>
      <c r="L343" s="94">
        <v>2</v>
      </c>
      <c r="M343" s="94">
        <v>88</v>
      </c>
      <c r="N343" s="94">
        <v>2</v>
      </c>
      <c r="O343" s="94">
        <v>90</v>
      </c>
      <c r="P343" s="94">
        <v>2</v>
      </c>
      <c r="Q343">
        <v>83</v>
      </c>
      <c r="R343">
        <v>2</v>
      </c>
      <c r="S343">
        <v>80</v>
      </c>
      <c r="T343">
        <v>2</v>
      </c>
      <c r="U343">
        <v>78</v>
      </c>
      <c r="V343">
        <v>2</v>
      </c>
      <c r="W343">
        <v>85</v>
      </c>
      <c r="X343">
        <v>2</v>
      </c>
      <c r="Y343">
        <v>83</v>
      </c>
      <c r="Z343">
        <v>1</v>
      </c>
      <c r="AA343">
        <v>90</v>
      </c>
      <c r="AB343">
        <v>1</v>
      </c>
      <c r="AC343">
        <v>88</v>
      </c>
      <c r="AD343">
        <v>1</v>
      </c>
      <c r="AE343">
        <v>85</v>
      </c>
      <c r="AF343">
        <v>2</v>
      </c>
      <c r="AG343">
        <v>96</v>
      </c>
      <c r="AH343">
        <v>2</v>
      </c>
    </row>
    <row r="344" spans="1:34">
      <c r="A344" t="s">
        <v>1187</v>
      </c>
      <c r="B344" s="24">
        <v>1806</v>
      </c>
      <c r="C344" s="24" t="s">
        <v>1188</v>
      </c>
      <c r="D344" s="24" t="s">
        <v>1189</v>
      </c>
      <c r="E344" s="93">
        <v>95</v>
      </c>
      <c r="F344" s="94">
        <v>4</v>
      </c>
      <c r="G344" s="94">
        <v>91</v>
      </c>
      <c r="H344" s="94">
        <v>4</v>
      </c>
      <c r="I344" s="94">
        <v>90</v>
      </c>
      <c r="J344" s="94">
        <v>4</v>
      </c>
      <c r="K344" s="94">
        <v>83</v>
      </c>
      <c r="L344" s="94">
        <v>2</v>
      </c>
      <c r="M344" s="94">
        <v>80</v>
      </c>
      <c r="N344" s="94">
        <v>2</v>
      </c>
      <c r="O344" s="94">
        <v>76</v>
      </c>
      <c r="P344" s="94">
        <v>2</v>
      </c>
      <c r="Q344">
        <v>95</v>
      </c>
      <c r="R344">
        <v>2</v>
      </c>
      <c r="S344">
        <v>82</v>
      </c>
      <c r="T344">
        <v>2</v>
      </c>
      <c r="U344">
        <v>77</v>
      </c>
      <c r="V344">
        <v>2</v>
      </c>
      <c r="W344">
        <v>93</v>
      </c>
      <c r="X344">
        <v>2</v>
      </c>
      <c r="Y344">
        <v>80</v>
      </c>
      <c r="Z344">
        <v>1</v>
      </c>
      <c r="AA344">
        <v>90</v>
      </c>
      <c r="AB344">
        <v>1</v>
      </c>
      <c r="AC344">
        <v>86</v>
      </c>
      <c r="AD344">
        <v>1</v>
      </c>
      <c r="AE344">
        <v>86</v>
      </c>
      <c r="AF344">
        <v>2</v>
      </c>
      <c r="AG344">
        <v>83</v>
      </c>
      <c r="AH344">
        <v>2</v>
      </c>
    </row>
    <row r="345" spans="1:34">
      <c r="A345" t="s">
        <v>1190</v>
      </c>
      <c r="B345" s="24">
        <v>1807</v>
      </c>
      <c r="C345" s="24" t="s">
        <v>1191</v>
      </c>
      <c r="D345" s="24" t="s">
        <v>1192</v>
      </c>
      <c r="E345" s="93">
        <v>82</v>
      </c>
      <c r="F345" s="94">
        <v>4</v>
      </c>
      <c r="G345" s="94">
        <v>90</v>
      </c>
      <c r="H345" s="94">
        <v>4</v>
      </c>
      <c r="I345" s="94">
        <v>80</v>
      </c>
      <c r="J345" s="94">
        <v>4</v>
      </c>
      <c r="K345" s="94">
        <v>94</v>
      </c>
      <c r="L345" s="94">
        <v>2</v>
      </c>
      <c r="M345" s="94">
        <v>90</v>
      </c>
      <c r="N345" s="94">
        <v>2</v>
      </c>
      <c r="O345" s="94">
        <v>80</v>
      </c>
      <c r="P345" s="94">
        <v>2</v>
      </c>
      <c r="Q345">
        <v>82</v>
      </c>
      <c r="R345">
        <v>2</v>
      </c>
      <c r="S345">
        <v>90</v>
      </c>
      <c r="T345">
        <v>2</v>
      </c>
      <c r="U345">
        <v>86</v>
      </c>
      <c r="V345">
        <v>2</v>
      </c>
      <c r="W345">
        <v>80</v>
      </c>
      <c r="X345">
        <v>2</v>
      </c>
      <c r="Y345">
        <v>73</v>
      </c>
      <c r="Z345">
        <v>1</v>
      </c>
      <c r="AA345">
        <v>92</v>
      </c>
      <c r="AB345">
        <v>1</v>
      </c>
      <c r="AC345">
        <v>65</v>
      </c>
      <c r="AD345">
        <v>1</v>
      </c>
      <c r="AE345">
        <v>87</v>
      </c>
      <c r="AF345">
        <v>2</v>
      </c>
      <c r="AG345">
        <v>92</v>
      </c>
      <c r="AH345">
        <v>2</v>
      </c>
    </row>
    <row r="346" spans="1:34">
      <c r="A346" t="s">
        <v>1193</v>
      </c>
      <c r="B346" s="24">
        <v>1807</v>
      </c>
      <c r="C346" s="24" t="s">
        <v>1194</v>
      </c>
      <c r="D346" s="24" t="s">
        <v>1195</v>
      </c>
      <c r="E346" s="93">
        <v>90</v>
      </c>
      <c r="F346" s="94">
        <v>4</v>
      </c>
      <c r="G346" s="94">
        <v>98</v>
      </c>
      <c r="H346" s="94">
        <v>4</v>
      </c>
      <c r="I346" s="94">
        <v>85</v>
      </c>
      <c r="J346" s="94">
        <v>4</v>
      </c>
      <c r="K346" s="94">
        <v>90</v>
      </c>
      <c r="L346" s="94">
        <v>2</v>
      </c>
      <c r="M346" s="94">
        <v>94</v>
      </c>
      <c r="N346" s="94">
        <v>2</v>
      </c>
      <c r="O346" s="94">
        <v>93</v>
      </c>
      <c r="P346" s="94">
        <v>2</v>
      </c>
      <c r="Q346">
        <v>83</v>
      </c>
      <c r="R346">
        <v>2</v>
      </c>
      <c r="S346">
        <v>86</v>
      </c>
      <c r="T346">
        <v>2</v>
      </c>
      <c r="U346">
        <v>78</v>
      </c>
      <c r="V346">
        <v>2</v>
      </c>
      <c r="W346">
        <v>95</v>
      </c>
      <c r="X346">
        <v>2</v>
      </c>
      <c r="Y346">
        <v>76</v>
      </c>
      <c r="Z346">
        <v>1</v>
      </c>
      <c r="AA346">
        <v>92</v>
      </c>
      <c r="AB346">
        <v>1</v>
      </c>
      <c r="AC346">
        <v>70</v>
      </c>
      <c r="AD346">
        <v>1</v>
      </c>
      <c r="AE346">
        <v>84</v>
      </c>
      <c r="AF346">
        <v>2</v>
      </c>
      <c r="AG346">
        <v>93</v>
      </c>
      <c r="AH346">
        <v>2</v>
      </c>
    </row>
    <row r="347" spans="1:34">
      <c r="A347" t="s">
        <v>1196</v>
      </c>
      <c r="B347" s="24">
        <v>1807</v>
      </c>
      <c r="C347" s="24" t="s">
        <v>1197</v>
      </c>
      <c r="D347" s="24" t="s">
        <v>1198</v>
      </c>
      <c r="E347" s="93">
        <v>88</v>
      </c>
      <c r="F347" s="94">
        <v>4</v>
      </c>
      <c r="G347" s="94">
        <v>98</v>
      </c>
      <c r="H347" s="94">
        <v>4</v>
      </c>
      <c r="I347" s="94">
        <v>86</v>
      </c>
      <c r="J347" s="94">
        <v>4</v>
      </c>
      <c r="K347" s="94">
        <v>89</v>
      </c>
      <c r="L347" s="94">
        <v>2</v>
      </c>
      <c r="M347" s="94">
        <v>97</v>
      </c>
      <c r="N347" s="94">
        <v>2</v>
      </c>
      <c r="O347" s="94">
        <v>93</v>
      </c>
      <c r="P347" s="94">
        <v>2</v>
      </c>
      <c r="Q347">
        <v>86</v>
      </c>
      <c r="R347">
        <v>2</v>
      </c>
      <c r="S347">
        <v>88</v>
      </c>
      <c r="T347">
        <v>2</v>
      </c>
      <c r="U347">
        <v>70</v>
      </c>
      <c r="V347">
        <v>2</v>
      </c>
      <c r="W347">
        <v>83</v>
      </c>
      <c r="X347">
        <v>2</v>
      </c>
      <c r="Y347">
        <v>78</v>
      </c>
      <c r="Z347">
        <v>1</v>
      </c>
      <c r="AA347">
        <v>92</v>
      </c>
      <c r="AB347">
        <v>1</v>
      </c>
      <c r="AC347">
        <v>70</v>
      </c>
      <c r="AD347">
        <v>1</v>
      </c>
      <c r="AE347">
        <v>87</v>
      </c>
      <c r="AF347">
        <v>2</v>
      </c>
      <c r="AG347">
        <v>90</v>
      </c>
      <c r="AH347">
        <v>2</v>
      </c>
    </row>
    <row r="348" spans="1:34">
      <c r="A348" t="s">
        <v>1199</v>
      </c>
      <c r="B348" s="24">
        <v>1807</v>
      </c>
      <c r="C348" s="24" t="s">
        <v>1200</v>
      </c>
      <c r="D348" s="24" t="s">
        <v>1201</v>
      </c>
      <c r="E348" s="93">
        <v>80</v>
      </c>
      <c r="F348" s="94">
        <v>4</v>
      </c>
      <c r="G348" s="94">
        <v>90</v>
      </c>
      <c r="H348" s="94">
        <v>4</v>
      </c>
      <c r="I348" s="94">
        <v>83</v>
      </c>
      <c r="J348" s="94">
        <v>4</v>
      </c>
      <c r="K348" s="94">
        <v>82</v>
      </c>
      <c r="L348" s="94">
        <v>2</v>
      </c>
      <c r="M348" s="94">
        <v>78</v>
      </c>
      <c r="N348" s="94">
        <v>2</v>
      </c>
      <c r="O348" s="94">
        <v>76</v>
      </c>
      <c r="P348" s="94">
        <v>2</v>
      </c>
      <c r="Q348">
        <v>87</v>
      </c>
      <c r="R348">
        <v>2</v>
      </c>
      <c r="S348">
        <v>84</v>
      </c>
      <c r="T348">
        <v>2</v>
      </c>
      <c r="U348">
        <v>70</v>
      </c>
      <c r="V348">
        <v>2</v>
      </c>
      <c r="W348">
        <v>85</v>
      </c>
      <c r="X348">
        <v>2</v>
      </c>
      <c r="Y348">
        <v>80</v>
      </c>
      <c r="Z348">
        <v>1</v>
      </c>
      <c r="AA348">
        <v>92</v>
      </c>
      <c r="AB348">
        <v>1</v>
      </c>
      <c r="AC348">
        <v>86</v>
      </c>
      <c r="AD348">
        <v>1</v>
      </c>
      <c r="AE348">
        <v>89</v>
      </c>
      <c r="AF348">
        <v>2</v>
      </c>
      <c r="AG348">
        <v>94</v>
      </c>
      <c r="AH348">
        <v>2</v>
      </c>
    </row>
    <row r="349" spans="1:34">
      <c r="B349" s="24">
        <v>1807</v>
      </c>
      <c r="C349" s="24" t="s">
        <v>3324</v>
      </c>
      <c r="F349" s="94">
        <v>4</v>
      </c>
      <c r="J349" s="94">
        <v>4</v>
      </c>
      <c r="Z349">
        <v>1</v>
      </c>
      <c r="AB349">
        <v>1</v>
      </c>
    </row>
    <row r="350" spans="1:34">
      <c r="A350" t="s">
        <v>1203</v>
      </c>
      <c r="B350" s="24">
        <v>1807</v>
      </c>
      <c r="C350" s="24" t="s">
        <v>1204</v>
      </c>
      <c r="D350" s="24" t="s">
        <v>1205</v>
      </c>
      <c r="E350" s="93">
        <v>90</v>
      </c>
      <c r="F350" s="94">
        <v>4</v>
      </c>
      <c r="G350" s="94">
        <v>90</v>
      </c>
      <c r="H350" s="94">
        <v>4</v>
      </c>
      <c r="I350" s="94">
        <v>88</v>
      </c>
      <c r="J350" s="94">
        <v>4</v>
      </c>
      <c r="K350" s="94">
        <v>92</v>
      </c>
      <c r="L350" s="94">
        <v>2</v>
      </c>
      <c r="M350" s="94">
        <v>83</v>
      </c>
      <c r="N350" s="94">
        <v>2</v>
      </c>
      <c r="O350" s="94">
        <v>70</v>
      </c>
      <c r="P350" s="94">
        <v>2</v>
      </c>
      <c r="Q350">
        <v>82</v>
      </c>
      <c r="R350">
        <v>2</v>
      </c>
      <c r="S350">
        <v>88</v>
      </c>
      <c r="T350">
        <v>2</v>
      </c>
      <c r="U350">
        <v>75</v>
      </c>
      <c r="V350">
        <v>2</v>
      </c>
      <c r="W350">
        <v>95</v>
      </c>
      <c r="X350">
        <v>2</v>
      </c>
      <c r="Y350">
        <v>76</v>
      </c>
      <c r="Z350">
        <v>1</v>
      </c>
      <c r="AA350">
        <v>92</v>
      </c>
      <c r="AB350">
        <v>1</v>
      </c>
      <c r="AC350">
        <v>76</v>
      </c>
      <c r="AD350">
        <v>1</v>
      </c>
      <c r="AE350">
        <v>85</v>
      </c>
      <c r="AF350">
        <v>2</v>
      </c>
      <c r="AG350">
        <v>89</v>
      </c>
      <c r="AH350">
        <v>2</v>
      </c>
    </row>
    <row r="351" spans="1:34">
      <c r="A351" t="s">
        <v>1206</v>
      </c>
      <c r="B351" s="24">
        <v>1807</v>
      </c>
      <c r="C351" s="24" t="s">
        <v>1207</v>
      </c>
      <c r="D351" s="24" t="s">
        <v>1208</v>
      </c>
      <c r="E351" s="93">
        <v>87</v>
      </c>
      <c r="F351" s="94">
        <v>4</v>
      </c>
      <c r="G351" s="94">
        <v>90</v>
      </c>
      <c r="H351" s="94">
        <v>4</v>
      </c>
      <c r="I351" s="94">
        <v>86</v>
      </c>
      <c r="J351" s="94">
        <v>4</v>
      </c>
      <c r="K351" s="94">
        <v>84</v>
      </c>
      <c r="L351" s="94">
        <v>2</v>
      </c>
      <c r="M351" s="94">
        <v>81</v>
      </c>
      <c r="N351" s="94">
        <v>2</v>
      </c>
      <c r="O351" s="94">
        <v>71</v>
      </c>
      <c r="P351" s="94">
        <v>2</v>
      </c>
      <c r="Q351">
        <v>81</v>
      </c>
      <c r="R351">
        <v>2</v>
      </c>
      <c r="S351">
        <v>88</v>
      </c>
      <c r="T351">
        <v>2</v>
      </c>
      <c r="U351">
        <v>71</v>
      </c>
      <c r="V351">
        <v>2</v>
      </c>
      <c r="W351">
        <v>88</v>
      </c>
      <c r="X351">
        <v>2</v>
      </c>
      <c r="Y351">
        <v>80</v>
      </c>
      <c r="Z351">
        <v>1</v>
      </c>
      <c r="AA351">
        <v>92</v>
      </c>
      <c r="AB351">
        <v>1</v>
      </c>
      <c r="AC351">
        <v>70</v>
      </c>
      <c r="AD351">
        <v>1</v>
      </c>
      <c r="AE351">
        <v>84</v>
      </c>
      <c r="AF351">
        <v>2</v>
      </c>
      <c r="AG351">
        <v>92</v>
      </c>
      <c r="AH351">
        <v>2</v>
      </c>
    </row>
    <row r="352" spans="1:34">
      <c r="A352" t="s">
        <v>1209</v>
      </c>
      <c r="B352" s="24">
        <v>1807</v>
      </c>
      <c r="C352" s="24" t="s">
        <v>1210</v>
      </c>
      <c r="D352" s="24" t="s">
        <v>1211</v>
      </c>
      <c r="E352" s="93">
        <v>80</v>
      </c>
      <c r="F352" s="94">
        <v>4</v>
      </c>
      <c r="G352" s="94">
        <v>95</v>
      </c>
      <c r="H352" s="94">
        <v>4</v>
      </c>
      <c r="I352" s="94">
        <v>89</v>
      </c>
      <c r="J352" s="94">
        <v>4</v>
      </c>
      <c r="K352" s="94">
        <v>95</v>
      </c>
      <c r="L352" s="94">
        <v>2</v>
      </c>
      <c r="M352" s="94">
        <v>79</v>
      </c>
      <c r="N352" s="94">
        <v>2</v>
      </c>
      <c r="O352" s="94">
        <v>76</v>
      </c>
      <c r="P352" s="94">
        <v>2</v>
      </c>
      <c r="Q352">
        <v>80</v>
      </c>
      <c r="R352">
        <v>2</v>
      </c>
      <c r="S352">
        <v>80</v>
      </c>
      <c r="T352">
        <v>2</v>
      </c>
      <c r="U352">
        <v>70</v>
      </c>
      <c r="V352">
        <v>2</v>
      </c>
      <c r="W352">
        <v>80</v>
      </c>
      <c r="X352">
        <v>2</v>
      </c>
      <c r="Y352">
        <v>81</v>
      </c>
      <c r="Z352">
        <v>1</v>
      </c>
      <c r="AA352">
        <v>92</v>
      </c>
      <c r="AB352">
        <v>1</v>
      </c>
      <c r="AC352">
        <v>76</v>
      </c>
      <c r="AD352">
        <v>1</v>
      </c>
      <c r="AE352">
        <v>50</v>
      </c>
      <c r="AF352">
        <v>1</v>
      </c>
      <c r="AG352">
        <v>91</v>
      </c>
      <c r="AH352">
        <v>2</v>
      </c>
    </row>
    <row r="353" spans="1:34">
      <c r="A353" t="s">
        <v>1212</v>
      </c>
      <c r="B353" s="24">
        <v>1807</v>
      </c>
      <c r="C353" s="24" t="s">
        <v>1213</v>
      </c>
      <c r="D353" s="24" t="s">
        <v>1214</v>
      </c>
      <c r="E353" s="93">
        <v>89</v>
      </c>
      <c r="F353" s="94">
        <v>4</v>
      </c>
      <c r="G353" s="94">
        <v>90</v>
      </c>
      <c r="H353" s="94">
        <v>4</v>
      </c>
      <c r="I353" s="94">
        <v>90</v>
      </c>
      <c r="J353" s="94">
        <v>4</v>
      </c>
      <c r="K353" s="94">
        <v>81</v>
      </c>
      <c r="L353" s="94">
        <v>2</v>
      </c>
      <c r="M353" s="94">
        <v>78</v>
      </c>
      <c r="N353" s="94">
        <v>2</v>
      </c>
      <c r="O353" s="94">
        <v>76</v>
      </c>
      <c r="P353" s="94">
        <v>2</v>
      </c>
      <c r="Q353">
        <v>99</v>
      </c>
      <c r="R353">
        <v>2</v>
      </c>
      <c r="S353">
        <v>85</v>
      </c>
      <c r="T353">
        <v>2</v>
      </c>
      <c r="U353">
        <v>79</v>
      </c>
      <c r="V353">
        <v>2</v>
      </c>
      <c r="W353">
        <v>88</v>
      </c>
      <c r="X353">
        <v>2</v>
      </c>
      <c r="Y353">
        <v>84</v>
      </c>
      <c r="Z353">
        <v>1</v>
      </c>
      <c r="AA353">
        <v>92</v>
      </c>
      <c r="AB353">
        <v>1</v>
      </c>
      <c r="AC353">
        <v>78</v>
      </c>
      <c r="AD353">
        <v>1</v>
      </c>
      <c r="AE353">
        <v>87</v>
      </c>
      <c r="AF353">
        <v>2</v>
      </c>
      <c r="AG353">
        <v>93</v>
      </c>
      <c r="AH353">
        <v>2</v>
      </c>
    </row>
    <row r="354" spans="1:34">
      <c r="A354" t="s">
        <v>1215</v>
      </c>
      <c r="B354" s="24">
        <v>1807</v>
      </c>
      <c r="C354" s="24" t="s">
        <v>1216</v>
      </c>
      <c r="D354" s="24" t="s">
        <v>1217</v>
      </c>
      <c r="E354" s="93">
        <v>96</v>
      </c>
      <c r="F354" s="94">
        <v>4</v>
      </c>
      <c r="G354" s="94">
        <v>90</v>
      </c>
      <c r="H354" s="94">
        <v>4</v>
      </c>
      <c r="I354" s="94">
        <v>91</v>
      </c>
      <c r="J354" s="94">
        <v>4</v>
      </c>
      <c r="K354" s="94">
        <v>90</v>
      </c>
      <c r="L354" s="94">
        <v>2</v>
      </c>
      <c r="M354" s="94">
        <v>83</v>
      </c>
      <c r="N354" s="94">
        <v>2</v>
      </c>
      <c r="O354" s="94">
        <v>76</v>
      </c>
      <c r="P354" s="94">
        <v>2</v>
      </c>
      <c r="Q354">
        <v>82</v>
      </c>
      <c r="R354">
        <v>2</v>
      </c>
      <c r="S354">
        <v>78</v>
      </c>
      <c r="T354">
        <v>2</v>
      </c>
      <c r="U354">
        <v>70</v>
      </c>
      <c r="V354">
        <v>2</v>
      </c>
      <c r="W354">
        <v>95</v>
      </c>
      <c r="X354">
        <v>2</v>
      </c>
      <c r="Y354">
        <v>70</v>
      </c>
      <c r="Z354">
        <v>1</v>
      </c>
      <c r="AA354">
        <v>92</v>
      </c>
      <c r="AB354">
        <v>1</v>
      </c>
      <c r="AC354">
        <v>76</v>
      </c>
      <c r="AD354">
        <v>1</v>
      </c>
      <c r="AE354">
        <v>88</v>
      </c>
      <c r="AF354">
        <v>2</v>
      </c>
      <c r="AG354">
        <v>95</v>
      </c>
      <c r="AH354">
        <v>2</v>
      </c>
    </row>
    <row r="355" spans="1:34">
      <c r="A355">
        <v>20181084</v>
      </c>
      <c r="B355" s="24">
        <v>1807</v>
      </c>
      <c r="C355" s="24" t="s">
        <v>1219</v>
      </c>
      <c r="D355" s="24" t="s">
        <v>3251</v>
      </c>
      <c r="E355" s="93">
        <v>86</v>
      </c>
      <c r="F355" s="94">
        <v>4</v>
      </c>
      <c r="G355" s="94">
        <v>90</v>
      </c>
      <c r="H355" s="94">
        <v>4</v>
      </c>
      <c r="I355" s="94">
        <v>80</v>
      </c>
      <c r="J355" s="94">
        <v>4</v>
      </c>
      <c r="K355" s="94">
        <v>81</v>
      </c>
      <c r="L355" s="94">
        <v>2</v>
      </c>
      <c r="M355" s="94">
        <v>74</v>
      </c>
      <c r="N355" s="94">
        <v>2</v>
      </c>
      <c r="O355" s="94">
        <v>74</v>
      </c>
      <c r="P355" s="94">
        <v>2</v>
      </c>
      <c r="Q355">
        <v>80</v>
      </c>
      <c r="R355">
        <v>2</v>
      </c>
      <c r="S355">
        <v>86</v>
      </c>
      <c r="T355">
        <v>2</v>
      </c>
      <c r="U355">
        <v>71</v>
      </c>
      <c r="V355">
        <v>2</v>
      </c>
      <c r="W355">
        <v>96</v>
      </c>
      <c r="X355">
        <v>2</v>
      </c>
      <c r="Y355">
        <v>80</v>
      </c>
      <c r="Z355">
        <v>1</v>
      </c>
      <c r="AA355">
        <v>92</v>
      </c>
      <c r="AB355">
        <v>1</v>
      </c>
      <c r="AC355">
        <v>85</v>
      </c>
      <c r="AD355">
        <v>1</v>
      </c>
      <c r="AE355">
        <v>86</v>
      </c>
      <c r="AF355">
        <v>2</v>
      </c>
      <c r="AG355">
        <v>96</v>
      </c>
      <c r="AH355">
        <v>2</v>
      </c>
    </row>
    <row r="356" spans="1:34">
      <c r="A356">
        <v>20181085</v>
      </c>
      <c r="B356" s="24">
        <v>1807</v>
      </c>
      <c r="C356" s="24" t="s">
        <v>1222</v>
      </c>
      <c r="D356" s="24" t="s">
        <v>3244</v>
      </c>
      <c r="E356" s="93">
        <v>90</v>
      </c>
      <c r="F356" s="94">
        <v>4</v>
      </c>
      <c r="G356" s="94">
        <v>85</v>
      </c>
      <c r="H356" s="94">
        <v>4</v>
      </c>
      <c r="I356" s="94">
        <v>83</v>
      </c>
      <c r="J356" s="94">
        <v>4</v>
      </c>
      <c r="K356" s="94">
        <v>80</v>
      </c>
      <c r="L356" s="94">
        <v>2</v>
      </c>
      <c r="M356" s="94">
        <v>72</v>
      </c>
      <c r="N356" s="94">
        <v>2</v>
      </c>
      <c r="O356" s="94">
        <v>74</v>
      </c>
      <c r="P356" s="94">
        <v>2</v>
      </c>
      <c r="Q356">
        <v>85</v>
      </c>
      <c r="R356">
        <v>2</v>
      </c>
      <c r="S356">
        <v>80</v>
      </c>
      <c r="T356">
        <v>2</v>
      </c>
      <c r="U356">
        <v>82</v>
      </c>
      <c r="V356">
        <v>2</v>
      </c>
      <c r="W356">
        <v>93</v>
      </c>
      <c r="X356">
        <v>2</v>
      </c>
      <c r="Y356">
        <v>81</v>
      </c>
      <c r="Z356">
        <v>1</v>
      </c>
      <c r="AA356">
        <v>92</v>
      </c>
      <c r="AB356">
        <v>1</v>
      </c>
      <c r="AC356">
        <v>82</v>
      </c>
      <c r="AD356">
        <v>1</v>
      </c>
      <c r="AE356">
        <v>89</v>
      </c>
      <c r="AF356">
        <v>2</v>
      </c>
      <c r="AG356">
        <v>94</v>
      </c>
      <c r="AH356">
        <v>2</v>
      </c>
    </row>
    <row r="357" spans="1:34">
      <c r="A357" t="s">
        <v>1224</v>
      </c>
      <c r="B357" s="24">
        <v>1807</v>
      </c>
      <c r="C357" s="24" t="s">
        <v>1225</v>
      </c>
      <c r="D357" s="24" t="s">
        <v>1226</v>
      </c>
      <c r="E357" s="93">
        <v>88</v>
      </c>
      <c r="F357" s="94">
        <v>4</v>
      </c>
      <c r="G357" s="94">
        <v>90</v>
      </c>
      <c r="H357" s="94">
        <v>4</v>
      </c>
      <c r="I357" s="94">
        <v>85</v>
      </c>
      <c r="J357" s="94">
        <v>4</v>
      </c>
      <c r="K357" s="94">
        <v>91</v>
      </c>
      <c r="L357" s="94">
        <v>2</v>
      </c>
      <c r="M357" s="94">
        <v>80</v>
      </c>
      <c r="N357" s="94">
        <v>2</v>
      </c>
      <c r="O357" s="94">
        <v>93</v>
      </c>
      <c r="P357" s="94">
        <v>2</v>
      </c>
      <c r="Q357">
        <v>98</v>
      </c>
      <c r="R357">
        <v>2</v>
      </c>
      <c r="S357">
        <v>85</v>
      </c>
      <c r="T357">
        <v>2</v>
      </c>
      <c r="U357">
        <v>72</v>
      </c>
      <c r="V357">
        <v>2</v>
      </c>
      <c r="W357">
        <v>93</v>
      </c>
      <c r="X357">
        <v>2</v>
      </c>
      <c r="Y357">
        <v>80</v>
      </c>
      <c r="Z357">
        <v>1</v>
      </c>
      <c r="AA357">
        <v>92</v>
      </c>
      <c r="AB357">
        <v>1</v>
      </c>
      <c r="AC357">
        <v>90</v>
      </c>
      <c r="AD357">
        <v>1</v>
      </c>
      <c r="AE357">
        <v>86</v>
      </c>
      <c r="AF357">
        <v>2</v>
      </c>
      <c r="AG357">
        <v>93</v>
      </c>
      <c r="AH357">
        <v>2</v>
      </c>
    </row>
    <row r="358" spans="1:34">
      <c r="A358" t="s">
        <v>1227</v>
      </c>
      <c r="B358" s="24">
        <v>1807</v>
      </c>
      <c r="C358" s="24" t="s">
        <v>1228</v>
      </c>
      <c r="D358" s="24" t="s">
        <v>1229</v>
      </c>
      <c r="E358" s="93">
        <v>95</v>
      </c>
      <c r="F358" s="94">
        <v>4</v>
      </c>
      <c r="G358" s="94">
        <v>90</v>
      </c>
      <c r="H358" s="94">
        <v>4</v>
      </c>
      <c r="I358" s="94">
        <v>90</v>
      </c>
      <c r="J358" s="94">
        <v>4</v>
      </c>
      <c r="K358" s="94">
        <v>88</v>
      </c>
      <c r="L358" s="94">
        <v>2</v>
      </c>
      <c r="M358" s="94">
        <v>76</v>
      </c>
      <c r="N358" s="94">
        <v>2</v>
      </c>
      <c r="O358" s="94">
        <v>77</v>
      </c>
      <c r="P358" s="94">
        <v>2</v>
      </c>
      <c r="Q358">
        <v>83</v>
      </c>
      <c r="R358">
        <v>2</v>
      </c>
      <c r="S358">
        <v>84</v>
      </c>
      <c r="T358">
        <v>2</v>
      </c>
      <c r="U358">
        <v>70</v>
      </c>
      <c r="V358">
        <v>2</v>
      </c>
      <c r="W358">
        <v>80</v>
      </c>
      <c r="X358">
        <v>2</v>
      </c>
      <c r="Y358">
        <v>84</v>
      </c>
      <c r="Z358">
        <v>1</v>
      </c>
      <c r="AA358">
        <v>92</v>
      </c>
      <c r="AB358">
        <v>1</v>
      </c>
      <c r="AC358">
        <v>92</v>
      </c>
      <c r="AD358">
        <v>1</v>
      </c>
      <c r="AE358">
        <v>92</v>
      </c>
      <c r="AF358">
        <v>2</v>
      </c>
      <c r="AG358">
        <v>91</v>
      </c>
      <c r="AH358">
        <v>2</v>
      </c>
    </row>
    <row r="359" spans="1:34">
      <c r="A359" t="s">
        <v>1230</v>
      </c>
      <c r="B359" s="24">
        <v>1807</v>
      </c>
      <c r="C359" s="24" t="s">
        <v>1231</v>
      </c>
      <c r="D359" s="24" t="s">
        <v>1232</v>
      </c>
      <c r="E359" s="93">
        <v>80</v>
      </c>
      <c r="F359" s="94">
        <v>4</v>
      </c>
      <c r="G359" s="94">
        <v>90</v>
      </c>
      <c r="H359" s="94">
        <v>4</v>
      </c>
      <c r="I359" s="94">
        <v>88</v>
      </c>
      <c r="J359" s="94">
        <v>4</v>
      </c>
      <c r="K359" s="94">
        <v>83</v>
      </c>
      <c r="L359" s="94">
        <v>2</v>
      </c>
      <c r="M359" s="94">
        <v>79</v>
      </c>
      <c r="N359" s="94">
        <v>2</v>
      </c>
      <c r="O359" s="94">
        <v>73</v>
      </c>
      <c r="P359" s="94">
        <v>2</v>
      </c>
      <c r="Q359">
        <v>80</v>
      </c>
      <c r="R359">
        <v>2</v>
      </c>
      <c r="S359">
        <v>80</v>
      </c>
      <c r="T359">
        <v>2</v>
      </c>
      <c r="U359">
        <v>81</v>
      </c>
      <c r="V359">
        <v>2</v>
      </c>
      <c r="W359">
        <v>85</v>
      </c>
      <c r="X359">
        <v>2</v>
      </c>
      <c r="Y359">
        <v>78</v>
      </c>
      <c r="Z359">
        <v>1</v>
      </c>
      <c r="AA359">
        <v>92</v>
      </c>
      <c r="AB359">
        <v>1</v>
      </c>
      <c r="AC359">
        <v>86</v>
      </c>
      <c r="AD359">
        <v>1</v>
      </c>
      <c r="AE359">
        <v>89</v>
      </c>
      <c r="AF359">
        <v>2</v>
      </c>
      <c r="AG359">
        <v>93</v>
      </c>
      <c r="AH359">
        <v>2</v>
      </c>
    </row>
    <row r="360" spans="1:34">
      <c r="A360" t="s">
        <v>1233</v>
      </c>
      <c r="B360" s="24">
        <v>1807</v>
      </c>
      <c r="C360" s="24" t="s">
        <v>1234</v>
      </c>
      <c r="D360" s="24" t="s">
        <v>1235</v>
      </c>
      <c r="E360" s="93">
        <v>82</v>
      </c>
      <c r="F360" s="94">
        <v>4</v>
      </c>
      <c r="G360" s="94">
        <v>88</v>
      </c>
      <c r="H360" s="94">
        <v>4</v>
      </c>
      <c r="I360" s="94">
        <v>90</v>
      </c>
      <c r="J360" s="94">
        <v>4</v>
      </c>
      <c r="K360" s="94">
        <v>80</v>
      </c>
      <c r="L360" s="94">
        <v>2</v>
      </c>
      <c r="M360" s="94">
        <v>75</v>
      </c>
      <c r="N360" s="94">
        <v>2</v>
      </c>
      <c r="O360" s="94">
        <v>73</v>
      </c>
      <c r="P360" s="94">
        <v>2</v>
      </c>
      <c r="Q360">
        <v>80</v>
      </c>
      <c r="R360">
        <v>2</v>
      </c>
      <c r="S360">
        <v>84</v>
      </c>
      <c r="T360">
        <v>2</v>
      </c>
      <c r="U360">
        <v>70</v>
      </c>
      <c r="V360">
        <v>2</v>
      </c>
      <c r="W360">
        <v>88</v>
      </c>
      <c r="X360">
        <v>2</v>
      </c>
      <c r="Y360">
        <v>73</v>
      </c>
      <c r="Z360">
        <v>1</v>
      </c>
      <c r="AA360">
        <v>92</v>
      </c>
      <c r="AB360">
        <v>1</v>
      </c>
      <c r="AC360">
        <v>80</v>
      </c>
      <c r="AD360">
        <v>1</v>
      </c>
      <c r="AE360">
        <v>86</v>
      </c>
      <c r="AF360">
        <v>2</v>
      </c>
      <c r="AG360">
        <v>94</v>
      </c>
      <c r="AH360">
        <v>2</v>
      </c>
    </row>
    <row r="361" spans="1:34">
      <c r="A361" t="s">
        <v>1236</v>
      </c>
      <c r="B361" s="24">
        <v>1807</v>
      </c>
      <c r="C361" s="24" t="s">
        <v>1237</v>
      </c>
      <c r="D361" s="24" t="s">
        <v>1238</v>
      </c>
      <c r="E361" s="93">
        <v>80</v>
      </c>
      <c r="F361" s="94">
        <v>4</v>
      </c>
      <c r="G361" s="94">
        <v>90</v>
      </c>
      <c r="H361" s="94">
        <v>4</v>
      </c>
      <c r="I361" s="94">
        <v>85</v>
      </c>
      <c r="J361" s="94">
        <v>4</v>
      </c>
      <c r="K361" s="94">
        <v>88</v>
      </c>
      <c r="L361" s="94">
        <v>2</v>
      </c>
      <c r="M361" s="94">
        <v>80</v>
      </c>
      <c r="N361" s="94">
        <v>2</v>
      </c>
      <c r="O361" s="94">
        <v>73</v>
      </c>
      <c r="P361" s="94">
        <v>2</v>
      </c>
      <c r="Q361">
        <v>95</v>
      </c>
      <c r="R361">
        <v>2</v>
      </c>
      <c r="S361">
        <v>85</v>
      </c>
      <c r="T361">
        <v>2</v>
      </c>
      <c r="U361">
        <v>79</v>
      </c>
      <c r="V361">
        <v>2</v>
      </c>
      <c r="W361">
        <v>85</v>
      </c>
      <c r="X361">
        <v>2</v>
      </c>
      <c r="Y361">
        <v>80</v>
      </c>
      <c r="Z361">
        <v>1</v>
      </c>
      <c r="AA361">
        <v>92</v>
      </c>
      <c r="AB361">
        <v>1</v>
      </c>
      <c r="AC361">
        <v>78</v>
      </c>
      <c r="AD361">
        <v>1</v>
      </c>
      <c r="AE361">
        <v>87</v>
      </c>
      <c r="AF361">
        <v>2</v>
      </c>
      <c r="AG361">
        <v>93</v>
      </c>
      <c r="AH361">
        <v>2</v>
      </c>
    </row>
    <row r="362" spans="1:34">
      <c r="A362" t="s">
        <v>1239</v>
      </c>
      <c r="B362" s="24">
        <v>1807</v>
      </c>
      <c r="C362" s="24" t="s">
        <v>1240</v>
      </c>
      <c r="D362" s="24" t="s">
        <v>1241</v>
      </c>
      <c r="E362" s="93">
        <v>87</v>
      </c>
      <c r="F362" s="94">
        <v>4</v>
      </c>
      <c r="G362" s="94">
        <v>90</v>
      </c>
      <c r="H362" s="94">
        <v>4</v>
      </c>
      <c r="I362" s="94">
        <v>86</v>
      </c>
      <c r="J362" s="94">
        <v>4</v>
      </c>
      <c r="K362" s="94">
        <v>96</v>
      </c>
      <c r="L362" s="94">
        <v>2</v>
      </c>
      <c r="M362" s="94">
        <v>96</v>
      </c>
      <c r="N362" s="94">
        <v>2</v>
      </c>
      <c r="O362" s="94">
        <v>85</v>
      </c>
      <c r="P362" s="94">
        <v>2</v>
      </c>
      <c r="Q362">
        <v>88</v>
      </c>
      <c r="R362">
        <v>2</v>
      </c>
      <c r="S362">
        <v>86</v>
      </c>
      <c r="T362">
        <v>2</v>
      </c>
      <c r="U362">
        <v>82</v>
      </c>
      <c r="V362">
        <v>2</v>
      </c>
      <c r="W362">
        <v>88</v>
      </c>
      <c r="X362">
        <v>2</v>
      </c>
      <c r="Y362">
        <v>78</v>
      </c>
      <c r="Z362">
        <v>1</v>
      </c>
      <c r="AA362">
        <v>92</v>
      </c>
      <c r="AB362">
        <v>1</v>
      </c>
      <c r="AC362">
        <v>75</v>
      </c>
      <c r="AD362">
        <v>1</v>
      </c>
      <c r="AE362">
        <v>88</v>
      </c>
      <c r="AF362">
        <v>2</v>
      </c>
      <c r="AG362">
        <v>91</v>
      </c>
      <c r="AH362">
        <v>2</v>
      </c>
    </row>
    <row r="363" spans="1:34">
      <c r="A363" t="s">
        <v>1242</v>
      </c>
      <c r="B363" s="24">
        <v>1807</v>
      </c>
      <c r="C363" s="24" t="s">
        <v>1243</v>
      </c>
      <c r="D363" s="24" t="s">
        <v>1244</v>
      </c>
      <c r="E363" s="93">
        <v>80</v>
      </c>
      <c r="F363" s="94">
        <v>4</v>
      </c>
      <c r="H363" s="94">
        <v>4</v>
      </c>
      <c r="I363" s="94">
        <v>75</v>
      </c>
      <c r="J363" s="94">
        <v>4</v>
      </c>
      <c r="K363" s="94">
        <v>80</v>
      </c>
      <c r="L363" s="94">
        <v>2</v>
      </c>
      <c r="M363" s="94">
        <v>73</v>
      </c>
      <c r="N363" s="94">
        <v>2</v>
      </c>
      <c r="O363" s="94">
        <v>69</v>
      </c>
      <c r="P363" s="94">
        <v>2</v>
      </c>
      <c r="Q363">
        <v>84</v>
      </c>
      <c r="R363">
        <v>2</v>
      </c>
      <c r="S363">
        <v>76</v>
      </c>
      <c r="T363">
        <v>2</v>
      </c>
      <c r="U363">
        <v>70</v>
      </c>
      <c r="V363">
        <v>2</v>
      </c>
      <c r="W363">
        <v>85</v>
      </c>
      <c r="X363">
        <v>2</v>
      </c>
      <c r="Z363">
        <v>1</v>
      </c>
      <c r="AA363">
        <v>92</v>
      </c>
      <c r="AB363">
        <v>1</v>
      </c>
      <c r="AC363">
        <v>90</v>
      </c>
      <c r="AD363">
        <v>1</v>
      </c>
      <c r="AE363">
        <v>50</v>
      </c>
      <c r="AF363">
        <v>1</v>
      </c>
      <c r="AG363">
        <v>92</v>
      </c>
      <c r="AH363">
        <v>2</v>
      </c>
    </row>
    <row r="364" spans="1:34">
      <c r="A364" t="s">
        <v>1245</v>
      </c>
      <c r="B364" s="24">
        <v>1807</v>
      </c>
      <c r="C364" s="24" t="s">
        <v>1246</v>
      </c>
      <c r="D364" s="24" t="s">
        <v>1247</v>
      </c>
      <c r="E364" s="93">
        <v>79</v>
      </c>
      <c r="F364" s="94">
        <v>4</v>
      </c>
      <c r="G364" s="94">
        <v>85</v>
      </c>
      <c r="H364" s="94">
        <v>4</v>
      </c>
      <c r="I364" s="94">
        <v>75</v>
      </c>
      <c r="J364" s="94">
        <v>4</v>
      </c>
      <c r="K364" s="94">
        <v>83</v>
      </c>
      <c r="L364" s="94">
        <v>2</v>
      </c>
      <c r="M364" s="94">
        <v>90</v>
      </c>
      <c r="N364" s="94">
        <v>2</v>
      </c>
      <c r="O364" s="94">
        <v>93</v>
      </c>
      <c r="P364" s="94">
        <v>2</v>
      </c>
      <c r="Q364">
        <v>96</v>
      </c>
      <c r="R364">
        <v>2</v>
      </c>
      <c r="S364">
        <v>88</v>
      </c>
      <c r="T364">
        <v>2</v>
      </c>
      <c r="U364">
        <v>86</v>
      </c>
      <c r="V364">
        <v>2</v>
      </c>
      <c r="W364">
        <v>95</v>
      </c>
      <c r="X364">
        <v>2</v>
      </c>
      <c r="Y364">
        <v>75</v>
      </c>
      <c r="Z364">
        <v>1</v>
      </c>
      <c r="AA364">
        <v>92</v>
      </c>
      <c r="AB364">
        <v>1</v>
      </c>
      <c r="AC364">
        <v>86</v>
      </c>
      <c r="AD364">
        <v>1</v>
      </c>
      <c r="AE364">
        <v>83</v>
      </c>
      <c r="AF364">
        <v>2</v>
      </c>
      <c r="AG364">
        <v>95</v>
      </c>
      <c r="AH364">
        <v>2</v>
      </c>
    </row>
    <row r="365" spans="1:34">
      <c r="A365" t="s">
        <v>1248</v>
      </c>
      <c r="B365" s="24">
        <v>1807</v>
      </c>
      <c r="C365" s="24" t="s">
        <v>1249</v>
      </c>
      <c r="D365" s="24" t="s">
        <v>1250</v>
      </c>
      <c r="E365" s="93">
        <v>83</v>
      </c>
      <c r="F365" s="94">
        <v>4</v>
      </c>
      <c r="G365" s="94">
        <v>90</v>
      </c>
      <c r="H365" s="94">
        <v>4</v>
      </c>
      <c r="I365" s="94">
        <v>82</v>
      </c>
      <c r="J365" s="94">
        <v>4</v>
      </c>
      <c r="K365" s="94">
        <v>90</v>
      </c>
      <c r="L365" s="94">
        <v>2</v>
      </c>
      <c r="M365" s="94">
        <v>79</v>
      </c>
      <c r="N365" s="94">
        <v>2</v>
      </c>
      <c r="O365" s="94">
        <v>75</v>
      </c>
      <c r="P365" s="94">
        <v>2</v>
      </c>
      <c r="Q365">
        <v>94</v>
      </c>
      <c r="R365">
        <v>2</v>
      </c>
      <c r="S365">
        <v>85</v>
      </c>
      <c r="T365">
        <v>2</v>
      </c>
      <c r="U365">
        <v>73</v>
      </c>
      <c r="V365">
        <v>2</v>
      </c>
      <c r="W365">
        <v>93</v>
      </c>
      <c r="X365">
        <v>2</v>
      </c>
      <c r="Y365">
        <v>81</v>
      </c>
      <c r="AA365">
        <v>92</v>
      </c>
      <c r="AC365">
        <v>85</v>
      </c>
      <c r="AD365">
        <v>1</v>
      </c>
      <c r="AE365">
        <v>84</v>
      </c>
      <c r="AF365">
        <v>2</v>
      </c>
      <c r="AG365">
        <v>95</v>
      </c>
      <c r="AH365">
        <v>2</v>
      </c>
    </row>
    <row r="366" spans="1:34">
      <c r="A366" t="s">
        <v>1684</v>
      </c>
      <c r="B366" s="24">
        <v>1807</v>
      </c>
      <c r="C366" s="24" t="s">
        <v>1251</v>
      </c>
      <c r="D366" s="24" t="s">
        <v>1686</v>
      </c>
      <c r="E366" s="93">
        <v>94</v>
      </c>
      <c r="F366" s="94">
        <v>4</v>
      </c>
      <c r="G366" s="94">
        <v>95</v>
      </c>
      <c r="H366" s="94">
        <v>4</v>
      </c>
      <c r="I366" s="94">
        <v>83</v>
      </c>
      <c r="J366" s="94">
        <v>4</v>
      </c>
      <c r="K366" s="94">
        <v>96</v>
      </c>
      <c r="L366" s="94">
        <v>2</v>
      </c>
      <c r="M366" s="94">
        <v>93</v>
      </c>
      <c r="N366" s="94">
        <v>2</v>
      </c>
      <c r="O366" s="94">
        <v>85</v>
      </c>
      <c r="P366" s="94">
        <v>2</v>
      </c>
      <c r="Q366">
        <v>95</v>
      </c>
      <c r="R366">
        <v>2</v>
      </c>
      <c r="S366">
        <v>85</v>
      </c>
      <c r="T366">
        <v>2</v>
      </c>
      <c r="U366">
        <v>79</v>
      </c>
      <c r="V366">
        <v>2</v>
      </c>
      <c r="W366">
        <v>95</v>
      </c>
      <c r="X366">
        <v>2</v>
      </c>
      <c r="Y366">
        <v>78</v>
      </c>
      <c r="Z366">
        <v>1</v>
      </c>
      <c r="AA366">
        <v>92</v>
      </c>
      <c r="AB366">
        <v>1</v>
      </c>
      <c r="AC366">
        <v>80</v>
      </c>
      <c r="AD366">
        <v>1</v>
      </c>
      <c r="AE366">
        <v>84</v>
      </c>
      <c r="AF366">
        <v>2</v>
      </c>
      <c r="AG366">
        <v>89</v>
      </c>
      <c r="AH366">
        <v>2</v>
      </c>
    </row>
    <row r="367" spans="1:34">
      <c r="A367" t="s">
        <v>1252</v>
      </c>
      <c r="B367" s="24">
        <v>1807</v>
      </c>
      <c r="C367" s="24" t="s">
        <v>1253</v>
      </c>
      <c r="D367" s="24" t="s">
        <v>1254</v>
      </c>
      <c r="E367" s="93">
        <v>90</v>
      </c>
      <c r="F367" s="94">
        <v>4</v>
      </c>
      <c r="G367" s="94">
        <v>95</v>
      </c>
      <c r="H367" s="94">
        <v>4</v>
      </c>
      <c r="I367" s="94">
        <v>85</v>
      </c>
      <c r="J367" s="94">
        <v>4</v>
      </c>
      <c r="K367" s="94">
        <v>98</v>
      </c>
      <c r="L367" s="94">
        <v>2</v>
      </c>
      <c r="M367" s="94">
        <v>81</v>
      </c>
      <c r="N367" s="94">
        <v>2</v>
      </c>
      <c r="O367" s="94">
        <v>80</v>
      </c>
      <c r="P367" s="94">
        <v>2</v>
      </c>
      <c r="Q367">
        <v>99</v>
      </c>
      <c r="R367">
        <v>2</v>
      </c>
      <c r="S367">
        <v>90</v>
      </c>
      <c r="T367">
        <v>2</v>
      </c>
      <c r="U367">
        <v>78</v>
      </c>
      <c r="V367">
        <v>2</v>
      </c>
      <c r="W367">
        <v>88</v>
      </c>
      <c r="X367">
        <v>2</v>
      </c>
      <c r="Y367">
        <v>75</v>
      </c>
      <c r="Z367">
        <v>1</v>
      </c>
      <c r="AA367">
        <v>92</v>
      </c>
      <c r="AB367">
        <v>1</v>
      </c>
      <c r="AC367">
        <v>85</v>
      </c>
      <c r="AD367">
        <v>1</v>
      </c>
      <c r="AE367">
        <v>85</v>
      </c>
      <c r="AF367">
        <v>2</v>
      </c>
      <c r="AG367">
        <v>90</v>
      </c>
      <c r="AH367">
        <v>2</v>
      </c>
    </row>
    <row r="368" spans="1:34">
      <c r="A368" t="s">
        <v>1255</v>
      </c>
      <c r="B368" s="24">
        <v>1807</v>
      </c>
      <c r="C368" s="24" t="s">
        <v>1256</v>
      </c>
      <c r="D368" s="24" t="s">
        <v>1257</v>
      </c>
      <c r="E368" s="93">
        <v>91</v>
      </c>
      <c r="F368" s="94">
        <v>4</v>
      </c>
      <c r="G368" s="94">
        <v>95</v>
      </c>
      <c r="H368" s="94">
        <v>4</v>
      </c>
      <c r="I368" s="94">
        <v>86</v>
      </c>
      <c r="J368" s="94">
        <v>4</v>
      </c>
      <c r="K368" s="94">
        <v>86</v>
      </c>
      <c r="L368" s="94">
        <v>2</v>
      </c>
      <c r="M368" s="94">
        <v>82</v>
      </c>
      <c r="N368" s="94">
        <v>2</v>
      </c>
      <c r="O368" s="94">
        <v>75</v>
      </c>
      <c r="P368" s="94">
        <v>2</v>
      </c>
      <c r="Q368">
        <v>86</v>
      </c>
      <c r="R368">
        <v>2</v>
      </c>
      <c r="S368">
        <v>86</v>
      </c>
      <c r="T368">
        <v>2</v>
      </c>
      <c r="U368">
        <v>79</v>
      </c>
      <c r="V368">
        <v>2</v>
      </c>
      <c r="W368">
        <v>85</v>
      </c>
      <c r="X368">
        <v>2</v>
      </c>
      <c r="Y368">
        <v>77</v>
      </c>
      <c r="Z368">
        <v>1</v>
      </c>
      <c r="AA368">
        <v>92</v>
      </c>
      <c r="AB368">
        <v>1</v>
      </c>
      <c r="AC368">
        <v>86</v>
      </c>
      <c r="AD368">
        <v>1</v>
      </c>
      <c r="AE368">
        <v>87</v>
      </c>
      <c r="AF368">
        <v>2</v>
      </c>
      <c r="AG368">
        <v>91</v>
      </c>
      <c r="AH368">
        <v>2</v>
      </c>
    </row>
    <row r="369" spans="1:34">
      <c r="A369" t="s">
        <v>1258</v>
      </c>
      <c r="B369" s="24">
        <v>1807</v>
      </c>
      <c r="C369" s="24" t="s">
        <v>1259</v>
      </c>
      <c r="D369" s="24" t="s">
        <v>1260</v>
      </c>
      <c r="E369" s="93">
        <v>89</v>
      </c>
      <c r="F369" s="94">
        <v>4</v>
      </c>
      <c r="G369" s="94">
        <v>98</v>
      </c>
      <c r="H369" s="94">
        <v>4</v>
      </c>
      <c r="I369" s="94">
        <v>88</v>
      </c>
      <c r="J369" s="94">
        <v>4</v>
      </c>
      <c r="K369" s="94">
        <v>99</v>
      </c>
      <c r="L369" s="94">
        <v>2</v>
      </c>
      <c r="M369" s="94">
        <v>88</v>
      </c>
      <c r="N369" s="94">
        <v>2</v>
      </c>
      <c r="O369" s="94">
        <v>75</v>
      </c>
      <c r="P369" s="94">
        <v>2</v>
      </c>
      <c r="Q369">
        <v>90</v>
      </c>
      <c r="R369">
        <v>2</v>
      </c>
      <c r="S369">
        <v>86</v>
      </c>
      <c r="T369">
        <v>2</v>
      </c>
      <c r="U369">
        <v>73</v>
      </c>
      <c r="V369">
        <v>2</v>
      </c>
      <c r="W369">
        <v>85</v>
      </c>
      <c r="X369">
        <v>2</v>
      </c>
      <c r="Y369">
        <v>76</v>
      </c>
      <c r="Z369">
        <v>1</v>
      </c>
      <c r="AA369">
        <v>92</v>
      </c>
      <c r="AB369">
        <v>1</v>
      </c>
      <c r="AC369">
        <v>80</v>
      </c>
      <c r="AD369">
        <v>1</v>
      </c>
      <c r="AE369">
        <v>87</v>
      </c>
      <c r="AF369">
        <v>2</v>
      </c>
      <c r="AG369">
        <v>92</v>
      </c>
      <c r="AH369">
        <v>2</v>
      </c>
    </row>
    <row r="370" spans="1:34">
      <c r="A370" t="s">
        <v>1261</v>
      </c>
      <c r="B370" s="24">
        <v>1807</v>
      </c>
      <c r="C370" s="24" t="s">
        <v>1262</v>
      </c>
      <c r="D370" s="24" t="s">
        <v>1263</v>
      </c>
      <c r="E370" s="93">
        <v>80</v>
      </c>
      <c r="F370" s="94">
        <v>4</v>
      </c>
      <c r="G370" s="94">
        <v>85</v>
      </c>
      <c r="H370" s="94">
        <v>4</v>
      </c>
      <c r="I370" s="94">
        <v>88</v>
      </c>
      <c r="J370" s="94">
        <v>4</v>
      </c>
      <c r="K370" s="94">
        <v>82</v>
      </c>
      <c r="L370" s="94">
        <v>2</v>
      </c>
      <c r="M370" s="94">
        <v>76</v>
      </c>
      <c r="N370" s="94">
        <v>2</v>
      </c>
      <c r="O370" s="94">
        <v>75</v>
      </c>
      <c r="P370" s="94">
        <v>2</v>
      </c>
      <c r="Q370">
        <v>86</v>
      </c>
      <c r="R370">
        <v>2</v>
      </c>
      <c r="S370">
        <v>88</v>
      </c>
      <c r="T370">
        <v>2</v>
      </c>
      <c r="U370">
        <v>70</v>
      </c>
      <c r="V370">
        <v>2</v>
      </c>
      <c r="W370">
        <v>85</v>
      </c>
      <c r="X370">
        <v>2</v>
      </c>
      <c r="Y370">
        <v>78</v>
      </c>
      <c r="Z370">
        <v>1</v>
      </c>
      <c r="AA370">
        <v>92</v>
      </c>
      <c r="AB370">
        <v>1</v>
      </c>
      <c r="AC370">
        <v>75</v>
      </c>
      <c r="AD370">
        <v>1</v>
      </c>
      <c r="AE370">
        <v>92</v>
      </c>
      <c r="AF370">
        <v>2</v>
      </c>
      <c r="AG370">
        <v>90</v>
      </c>
      <c r="AH370">
        <v>2</v>
      </c>
    </row>
    <row r="371" spans="1:34">
      <c r="A371" t="s">
        <v>1264</v>
      </c>
      <c r="B371" s="24">
        <v>1807</v>
      </c>
      <c r="C371" s="24" t="s">
        <v>1265</v>
      </c>
      <c r="D371" s="24" t="s">
        <v>1266</v>
      </c>
      <c r="E371" s="93">
        <v>79</v>
      </c>
      <c r="F371" s="94">
        <v>4</v>
      </c>
      <c r="G371" s="94">
        <v>90</v>
      </c>
      <c r="H371" s="94">
        <v>4</v>
      </c>
      <c r="I371" s="94">
        <v>86</v>
      </c>
      <c r="J371" s="94">
        <v>4</v>
      </c>
      <c r="K371" s="94">
        <v>97</v>
      </c>
      <c r="L371" s="94">
        <v>2</v>
      </c>
      <c r="M371" s="94">
        <v>78</v>
      </c>
      <c r="N371" s="94">
        <v>2</v>
      </c>
      <c r="O371" s="94">
        <v>75</v>
      </c>
      <c r="P371" s="94">
        <v>2</v>
      </c>
      <c r="Q371">
        <v>84</v>
      </c>
      <c r="R371">
        <v>2</v>
      </c>
      <c r="S371">
        <v>85</v>
      </c>
      <c r="T371">
        <v>2</v>
      </c>
      <c r="U371">
        <v>70</v>
      </c>
      <c r="V371">
        <v>2</v>
      </c>
      <c r="W371">
        <v>80</v>
      </c>
      <c r="X371">
        <v>2</v>
      </c>
      <c r="Y371">
        <v>80</v>
      </c>
      <c r="Z371">
        <v>1</v>
      </c>
      <c r="AA371">
        <v>92</v>
      </c>
      <c r="AB371">
        <v>1</v>
      </c>
      <c r="AC371">
        <v>78</v>
      </c>
      <c r="AD371">
        <v>1</v>
      </c>
      <c r="AE371">
        <v>84</v>
      </c>
      <c r="AF371">
        <v>2</v>
      </c>
      <c r="AG371">
        <v>94</v>
      </c>
      <c r="AH371">
        <v>2</v>
      </c>
    </row>
    <row r="372" spans="1:34">
      <c r="A372" t="s">
        <v>1267</v>
      </c>
      <c r="B372" s="24">
        <v>1807</v>
      </c>
      <c r="C372" s="24" t="s">
        <v>1268</v>
      </c>
      <c r="D372" s="24" t="s">
        <v>1269</v>
      </c>
      <c r="E372" s="93">
        <v>89</v>
      </c>
      <c r="F372" s="94">
        <v>4</v>
      </c>
      <c r="G372" s="94">
        <v>88</v>
      </c>
      <c r="H372" s="94">
        <v>4</v>
      </c>
      <c r="I372" s="94">
        <v>82</v>
      </c>
      <c r="J372" s="94">
        <v>4</v>
      </c>
      <c r="K372" s="94">
        <v>81</v>
      </c>
      <c r="L372" s="94">
        <v>2</v>
      </c>
      <c r="M372" s="94">
        <v>75</v>
      </c>
      <c r="N372" s="94">
        <v>2</v>
      </c>
      <c r="O372" s="94">
        <v>75</v>
      </c>
      <c r="P372" s="94">
        <v>2</v>
      </c>
      <c r="Q372">
        <v>100</v>
      </c>
      <c r="R372">
        <v>2</v>
      </c>
      <c r="S372">
        <v>86</v>
      </c>
      <c r="T372">
        <v>2</v>
      </c>
      <c r="U372">
        <v>77</v>
      </c>
      <c r="V372">
        <v>2</v>
      </c>
      <c r="W372">
        <v>90</v>
      </c>
      <c r="X372">
        <v>2</v>
      </c>
      <c r="Y372">
        <v>81</v>
      </c>
      <c r="Z372">
        <v>1</v>
      </c>
      <c r="AA372">
        <v>92</v>
      </c>
      <c r="AB372">
        <v>1</v>
      </c>
      <c r="AC372">
        <v>85</v>
      </c>
      <c r="AD372">
        <v>1</v>
      </c>
      <c r="AE372">
        <v>84</v>
      </c>
      <c r="AF372">
        <v>2</v>
      </c>
      <c r="AG372">
        <v>96</v>
      </c>
      <c r="AH372">
        <v>2</v>
      </c>
    </row>
    <row r="373" spans="1:34">
      <c r="A373" t="s">
        <v>1270</v>
      </c>
      <c r="B373" s="24">
        <v>1807</v>
      </c>
      <c r="C373" s="24" t="s">
        <v>1271</v>
      </c>
      <c r="D373" s="24" t="s">
        <v>1272</v>
      </c>
      <c r="E373" s="93">
        <v>80</v>
      </c>
      <c r="F373" s="94">
        <v>4</v>
      </c>
      <c r="G373" s="94">
        <v>88</v>
      </c>
      <c r="H373" s="94">
        <v>4</v>
      </c>
      <c r="I373" s="94">
        <v>75</v>
      </c>
      <c r="J373" s="94">
        <v>4</v>
      </c>
      <c r="K373" s="94">
        <v>95</v>
      </c>
      <c r="L373" s="94">
        <v>2</v>
      </c>
      <c r="M373" s="94">
        <v>98</v>
      </c>
      <c r="N373" s="94">
        <v>2</v>
      </c>
      <c r="O373" s="94">
        <v>78</v>
      </c>
      <c r="P373" s="94">
        <v>2</v>
      </c>
      <c r="Q373">
        <v>97</v>
      </c>
      <c r="R373">
        <v>2</v>
      </c>
      <c r="S373">
        <v>92</v>
      </c>
      <c r="T373">
        <v>2</v>
      </c>
      <c r="U373">
        <v>85</v>
      </c>
      <c r="V373">
        <v>2</v>
      </c>
      <c r="W373">
        <v>85</v>
      </c>
      <c r="X373">
        <v>2</v>
      </c>
      <c r="Y373">
        <v>76</v>
      </c>
      <c r="Z373">
        <v>1</v>
      </c>
      <c r="AA373">
        <v>92</v>
      </c>
      <c r="AB373">
        <v>1</v>
      </c>
      <c r="AC373">
        <v>88</v>
      </c>
      <c r="AD373">
        <v>1</v>
      </c>
      <c r="AE373">
        <v>92</v>
      </c>
      <c r="AF373">
        <v>2</v>
      </c>
      <c r="AG373">
        <v>92</v>
      </c>
      <c r="AH373">
        <v>2</v>
      </c>
    </row>
    <row r="374" spans="1:34">
      <c r="A374" t="s">
        <v>1273</v>
      </c>
      <c r="B374" s="24">
        <v>1807</v>
      </c>
      <c r="C374" s="24" t="s">
        <v>1274</v>
      </c>
      <c r="D374" s="24" t="s">
        <v>1275</v>
      </c>
      <c r="E374" s="93">
        <v>89</v>
      </c>
      <c r="F374" s="94">
        <v>4</v>
      </c>
      <c r="G374" s="94">
        <v>88</v>
      </c>
      <c r="H374" s="94">
        <v>4</v>
      </c>
      <c r="I374" s="94">
        <v>86</v>
      </c>
      <c r="J374" s="94">
        <v>4</v>
      </c>
      <c r="K374" s="94">
        <v>83</v>
      </c>
      <c r="L374" s="94">
        <v>2</v>
      </c>
      <c r="M374" s="94">
        <v>77</v>
      </c>
      <c r="N374" s="94">
        <v>2</v>
      </c>
      <c r="O374" s="94">
        <v>75</v>
      </c>
      <c r="P374" s="94">
        <v>2</v>
      </c>
      <c r="Q374">
        <v>99</v>
      </c>
      <c r="R374">
        <v>2</v>
      </c>
      <c r="S374">
        <v>92</v>
      </c>
      <c r="T374">
        <v>2</v>
      </c>
      <c r="U374">
        <v>77</v>
      </c>
      <c r="V374">
        <v>2</v>
      </c>
      <c r="W374">
        <v>85</v>
      </c>
      <c r="X374">
        <v>2</v>
      </c>
      <c r="Y374">
        <v>78</v>
      </c>
      <c r="Z374">
        <v>1</v>
      </c>
      <c r="AA374">
        <v>92</v>
      </c>
      <c r="AB374">
        <v>1</v>
      </c>
      <c r="AC374">
        <v>88</v>
      </c>
      <c r="AD374">
        <v>1</v>
      </c>
      <c r="AE374">
        <v>89</v>
      </c>
      <c r="AF374">
        <v>2</v>
      </c>
      <c r="AG374">
        <v>91</v>
      </c>
      <c r="AH374">
        <v>2</v>
      </c>
    </row>
    <row r="375" spans="1:34">
      <c r="A375" t="s">
        <v>1276</v>
      </c>
      <c r="B375" s="24">
        <v>1807</v>
      </c>
      <c r="C375" s="24" t="s">
        <v>1277</v>
      </c>
      <c r="D375" s="24" t="s">
        <v>1278</v>
      </c>
      <c r="E375" s="93">
        <v>88</v>
      </c>
      <c r="F375" s="94">
        <v>4</v>
      </c>
      <c r="G375" s="94">
        <v>90</v>
      </c>
      <c r="H375" s="94">
        <v>4</v>
      </c>
      <c r="I375" s="94">
        <v>88</v>
      </c>
      <c r="J375" s="94">
        <v>4</v>
      </c>
      <c r="K375" s="94">
        <v>84</v>
      </c>
      <c r="L375" s="94">
        <v>2</v>
      </c>
      <c r="M375" s="94">
        <v>75</v>
      </c>
      <c r="N375" s="94">
        <v>2</v>
      </c>
      <c r="O375" s="94">
        <v>75</v>
      </c>
      <c r="P375" s="94">
        <v>2</v>
      </c>
      <c r="Q375">
        <v>82</v>
      </c>
      <c r="R375">
        <v>2</v>
      </c>
      <c r="S375">
        <v>86</v>
      </c>
      <c r="T375">
        <v>2</v>
      </c>
      <c r="U375">
        <v>78</v>
      </c>
      <c r="V375">
        <v>2</v>
      </c>
      <c r="W375">
        <v>85</v>
      </c>
      <c r="X375">
        <v>2</v>
      </c>
      <c r="Y375">
        <v>80</v>
      </c>
      <c r="Z375">
        <v>1</v>
      </c>
      <c r="AA375">
        <v>92</v>
      </c>
      <c r="AB375">
        <v>1</v>
      </c>
      <c r="AC375">
        <v>80</v>
      </c>
      <c r="AD375">
        <v>1</v>
      </c>
      <c r="AE375">
        <v>87</v>
      </c>
      <c r="AF375">
        <v>2</v>
      </c>
      <c r="AG375">
        <v>93</v>
      </c>
      <c r="AH375">
        <v>2</v>
      </c>
    </row>
    <row r="376" spans="1:34">
      <c r="A376" t="s">
        <v>1279</v>
      </c>
      <c r="B376" s="24">
        <v>1807</v>
      </c>
      <c r="C376" s="24" t="s">
        <v>1280</v>
      </c>
      <c r="D376" s="24" t="s">
        <v>1281</v>
      </c>
      <c r="E376" s="93">
        <v>89</v>
      </c>
      <c r="F376" s="94">
        <v>4</v>
      </c>
      <c r="G376" s="94">
        <v>85</v>
      </c>
      <c r="H376" s="94">
        <v>4</v>
      </c>
      <c r="I376" s="94">
        <v>88</v>
      </c>
      <c r="J376" s="94">
        <v>4</v>
      </c>
      <c r="K376" s="94">
        <v>87</v>
      </c>
      <c r="L376" s="94">
        <v>2</v>
      </c>
      <c r="M376" s="94">
        <v>75</v>
      </c>
      <c r="N376" s="94">
        <v>2</v>
      </c>
      <c r="O376" s="94">
        <v>76</v>
      </c>
      <c r="P376" s="94">
        <v>2</v>
      </c>
      <c r="Q376">
        <v>99</v>
      </c>
      <c r="R376">
        <v>2</v>
      </c>
      <c r="S376">
        <v>85</v>
      </c>
      <c r="T376">
        <v>2</v>
      </c>
      <c r="U376">
        <v>76</v>
      </c>
      <c r="V376">
        <v>2</v>
      </c>
      <c r="W376">
        <v>85</v>
      </c>
      <c r="X376">
        <v>2</v>
      </c>
      <c r="Y376">
        <v>78</v>
      </c>
      <c r="Z376">
        <v>1</v>
      </c>
      <c r="AA376">
        <v>92</v>
      </c>
      <c r="AB376">
        <v>1</v>
      </c>
      <c r="AC376">
        <v>86</v>
      </c>
      <c r="AD376">
        <v>1</v>
      </c>
      <c r="AE376">
        <v>89</v>
      </c>
      <c r="AF376">
        <v>2</v>
      </c>
      <c r="AG376">
        <v>91</v>
      </c>
      <c r="AH376">
        <v>2</v>
      </c>
    </row>
    <row r="377" spans="1:34">
      <c r="A377" t="s">
        <v>1282</v>
      </c>
      <c r="B377" s="24">
        <v>1807</v>
      </c>
      <c r="C377" s="24" t="s">
        <v>1283</v>
      </c>
      <c r="D377" s="24" t="s">
        <v>1284</v>
      </c>
      <c r="E377" s="93">
        <v>81</v>
      </c>
      <c r="F377" s="94">
        <v>4</v>
      </c>
      <c r="G377" s="94">
        <v>95</v>
      </c>
      <c r="H377" s="94">
        <v>4</v>
      </c>
      <c r="I377" s="94">
        <v>90</v>
      </c>
      <c r="J377" s="94">
        <v>4</v>
      </c>
      <c r="K377" s="94">
        <v>87</v>
      </c>
      <c r="L377" s="94">
        <v>2</v>
      </c>
      <c r="M377" s="94">
        <v>93</v>
      </c>
      <c r="N377" s="94">
        <v>2</v>
      </c>
      <c r="O377" s="94">
        <v>90</v>
      </c>
      <c r="P377" s="94">
        <v>2</v>
      </c>
      <c r="Q377">
        <v>99</v>
      </c>
      <c r="R377">
        <v>2</v>
      </c>
      <c r="S377">
        <v>86</v>
      </c>
      <c r="T377">
        <v>2</v>
      </c>
      <c r="U377">
        <v>77</v>
      </c>
      <c r="V377">
        <v>2</v>
      </c>
      <c r="W377">
        <v>85</v>
      </c>
      <c r="X377">
        <v>2</v>
      </c>
      <c r="Y377">
        <v>82</v>
      </c>
      <c r="Z377">
        <v>1</v>
      </c>
      <c r="AA377">
        <v>92</v>
      </c>
      <c r="AB377">
        <v>1</v>
      </c>
      <c r="AC377">
        <v>88</v>
      </c>
      <c r="AD377">
        <v>1</v>
      </c>
      <c r="AE377">
        <v>84</v>
      </c>
      <c r="AF377">
        <v>2</v>
      </c>
      <c r="AG377">
        <v>92</v>
      </c>
      <c r="AH377">
        <v>2</v>
      </c>
    </row>
    <row r="378" spans="1:34">
      <c r="A378" t="s">
        <v>1285</v>
      </c>
      <c r="B378" s="24">
        <v>1807</v>
      </c>
      <c r="C378" s="24" t="s">
        <v>1286</v>
      </c>
      <c r="D378" s="24" t="s">
        <v>1287</v>
      </c>
      <c r="E378" s="93">
        <v>90</v>
      </c>
      <c r="F378" s="94">
        <v>4</v>
      </c>
      <c r="G378" s="94">
        <v>98</v>
      </c>
      <c r="H378" s="94">
        <v>4</v>
      </c>
      <c r="I378" s="94">
        <v>90</v>
      </c>
      <c r="J378" s="94">
        <v>4</v>
      </c>
      <c r="K378" s="94">
        <v>98</v>
      </c>
      <c r="L378" s="94">
        <v>2</v>
      </c>
      <c r="M378" s="94">
        <v>96</v>
      </c>
      <c r="N378" s="94">
        <v>2</v>
      </c>
      <c r="O378" s="94">
        <v>94</v>
      </c>
      <c r="P378" s="94">
        <v>2</v>
      </c>
      <c r="Q378">
        <v>88</v>
      </c>
      <c r="R378">
        <v>2</v>
      </c>
      <c r="S378">
        <v>88</v>
      </c>
      <c r="T378">
        <v>2</v>
      </c>
      <c r="U378">
        <v>79</v>
      </c>
      <c r="V378">
        <v>2</v>
      </c>
      <c r="W378">
        <v>85</v>
      </c>
      <c r="X378">
        <v>2</v>
      </c>
      <c r="Y378">
        <v>81</v>
      </c>
      <c r="Z378">
        <v>1</v>
      </c>
      <c r="AA378">
        <v>92</v>
      </c>
      <c r="AB378">
        <v>1</v>
      </c>
      <c r="AC378">
        <v>87</v>
      </c>
      <c r="AD378">
        <v>1</v>
      </c>
      <c r="AE378">
        <v>79</v>
      </c>
      <c r="AF378">
        <v>2</v>
      </c>
      <c r="AG378">
        <v>91</v>
      </c>
      <c r="AH378">
        <v>2</v>
      </c>
    </row>
    <row r="379" spans="1:34">
      <c r="A379" t="s">
        <v>1288</v>
      </c>
      <c r="B379" s="24">
        <v>1807</v>
      </c>
      <c r="C379" s="24" t="s">
        <v>1289</v>
      </c>
      <c r="D379" s="24" t="s">
        <v>1290</v>
      </c>
      <c r="E379" s="93">
        <v>90</v>
      </c>
      <c r="F379" s="94">
        <v>4</v>
      </c>
      <c r="G379" s="94">
        <v>98</v>
      </c>
      <c r="H379" s="94">
        <v>4</v>
      </c>
      <c r="I379" s="94">
        <v>85</v>
      </c>
      <c r="J379" s="94">
        <v>4</v>
      </c>
      <c r="K379" s="94">
        <v>93</v>
      </c>
      <c r="L379" s="94">
        <v>2</v>
      </c>
      <c r="M379" s="94">
        <v>83</v>
      </c>
      <c r="N379" s="94">
        <v>2</v>
      </c>
      <c r="O379" s="94">
        <v>84</v>
      </c>
      <c r="P379" s="94">
        <v>2</v>
      </c>
      <c r="Q379">
        <v>92</v>
      </c>
      <c r="R379">
        <v>2</v>
      </c>
      <c r="S379">
        <v>88</v>
      </c>
      <c r="T379">
        <v>2</v>
      </c>
      <c r="U379">
        <v>78</v>
      </c>
      <c r="V379">
        <v>2</v>
      </c>
      <c r="W379">
        <v>85</v>
      </c>
      <c r="X379">
        <v>2</v>
      </c>
      <c r="Y379">
        <v>80</v>
      </c>
      <c r="Z379">
        <v>1</v>
      </c>
      <c r="AA379">
        <v>92</v>
      </c>
      <c r="AB379">
        <v>1</v>
      </c>
      <c r="AC379">
        <v>80</v>
      </c>
      <c r="AD379">
        <v>1</v>
      </c>
      <c r="AE379">
        <v>87</v>
      </c>
      <c r="AF379">
        <v>2</v>
      </c>
      <c r="AG379">
        <v>94</v>
      </c>
      <c r="AH379">
        <v>2</v>
      </c>
    </row>
    <row r="380" spans="1:34">
      <c r="A380" t="s">
        <v>1291</v>
      </c>
      <c r="B380" s="24">
        <v>1807</v>
      </c>
      <c r="C380" s="24" t="s">
        <v>1292</v>
      </c>
      <c r="D380" s="24" t="s">
        <v>1293</v>
      </c>
      <c r="E380" s="93">
        <v>81</v>
      </c>
      <c r="F380" s="94">
        <v>4</v>
      </c>
      <c r="G380" s="94">
        <v>85</v>
      </c>
      <c r="H380" s="94">
        <v>4</v>
      </c>
      <c r="I380" s="94">
        <v>84</v>
      </c>
      <c r="J380" s="94">
        <v>4</v>
      </c>
      <c r="K380" s="94">
        <v>82</v>
      </c>
      <c r="L380" s="94">
        <v>2</v>
      </c>
      <c r="M380" s="94">
        <v>73</v>
      </c>
      <c r="N380" s="94">
        <v>2</v>
      </c>
      <c r="O380" s="94">
        <v>75</v>
      </c>
      <c r="P380" s="94">
        <v>2</v>
      </c>
      <c r="Q380">
        <v>97</v>
      </c>
      <c r="R380">
        <v>2</v>
      </c>
      <c r="S380">
        <v>85</v>
      </c>
      <c r="T380">
        <v>2</v>
      </c>
      <c r="U380">
        <v>78</v>
      </c>
      <c r="V380">
        <v>2</v>
      </c>
      <c r="W380">
        <v>80</v>
      </c>
      <c r="X380">
        <v>2</v>
      </c>
      <c r="Y380">
        <v>74</v>
      </c>
      <c r="Z380">
        <v>1</v>
      </c>
      <c r="AA380">
        <v>92</v>
      </c>
      <c r="AB380">
        <v>1</v>
      </c>
      <c r="AC380">
        <v>78</v>
      </c>
      <c r="AD380">
        <v>1</v>
      </c>
      <c r="AE380">
        <v>88</v>
      </c>
      <c r="AF380">
        <v>2</v>
      </c>
      <c r="AG380">
        <v>95</v>
      </c>
      <c r="AH380">
        <v>2</v>
      </c>
    </row>
    <row r="381" spans="1:34">
      <c r="A381" t="s">
        <v>1294</v>
      </c>
      <c r="B381" s="24">
        <v>1807</v>
      </c>
      <c r="C381" s="24" t="s">
        <v>1295</v>
      </c>
      <c r="D381" s="24" t="s">
        <v>55</v>
      </c>
      <c r="E381" s="93">
        <v>94</v>
      </c>
      <c r="F381" s="94">
        <v>4</v>
      </c>
      <c r="G381" s="94">
        <v>95</v>
      </c>
      <c r="H381" s="94">
        <v>4</v>
      </c>
      <c r="I381" s="94">
        <v>96</v>
      </c>
      <c r="J381" s="94">
        <v>4</v>
      </c>
      <c r="K381" s="94">
        <v>91</v>
      </c>
      <c r="L381" s="94">
        <v>2</v>
      </c>
      <c r="M381" s="94">
        <v>83</v>
      </c>
      <c r="N381" s="94">
        <v>2</v>
      </c>
      <c r="O381" s="94">
        <v>88</v>
      </c>
      <c r="P381" s="94">
        <v>2</v>
      </c>
      <c r="Q381">
        <v>99</v>
      </c>
      <c r="R381">
        <v>2</v>
      </c>
      <c r="S381">
        <v>90</v>
      </c>
      <c r="T381">
        <v>2</v>
      </c>
      <c r="U381">
        <v>81</v>
      </c>
      <c r="V381">
        <v>2</v>
      </c>
      <c r="W381">
        <v>88</v>
      </c>
      <c r="X381">
        <v>2</v>
      </c>
      <c r="Y381">
        <v>80</v>
      </c>
      <c r="Z381">
        <v>1</v>
      </c>
      <c r="AA381">
        <v>92</v>
      </c>
      <c r="AB381">
        <v>1</v>
      </c>
      <c r="AC381">
        <v>80</v>
      </c>
      <c r="AD381">
        <v>1</v>
      </c>
      <c r="AE381">
        <v>87</v>
      </c>
      <c r="AF381">
        <v>2</v>
      </c>
      <c r="AG381">
        <v>92</v>
      </c>
      <c r="AH381">
        <v>2</v>
      </c>
    </row>
    <row r="382" spans="1:34">
      <c r="A382" t="s">
        <v>1296</v>
      </c>
      <c r="B382" s="24">
        <v>1807</v>
      </c>
      <c r="C382" s="24" t="s">
        <v>1297</v>
      </c>
      <c r="D382" s="24" t="s">
        <v>1298</v>
      </c>
      <c r="E382" s="93">
        <v>90</v>
      </c>
      <c r="F382" s="94">
        <v>4</v>
      </c>
      <c r="G382" s="94">
        <v>90</v>
      </c>
      <c r="H382" s="94">
        <v>4</v>
      </c>
      <c r="I382" s="94">
        <v>90</v>
      </c>
      <c r="J382" s="94">
        <v>4</v>
      </c>
      <c r="K382" s="94">
        <v>85</v>
      </c>
      <c r="L382" s="94">
        <v>2</v>
      </c>
      <c r="M382" s="94">
        <v>78</v>
      </c>
      <c r="N382" s="94">
        <v>2</v>
      </c>
      <c r="O382" s="94">
        <v>76</v>
      </c>
      <c r="P382" s="94">
        <v>2</v>
      </c>
      <c r="Q382">
        <v>95</v>
      </c>
      <c r="R382">
        <v>2</v>
      </c>
      <c r="S382">
        <v>86</v>
      </c>
      <c r="T382">
        <v>2</v>
      </c>
      <c r="U382">
        <v>81</v>
      </c>
      <c r="V382">
        <v>2</v>
      </c>
      <c r="W382">
        <v>95</v>
      </c>
      <c r="X382">
        <v>2</v>
      </c>
      <c r="Y382">
        <v>76</v>
      </c>
      <c r="Z382">
        <v>1</v>
      </c>
      <c r="AA382">
        <v>92</v>
      </c>
      <c r="AB382">
        <v>1</v>
      </c>
      <c r="AC382">
        <v>85</v>
      </c>
      <c r="AD382">
        <v>1</v>
      </c>
      <c r="AE382">
        <v>86</v>
      </c>
      <c r="AF382">
        <v>2</v>
      </c>
      <c r="AG382">
        <v>92</v>
      </c>
      <c r="AH382">
        <v>2</v>
      </c>
    </row>
    <row r="383" spans="1:34">
      <c r="A383" t="s">
        <v>1299</v>
      </c>
      <c r="B383" s="24">
        <v>1807</v>
      </c>
      <c r="C383" s="24" t="s">
        <v>1300</v>
      </c>
      <c r="D383" s="24" t="s">
        <v>1301</v>
      </c>
      <c r="E383" s="93">
        <v>80</v>
      </c>
      <c r="F383" s="94">
        <v>4</v>
      </c>
      <c r="G383" s="94">
        <v>95</v>
      </c>
      <c r="H383" s="94">
        <v>4</v>
      </c>
      <c r="I383" s="94">
        <v>85</v>
      </c>
      <c r="J383" s="94">
        <v>4</v>
      </c>
      <c r="K383" s="94">
        <v>97</v>
      </c>
      <c r="L383" s="94">
        <v>2</v>
      </c>
      <c r="M383" s="94">
        <v>87</v>
      </c>
      <c r="N383" s="94">
        <v>2</v>
      </c>
      <c r="O383" s="94">
        <v>88</v>
      </c>
      <c r="P383" s="94">
        <v>2</v>
      </c>
      <c r="Q383">
        <v>90</v>
      </c>
      <c r="R383">
        <v>2</v>
      </c>
      <c r="S383">
        <v>88</v>
      </c>
      <c r="T383">
        <v>2</v>
      </c>
      <c r="U383">
        <v>77</v>
      </c>
      <c r="V383">
        <v>2</v>
      </c>
      <c r="W383">
        <v>90</v>
      </c>
      <c r="X383">
        <v>2</v>
      </c>
      <c r="Y383">
        <v>78</v>
      </c>
      <c r="Z383">
        <v>1</v>
      </c>
      <c r="AA383">
        <v>92</v>
      </c>
      <c r="AB383">
        <v>1</v>
      </c>
      <c r="AC383">
        <v>87</v>
      </c>
      <c r="AD383">
        <v>1</v>
      </c>
      <c r="AE383">
        <v>83</v>
      </c>
      <c r="AF383">
        <v>2</v>
      </c>
      <c r="AG383">
        <v>91</v>
      </c>
      <c r="AH383">
        <v>2</v>
      </c>
    </row>
    <row r="384" spans="1:34">
      <c r="A384" t="s">
        <v>1302</v>
      </c>
      <c r="B384" s="24">
        <v>1807</v>
      </c>
      <c r="C384" s="24" t="s">
        <v>1303</v>
      </c>
      <c r="D384" s="24" t="s">
        <v>1304</v>
      </c>
      <c r="E384" s="93">
        <v>80</v>
      </c>
      <c r="F384" s="94">
        <v>4</v>
      </c>
      <c r="G384" s="94">
        <v>85</v>
      </c>
      <c r="H384" s="94">
        <v>4</v>
      </c>
      <c r="I384" s="94">
        <v>86</v>
      </c>
      <c r="J384" s="94">
        <v>4</v>
      </c>
      <c r="K384" s="94">
        <v>80</v>
      </c>
      <c r="L384" s="94">
        <v>2</v>
      </c>
      <c r="M384" s="94">
        <v>74</v>
      </c>
      <c r="N384" s="94">
        <v>2</v>
      </c>
      <c r="O384" s="94">
        <v>73</v>
      </c>
      <c r="P384" s="94">
        <v>2</v>
      </c>
      <c r="Q384">
        <v>99</v>
      </c>
      <c r="R384">
        <v>2</v>
      </c>
      <c r="S384">
        <v>86</v>
      </c>
      <c r="T384">
        <v>2</v>
      </c>
      <c r="U384">
        <v>90</v>
      </c>
      <c r="V384">
        <v>2</v>
      </c>
      <c r="W384">
        <v>88</v>
      </c>
      <c r="X384">
        <v>2</v>
      </c>
      <c r="Y384">
        <v>75</v>
      </c>
      <c r="Z384">
        <v>1</v>
      </c>
      <c r="AA384">
        <v>92</v>
      </c>
      <c r="AB384">
        <v>1</v>
      </c>
      <c r="AC384">
        <v>80</v>
      </c>
      <c r="AD384">
        <v>1</v>
      </c>
      <c r="AE384">
        <v>86</v>
      </c>
      <c r="AF384">
        <v>2</v>
      </c>
      <c r="AG384">
        <v>94</v>
      </c>
      <c r="AH384">
        <v>2</v>
      </c>
    </row>
    <row r="385" spans="1:34">
      <c r="A385" t="s">
        <v>1698</v>
      </c>
      <c r="B385" s="24">
        <v>1807</v>
      </c>
      <c r="C385" s="24" t="s">
        <v>1306</v>
      </c>
      <c r="D385" s="24" t="s">
        <v>1700</v>
      </c>
      <c r="E385" s="93">
        <v>87</v>
      </c>
      <c r="F385" s="94">
        <v>4</v>
      </c>
      <c r="G385" s="94">
        <v>90</v>
      </c>
      <c r="H385" s="94">
        <v>4</v>
      </c>
      <c r="I385" s="94">
        <v>85</v>
      </c>
      <c r="J385" s="94">
        <v>4</v>
      </c>
      <c r="K385" s="94">
        <v>85</v>
      </c>
      <c r="L385" s="94">
        <v>2</v>
      </c>
      <c r="M385" s="94">
        <v>80</v>
      </c>
      <c r="N385" s="94">
        <v>2</v>
      </c>
      <c r="O385" s="94">
        <v>72</v>
      </c>
      <c r="P385" s="94">
        <v>2</v>
      </c>
      <c r="Q385">
        <v>80</v>
      </c>
      <c r="R385">
        <v>2</v>
      </c>
      <c r="S385">
        <v>86</v>
      </c>
      <c r="T385">
        <v>2</v>
      </c>
      <c r="U385">
        <v>70</v>
      </c>
      <c r="V385">
        <v>2</v>
      </c>
      <c r="W385">
        <v>90</v>
      </c>
      <c r="X385">
        <v>2</v>
      </c>
      <c r="Y385">
        <v>75</v>
      </c>
      <c r="Z385">
        <v>1</v>
      </c>
      <c r="AA385">
        <v>92</v>
      </c>
      <c r="AB385">
        <v>1</v>
      </c>
      <c r="AC385">
        <v>90</v>
      </c>
      <c r="AD385">
        <v>1</v>
      </c>
      <c r="AE385">
        <v>86</v>
      </c>
      <c r="AF385">
        <v>2</v>
      </c>
      <c r="AG385">
        <v>94</v>
      </c>
      <c r="AH385">
        <v>2</v>
      </c>
    </row>
    <row r="386" spans="1:34">
      <c r="A386" t="s">
        <v>1307</v>
      </c>
      <c r="B386" s="24">
        <v>1807</v>
      </c>
      <c r="C386" s="24" t="s">
        <v>1308</v>
      </c>
      <c r="D386" s="24" t="s">
        <v>1309</v>
      </c>
      <c r="E386" s="93">
        <v>86</v>
      </c>
      <c r="F386" s="94">
        <v>4</v>
      </c>
      <c r="G386" s="94">
        <v>95</v>
      </c>
      <c r="H386" s="94">
        <v>4</v>
      </c>
      <c r="I386" s="94">
        <v>89</v>
      </c>
      <c r="J386" s="94">
        <v>4</v>
      </c>
      <c r="K386" s="94">
        <v>85</v>
      </c>
      <c r="L386" s="94">
        <v>2</v>
      </c>
      <c r="M386" s="94">
        <v>85</v>
      </c>
      <c r="N386" s="94">
        <v>2</v>
      </c>
      <c r="O386" s="94">
        <v>94</v>
      </c>
      <c r="P386" s="94">
        <v>2</v>
      </c>
      <c r="Q386">
        <v>98</v>
      </c>
      <c r="R386">
        <v>2</v>
      </c>
      <c r="S386">
        <v>88</v>
      </c>
      <c r="T386">
        <v>2</v>
      </c>
      <c r="U386">
        <v>71</v>
      </c>
      <c r="V386">
        <v>2</v>
      </c>
      <c r="W386">
        <v>85</v>
      </c>
      <c r="X386">
        <v>2</v>
      </c>
      <c r="Y386">
        <v>78</v>
      </c>
      <c r="Z386">
        <v>1</v>
      </c>
      <c r="AA386">
        <v>92</v>
      </c>
      <c r="AB386">
        <v>1</v>
      </c>
      <c r="AC386">
        <v>80</v>
      </c>
      <c r="AD386">
        <v>1</v>
      </c>
      <c r="AE386">
        <v>90</v>
      </c>
      <c r="AF386">
        <v>2</v>
      </c>
      <c r="AG386">
        <v>93</v>
      </c>
      <c r="AH386">
        <v>2</v>
      </c>
    </row>
    <row r="387" spans="1:34">
      <c r="A387" t="s">
        <v>1310</v>
      </c>
      <c r="B387" s="24">
        <v>1807</v>
      </c>
      <c r="C387" s="24" t="s">
        <v>1311</v>
      </c>
      <c r="D387" s="24" t="s">
        <v>1312</v>
      </c>
      <c r="E387" s="93">
        <v>97</v>
      </c>
      <c r="F387" s="94">
        <v>4</v>
      </c>
      <c r="G387" s="94">
        <v>93</v>
      </c>
      <c r="H387" s="94">
        <v>4</v>
      </c>
      <c r="I387" s="94">
        <v>88</v>
      </c>
      <c r="J387" s="94">
        <v>4</v>
      </c>
      <c r="K387" s="94">
        <v>96</v>
      </c>
      <c r="L387" s="94">
        <v>2</v>
      </c>
      <c r="M387" s="94">
        <v>88</v>
      </c>
      <c r="N387" s="94">
        <v>2</v>
      </c>
      <c r="O387" s="94">
        <v>78</v>
      </c>
      <c r="P387" s="94">
        <v>2</v>
      </c>
      <c r="Q387">
        <v>86</v>
      </c>
      <c r="R387">
        <v>2</v>
      </c>
      <c r="S387">
        <v>90</v>
      </c>
      <c r="T387">
        <v>2</v>
      </c>
      <c r="U387">
        <v>72</v>
      </c>
      <c r="V387">
        <v>2</v>
      </c>
      <c r="W387">
        <v>80</v>
      </c>
      <c r="X387">
        <v>2</v>
      </c>
      <c r="Y387">
        <v>77</v>
      </c>
      <c r="Z387">
        <v>1</v>
      </c>
      <c r="AA387">
        <v>92</v>
      </c>
      <c r="AB387">
        <v>1</v>
      </c>
      <c r="AC387">
        <v>88</v>
      </c>
      <c r="AD387">
        <v>1</v>
      </c>
      <c r="AE387">
        <v>90</v>
      </c>
      <c r="AF387">
        <v>2</v>
      </c>
      <c r="AG387">
        <v>90</v>
      </c>
      <c r="AH387">
        <v>2</v>
      </c>
    </row>
    <row r="388" spans="1:34">
      <c r="A388" t="s">
        <v>1313</v>
      </c>
      <c r="B388" s="24">
        <v>1807</v>
      </c>
      <c r="C388" s="24" t="s">
        <v>1314</v>
      </c>
      <c r="D388" s="24" t="s">
        <v>1315</v>
      </c>
      <c r="E388" s="93">
        <v>88</v>
      </c>
      <c r="F388" s="94">
        <v>4</v>
      </c>
      <c r="G388" s="94">
        <v>95</v>
      </c>
      <c r="H388" s="94">
        <v>4</v>
      </c>
      <c r="I388" s="94">
        <v>76</v>
      </c>
      <c r="J388" s="94">
        <v>4</v>
      </c>
      <c r="K388" s="94">
        <v>98</v>
      </c>
      <c r="L388" s="94">
        <v>2</v>
      </c>
      <c r="M388" s="94">
        <v>79</v>
      </c>
      <c r="N388" s="94">
        <v>2</v>
      </c>
      <c r="O388" s="94">
        <v>72</v>
      </c>
      <c r="P388" s="94">
        <v>2</v>
      </c>
      <c r="Q388">
        <v>90</v>
      </c>
      <c r="R388">
        <v>2</v>
      </c>
      <c r="S388">
        <v>88</v>
      </c>
      <c r="T388">
        <v>2</v>
      </c>
      <c r="U388">
        <v>85</v>
      </c>
      <c r="V388">
        <v>2</v>
      </c>
      <c r="W388">
        <v>83</v>
      </c>
      <c r="X388">
        <v>2</v>
      </c>
      <c r="Y388">
        <v>80</v>
      </c>
      <c r="Z388">
        <v>1</v>
      </c>
      <c r="AA388">
        <v>92</v>
      </c>
      <c r="AB388">
        <v>1</v>
      </c>
      <c r="AC388">
        <v>80</v>
      </c>
      <c r="AD388">
        <v>1</v>
      </c>
      <c r="AE388">
        <v>88</v>
      </c>
      <c r="AF388">
        <v>2</v>
      </c>
      <c r="AG388">
        <v>89</v>
      </c>
      <c r="AH388">
        <v>2</v>
      </c>
    </row>
    <row r="389" spans="1:34">
      <c r="A389" t="s">
        <v>1316</v>
      </c>
      <c r="B389" s="24">
        <v>1807</v>
      </c>
      <c r="C389" s="24" t="s">
        <v>1317</v>
      </c>
      <c r="D389" s="24" t="s">
        <v>1318</v>
      </c>
      <c r="E389" s="93">
        <v>90</v>
      </c>
      <c r="F389" s="94">
        <v>4</v>
      </c>
      <c r="G389" s="94">
        <v>95</v>
      </c>
      <c r="H389" s="94">
        <v>4</v>
      </c>
      <c r="I389" s="94">
        <v>83</v>
      </c>
      <c r="J389" s="94">
        <v>4</v>
      </c>
      <c r="K389" s="94">
        <v>89</v>
      </c>
      <c r="L389" s="94">
        <v>2</v>
      </c>
      <c r="M389" s="94">
        <v>88</v>
      </c>
      <c r="N389" s="94">
        <v>2</v>
      </c>
      <c r="O389" s="94">
        <v>87</v>
      </c>
      <c r="P389" s="94">
        <v>2</v>
      </c>
      <c r="Q389">
        <v>98</v>
      </c>
      <c r="R389">
        <v>2</v>
      </c>
      <c r="S389">
        <v>85</v>
      </c>
      <c r="T389">
        <v>2</v>
      </c>
      <c r="U389">
        <v>76</v>
      </c>
      <c r="V389">
        <v>2</v>
      </c>
      <c r="W389">
        <v>93</v>
      </c>
      <c r="X389">
        <v>2</v>
      </c>
      <c r="Y389">
        <v>75</v>
      </c>
      <c r="Z389">
        <v>1</v>
      </c>
      <c r="AA389">
        <v>92</v>
      </c>
      <c r="AB389">
        <v>1</v>
      </c>
      <c r="AC389">
        <v>78</v>
      </c>
      <c r="AD389">
        <v>1</v>
      </c>
      <c r="AE389">
        <v>86</v>
      </c>
      <c r="AF389">
        <v>2</v>
      </c>
      <c r="AG389">
        <v>90</v>
      </c>
      <c r="AH389">
        <v>2</v>
      </c>
    </row>
    <row r="390" spans="1:34">
      <c r="A390" t="s">
        <v>1319</v>
      </c>
      <c r="B390" s="24">
        <v>1807</v>
      </c>
      <c r="C390" s="24" t="s">
        <v>1320</v>
      </c>
      <c r="D390" s="24" t="s">
        <v>1321</v>
      </c>
      <c r="E390" s="93">
        <v>91</v>
      </c>
      <c r="F390" s="94">
        <v>4</v>
      </c>
      <c r="G390" s="94">
        <v>98</v>
      </c>
      <c r="H390" s="94">
        <v>4</v>
      </c>
      <c r="I390" s="94">
        <v>82</v>
      </c>
      <c r="J390" s="94">
        <v>4</v>
      </c>
      <c r="K390" s="94">
        <v>92</v>
      </c>
      <c r="L390" s="94">
        <v>2</v>
      </c>
      <c r="M390" s="94">
        <v>82</v>
      </c>
      <c r="N390" s="94">
        <v>2</v>
      </c>
      <c r="O390" s="94">
        <v>75</v>
      </c>
      <c r="P390" s="94">
        <v>2</v>
      </c>
      <c r="Q390">
        <v>89</v>
      </c>
      <c r="R390">
        <v>2</v>
      </c>
      <c r="S390">
        <v>86</v>
      </c>
      <c r="T390">
        <v>2</v>
      </c>
      <c r="U390">
        <v>81</v>
      </c>
      <c r="V390">
        <v>2</v>
      </c>
      <c r="W390">
        <v>93</v>
      </c>
      <c r="X390">
        <v>2</v>
      </c>
      <c r="Y390">
        <v>78</v>
      </c>
      <c r="Z390">
        <v>1</v>
      </c>
      <c r="AA390">
        <v>92</v>
      </c>
      <c r="AB390">
        <v>1</v>
      </c>
      <c r="AC390">
        <v>75</v>
      </c>
      <c r="AD390">
        <v>1</v>
      </c>
      <c r="AE390">
        <v>89</v>
      </c>
      <c r="AF390">
        <v>2</v>
      </c>
      <c r="AG390">
        <v>95</v>
      </c>
      <c r="AH390">
        <v>2</v>
      </c>
    </row>
    <row r="391" spans="1:34">
      <c r="A391" t="s">
        <v>1322</v>
      </c>
      <c r="B391" s="24">
        <v>1807</v>
      </c>
      <c r="C391" s="24" t="s">
        <v>1323</v>
      </c>
      <c r="D391" s="24" t="s">
        <v>1324</v>
      </c>
      <c r="E391" s="93">
        <v>82</v>
      </c>
      <c r="F391" s="94">
        <v>4</v>
      </c>
      <c r="G391" s="94">
        <v>95</v>
      </c>
      <c r="H391" s="94">
        <v>4</v>
      </c>
      <c r="I391" s="94">
        <v>85</v>
      </c>
      <c r="J391" s="94">
        <v>4</v>
      </c>
      <c r="K391" s="94">
        <v>97</v>
      </c>
      <c r="L391" s="94">
        <v>2</v>
      </c>
      <c r="M391" s="94">
        <v>82</v>
      </c>
      <c r="N391" s="94">
        <v>2</v>
      </c>
      <c r="O391" s="94">
        <v>93</v>
      </c>
      <c r="P391" s="94">
        <v>2</v>
      </c>
      <c r="Q391">
        <v>96</v>
      </c>
      <c r="R391">
        <v>2</v>
      </c>
      <c r="S391">
        <v>92</v>
      </c>
      <c r="T391">
        <v>2</v>
      </c>
      <c r="U391">
        <v>79</v>
      </c>
      <c r="V391">
        <v>2</v>
      </c>
      <c r="W391">
        <v>88</v>
      </c>
      <c r="X391">
        <v>2</v>
      </c>
      <c r="Y391">
        <v>76</v>
      </c>
      <c r="Z391">
        <v>1</v>
      </c>
      <c r="AA391">
        <v>92</v>
      </c>
      <c r="AB391">
        <v>1</v>
      </c>
      <c r="AC391">
        <v>80</v>
      </c>
      <c r="AD391">
        <v>1</v>
      </c>
      <c r="AE391">
        <v>86</v>
      </c>
      <c r="AF391">
        <v>2</v>
      </c>
      <c r="AG391">
        <v>89</v>
      </c>
      <c r="AH391">
        <v>2</v>
      </c>
    </row>
    <row r="392" spans="1:34">
      <c r="A392" t="s">
        <v>1325</v>
      </c>
      <c r="B392" s="24">
        <v>1807</v>
      </c>
      <c r="C392" s="24" t="s">
        <v>1326</v>
      </c>
      <c r="D392" s="24" t="s">
        <v>1327</v>
      </c>
      <c r="E392" s="93">
        <v>80</v>
      </c>
      <c r="F392" s="94">
        <v>4</v>
      </c>
      <c r="G392" s="94">
        <v>90</v>
      </c>
      <c r="H392" s="94">
        <v>4</v>
      </c>
      <c r="I392" s="94">
        <v>84</v>
      </c>
      <c r="J392" s="94">
        <v>4</v>
      </c>
      <c r="K392" s="94">
        <v>90</v>
      </c>
      <c r="L392" s="94">
        <v>2</v>
      </c>
      <c r="M392" s="94">
        <v>80</v>
      </c>
      <c r="N392" s="94">
        <v>2</v>
      </c>
      <c r="O392" s="94">
        <v>73</v>
      </c>
      <c r="P392" s="94">
        <v>2</v>
      </c>
      <c r="Q392">
        <v>81</v>
      </c>
      <c r="R392">
        <v>2</v>
      </c>
      <c r="S392">
        <v>85</v>
      </c>
      <c r="T392">
        <v>2</v>
      </c>
      <c r="U392">
        <v>70</v>
      </c>
      <c r="V392">
        <v>2</v>
      </c>
      <c r="W392">
        <v>80</v>
      </c>
      <c r="X392">
        <v>2</v>
      </c>
      <c r="Y392">
        <v>77</v>
      </c>
      <c r="Z392">
        <v>1</v>
      </c>
      <c r="AA392">
        <v>92</v>
      </c>
      <c r="AB392">
        <v>1</v>
      </c>
      <c r="AC392">
        <v>88</v>
      </c>
      <c r="AD392">
        <v>1</v>
      </c>
      <c r="AE392">
        <v>88</v>
      </c>
      <c r="AF392">
        <v>2</v>
      </c>
      <c r="AG392">
        <v>86</v>
      </c>
      <c r="AH392">
        <v>2</v>
      </c>
    </row>
    <row r="393" spans="1:34">
      <c r="A393" t="s">
        <v>1328</v>
      </c>
      <c r="B393" s="24">
        <v>1807</v>
      </c>
      <c r="C393" s="24" t="s">
        <v>1329</v>
      </c>
      <c r="D393" s="24" t="s">
        <v>1330</v>
      </c>
      <c r="E393" s="93">
        <v>81</v>
      </c>
      <c r="F393" s="94">
        <v>4</v>
      </c>
      <c r="G393" s="94">
        <v>90</v>
      </c>
      <c r="H393" s="94">
        <v>4</v>
      </c>
      <c r="I393" s="94">
        <v>85</v>
      </c>
      <c r="J393" s="94">
        <v>4</v>
      </c>
      <c r="K393" s="94">
        <v>95</v>
      </c>
      <c r="L393" s="94">
        <v>2</v>
      </c>
      <c r="M393" s="94">
        <v>82</v>
      </c>
      <c r="N393" s="94">
        <v>2</v>
      </c>
      <c r="O393" s="94">
        <v>70</v>
      </c>
      <c r="P393" s="94">
        <v>2</v>
      </c>
      <c r="Q393">
        <v>80</v>
      </c>
      <c r="R393">
        <v>2</v>
      </c>
      <c r="S393">
        <v>85</v>
      </c>
      <c r="T393">
        <v>2</v>
      </c>
      <c r="U393">
        <v>70</v>
      </c>
      <c r="V393">
        <v>2</v>
      </c>
      <c r="W393">
        <v>88</v>
      </c>
      <c r="X393">
        <v>2</v>
      </c>
      <c r="Y393">
        <v>76</v>
      </c>
      <c r="Z393">
        <v>1</v>
      </c>
      <c r="AA393">
        <v>92</v>
      </c>
      <c r="AB393">
        <v>1</v>
      </c>
      <c r="AC393">
        <v>85</v>
      </c>
      <c r="AD393">
        <v>1</v>
      </c>
      <c r="AE393">
        <v>87</v>
      </c>
      <c r="AF393">
        <v>2</v>
      </c>
      <c r="AG393">
        <v>89</v>
      </c>
      <c r="AH393">
        <v>2</v>
      </c>
    </row>
    <row r="394" spans="1:34">
      <c r="A394" t="s">
        <v>1331</v>
      </c>
      <c r="B394" s="24">
        <v>1807</v>
      </c>
      <c r="C394" s="24" t="s">
        <v>1332</v>
      </c>
      <c r="D394" s="24" t="s">
        <v>1333</v>
      </c>
      <c r="E394" s="93">
        <v>97</v>
      </c>
      <c r="F394" s="94">
        <v>4</v>
      </c>
      <c r="G394" s="94">
        <v>95</v>
      </c>
      <c r="H394" s="94">
        <v>4</v>
      </c>
      <c r="I394" s="94">
        <v>82</v>
      </c>
      <c r="J394" s="94">
        <v>4</v>
      </c>
      <c r="K394" s="94">
        <v>97</v>
      </c>
      <c r="L394" s="94">
        <v>2</v>
      </c>
      <c r="M394" s="94">
        <v>77</v>
      </c>
      <c r="N394" s="94">
        <v>2</v>
      </c>
      <c r="O394" s="94">
        <v>94</v>
      </c>
      <c r="P394" s="94">
        <v>2</v>
      </c>
      <c r="Q394">
        <v>89</v>
      </c>
      <c r="R394">
        <v>2</v>
      </c>
      <c r="S394">
        <v>90</v>
      </c>
      <c r="T394">
        <v>2</v>
      </c>
      <c r="U394">
        <v>71</v>
      </c>
      <c r="V394">
        <v>2</v>
      </c>
      <c r="W394">
        <v>93</v>
      </c>
      <c r="X394">
        <v>2</v>
      </c>
      <c r="Y394">
        <v>75</v>
      </c>
      <c r="Z394">
        <v>1</v>
      </c>
      <c r="AA394">
        <v>92</v>
      </c>
      <c r="AB394">
        <v>1</v>
      </c>
      <c r="AC394">
        <v>85</v>
      </c>
      <c r="AD394">
        <v>1</v>
      </c>
      <c r="AE394">
        <v>84</v>
      </c>
      <c r="AF394">
        <v>2</v>
      </c>
      <c r="AG394">
        <v>85</v>
      </c>
      <c r="AH394">
        <v>2</v>
      </c>
    </row>
    <row r="395" spans="1:34">
      <c r="A395" t="s">
        <v>1334</v>
      </c>
      <c r="B395" s="24">
        <v>1807</v>
      </c>
      <c r="C395" s="24" t="s">
        <v>1335</v>
      </c>
      <c r="D395" s="24" t="s">
        <v>1336</v>
      </c>
      <c r="E395" s="93">
        <v>95</v>
      </c>
      <c r="F395" s="94">
        <v>4</v>
      </c>
      <c r="G395" s="94">
        <v>98</v>
      </c>
      <c r="H395" s="94">
        <v>4</v>
      </c>
      <c r="I395" s="94">
        <v>83</v>
      </c>
      <c r="J395" s="94">
        <v>4</v>
      </c>
      <c r="K395" s="94">
        <v>84</v>
      </c>
      <c r="L395" s="94">
        <v>2</v>
      </c>
      <c r="M395" s="94">
        <v>89</v>
      </c>
      <c r="N395" s="94">
        <v>2</v>
      </c>
      <c r="O395" s="94">
        <v>94</v>
      </c>
      <c r="P395" s="94">
        <v>2</v>
      </c>
      <c r="Q395">
        <v>94</v>
      </c>
      <c r="R395">
        <v>2</v>
      </c>
      <c r="S395">
        <v>90</v>
      </c>
      <c r="T395">
        <v>2</v>
      </c>
      <c r="U395">
        <v>88</v>
      </c>
      <c r="V395">
        <v>2</v>
      </c>
      <c r="W395">
        <v>90</v>
      </c>
      <c r="X395">
        <v>2</v>
      </c>
      <c r="Y395">
        <v>80</v>
      </c>
      <c r="Z395">
        <v>1</v>
      </c>
      <c r="AA395">
        <v>92</v>
      </c>
      <c r="AB395">
        <v>1</v>
      </c>
      <c r="AC395">
        <v>93</v>
      </c>
      <c r="AD395">
        <v>1</v>
      </c>
      <c r="AE395">
        <v>84</v>
      </c>
      <c r="AF395">
        <v>2</v>
      </c>
      <c r="AG395">
        <v>95</v>
      </c>
      <c r="AH395">
        <v>2</v>
      </c>
    </row>
    <row r="396" spans="1:34">
      <c r="A396" t="s">
        <v>1337</v>
      </c>
      <c r="B396" s="24">
        <v>1807</v>
      </c>
      <c r="C396" s="24" t="s">
        <v>1338</v>
      </c>
      <c r="D396" s="24" t="s">
        <v>1339</v>
      </c>
      <c r="E396" s="93">
        <v>89</v>
      </c>
      <c r="F396" s="94">
        <v>4</v>
      </c>
      <c r="G396" s="94">
        <v>97</v>
      </c>
      <c r="H396" s="94">
        <v>4</v>
      </c>
      <c r="I396" s="94">
        <v>88</v>
      </c>
      <c r="J396" s="94">
        <v>4</v>
      </c>
      <c r="K396" s="94">
        <v>99</v>
      </c>
      <c r="L396" s="94">
        <v>2</v>
      </c>
      <c r="M396" s="94">
        <v>92</v>
      </c>
      <c r="N396" s="94">
        <v>2</v>
      </c>
      <c r="O396" s="94">
        <v>80</v>
      </c>
      <c r="P396" s="94">
        <v>2</v>
      </c>
      <c r="Q396">
        <v>87</v>
      </c>
      <c r="R396">
        <v>2</v>
      </c>
      <c r="S396">
        <v>88</v>
      </c>
      <c r="T396">
        <v>2</v>
      </c>
      <c r="U396">
        <v>85</v>
      </c>
      <c r="V396">
        <v>2</v>
      </c>
      <c r="W396">
        <v>88</v>
      </c>
      <c r="X396">
        <v>2</v>
      </c>
      <c r="Y396">
        <v>81</v>
      </c>
      <c r="Z396">
        <v>1</v>
      </c>
      <c r="AA396">
        <v>92</v>
      </c>
      <c r="AB396">
        <v>1</v>
      </c>
      <c r="AC396">
        <v>88</v>
      </c>
      <c r="AD396">
        <v>1</v>
      </c>
      <c r="AE396">
        <v>89</v>
      </c>
      <c r="AF396">
        <v>2</v>
      </c>
      <c r="AG396">
        <v>95</v>
      </c>
      <c r="AH396">
        <v>2</v>
      </c>
    </row>
    <row r="397" spans="1:34">
      <c r="A397" t="s">
        <v>1340</v>
      </c>
      <c r="B397" s="24">
        <v>1807</v>
      </c>
      <c r="C397" s="24" t="s">
        <v>1341</v>
      </c>
      <c r="D397" s="24" t="s">
        <v>1342</v>
      </c>
      <c r="E397" s="93">
        <v>84</v>
      </c>
      <c r="F397" s="94">
        <v>4</v>
      </c>
      <c r="G397" s="94">
        <v>93</v>
      </c>
      <c r="H397" s="94">
        <v>4</v>
      </c>
      <c r="I397" s="94">
        <v>84</v>
      </c>
      <c r="J397" s="94">
        <v>4</v>
      </c>
      <c r="K397" s="94">
        <v>94</v>
      </c>
      <c r="L397" s="94">
        <v>2</v>
      </c>
      <c r="M397" s="94">
        <v>95</v>
      </c>
      <c r="N397" s="94">
        <v>2</v>
      </c>
      <c r="O397" s="94">
        <v>94</v>
      </c>
      <c r="P397" s="94">
        <v>2</v>
      </c>
      <c r="Q397">
        <v>80</v>
      </c>
      <c r="R397">
        <v>2</v>
      </c>
      <c r="S397">
        <v>86</v>
      </c>
      <c r="T397">
        <v>2</v>
      </c>
      <c r="U397">
        <v>72</v>
      </c>
      <c r="V397">
        <v>2</v>
      </c>
      <c r="W397">
        <v>80</v>
      </c>
      <c r="X397">
        <v>2</v>
      </c>
      <c r="Y397">
        <v>80</v>
      </c>
      <c r="Z397">
        <v>1</v>
      </c>
      <c r="AA397">
        <v>92</v>
      </c>
      <c r="AB397">
        <v>1</v>
      </c>
      <c r="AC397">
        <v>86</v>
      </c>
      <c r="AD397">
        <v>1</v>
      </c>
      <c r="AE397">
        <v>84</v>
      </c>
      <c r="AF397">
        <v>2</v>
      </c>
      <c r="AG397">
        <v>90</v>
      </c>
      <c r="AH397">
        <v>2</v>
      </c>
    </row>
    <row r="398" spans="1:34">
      <c r="A398" t="s">
        <v>1343</v>
      </c>
      <c r="B398" s="24">
        <v>1807</v>
      </c>
      <c r="C398" s="24" t="s">
        <v>1344</v>
      </c>
      <c r="D398" s="24" t="s">
        <v>1345</v>
      </c>
      <c r="E398" s="93">
        <v>80</v>
      </c>
      <c r="F398" s="94">
        <v>4</v>
      </c>
      <c r="G398" s="94">
        <v>96</v>
      </c>
      <c r="H398" s="94">
        <v>4</v>
      </c>
      <c r="I398" s="94">
        <v>82</v>
      </c>
      <c r="J398" s="94">
        <v>4</v>
      </c>
      <c r="K398" s="94">
        <v>93</v>
      </c>
      <c r="L398" s="94">
        <v>2</v>
      </c>
      <c r="M398" s="94">
        <v>93</v>
      </c>
      <c r="N398" s="94">
        <v>2</v>
      </c>
      <c r="O398" s="94">
        <v>95</v>
      </c>
      <c r="P398" s="94">
        <v>2</v>
      </c>
      <c r="Q398">
        <v>88</v>
      </c>
      <c r="R398">
        <v>2</v>
      </c>
      <c r="S398">
        <v>85</v>
      </c>
      <c r="T398">
        <v>2</v>
      </c>
      <c r="U398">
        <v>70</v>
      </c>
      <c r="V398">
        <v>2</v>
      </c>
      <c r="W398">
        <v>80</v>
      </c>
      <c r="X398">
        <v>2</v>
      </c>
      <c r="Y398">
        <v>78</v>
      </c>
      <c r="Z398">
        <v>1</v>
      </c>
      <c r="AA398">
        <v>92</v>
      </c>
      <c r="AB398">
        <v>1</v>
      </c>
      <c r="AC398">
        <v>85</v>
      </c>
      <c r="AD398">
        <v>1</v>
      </c>
      <c r="AE398">
        <v>84</v>
      </c>
      <c r="AF398">
        <v>2</v>
      </c>
      <c r="AG398">
        <v>91</v>
      </c>
      <c r="AH398">
        <v>2</v>
      </c>
    </row>
    <row r="399" spans="1:34">
      <c r="A399" t="s">
        <v>1346</v>
      </c>
      <c r="B399" s="24">
        <v>1807</v>
      </c>
      <c r="C399" s="24" t="s">
        <v>1347</v>
      </c>
      <c r="D399" s="24" t="s">
        <v>1348</v>
      </c>
      <c r="E399" s="93">
        <v>94</v>
      </c>
      <c r="F399" s="94">
        <v>4</v>
      </c>
      <c r="G399" s="94">
        <v>96</v>
      </c>
      <c r="H399" s="94">
        <v>4</v>
      </c>
      <c r="I399" s="94">
        <v>83</v>
      </c>
      <c r="J399" s="94">
        <v>4</v>
      </c>
      <c r="K399" s="94">
        <v>98</v>
      </c>
      <c r="L399" s="94">
        <v>2</v>
      </c>
      <c r="M399" s="94">
        <v>98</v>
      </c>
      <c r="N399" s="94">
        <v>2</v>
      </c>
      <c r="O399" s="94">
        <v>94</v>
      </c>
      <c r="P399" s="94">
        <v>2</v>
      </c>
      <c r="Q399">
        <v>99</v>
      </c>
      <c r="R399">
        <v>2</v>
      </c>
      <c r="S399">
        <v>90</v>
      </c>
      <c r="T399">
        <v>2</v>
      </c>
      <c r="U399">
        <v>76</v>
      </c>
      <c r="V399">
        <v>2</v>
      </c>
      <c r="W399">
        <v>98</v>
      </c>
      <c r="X399">
        <v>2</v>
      </c>
      <c r="Y399">
        <v>77</v>
      </c>
      <c r="Z399">
        <v>1</v>
      </c>
      <c r="AA399">
        <v>92</v>
      </c>
      <c r="AB399">
        <v>1</v>
      </c>
      <c r="AC399">
        <v>82</v>
      </c>
      <c r="AD399">
        <v>1</v>
      </c>
      <c r="AE399">
        <v>88</v>
      </c>
      <c r="AF399">
        <v>2</v>
      </c>
      <c r="AG399">
        <v>92</v>
      </c>
      <c r="AH399">
        <v>2</v>
      </c>
    </row>
    <row r="400" spans="1:34">
      <c r="A400" t="s">
        <v>1349</v>
      </c>
      <c r="B400" s="24">
        <v>1807</v>
      </c>
      <c r="C400" s="24" t="s">
        <v>1350</v>
      </c>
      <c r="D400" s="24" t="s">
        <v>1351</v>
      </c>
      <c r="E400" s="93">
        <v>90</v>
      </c>
      <c r="F400" s="94">
        <v>4</v>
      </c>
      <c r="G400" s="94">
        <v>90</v>
      </c>
      <c r="H400" s="94">
        <v>4</v>
      </c>
      <c r="I400" s="94">
        <v>80</v>
      </c>
      <c r="J400" s="94">
        <v>4</v>
      </c>
      <c r="K400" s="94">
        <v>96</v>
      </c>
      <c r="L400" s="94">
        <v>2</v>
      </c>
      <c r="M400" s="94">
        <v>89</v>
      </c>
      <c r="N400" s="94">
        <v>2</v>
      </c>
      <c r="O400" s="94">
        <v>94</v>
      </c>
      <c r="P400" s="94">
        <v>2</v>
      </c>
      <c r="Q400">
        <v>97</v>
      </c>
      <c r="R400">
        <v>2</v>
      </c>
      <c r="S400">
        <v>90</v>
      </c>
      <c r="T400">
        <v>2</v>
      </c>
      <c r="U400">
        <v>72</v>
      </c>
      <c r="V400">
        <v>2</v>
      </c>
      <c r="W400">
        <v>85</v>
      </c>
      <c r="X400">
        <v>2</v>
      </c>
      <c r="Y400">
        <v>76</v>
      </c>
      <c r="Z400">
        <v>1</v>
      </c>
      <c r="AA400">
        <v>92</v>
      </c>
      <c r="AB400">
        <v>1</v>
      </c>
      <c r="AC400">
        <v>86</v>
      </c>
      <c r="AD400">
        <v>1</v>
      </c>
      <c r="AE400">
        <v>86</v>
      </c>
      <c r="AF400">
        <v>2</v>
      </c>
      <c r="AG400">
        <v>95</v>
      </c>
      <c r="AH400">
        <v>2</v>
      </c>
    </row>
    <row r="401" spans="1:34">
      <c r="A401" t="s">
        <v>1352</v>
      </c>
      <c r="B401" s="24">
        <v>1807</v>
      </c>
      <c r="C401" s="24" t="s">
        <v>1353</v>
      </c>
      <c r="D401" s="24" t="s">
        <v>1354</v>
      </c>
      <c r="E401" s="93">
        <v>95</v>
      </c>
      <c r="F401" s="94">
        <v>4</v>
      </c>
      <c r="G401" s="94">
        <v>90</v>
      </c>
      <c r="H401" s="94">
        <v>4</v>
      </c>
      <c r="I401" s="94">
        <v>92</v>
      </c>
      <c r="J401" s="94">
        <v>4</v>
      </c>
      <c r="K401" s="94">
        <v>86</v>
      </c>
      <c r="L401" s="94">
        <v>2</v>
      </c>
      <c r="M401" s="94">
        <v>75</v>
      </c>
      <c r="N401" s="94">
        <v>2</v>
      </c>
      <c r="O401" s="94">
        <v>75</v>
      </c>
      <c r="P401" s="94">
        <v>2</v>
      </c>
      <c r="Q401">
        <v>94</v>
      </c>
      <c r="R401">
        <v>2</v>
      </c>
      <c r="S401">
        <v>84</v>
      </c>
      <c r="T401">
        <v>2</v>
      </c>
      <c r="U401">
        <v>78</v>
      </c>
      <c r="V401">
        <v>2</v>
      </c>
      <c r="W401">
        <v>85</v>
      </c>
      <c r="X401">
        <v>2</v>
      </c>
      <c r="Y401">
        <v>76</v>
      </c>
      <c r="Z401">
        <v>1</v>
      </c>
      <c r="AA401">
        <v>92</v>
      </c>
      <c r="AB401">
        <v>1</v>
      </c>
      <c r="AC401">
        <v>86</v>
      </c>
      <c r="AD401">
        <v>1</v>
      </c>
      <c r="AE401">
        <v>90</v>
      </c>
      <c r="AF401">
        <v>2</v>
      </c>
      <c r="AG401">
        <v>88</v>
      </c>
      <c r="AH401">
        <v>2</v>
      </c>
    </row>
    <row r="402" spans="1:34">
      <c r="A402" t="s">
        <v>1355</v>
      </c>
      <c r="B402" s="24">
        <v>1808</v>
      </c>
      <c r="C402" s="24" t="s">
        <v>1356</v>
      </c>
      <c r="D402" s="24" t="s">
        <v>1357</v>
      </c>
      <c r="E402" s="93">
        <v>88</v>
      </c>
      <c r="F402" s="94">
        <v>4</v>
      </c>
      <c r="G402" s="94">
        <v>90</v>
      </c>
      <c r="H402" s="94">
        <v>4</v>
      </c>
      <c r="I402" s="94">
        <v>84</v>
      </c>
      <c r="J402" s="94">
        <v>4</v>
      </c>
      <c r="K402" s="94">
        <v>89</v>
      </c>
      <c r="L402" s="94">
        <v>2</v>
      </c>
      <c r="M402" s="94">
        <v>76</v>
      </c>
      <c r="N402" s="94">
        <v>2</v>
      </c>
      <c r="O402" s="94">
        <v>86</v>
      </c>
      <c r="P402" s="94">
        <v>2</v>
      </c>
      <c r="Q402">
        <v>85</v>
      </c>
      <c r="R402">
        <v>2</v>
      </c>
      <c r="S402">
        <v>83</v>
      </c>
      <c r="T402">
        <v>2</v>
      </c>
      <c r="U402">
        <v>83</v>
      </c>
      <c r="V402">
        <v>2</v>
      </c>
      <c r="W402">
        <v>99</v>
      </c>
      <c r="X402">
        <v>2</v>
      </c>
      <c r="Y402">
        <v>78</v>
      </c>
      <c r="Z402">
        <v>1</v>
      </c>
      <c r="AA402">
        <v>92</v>
      </c>
      <c r="AB402">
        <v>1</v>
      </c>
      <c r="AC402">
        <v>76</v>
      </c>
      <c r="AD402">
        <v>1</v>
      </c>
      <c r="AE402">
        <v>86</v>
      </c>
      <c r="AF402">
        <v>2</v>
      </c>
      <c r="AG402">
        <v>92</v>
      </c>
      <c r="AH402">
        <v>2</v>
      </c>
    </row>
    <row r="403" spans="1:34">
      <c r="B403" s="24">
        <v>1808</v>
      </c>
      <c r="C403" s="24" t="s">
        <v>3325</v>
      </c>
      <c r="F403" s="94">
        <v>4</v>
      </c>
      <c r="J403" s="94">
        <v>4</v>
      </c>
      <c r="Z403">
        <v>1</v>
      </c>
      <c r="AB403">
        <v>1</v>
      </c>
    </row>
    <row r="404" spans="1:34">
      <c r="A404" t="s">
        <v>1360</v>
      </c>
      <c r="B404" s="24">
        <v>1808</v>
      </c>
      <c r="C404" s="24" t="s">
        <v>1361</v>
      </c>
      <c r="D404" s="24" t="s">
        <v>1362</v>
      </c>
      <c r="E404" s="93">
        <v>94</v>
      </c>
      <c r="F404" s="94">
        <v>4</v>
      </c>
      <c r="G404" s="94">
        <v>90</v>
      </c>
      <c r="H404" s="94">
        <v>4</v>
      </c>
      <c r="I404" s="94">
        <v>88</v>
      </c>
      <c r="J404" s="94">
        <v>4</v>
      </c>
      <c r="K404" s="94">
        <v>81</v>
      </c>
      <c r="L404" s="94">
        <v>2</v>
      </c>
      <c r="M404" s="94">
        <v>81</v>
      </c>
      <c r="N404" s="94">
        <v>2</v>
      </c>
      <c r="O404" s="94">
        <v>88</v>
      </c>
      <c r="P404" s="94">
        <v>2</v>
      </c>
      <c r="Q404">
        <v>85</v>
      </c>
      <c r="R404">
        <v>2</v>
      </c>
      <c r="S404">
        <v>90</v>
      </c>
      <c r="T404">
        <v>2</v>
      </c>
      <c r="U404">
        <v>76</v>
      </c>
      <c r="V404">
        <v>2</v>
      </c>
      <c r="W404">
        <v>95</v>
      </c>
      <c r="X404">
        <v>2</v>
      </c>
      <c r="Y404">
        <v>79</v>
      </c>
      <c r="Z404">
        <v>1</v>
      </c>
      <c r="AA404">
        <v>92</v>
      </c>
      <c r="AB404">
        <v>1</v>
      </c>
      <c r="AC404">
        <v>89</v>
      </c>
      <c r="AD404">
        <v>1</v>
      </c>
      <c r="AE404">
        <v>87</v>
      </c>
      <c r="AF404">
        <v>2</v>
      </c>
      <c r="AG404">
        <v>90</v>
      </c>
      <c r="AH404">
        <v>2</v>
      </c>
    </row>
    <row r="405" spans="1:34">
      <c r="A405" t="s">
        <v>1363</v>
      </c>
      <c r="B405" s="24">
        <v>1808</v>
      </c>
      <c r="C405" s="24" t="s">
        <v>1364</v>
      </c>
      <c r="D405" s="24" t="s">
        <v>1365</v>
      </c>
      <c r="E405" s="93">
        <v>95</v>
      </c>
      <c r="F405" s="94">
        <v>4</v>
      </c>
      <c r="G405" s="94">
        <v>90</v>
      </c>
      <c r="H405" s="94">
        <v>4</v>
      </c>
      <c r="I405" s="94">
        <v>85</v>
      </c>
      <c r="J405" s="94">
        <v>4</v>
      </c>
      <c r="K405" s="94">
        <v>91</v>
      </c>
      <c r="L405" s="94">
        <v>2</v>
      </c>
      <c r="M405" s="94">
        <v>74</v>
      </c>
      <c r="N405" s="94">
        <v>2</v>
      </c>
      <c r="O405" s="94">
        <v>70</v>
      </c>
      <c r="P405" s="94">
        <v>2</v>
      </c>
      <c r="Q405">
        <v>82</v>
      </c>
      <c r="R405">
        <v>2</v>
      </c>
      <c r="S405">
        <v>83</v>
      </c>
      <c r="T405">
        <v>2</v>
      </c>
      <c r="U405">
        <v>73</v>
      </c>
      <c r="V405">
        <v>2</v>
      </c>
      <c r="W405">
        <v>87</v>
      </c>
      <c r="X405">
        <v>2</v>
      </c>
      <c r="Y405">
        <v>80</v>
      </c>
      <c r="Z405">
        <v>1</v>
      </c>
      <c r="AA405">
        <v>92</v>
      </c>
      <c r="AB405">
        <v>1</v>
      </c>
      <c r="AC405">
        <v>80</v>
      </c>
      <c r="AD405">
        <v>1</v>
      </c>
      <c r="AE405">
        <v>85</v>
      </c>
      <c r="AF405">
        <v>2</v>
      </c>
      <c r="AG405">
        <v>93</v>
      </c>
      <c r="AH405">
        <v>2</v>
      </c>
    </row>
    <row r="406" spans="1:34">
      <c r="A406" t="s">
        <v>1366</v>
      </c>
      <c r="B406" s="24">
        <v>1808</v>
      </c>
      <c r="C406" s="24" t="s">
        <v>1367</v>
      </c>
      <c r="D406" s="24" t="s">
        <v>83</v>
      </c>
      <c r="E406" s="93">
        <v>90</v>
      </c>
      <c r="F406" s="94">
        <v>4</v>
      </c>
      <c r="G406" s="94">
        <v>97</v>
      </c>
      <c r="H406" s="94">
        <v>4</v>
      </c>
      <c r="I406" s="94">
        <v>84</v>
      </c>
      <c r="J406" s="94">
        <v>4</v>
      </c>
      <c r="K406" s="94">
        <v>90</v>
      </c>
      <c r="L406" s="94">
        <v>2</v>
      </c>
      <c r="M406" s="94">
        <v>79</v>
      </c>
      <c r="N406" s="94">
        <v>2</v>
      </c>
      <c r="O406" s="94">
        <v>79</v>
      </c>
      <c r="P406" s="94">
        <v>2</v>
      </c>
      <c r="Q406">
        <v>95</v>
      </c>
      <c r="R406">
        <v>2</v>
      </c>
      <c r="S406">
        <v>90</v>
      </c>
      <c r="T406">
        <v>2</v>
      </c>
      <c r="U406">
        <v>71</v>
      </c>
      <c r="V406">
        <v>2</v>
      </c>
      <c r="W406">
        <v>96</v>
      </c>
      <c r="X406">
        <v>2</v>
      </c>
      <c r="Y406">
        <v>78</v>
      </c>
      <c r="Z406">
        <v>1</v>
      </c>
      <c r="AA406">
        <v>92</v>
      </c>
      <c r="AB406">
        <v>1</v>
      </c>
      <c r="AC406">
        <v>88</v>
      </c>
      <c r="AD406">
        <v>1</v>
      </c>
      <c r="AE406">
        <v>87</v>
      </c>
      <c r="AF406">
        <v>2</v>
      </c>
      <c r="AG406">
        <v>91</v>
      </c>
      <c r="AH406">
        <v>2</v>
      </c>
    </row>
    <row r="407" spans="1:34">
      <c r="A407" t="s">
        <v>1368</v>
      </c>
      <c r="B407" s="24">
        <v>1808</v>
      </c>
      <c r="C407" s="24" t="s">
        <v>1369</v>
      </c>
      <c r="D407" s="24" t="s">
        <v>1370</v>
      </c>
      <c r="E407" s="93">
        <v>86</v>
      </c>
      <c r="F407" s="94">
        <v>4</v>
      </c>
      <c r="G407" s="94">
        <v>97</v>
      </c>
      <c r="H407" s="94">
        <v>4</v>
      </c>
      <c r="I407" s="94">
        <v>83</v>
      </c>
      <c r="J407" s="94">
        <v>4</v>
      </c>
      <c r="K407" s="94">
        <v>97</v>
      </c>
      <c r="L407" s="94">
        <v>2</v>
      </c>
      <c r="M407" s="94">
        <v>95</v>
      </c>
      <c r="N407" s="94">
        <v>2</v>
      </c>
      <c r="O407" s="94">
        <v>83</v>
      </c>
      <c r="P407" s="94">
        <v>2</v>
      </c>
      <c r="Q407">
        <v>90</v>
      </c>
      <c r="R407">
        <v>2</v>
      </c>
      <c r="S407">
        <v>86</v>
      </c>
      <c r="T407">
        <v>2</v>
      </c>
      <c r="U407">
        <v>70</v>
      </c>
      <c r="V407">
        <v>2</v>
      </c>
      <c r="W407">
        <v>96</v>
      </c>
      <c r="X407">
        <v>2</v>
      </c>
      <c r="Y407">
        <v>77</v>
      </c>
      <c r="Z407">
        <v>1</v>
      </c>
      <c r="AA407">
        <v>92</v>
      </c>
      <c r="AB407">
        <v>1</v>
      </c>
      <c r="AC407">
        <v>80</v>
      </c>
      <c r="AD407">
        <v>1</v>
      </c>
      <c r="AE407">
        <v>86</v>
      </c>
      <c r="AF407">
        <v>2</v>
      </c>
      <c r="AG407">
        <v>89</v>
      </c>
      <c r="AH407">
        <v>2</v>
      </c>
    </row>
    <row r="408" spans="1:34">
      <c r="A408" t="s">
        <v>1371</v>
      </c>
      <c r="B408" s="24">
        <v>1808</v>
      </c>
      <c r="C408" s="24" t="s">
        <v>1372</v>
      </c>
      <c r="D408" s="24" t="s">
        <v>1373</v>
      </c>
      <c r="E408" s="93">
        <v>93</v>
      </c>
      <c r="F408" s="94">
        <v>4</v>
      </c>
      <c r="G408" s="94">
        <v>85</v>
      </c>
      <c r="H408" s="94">
        <v>4</v>
      </c>
      <c r="I408" s="94">
        <v>75</v>
      </c>
      <c r="J408" s="94">
        <v>4</v>
      </c>
      <c r="K408" s="94">
        <v>88</v>
      </c>
      <c r="L408" s="94">
        <v>2</v>
      </c>
      <c r="M408" s="94">
        <v>94</v>
      </c>
      <c r="N408" s="94">
        <v>2</v>
      </c>
      <c r="O408" s="94">
        <v>94</v>
      </c>
      <c r="P408" s="94">
        <v>2</v>
      </c>
      <c r="Q408">
        <v>82</v>
      </c>
      <c r="R408">
        <v>2</v>
      </c>
      <c r="S408">
        <v>88</v>
      </c>
      <c r="T408">
        <v>2</v>
      </c>
      <c r="U408">
        <v>85</v>
      </c>
      <c r="V408">
        <v>2</v>
      </c>
      <c r="W408">
        <v>92</v>
      </c>
      <c r="X408">
        <v>2</v>
      </c>
      <c r="Y408">
        <v>76</v>
      </c>
      <c r="Z408">
        <v>1</v>
      </c>
      <c r="AA408">
        <v>92</v>
      </c>
      <c r="AB408">
        <v>1</v>
      </c>
      <c r="AC408">
        <v>78</v>
      </c>
      <c r="AD408">
        <v>1</v>
      </c>
      <c r="AE408">
        <v>50</v>
      </c>
      <c r="AF408">
        <v>1</v>
      </c>
      <c r="AG408">
        <v>86</v>
      </c>
      <c r="AH408">
        <v>2</v>
      </c>
    </row>
    <row r="409" spans="1:34">
      <c r="A409" t="s">
        <v>1374</v>
      </c>
      <c r="B409" s="24">
        <v>1808</v>
      </c>
      <c r="C409" s="24" t="s">
        <v>1375</v>
      </c>
      <c r="D409" s="24" t="s">
        <v>1376</v>
      </c>
      <c r="E409" s="93">
        <v>85</v>
      </c>
      <c r="F409" s="94">
        <v>4</v>
      </c>
      <c r="G409" s="94">
        <v>98</v>
      </c>
      <c r="H409" s="94">
        <v>4</v>
      </c>
      <c r="I409" s="94">
        <v>80</v>
      </c>
      <c r="J409" s="94">
        <v>4</v>
      </c>
      <c r="K409" s="94">
        <v>96</v>
      </c>
      <c r="L409" s="94">
        <v>2</v>
      </c>
      <c r="M409" s="94">
        <v>84</v>
      </c>
      <c r="N409" s="94">
        <v>2</v>
      </c>
      <c r="O409" s="94">
        <v>87</v>
      </c>
      <c r="P409" s="94">
        <v>2</v>
      </c>
      <c r="Q409">
        <v>80</v>
      </c>
      <c r="R409">
        <v>2</v>
      </c>
      <c r="S409">
        <v>82</v>
      </c>
      <c r="T409">
        <v>2</v>
      </c>
      <c r="U409">
        <v>70</v>
      </c>
      <c r="V409">
        <v>2</v>
      </c>
      <c r="W409">
        <v>97</v>
      </c>
      <c r="X409">
        <v>2</v>
      </c>
      <c r="Y409">
        <v>77</v>
      </c>
      <c r="Z409">
        <v>1</v>
      </c>
      <c r="AA409">
        <v>92</v>
      </c>
      <c r="AB409">
        <v>1</v>
      </c>
      <c r="AC409">
        <v>85</v>
      </c>
      <c r="AD409">
        <v>1</v>
      </c>
      <c r="AE409">
        <v>89</v>
      </c>
      <c r="AF409">
        <v>2</v>
      </c>
      <c r="AG409">
        <v>88</v>
      </c>
      <c r="AH409">
        <v>2</v>
      </c>
    </row>
    <row r="410" spans="1:34">
      <c r="A410" t="s">
        <v>1377</v>
      </c>
      <c r="B410" s="24">
        <v>1808</v>
      </c>
      <c r="C410" s="24" t="s">
        <v>1378</v>
      </c>
      <c r="D410" s="24" t="s">
        <v>1379</v>
      </c>
      <c r="E410" s="93">
        <v>86</v>
      </c>
      <c r="F410" s="94">
        <v>4</v>
      </c>
      <c r="G410" s="94">
        <v>90</v>
      </c>
      <c r="H410" s="94">
        <v>4</v>
      </c>
      <c r="I410" s="94">
        <v>86</v>
      </c>
      <c r="J410" s="94">
        <v>4</v>
      </c>
      <c r="K410" s="94">
        <v>86</v>
      </c>
      <c r="L410" s="94">
        <v>2</v>
      </c>
      <c r="M410" s="94">
        <v>73</v>
      </c>
      <c r="N410" s="94">
        <v>2</v>
      </c>
      <c r="O410" s="94">
        <v>70</v>
      </c>
      <c r="P410" s="94">
        <v>2</v>
      </c>
      <c r="Q410">
        <v>84</v>
      </c>
      <c r="R410">
        <v>2</v>
      </c>
      <c r="S410">
        <v>85</v>
      </c>
      <c r="T410">
        <v>2</v>
      </c>
      <c r="U410">
        <v>82</v>
      </c>
      <c r="V410">
        <v>2</v>
      </c>
      <c r="W410">
        <v>87</v>
      </c>
      <c r="X410">
        <v>2</v>
      </c>
      <c r="Y410">
        <v>78</v>
      </c>
      <c r="Z410">
        <v>1</v>
      </c>
      <c r="AA410">
        <v>92</v>
      </c>
      <c r="AB410">
        <v>1</v>
      </c>
      <c r="AC410">
        <v>76</v>
      </c>
      <c r="AD410">
        <v>1</v>
      </c>
      <c r="AE410">
        <v>88</v>
      </c>
      <c r="AF410">
        <v>2</v>
      </c>
      <c r="AG410">
        <v>90</v>
      </c>
      <c r="AH410">
        <v>2</v>
      </c>
    </row>
    <row r="411" spans="1:34">
      <c r="A411" t="s">
        <v>1380</v>
      </c>
      <c r="B411" s="24">
        <v>1808</v>
      </c>
      <c r="C411" s="24" t="s">
        <v>1381</v>
      </c>
      <c r="D411" s="24" t="s">
        <v>1382</v>
      </c>
      <c r="E411" s="93">
        <v>85</v>
      </c>
      <c r="F411" s="94">
        <v>4</v>
      </c>
      <c r="G411" s="94">
        <v>90</v>
      </c>
      <c r="H411" s="94">
        <v>4</v>
      </c>
      <c r="I411" s="94">
        <v>88</v>
      </c>
      <c r="J411" s="94">
        <v>4</v>
      </c>
      <c r="K411" s="94">
        <v>90</v>
      </c>
      <c r="L411" s="94">
        <v>2</v>
      </c>
      <c r="M411" s="94">
        <v>92</v>
      </c>
      <c r="N411" s="94">
        <v>2</v>
      </c>
      <c r="O411" s="94">
        <v>70</v>
      </c>
      <c r="P411" s="94">
        <v>2</v>
      </c>
      <c r="Q411">
        <v>82</v>
      </c>
      <c r="R411">
        <v>2</v>
      </c>
      <c r="S411">
        <v>76</v>
      </c>
      <c r="T411">
        <v>2</v>
      </c>
      <c r="U411">
        <v>78</v>
      </c>
      <c r="V411">
        <v>2</v>
      </c>
      <c r="W411">
        <v>92</v>
      </c>
      <c r="X411">
        <v>2</v>
      </c>
      <c r="Y411">
        <v>80</v>
      </c>
      <c r="Z411">
        <v>1</v>
      </c>
      <c r="AA411">
        <v>92</v>
      </c>
      <c r="AB411">
        <v>1</v>
      </c>
      <c r="AC411">
        <v>72</v>
      </c>
      <c r="AD411">
        <v>1</v>
      </c>
      <c r="AE411">
        <v>85</v>
      </c>
      <c r="AF411">
        <v>2</v>
      </c>
      <c r="AG411">
        <v>85</v>
      </c>
      <c r="AH411">
        <v>2</v>
      </c>
    </row>
    <row r="412" spans="1:34">
      <c r="A412" t="s">
        <v>1550</v>
      </c>
      <c r="B412" s="24">
        <v>1808</v>
      </c>
      <c r="C412" s="24" t="s">
        <v>1384</v>
      </c>
      <c r="D412" s="24" t="s">
        <v>1552</v>
      </c>
      <c r="E412" s="93">
        <v>95</v>
      </c>
      <c r="F412" s="94">
        <v>4</v>
      </c>
      <c r="G412" s="94">
        <v>95</v>
      </c>
      <c r="H412" s="94">
        <v>4</v>
      </c>
      <c r="I412" s="94">
        <v>96</v>
      </c>
      <c r="J412" s="94">
        <v>4</v>
      </c>
      <c r="K412" s="94">
        <v>89</v>
      </c>
      <c r="L412" s="94">
        <v>2</v>
      </c>
      <c r="M412" s="94">
        <v>95</v>
      </c>
      <c r="N412" s="94">
        <v>2</v>
      </c>
      <c r="O412" s="94">
        <v>70</v>
      </c>
      <c r="P412" s="94">
        <v>2</v>
      </c>
      <c r="Q412">
        <v>90</v>
      </c>
      <c r="R412">
        <v>2</v>
      </c>
      <c r="S412">
        <v>90</v>
      </c>
      <c r="T412">
        <v>2</v>
      </c>
      <c r="U412">
        <v>70</v>
      </c>
      <c r="V412">
        <v>2</v>
      </c>
      <c r="W412">
        <v>98</v>
      </c>
      <c r="X412">
        <v>2</v>
      </c>
      <c r="Y412">
        <v>80</v>
      </c>
      <c r="Z412">
        <v>1</v>
      </c>
      <c r="AA412">
        <v>92</v>
      </c>
      <c r="AB412">
        <v>1</v>
      </c>
      <c r="AC412">
        <v>98</v>
      </c>
      <c r="AD412">
        <v>1</v>
      </c>
      <c r="AE412">
        <v>87</v>
      </c>
      <c r="AF412">
        <v>2</v>
      </c>
      <c r="AG412">
        <v>90</v>
      </c>
      <c r="AH412">
        <v>2</v>
      </c>
    </row>
    <row r="413" spans="1:34">
      <c r="A413" t="s">
        <v>1385</v>
      </c>
      <c r="B413" s="24">
        <v>1808</v>
      </c>
      <c r="C413" s="24" t="s">
        <v>1386</v>
      </c>
      <c r="D413" s="24" t="s">
        <v>63</v>
      </c>
      <c r="E413" s="93">
        <v>90</v>
      </c>
      <c r="F413" s="94">
        <v>4</v>
      </c>
      <c r="G413" s="94">
        <v>93</v>
      </c>
      <c r="H413" s="94">
        <v>4</v>
      </c>
      <c r="I413" s="94">
        <v>95</v>
      </c>
      <c r="J413" s="94">
        <v>4</v>
      </c>
      <c r="K413" s="94">
        <v>99</v>
      </c>
      <c r="L413" s="94">
        <v>2</v>
      </c>
      <c r="M413" s="94">
        <v>95</v>
      </c>
      <c r="N413" s="94">
        <v>2</v>
      </c>
      <c r="O413" s="94">
        <v>79</v>
      </c>
      <c r="P413" s="94">
        <v>2</v>
      </c>
      <c r="Q413">
        <v>91</v>
      </c>
      <c r="R413">
        <v>2</v>
      </c>
      <c r="S413">
        <v>86</v>
      </c>
      <c r="T413">
        <v>2</v>
      </c>
      <c r="U413">
        <v>80</v>
      </c>
      <c r="V413">
        <v>2</v>
      </c>
      <c r="W413">
        <v>95</v>
      </c>
      <c r="X413">
        <v>2</v>
      </c>
      <c r="Y413">
        <v>77</v>
      </c>
      <c r="Z413">
        <v>1</v>
      </c>
      <c r="AA413">
        <v>92</v>
      </c>
      <c r="AB413">
        <v>1</v>
      </c>
      <c r="AC413">
        <v>72</v>
      </c>
      <c r="AD413">
        <v>1</v>
      </c>
      <c r="AE413">
        <v>88</v>
      </c>
      <c r="AF413">
        <v>2</v>
      </c>
      <c r="AG413">
        <v>86</v>
      </c>
      <c r="AH413">
        <v>2</v>
      </c>
    </row>
    <row r="414" spans="1:34">
      <c r="A414" t="s">
        <v>1387</v>
      </c>
      <c r="B414" s="24">
        <v>1808</v>
      </c>
      <c r="C414" s="24" t="s">
        <v>1388</v>
      </c>
      <c r="D414" s="24" t="s">
        <v>1389</v>
      </c>
      <c r="E414" s="93">
        <v>95</v>
      </c>
      <c r="F414" s="94">
        <v>4</v>
      </c>
      <c r="G414" s="94">
        <v>95</v>
      </c>
      <c r="H414" s="94">
        <v>4</v>
      </c>
      <c r="I414" s="94">
        <v>93</v>
      </c>
      <c r="J414" s="94">
        <v>4</v>
      </c>
      <c r="K414" s="94">
        <v>99</v>
      </c>
      <c r="L414" s="94">
        <v>2</v>
      </c>
      <c r="M414" s="94">
        <v>95</v>
      </c>
      <c r="N414" s="94">
        <v>2</v>
      </c>
      <c r="O414" s="94">
        <v>96</v>
      </c>
      <c r="P414" s="94">
        <v>2</v>
      </c>
      <c r="Q414">
        <v>94</v>
      </c>
      <c r="R414">
        <v>2</v>
      </c>
      <c r="S414">
        <v>90</v>
      </c>
      <c r="T414">
        <v>2</v>
      </c>
      <c r="U414">
        <v>70</v>
      </c>
      <c r="V414">
        <v>2</v>
      </c>
      <c r="W414">
        <v>94</v>
      </c>
      <c r="X414">
        <v>2</v>
      </c>
      <c r="Y414">
        <v>85</v>
      </c>
      <c r="Z414">
        <v>1</v>
      </c>
      <c r="AA414">
        <v>92</v>
      </c>
      <c r="AB414">
        <v>1</v>
      </c>
      <c r="AC414">
        <v>65</v>
      </c>
      <c r="AD414">
        <v>1</v>
      </c>
      <c r="AE414">
        <v>89</v>
      </c>
      <c r="AF414">
        <v>2</v>
      </c>
      <c r="AG414">
        <v>90</v>
      </c>
      <c r="AH414">
        <v>2</v>
      </c>
    </row>
    <row r="415" spans="1:34">
      <c r="A415" t="s">
        <v>1390</v>
      </c>
      <c r="B415" s="24">
        <v>1808</v>
      </c>
      <c r="C415" s="24" t="s">
        <v>1391</v>
      </c>
      <c r="D415" s="24" t="s">
        <v>147</v>
      </c>
      <c r="E415" s="93">
        <v>92</v>
      </c>
      <c r="F415" s="94">
        <v>4</v>
      </c>
      <c r="G415" s="94">
        <v>97</v>
      </c>
      <c r="H415" s="94">
        <v>4</v>
      </c>
      <c r="I415" s="94">
        <v>90</v>
      </c>
      <c r="J415" s="94">
        <v>4</v>
      </c>
      <c r="K415" s="94">
        <v>97</v>
      </c>
      <c r="L415" s="94">
        <v>2</v>
      </c>
      <c r="M415" s="94">
        <v>97</v>
      </c>
      <c r="N415" s="94">
        <v>2</v>
      </c>
      <c r="O415" s="94">
        <v>83</v>
      </c>
      <c r="P415" s="94">
        <v>2</v>
      </c>
      <c r="Q415">
        <v>80</v>
      </c>
      <c r="R415">
        <v>2</v>
      </c>
      <c r="S415">
        <v>85</v>
      </c>
      <c r="T415">
        <v>2</v>
      </c>
      <c r="U415">
        <v>72</v>
      </c>
      <c r="V415">
        <v>2</v>
      </c>
      <c r="W415">
        <v>99</v>
      </c>
      <c r="X415">
        <v>2</v>
      </c>
      <c r="Y415">
        <v>78</v>
      </c>
      <c r="Z415">
        <v>1</v>
      </c>
      <c r="AA415">
        <v>92</v>
      </c>
      <c r="AB415">
        <v>1</v>
      </c>
      <c r="AC415">
        <v>80</v>
      </c>
      <c r="AD415">
        <v>1</v>
      </c>
      <c r="AE415">
        <v>86</v>
      </c>
      <c r="AF415">
        <v>2</v>
      </c>
      <c r="AG415">
        <v>91</v>
      </c>
      <c r="AH415">
        <v>2</v>
      </c>
    </row>
    <row r="416" spans="1:34">
      <c r="A416" t="s">
        <v>1392</v>
      </c>
      <c r="B416" s="24">
        <v>1808</v>
      </c>
      <c r="C416" s="24" t="s">
        <v>1393</v>
      </c>
      <c r="D416" s="24" t="s">
        <v>1394</v>
      </c>
      <c r="E416" s="93">
        <v>96</v>
      </c>
      <c r="F416" s="94">
        <v>4</v>
      </c>
      <c r="G416" s="94">
        <v>90</v>
      </c>
      <c r="H416" s="94">
        <v>4</v>
      </c>
      <c r="I416" s="94">
        <v>91</v>
      </c>
      <c r="J416" s="94">
        <v>4</v>
      </c>
      <c r="K416" s="94">
        <v>93</v>
      </c>
      <c r="L416" s="94">
        <v>2</v>
      </c>
      <c r="M416" s="94">
        <v>87</v>
      </c>
      <c r="N416" s="94">
        <v>2</v>
      </c>
      <c r="O416" s="94">
        <v>73</v>
      </c>
      <c r="P416" s="94">
        <v>2</v>
      </c>
      <c r="Q416">
        <v>98</v>
      </c>
      <c r="R416">
        <v>2</v>
      </c>
      <c r="S416">
        <v>90</v>
      </c>
      <c r="T416">
        <v>2</v>
      </c>
      <c r="U416">
        <v>78</v>
      </c>
      <c r="V416">
        <v>2</v>
      </c>
      <c r="W416">
        <v>90</v>
      </c>
      <c r="X416">
        <v>2</v>
      </c>
      <c r="Y416">
        <v>80</v>
      </c>
      <c r="Z416">
        <v>1</v>
      </c>
      <c r="AA416">
        <v>92</v>
      </c>
      <c r="AB416">
        <v>1</v>
      </c>
      <c r="AC416">
        <v>80</v>
      </c>
      <c r="AD416">
        <v>1</v>
      </c>
      <c r="AE416">
        <v>92</v>
      </c>
      <c r="AF416">
        <v>2</v>
      </c>
      <c r="AG416">
        <v>89</v>
      </c>
      <c r="AH416">
        <v>2</v>
      </c>
    </row>
    <row r="417" spans="1:34">
      <c r="A417" t="s">
        <v>1395</v>
      </c>
      <c r="B417" s="24">
        <v>1808</v>
      </c>
      <c r="C417" s="24" t="s">
        <v>1396</v>
      </c>
      <c r="D417" s="24" t="s">
        <v>1397</v>
      </c>
      <c r="E417" s="93">
        <v>90</v>
      </c>
      <c r="F417" s="94">
        <v>4</v>
      </c>
      <c r="G417" s="94">
        <v>88</v>
      </c>
      <c r="H417" s="94">
        <v>4</v>
      </c>
      <c r="I417" s="94">
        <v>88</v>
      </c>
      <c r="J417" s="94">
        <v>4</v>
      </c>
      <c r="K417" s="94">
        <v>87</v>
      </c>
      <c r="L417" s="94">
        <v>2</v>
      </c>
      <c r="M417" s="94">
        <v>75</v>
      </c>
      <c r="N417" s="94">
        <v>2</v>
      </c>
      <c r="O417" s="94">
        <v>73</v>
      </c>
      <c r="P417" s="94">
        <v>2</v>
      </c>
      <c r="Q417">
        <v>81</v>
      </c>
      <c r="R417">
        <v>2</v>
      </c>
      <c r="S417">
        <v>83</v>
      </c>
      <c r="T417">
        <v>2</v>
      </c>
      <c r="U417">
        <v>79</v>
      </c>
      <c r="V417">
        <v>2</v>
      </c>
      <c r="W417">
        <v>89</v>
      </c>
      <c r="X417">
        <v>2</v>
      </c>
      <c r="Y417">
        <v>70</v>
      </c>
      <c r="Z417">
        <v>1</v>
      </c>
      <c r="AA417">
        <v>92</v>
      </c>
      <c r="AB417">
        <v>1</v>
      </c>
      <c r="AC417">
        <v>76</v>
      </c>
      <c r="AD417">
        <v>1</v>
      </c>
      <c r="AE417">
        <v>87</v>
      </c>
      <c r="AF417">
        <v>2</v>
      </c>
      <c r="AG417">
        <v>90</v>
      </c>
      <c r="AH417">
        <v>2</v>
      </c>
    </row>
    <row r="418" spans="1:34">
      <c r="A418" t="s">
        <v>1398</v>
      </c>
      <c r="B418" s="24">
        <v>1808</v>
      </c>
      <c r="C418" s="24" t="s">
        <v>1399</v>
      </c>
      <c r="D418" s="24" t="s">
        <v>1400</v>
      </c>
      <c r="E418" s="93">
        <v>86</v>
      </c>
      <c r="F418" s="94">
        <v>4</v>
      </c>
      <c r="G418" s="94">
        <v>95</v>
      </c>
      <c r="H418" s="94">
        <v>4</v>
      </c>
      <c r="I418" s="94">
        <v>85</v>
      </c>
      <c r="J418" s="94">
        <v>4</v>
      </c>
      <c r="K418" s="94">
        <v>85</v>
      </c>
      <c r="L418" s="94">
        <v>2</v>
      </c>
      <c r="M418" s="94">
        <v>75</v>
      </c>
      <c r="N418" s="94">
        <v>2</v>
      </c>
      <c r="O418" s="94">
        <v>73</v>
      </c>
      <c r="P418" s="94">
        <v>2</v>
      </c>
      <c r="Q418">
        <v>80</v>
      </c>
      <c r="R418">
        <v>2</v>
      </c>
      <c r="S418">
        <v>83</v>
      </c>
      <c r="T418">
        <v>2</v>
      </c>
      <c r="U418">
        <v>73</v>
      </c>
      <c r="V418">
        <v>2</v>
      </c>
      <c r="W418">
        <v>94</v>
      </c>
      <c r="X418">
        <v>2</v>
      </c>
      <c r="Y418">
        <v>74</v>
      </c>
      <c r="Z418">
        <v>1</v>
      </c>
      <c r="AA418">
        <v>92</v>
      </c>
      <c r="AB418">
        <v>1</v>
      </c>
      <c r="AC418">
        <v>65</v>
      </c>
      <c r="AD418">
        <v>1</v>
      </c>
      <c r="AE418">
        <v>87</v>
      </c>
      <c r="AF418">
        <v>2</v>
      </c>
      <c r="AG418">
        <v>92</v>
      </c>
      <c r="AH418">
        <v>2</v>
      </c>
    </row>
    <row r="419" spans="1:34">
      <c r="A419" t="s">
        <v>1401</v>
      </c>
      <c r="B419" s="24">
        <v>1808</v>
      </c>
      <c r="C419" s="24" t="s">
        <v>1402</v>
      </c>
      <c r="D419" s="24" t="s">
        <v>1403</v>
      </c>
      <c r="E419" s="93">
        <v>84</v>
      </c>
      <c r="F419" s="94">
        <v>4</v>
      </c>
      <c r="G419" s="94">
        <v>88</v>
      </c>
      <c r="H419" s="94">
        <v>4</v>
      </c>
      <c r="I419" s="94">
        <v>88</v>
      </c>
      <c r="J419" s="94">
        <v>4</v>
      </c>
      <c r="K419" s="94">
        <v>85</v>
      </c>
      <c r="L419" s="94">
        <v>2</v>
      </c>
      <c r="M419" s="94">
        <v>72</v>
      </c>
      <c r="N419" s="94">
        <v>2</v>
      </c>
      <c r="O419" s="94">
        <v>73</v>
      </c>
      <c r="P419" s="94">
        <v>2</v>
      </c>
      <c r="Q419">
        <v>98</v>
      </c>
      <c r="R419">
        <v>2</v>
      </c>
      <c r="S419">
        <v>90</v>
      </c>
      <c r="T419">
        <v>2</v>
      </c>
      <c r="U419">
        <v>85</v>
      </c>
      <c r="V419">
        <v>2</v>
      </c>
      <c r="W419">
        <v>97</v>
      </c>
      <c r="X419">
        <v>2</v>
      </c>
      <c r="Y419">
        <v>75</v>
      </c>
      <c r="Z419">
        <v>1</v>
      </c>
      <c r="AA419">
        <v>92</v>
      </c>
      <c r="AB419">
        <v>1</v>
      </c>
      <c r="AC419">
        <v>78</v>
      </c>
      <c r="AD419">
        <v>1</v>
      </c>
      <c r="AE419">
        <v>88</v>
      </c>
      <c r="AF419">
        <v>2</v>
      </c>
      <c r="AG419">
        <v>89</v>
      </c>
      <c r="AH419">
        <v>2</v>
      </c>
    </row>
    <row r="420" spans="1:34">
      <c r="A420" t="s">
        <v>1404</v>
      </c>
      <c r="B420" s="24">
        <v>1808</v>
      </c>
      <c r="C420" s="24" t="s">
        <v>1405</v>
      </c>
      <c r="D420" s="24" t="s">
        <v>1406</v>
      </c>
      <c r="E420" s="93">
        <v>84</v>
      </c>
      <c r="F420" s="94">
        <v>4</v>
      </c>
      <c r="G420" s="94">
        <v>95</v>
      </c>
      <c r="H420" s="94">
        <v>4</v>
      </c>
      <c r="I420" s="94">
        <v>80</v>
      </c>
      <c r="J420" s="94">
        <v>4</v>
      </c>
      <c r="K420" s="94">
        <v>95</v>
      </c>
      <c r="L420" s="94">
        <v>2</v>
      </c>
      <c r="M420" s="94">
        <v>93</v>
      </c>
      <c r="N420" s="94">
        <v>2</v>
      </c>
      <c r="O420" s="94">
        <v>92</v>
      </c>
      <c r="P420" s="94">
        <v>2</v>
      </c>
      <c r="Q420">
        <v>82</v>
      </c>
      <c r="R420">
        <v>2</v>
      </c>
      <c r="S420">
        <v>86</v>
      </c>
      <c r="T420">
        <v>2</v>
      </c>
      <c r="U420">
        <v>72</v>
      </c>
      <c r="V420">
        <v>2</v>
      </c>
      <c r="W420">
        <v>99</v>
      </c>
      <c r="X420">
        <v>2</v>
      </c>
      <c r="Y420">
        <v>73</v>
      </c>
      <c r="Z420">
        <v>1</v>
      </c>
      <c r="AA420">
        <v>92</v>
      </c>
      <c r="AB420">
        <v>1</v>
      </c>
      <c r="AC420">
        <v>70</v>
      </c>
      <c r="AD420">
        <v>1</v>
      </c>
      <c r="AE420">
        <v>86</v>
      </c>
      <c r="AF420">
        <v>2</v>
      </c>
      <c r="AG420">
        <v>90</v>
      </c>
      <c r="AH420">
        <v>2</v>
      </c>
    </row>
    <row r="421" spans="1:34">
      <c r="A421" t="s">
        <v>1407</v>
      </c>
      <c r="B421" s="24">
        <v>1808</v>
      </c>
      <c r="C421" s="24" t="s">
        <v>1408</v>
      </c>
      <c r="D421" s="24" t="s">
        <v>1409</v>
      </c>
      <c r="E421" s="93">
        <v>91</v>
      </c>
      <c r="F421" s="94">
        <v>4</v>
      </c>
      <c r="G421" s="94">
        <v>90</v>
      </c>
      <c r="H421" s="94">
        <v>4</v>
      </c>
      <c r="I421" s="94">
        <v>83</v>
      </c>
      <c r="J421" s="94">
        <v>4</v>
      </c>
      <c r="K421" s="94">
        <v>94</v>
      </c>
      <c r="L421" s="94">
        <v>2</v>
      </c>
      <c r="M421" s="94">
        <v>83</v>
      </c>
      <c r="N421" s="94">
        <v>2</v>
      </c>
      <c r="O421" s="94">
        <v>86</v>
      </c>
      <c r="P421" s="94">
        <v>2</v>
      </c>
      <c r="Q421">
        <v>81</v>
      </c>
      <c r="R421">
        <v>2</v>
      </c>
      <c r="S421">
        <v>85</v>
      </c>
      <c r="T421">
        <v>2</v>
      </c>
      <c r="U421">
        <v>78</v>
      </c>
      <c r="V421">
        <v>2</v>
      </c>
      <c r="W421">
        <v>94</v>
      </c>
      <c r="X421">
        <v>2</v>
      </c>
      <c r="Y421">
        <v>70</v>
      </c>
      <c r="Z421">
        <v>1</v>
      </c>
      <c r="AA421">
        <v>92</v>
      </c>
      <c r="AB421">
        <v>1</v>
      </c>
      <c r="AC421">
        <v>78</v>
      </c>
      <c r="AD421">
        <v>1</v>
      </c>
      <c r="AE421">
        <v>85</v>
      </c>
      <c r="AF421">
        <v>2</v>
      </c>
      <c r="AG421">
        <v>92</v>
      </c>
      <c r="AH421">
        <v>2</v>
      </c>
    </row>
    <row r="422" spans="1:34">
      <c r="A422" t="s">
        <v>1410</v>
      </c>
      <c r="B422" s="24">
        <v>1808</v>
      </c>
      <c r="C422" s="24" t="s">
        <v>1411</v>
      </c>
      <c r="D422" s="24" t="s">
        <v>1412</v>
      </c>
      <c r="E422" s="93">
        <v>85</v>
      </c>
      <c r="F422" s="94">
        <v>4</v>
      </c>
      <c r="G422" s="94">
        <v>98</v>
      </c>
      <c r="H422" s="94">
        <v>4</v>
      </c>
      <c r="I422" s="94">
        <v>88</v>
      </c>
      <c r="J422" s="94">
        <v>4</v>
      </c>
      <c r="K422" s="94">
        <v>98</v>
      </c>
      <c r="L422" s="94">
        <v>2</v>
      </c>
      <c r="M422" s="94">
        <v>92</v>
      </c>
      <c r="N422" s="94">
        <v>2</v>
      </c>
      <c r="O422" s="94">
        <v>85</v>
      </c>
      <c r="P422" s="94">
        <v>2</v>
      </c>
      <c r="Q422">
        <v>78</v>
      </c>
      <c r="R422">
        <v>2</v>
      </c>
      <c r="S422">
        <v>86</v>
      </c>
      <c r="T422">
        <v>2</v>
      </c>
      <c r="U422">
        <v>70</v>
      </c>
      <c r="V422">
        <v>2</v>
      </c>
      <c r="W422">
        <v>86</v>
      </c>
      <c r="X422">
        <v>2</v>
      </c>
      <c r="Y422">
        <v>65</v>
      </c>
      <c r="Z422">
        <v>1</v>
      </c>
      <c r="AA422">
        <v>92</v>
      </c>
      <c r="AB422">
        <v>1</v>
      </c>
      <c r="AC422">
        <v>86</v>
      </c>
      <c r="AD422">
        <v>1</v>
      </c>
      <c r="AE422">
        <v>87</v>
      </c>
      <c r="AF422">
        <v>2</v>
      </c>
      <c r="AG422">
        <v>91</v>
      </c>
      <c r="AH422">
        <v>2</v>
      </c>
    </row>
    <row r="423" spans="1:34">
      <c r="A423" t="s">
        <v>1413</v>
      </c>
      <c r="B423" s="24">
        <v>1808</v>
      </c>
      <c r="C423" s="24" t="s">
        <v>1414</v>
      </c>
      <c r="D423" s="24" t="s">
        <v>1415</v>
      </c>
      <c r="E423" s="93">
        <v>96</v>
      </c>
      <c r="F423" s="94">
        <v>4</v>
      </c>
      <c r="G423" s="94">
        <v>95</v>
      </c>
      <c r="H423" s="94">
        <v>4</v>
      </c>
      <c r="I423" s="94">
        <v>85</v>
      </c>
      <c r="J423" s="94">
        <v>4</v>
      </c>
      <c r="K423" s="94">
        <v>95</v>
      </c>
      <c r="L423" s="94">
        <v>2</v>
      </c>
      <c r="M423" s="94">
        <v>83</v>
      </c>
      <c r="N423" s="94">
        <v>2</v>
      </c>
      <c r="O423" s="94">
        <v>85</v>
      </c>
      <c r="P423" s="94">
        <v>2</v>
      </c>
      <c r="Q423">
        <v>99</v>
      </c>
      <c r="R423">
        <v>2</v>
      </c>
      <c r="S423">
        <v>90</v>
      </c>
      <c r="T423">
        <v>2</v>
      </c>
      <c r="U423">
        <v>78</v>
      </c>
      <c r="V423">
        <v>2</v>
      </c>
      <c r="W423">
        <v>99</v>
      </c>
      <c r="X423">
        <v>2</v>
      </c>
      <c r="Y423">
        <v>70</v>
      </c>
      <c r="Z423">
        <v>1</v>
      </c>
      <c r="AA423">
        <v>92</v>
      </c>
      <c r="AB423">
        <v>1</v>
      </c>
      <c r="AC423">
        <v>80</v>
      </c>
      <c r="AD423">
        <v>1</v>
      </c>
      <c r="AE423">
        <v>88</v>
      </c>
      <c r="AF423">
        <v>2</v>
      </c>
      <c r="AG423">
        <v>90</v>
      </c>
      <c r="AH423">
        <v>2</v>
      </c>
    </row>
    <row r="424" spans="1:34">
      <c r="A424" t="s">
        <v>1416</v>
      </c>
      <c r="B424" s="24">
        <v>1808</v>
      </c>
      <c r="C424" s="24" t="s">
        <v>1417</v>
      </c>
      <c r="D424" s="24" t="s">
        <v>1418</v>
      </c>
      <c r="E424" s="93">
        <v>94</v>
      </c>
      <c r="F424" s="94">
        <v>4</v>
      </c>
      <c r="G424" s="94">
        <v>88</v>
      </c>
      <c r="H424" s="94">
        <v>4</v>
      </c>
      <c r="I424" s="94">
        <v>83</v>
      </c>
      <c r="J424" s="94">
        <v>4</v>
      </c>
      <c r="K424" s="94">
        <v>93</v>
      </c>
      <c r="L424" s="94">
        <v>2</v>
      </c>
      <c r="M424" s="94">
        <v>80</v>
      </c>
      <c r="N424" s="94">
        <v>2</v>
      </c>
      <c r="O424" s="94">
        <v>86</v>
      </c>
      <c r="P424" s="94">
        <v>2</v>
      </c>
      <c r="Q424">
        <v>93</v>
      </c>
      <c r="R424">
        <v>2</v>
      </c>
      <c r="S424">
        <v>83</v>
      </c>
      <c r="T424">
        <v>2</v>
      </c>
      <c r="U424">
        <v>70</v>
      </c>
      <c r="V424">
        <v>2</v>
      </c>
      <c r="W424">
        <v>93</v>
      </c>
      <c r="X424">
        <v>2</v>
      </c>
      <c r="Y424">
        <v>66</v>
      </c>
      <c r="Z424">
        <v>1</v>
      </c>
      <c r="AA424">
        <v>92</v>
      </c>
      <c r="AB424">
        <v>1</v>
      </c>
      <c r="AC424">
        <v>85</v>
      </c>
      <c r="AD424">
        <v>1</v>
      </c>
      <c r="AE424">
        <v>89</v>
      </c>
      <c r="AF424">
        <v>2</v>
      </c>
      <c r="AG424">
        <v>90</v>
      </c>
      <c r="AH424">
        <v>2</v>
      </c>
    </row>
    <row r="425" spans="1:34">
      <c r="A425" t="s">
        <v>1419</v>
      </c>
      <c r="B425" s="24">
        <v>1808</v>
      </c>
      <c r="C425" s="24" t="s">
        <v>1420</v>
      </c>
      <c r="D425" s="24" t="s">
        <v>1421</v>
      </c>
      <c r="E425" s="93">
        <v>94</v>
      </c>
      <c r="F425" s="94">
        <v>4</v>
      </c>
      <c r="G425" s="94">
        <v>88</v>
      </c>
      <c r="H425" s="94">
        <v>4</v>
      </c>
      <c r="I425" s="94">
        <v>88</v>
      </c>
      <c r="J425" s="94">
        <v>4</v>
      </c>
      <c r="K425" s="94">
        <v>85</v>
      </c>
      <c r="L425" s="94">
        <v>2</v>
      </c>
      <c r="M425" s="94">
        <v>90</v>
      </c>
      <c r="N425" s="94">
        <v>2</v>
      </c>
      <c r="O425" s="94">
        <v>93</v>
      </c>
      <c r="P425" s="94">
        <v>2</v>
      </c>
      <c r="Q425">
        <v>89</v>
      </c>
      <c r="R425">
        <v>2</v>
      </c>
      <c r="S425">
        <v>83</v>
      </c>
      <c r="T425">
        <v>2</v>
      </c>
      <c r="U425">
        <v>86</v>
      </c>
      <c r="V425">
        <v>2</v>
      </c>
      <c r="W425">
        <v>95</v>
      </c>
      <c r="X425">
        <v>2</v>
      </c>
      <c r="Y425">
        <v>71</v>
      </c>
      <c r="Z425">
        <v>1</v>
      </c>
      <c r="AA425">
        <v>92</v>
      </c>
      <c r="AB425">
        <v>1</v>
      </c>
      <c r="AC425">
        <v>78</v>
      </c>
      <c r="AD425">
        <v>1</v>
      </c>
      <c r="AE425">
        <v>90</v>
      </c>
      <c r="AF425">
        <v>2</v>
      </c>
      <c r="AG425">
        <v>93</v>
      </c>
      <c r="AH425">
        <v>2</v>
      </c>
    </row>
    <row r="426" spans="1:34">
      <c r="A426" t="s">
        <v>1422</v>
      </c>
      <c r="B426" s="24">
        <v>1808</v>
      </c>
      <c r="C426" s="24" t="s">
        <v>1423</v>
      </c>
      <c r="D426" s="24" t="s">
        <v>1424</v>
      </c>
      <c r="E426" s="93">
        <v>96</v>
      </c>
      <c r="F426" s="94">
        <v>4</v>
      </c>
      <c r="G426" s="94">
        <v>96</v>
      </c>
      <c r="H426" s="94">
        <v>4</v>
      </c>
      <c r="I426" s="94">
        <v>85</v>
      </c>
      <c r="J426" s="94">
        <v>4</v>
      </c>
      <c r="K426" s="94">
        <v>95</v>
      </c>
      <c r="L426" s="94">
        <v>2</v>
      </c>
      <c r="M426" s="94">
        <v>87</v>
      </c>
      <c r="N426" s="94">
        <v>2</v>
      </c>
      <c r="O426" s="94">
        <v>93</v>
      </c>
      <c r="P426" s="94">
        <v>2</v>
      </c>
      <c r="Q426">
        <v>84</v>
      </c>
      <c r="R426">
        <v>2</v>
      </c>
      <c r="S426">
        <v>86</v>
      </c>
      <c r="T426">
        <v>2</v>
      </c>
      <c r="U426">
        <v>77</v>
      </c>
      <c r="V426">
        <v>2</v>
      </c>
      <c r="W426">
        <v>91</v>
      </c>
      <c r="X426">
        <v>2</v>
      </c>
      <c r="Y426">
        <v>60</v>
      </c>
      <c r="Z426">
        <v>1</v>
      </c>
      <c r="AA426">
        <v>92</v>
      </c>
      <c r="AB426">
        <v>1</v>
      </c>
      <c r="AC426">
        <v>80</v>
      </c>
      <c r="AD426">
        <v>1</v>
      </c>
      <c r="AE426">
        <v>84</v>
      </c>
      <c r="AF426">
        <v>2</v>
      </c>
      <c r="AG426">
        <v>91</v>
      </c>
      <c r="AH426">
        <v>2</v>
      </c>
    </row>
    <row r="427" spans="1:34">
      <c r="A427" t="s">
        <v>1425</v>
      </c>
      <c r="B427" s="24">
        <v>1808</v>
      </c>
      <c r="C427" s="24" t="s">
        <v>1426</v>
      </c>
      <c r="D427" s="24" t="s">
        <v>1427</v>
      </c>
      <c r="E427" s="93">
        <v>92</v>
      </c>
      <c r="F427" s="94">
        <v>4</v>
      </c>
      <c r="G427" s="94">
        <v>86</v>
      </c>
      <c r="H427" s="94">
        <v>4</v>
      </c>
      <c r="I427" s="94">
        <v>88</v>
      </c>
      <c r="J427" s="94">
        <v>4</v>
      </c>
      <c r="K427" s="94">
        <v>86</v>
      </c>
      <c r="L427" s="94">
        <v>2</v>
      </c>
      <c r="M427" s="94">
        <v>74</v>
      </c>
      <c r="N427" s="94">
        <v>2</v>
      </c>
      <c r="O427" s="94">
        <v>70</v>
      </c>
      <c r="P427" s="94">
        <v>2</v>
      </c>
      <c r="Q427">
        <v>85</v>
      </c>
      <c r="R427">
        <v>2</v>
      </c>
      <c r="S427">
        <v>82</v>
      </c>
      <c r="T427">
        <v>2</v>
      </c>
      <c r="U427">
        <v>82</v>
      </c>
      <c r="V427">
        <v>2</v>
      </c>
      <c r="W427">
        <v>84</v>
      </c>
      <c r="X427">
        <v>2</v>
      </c>
      <c r="Y427">
        <v>68</v>
      </c>
      <c r="Z427">
        <v>1</v>
      </c>
      <c r="AA427">
        <v>92</v>
      </c>
      <c r="AB427">
        <v>1</v>
      </c>
      <c r="AC427">
        <v>92</v>
      </c>
      <c r="AD427">
        <v>1</v>
      </c>
      <c r="AE427">
        <v>87</v>
      </c>
      <c r="AF427">
        <v>2</v>
      </c>
      <c r="AG427">
        <v>92</v>
      </c>
      <c r="AH427">
        <v>2</v>
      </c>
    </row>
    <row r="428" spans="1:34">
      <c r="A428" t="s">
        <v>1428</v>
      </c>
      <c r="B428" s="24">
        <v>1808</v>
      </c>
      <c r="C428" s="24" t="s">
        <v>1429</v>
      </c>
      <c r="D428" s="24" t="s">
        <v>200</v>
      </c>
      <c r="E428" s="93">
        <v>91</v>
      </c>
      <c r="F428" s="94">
        <v>4</v>
      </c>
      <c r="G428" s="94">
        <v>98</v>
      </c>
      <c r="H428" s="94">
        <v>4</v>
      </c>
      <c r="I428" s="94">
        <v>88</v>
      </c>
      <c r="J428" s="94">
        <v>4</v>
      </c>
      <c r="K428" s="94">
        <v>98</v>
      </c>
      <c r="L428" s="94">
        <v>2</v>
      </c>
      <c r="M428" s="94">
        <v>96</v>
      </c>
      <c r="N428" s="94">
        <v>2</v>
      </c>
      <c r="O428" s="94">
        <v>92</v>
      </c>
      <c r="P428" s="94">
        <v>2</v>
      </c>
      <c r="Q428">
        <v>83</v>
      </c>
      <c r="R428">
        <v>2</v>
      </c>
      <c r="S428">
        <v>90</v>
      </c>
      <c r="T428">
        <v>2</v>
      </c>
      <c r="U428">
        <v>78</v>
      </c>
      <c r="V428">
        <v>2</v>
      </c>
      <c r="W428">
        <v>94</v>
      </c>
      <c r="X428">
        <v>2</v>
      </c>
      <c r="Y428">
        <v>66</v>
      </c>
      <c r="Z428">
        <v>1</v>
      </c>
      <c r="AA428">
        <v>92</v>
      </c>
      <c r="AB428">
        <v>1</v>
      </c>
      <c r="AC428">
        <v>76</v>
      </c>
      <c r="AD428">
        <v>1</v>
      </c>
      <c r="AE428">
        <v>88</v>
      </c>
      <c r="AF428">
        <v>2</v>
      </c>
      <c r="AG428">
        <v>89</v>
      </c>
      <c r="AH428">
        <v>2</v>
      </c>
    </row>
    <row r="429" spans="1:34">
      <c r="A429" t="s">
        <v>1430</v>
      </c>
      <c r="B429" s="24">
        <v>1808</v>
      </c>
      <c r="C429" s="24" t="s">
        <v>1431</v>
      </c>
      <c r="D429" s="24" t="s">
        <v>1432</v>
      </c>
      <c r="E429" s="93">
        <v>93</v>
      </c>
      <c r="F429" s="94">
        <v>4</v>
      </c>
      <c r="G429" s="94">
        <v>95</v>
      </c>
      <c r="H429" s="94">
        <v>4</v>
      </c>
      <c r="I429" s="94">
        <v>86</v>
      </c>
      <c r="J429" s="94">
        <v>4</v>
      </c>
      <c r="K429" s="94">
        <v>92</v>
      </c>
      <c r="L429" s="94">
        <v>2</v>
      </c>
      <c r="M429" s="94">
        <v>80</v>
      </c>
      <c r="N429" s="94">
        <v>2</v>
      </c>
      <c r="O429" s="94">
        <v>70</v>
      </c>
      <c r="P429" s="94">
        <v>2</v>
      </c>
      <c r="Q429">
        <v>86</v>
      </c>
      <c r="R429">
        <v>2</v>
      </c>
      <c r="S429">
        <v>88</v>
      </c>
      <c r="T429">
        <v>2</v>
      </c>
      <c r="U429">
        <v>81</v>
      </c>
      <c r="V429">
        <v>2</v>
      </c>
      <c r="W429">
        <v>95</v>
      </c>
      <c r="X429">
        <v>2</v>
      </c>
      <c r="Y429">
        <v>63</v>
      </c>
      <c r="Z429">
        <v>1</v>
      </c>
      <c r="AA429">
        <v>92</v>
      </c>
      <c r="AB429">
        <v>1</v>
      </c>
      <c r="AC429">
        <v>90</v>
      </c>
      <c r="AD429">
        <v>1</v>
      </c>
      <c r="AE429">
        <v>90</v>
      </c>
      <c r="AF429">
        <v>2</v>
      </c>
      <c r="AG429">
        <v>90</v>
      </c>
      <c r="AH429">
        <v>2</v>
      </c>
    </row>
    <row r="430" spans="1:34">
      <c r="A430" t="s">
        <v>1433</v>
      </c>
      <c r="B430" s="24">
        <v>1808</v>
      </c>
      <c r="C430" s="24" t="s">
        <v>1434</v>
      </c>
      <c r="D430" s="24" t="s">
        <v>1435</v>
      </c>
      <c r="E430" s="93">
        <v>95</v>
      </c>
      <c r="F430" s="94">
        <v>4</v>
      </c>
      <c r="G430" s="94">
        <v>86</v>
      </c>
      <c r="H430" s="94">
        <v>4</v>
      </c>
      <c r="I430" s="94">
        <v>88</v>
      </c>
      <c r="J430" s="94">
        <v>4</v>
      </c>
      <c r="K430" s="94">
        <v>84</v>
      </c>
      <c r="L430" s="94">
        <v>2</v>
      </c>
      <c r="M430" s="94">
        <v>78</v>
      </c>
      <c r="N430" s="94">
        <v>2</v>
      </c>
      <c r="O430" s="94">
        <v>83</v>
      </c>
      <c r="P430" s="94">
        <v>2</v>
      </c>
      <c r="Q430">
        <v>89</v>
      </c>
      <c r="R430">
        <v>2</v>
      </c>
      <c r="S430">
        <v>90</v>
      </c>
      <c r="T430">
        <v>2</v>
      </c>
      <c r="U430">
        <v>86</v>
      </c>
      <c r="V430">
        <v>2</v>
      </c>
      <c r="W430">
        <v>94</v>
      </c>
      <c r="X430">
        <v>2</v>
      </c>
      <c r="Y430">
        <v>60</v>
      </c>
      <c r="Z430">
        <v>1</v>
      </c>
      <c r="AA430">
        <v>92</v>
      </c>
      <c r="AB430">
        <v>1</v>
      </c>
      <c r="AC430">
        <v>76</v>
      </c>
      <c r="AD430">
        <v>1</v>
      </c>
      <c r="AE430">
        <v>88</v>
      </c>
      <c r="AF430">
        <v>2</v>
      </c>
      <c r="AG430">
        <v>90</v>
      </c>
      <c r="AH430">
        <v>2</v>
      </c>
    </row>
    <row r="431" spans="1:34">
      <c r="A431" t="s">
        <v>1436</v>
      </c>
      <c r="B431" s="24">
        <v>1808</v>
      </c>
      <c r="C431" s="24" t="s">
        <v>1437</v>
      </c>
      <c r="D431" s="24" t="s">
        <v>1438</v>
      </c>
      <c r="E431" s="93">
        <v>96</v>
      </c>
      <c r="F431" s="94">
        <v>4</v>
      </c>
      <c r="G431" s="94">
        <v>90</v>
      </c>
      <c r="H431" s="94">
        <v>4</v>
      </c>
      <c r="I431" s="94">
        <v>87</v>
      </c>
      <c r="J431" s="94">
        <v>4</v>
      </c>
      <c r="K431" s="94">
        <v>91</v>
      </c>
      <c r="L431" s="94">
        <v>2</v>
      </c>
      <c r="M431" s="94">
        <v>77</v>
      </c>
      <c r="N431" s="94">
        <v>2</v>
      </c>
      <c r="O431" s="94">
        <v>79</v>
      </c>
      <c r="P431" s="94">
        <v>2</v>
      </c>
      <c r="Q431">
        <v>92</v>
      </c>
      <c r="R431">
        <v>2</v>
      </c>
      <c r="S431">
        <v>86</v>
      </c>
      <c r="T431">
        <v>2</v>
      </c>
      <c r="U431">
        <v>70</v>
      </c>
      <c r="V431">
        <v>2</v>
      </c>
      <c r="W431">
        <v>94</v>
      </c>
      <c r="X431">
        <v>2</v>
      </c>
      <c r="Y431">
        <v>68</v>
      </c>
      <c r="Z431">
        <v>1</v>
      </c>
      <c r="AA431">
        <v>92</v>
      </c>
      <c r="AB431">
        <v>1</v>
      </c>
      <c r="AC431">
        <v>78</v>
      </c>
      <c r="AD431">
        <v>1</v>
      </c>
      <c r="AE431">
        <v>90</v>
      </c>
      <c r="AF431">
        <v>2</v>
      </c>
      <c r="AG431">
        <v>91</v>
      </c>
      <c r="AH431">
        <v>2</v>
      </c>
    </row>
    <row r="432" spans="1:34">
      <c r="A432" t="s">
        <v>1439</v>
      </c>
      <c r="B432" s="24">
        <v>1808</v>
      </c>
      <c r="C432" s="24" t="s">
        <v>1440</v>
      </c>
      <c r="D432" s="24" t="s">
        <v>1441</v>
      </c>
      <c r="E432" s="93">
        <v>93</v>
      </c>
      <c r="F432" s="94">
        <v>4</v>
      </c>
      <c r="G432" s="94">
        <v>90</v>
      </c>
      <c r="H432" s="94">
        <v>4</v>
      </c>
      <c r="I432" s="94">
        <v>88</v>
      </c>
      <c r="J432" s="94">
        <v>4</v>
      </c>
      <c r="K432" s="94">
        <v>88</v>
      </c>
      <c r="L432" s="94">
        <v>2</v>
      </c>
      <c r="M432" s="94">
        <v>79</v>
      </c>
      <c r="N432" s="94">
        <v>2</v>
      </c>
      <c r="O432" s="94">
        <v>79</v>
      </c>
      <c r="P432" s="94">
        <v>2</v>
      </c>
      <c r="Q432">
        <v>81</v>
      </c>
      <c r="R432">
        <v>2</v>
      </c>
      <c r="S432">
        <v>86</v>
      </c>
      <c r="T432">
        <v>2</v>
      </c>
      <c r="U432">
        <v>82</v>
      </c>
      <c r="V432">
        <v>2</v>
      </c>
      <c r="W432">
        <v>84</v>
      </c>
      <c r="X432">
        <v>2</v>
      </c>
      <c r="Y432">
        <v>62</v>
      </c>
      <c r="Z432">
        <v>1</v>
      </c>
      <c r="AA432">
        <v>92</v>
      </c>
      <c r="AB432">
        <v>1</v>
      </c>
      <c r="AC432">
        <v>76</v>
      </c>
      <c r="AD432">
        <v>1</v>
      </c>
      <c r="AE432">
        <v>80</v>
      </c>
      <c r="AF432">
        <v>2</v>
      </c>
      <c r="AG432">
        <v>92</v>
      </c>
      <c r="AH432">
        <v>2</v>
      </c>
    </row>
    <row r="433" spans="1:34">
      <c r="A433" t="s">
        <v>1442</v>
      </c>
      <c r="B433" s="24">
        <v>1808</v>
      </c>
      <c r="C433" s="24" t="s">
        <v>1443</v>
      </c>
      <c r="D433" s="24" t="s">
        <v>1444</v>
      </c>
      <c r="E433" s="93">
        <v>90</v>
      </c>
      <c r="F433" s="94">
        <v>4</v>
      </c>
      <c r="G433" s="94">
        <v>88</v>
      </c>
      <c r="H433" s="94">
        <v>4</v>
      </c>
      <c r="I433" s="94">
        <v>89</v>
      </c>
      <c r="J433" s="94">
        <v>4</v>
      </c>
      <c r="K433" s="94">
        <v>86</v>
      </c>
      <c r="L433" s="94">
        <v>2</v>
      </c>
      <c r="M433" s="94">
        <v>73</v>
      </c>
      <c r="N433" s="94">
        <v>2</v>
      </c>
      <c r="O433" s="94">
        <v>77</v>
      </c>
      <c r="P433" s="94">
        <v>2</v>
      </c>
      <c r="Q433">
        <v>86</v>
      </c>
      <c r="R433">
        <v>2</v>
      </c>
      <c r="S433">
        <v>82</v>
      </c>
      <c r="T433">
        <v>2</v>
      </c>
      <c r="U433">
        <v>77</v>
      </c>
      <c r="V433">
        <v>2</v>
      </c>
      <c r="W433">
        <v>89</v>
      </c>
      <c r="X433">
        <v>2</v>
      </c>
      <c r="Y433">
        <v>78</v>
      </c>
      <c r="Z433">
        <v>1</v>
      </c>
      <c r="AA433">
        <v>92</v>
      </c>
      <c r="AB433">
        <v>1</v>
      </c>
      <c r="AC433">
        <v>70</v>
      </c>
      <c r="AD433">
        <v>1</v>
      </c>
      <c r="AE433">
        <v>88</v>
      </c>
      <c r="AF433">
        <v>2</v>
      </c>
      <c r="AG433">
        <v>90</v>
      </c>
      <c r="AH433">
        <v>2</v>
      </c>
    </row>
    <row r="434" spans="1:34">
      <c r="A434" t="s">
        <v>1445</v>
      </c>
      <c r="B434" s="24">
        <v>1808</v>
      </c>
      <c r="C434" s="24" t="s">
        <v>1446</v>
      </c>
      <c r="D434" s="24" t="s">
        <v>1447</v>
      </c>
      <c r="E434" s="93">
        <v>91</v>
      </c>
      <c r="F434" s="94">
        <v>4</v>
      </c>
      <c r="G434" s="94">
        <v>95</v>
      </c>
      <c r="H434" s="94">
        <v>4</v>
      </c>
      <c r="I434" s="94">
        <v>83</v>
      </c>
      <c r="J434" s="94">
        <v>4</v>
      </c>
      <c r="K434" s="94">
        <v>94</v>
      </c>
      <c r="L434" s="94">
        <v>2</v>
      </c>
      <c r="M434" s="94">
        <v>73</v>
      </c>
      <c r="N434" s="94">
        <v>2</v>
      </c>
      <c r="O434" s="94">
        <v>82</v>
      </c>
      <c r="P434" s="94">
        <v>2</v>
      </c>
      <c r="Q434">
        <v>84</v>
      </c>
      <c r="R434">
        <v>2</v>
      </c>
      <c r="S434">
        <v>85</v>
      </c>
      <c r="T434">
        <v>2</v>
      </c>
      <c r="U434">
        <v>70</v>
      </c>
      <c r="V434">
        <v>2</v>
      </c>
      <c r="W434">
        <v>98</v>
      </c>
      <c r="X434">
        <v>2</v>
      </c>
      <c r="Y434">
        <v>80</v>
      </c>
      <c r="Z434">
        <v>1</v>
      </c>
      <c r="AA434">
        <v>92</v>
      </c>
      <c r="AB434">
        <v>1</v>
      </c>
      <c r="AC434">
        <v>70</v>
      </c>
      <c r="AD434">
        <v>1</v>
      </c>
      <c r="AE434">
        <v>87</v>
      </c>
      <c r="AF434">
        <v>2</v>
      </c>
      <c r="AG434">
        <v>90</v>
      </c>
      <c r="AH434">
        <v>2</v>
      </c>
    </row>
    <row r="435" spans="1:34">
      <c r="A435" t="s">
        <v>1448</v>
      </c>
      <c r="B435" s="24">
        <v>1808</v>
      </c>
      <c r="C435" s="24" t="s">
        <v>1449</v>
      </c>
      <c r="D435" s="24" t="s">
        <v>1450</v>
      </c>
      <c r="E435" s="93">
        <v>88</v>
      </c>
      <c r="F435" s="94">
        <v>4</v>
      </c>
      <c r="G435" s="94">
        <v>90</v>
      </c>
      <c r="H435" s="94">
        <v>4</v>
      </c>
      <c r="I435" s="94">
        <v>85</v>
      </c>
      <c r="J435" s="94">
        <v>4</v>
      </c>
      <c r="K435" s="94">
        <v>87</v>
      </c>
      <c r="L435" s="94">
        <v>2</v>
      </c>
      <c r="M435" s="94">
        <v>73</v>
      </c>
      <c r="N435" s="94">
        <v>2</v>
      </c>
      <c r="O435" s="94">
        <v>75</v>
      </c>
      <c r="P435" s="94">
        <v>2</v>
      </c>
      <c r="Q435">
        <v>86</v>
      </c>
      <c r="R435">
        <v>2</v>
      </c>
      <c r="S435">
        <v>85</v>
      </c>
      <c r="T435">
        <v>2</v>
      </c>
      <c r="U435">
        <v>78</v>
      </c>
      <c r="V435">
        <v>2</v>
      </c>
      <c r="W435">
        <v>94</v>
      </c>
      <c r="X435">
        <v>2</v>
      </c>
      <c r="Y435">
        <v>68</v>
      </c>
      <c r="Z435">
        <v>1</v>
      </c>
      <c r="AA435">
        <v>92</v>
      </c>
      <c r="AB435">
        <v>1</v>
      </c>
      <c r="AC435">
        <v>85</v>
      </c>
      <c r="AD435">
        <v>1</v>
      </c>
      <c r="AE435">
        <v>88</v>
      </c>
      <c r="AF435">
        <v>2</v>
      </c>
      <c r="AG435">
        <v>90</v>
      </c>
      <c r="AH435">
        <v>2</v>
      </c>
    </row>
    <row r="436" spans="1:34">
      <c r="A436" t="s">
        <v>1451</v>
      </c>
      <c r="B436" s="24">
        <v>1808</v>
      </c>
      <c r="C436" s="24" t="s">
        <v>1452</v>
      </c>
      <c r="D436" s="24" t="s">
        <v>1453</v>
      </c>
      <c r="E436" s="93">
        <v>95</v>
      </c>
      <c r="F436" s="94">
        <v>4</v>
      </c>
      <c r="G436" s="94">
        <v>86</v>
      </c>
      <c r="H436" s="94">
        <v>4</v>
      </c>
      <c r="I436" s="94">
        <v>83</v>
      </c>
      <c r="J436" s="94">
        <v>4</v>
      </c>
      <c r="K436" s="94">
        <v>82</v>
      </c>
      <c r="L436" s="94">
        <v>2</v>
      </c>
      <c r="M436" s="94">
        <v>78</v>
      </c>
      <c r="N436" s="94">
        <v>2</v>
      </c>
      <c r="O436" s="94">
        <v>76</v>
      </c>
      <c r="P436" s="94">
        <v>2</v>
      </c>
      <c r="Q436">
        <v>82</v>
      </c>
      <c r="R436">
        <v>2</v>
      </c>
      <c r="S436">
        <v>86</v>
      </c>
      <c r="T436">
        <v>2</v>
      </c>
      <c r="U436">
        <v>78</v>
      </c>
      <c r="V436">
        <v>2</v>
      </c>
      <c r="W436">
        <v>94</v>
      </c>
      <c r="X436">
        <v>2</v>
      </c>
      <c r="Y436">
        <v>80</v>
      </c>
      <c r="Z436">
        <v>1</v>
      </c>
      <c r="AA436">
        <v>92</v>
      </c>
      <c r="AB436">
        <v>1</v>
      </c>
      <c r="AC436">
        <v>68</v>
      </c>
      <c r="AD436">
        <v>1</v>
      </c>
      <c r="AE436">
        <v>87</v>
      </c>
      <c r="AF436">
        <v>2</v>
      </c>
      <c r="AG436">
        <v>92</v>
      </c>
      <c r="AH436">
        <v>2</v>
      </c>
    </row>
    <row r="437" spans="1:34">
      <c r="A437" t="s">
        <v>1454</v>
      </c>
      <c r="B437" s="24">
        <v>1808</v>
      </c>
      <c r="C437" s="24" t="s">
        <v>1455</v>
      </c>
      <c r="D437" s="24" t="s">
        <v>177</v>
      </c>
      <c r="E437" s="93">
        <v>87</v>
      </c>
      <c r="F437" s="94">
        <v>4</v>
      </c>
      <c r="G437" s="94">
        <v>95</v>
      </c>
      <c r="H437" s="94">
        <v>4</v>
      </c>
      <c r="I437" s="94">
        <v>88</v>
      </c>
      <c r="J437" s="94">
        <v>4</v>
      </c>
      <c r="K437" s="94">
        <v>100</v>
      </c>
      <c r="L437" s="94">
        <v>2</v>
      </c>
      <c r="M437" s="94">
        <v>97</v>
      </c>
      <c r="N437" s="94">
        <v>2</v>
      </c>
      <c r="O437" s="94">
        <v>95</v>
      </c>
      <c r="P437" s="94">
        <v>2</v>
      </c>
      <c r="Q437">
        <v>86</v>
      </c>
      <c r="R437">
        <v>2</v>
      </c>
      <c r="S437">
        <v>86</v>
      </c>
      <c r="T437">
        <v>2</v>
      </c>
      <c r="U437">
        <v>80</v>
      </c>
      <c r="V437">
        <v>2</v>
      </c>
      <c r="W437">
        <v>95</v>
      </c>
      <c r="X437">
        <v>2</v>
      </c>
      <c r="Y437">
        <v>75</v>
      </c>
      <c r="Z437">
        <v>1</v>
      </c>
      <c r="AA437">
        <v>92</v>
      </c>
      <c r="AB437">
        <v>1</v>
      </c>
      <c r="AC437">
        <v>76</v>
      </c>
      <c r="AD437">
        <v>1</v>
      </c>
      <c r="AE437">
        <v>86</v>
      </c>
      <c r="AF437">
        <v>2</v>
      </c>
      <c r="AG437">
        <v>93</v>
      </c>
      <c r="AH437">
        <v>2</v>
      </c>
    </row>
    <row r="438" spans="1:34">
      <c r="A438" t="s">
        <v>1456</v>
      </c>
      <c r="B438" s="24">
        <v>1808</v>
      </c>
      <c r="C438" s="24" t="s">
        <v>1457</v>
      </c>
      <c r="D438" s="24" t="s">
        <v>1458</v>
      </c>
      <c r="E438" s="93">
        <v>87</v>
      </c>
      <c r="F438" s="94">
        <v>4</v>
      </c>
      <c r="G438" s="94">
        <v>88</v>
      </c>
      <c r="H438" s="94">
        <v>4</v>
      </c>
      <c r="I438" s="94">
        <v>80</v>
      </c>
      <c r="J438" s="94">
        <v>4</v>
      </c>
      <c r="K438" s="94">
        <v>87</v>
      </c>
      <c r="L438" s="94">
        <v>2</v>
      </c>
      <c r="M438" s="94">
        <v>97</v>
      </c>
      <c r="N438" s="94">
        <v>2</v>
      </c>
      <c r="O438" s="94">
        <v>76</v>
      </c>
      <c r="P438" s="94">
        <v>2</v>
      </c>
      <c r="Q438">
        <v>88</v>
      </c>
      <c r="R438">
        <v>2</v>
      </c>
      <c r="S438">
        <v>86</v>
      </c>
      <c r="T438">
        <v>2</v>
      </c>
      <c r="U438">
        <v>83</v>
      </c>
      <c r="V438">
        <v>2</v>
      </c>
      <c r="W438">
        <v>90</v>
      </c>
      <c r="X438">
        <v>2</v>
      </c>
      <c r="Y438">
        <v>78</v>
      </c>
      <c r="Z438">
        <v>1</v>
      </c>
      <c r="AA438">
        <v>92</v>
      </c>
      <c r="AB438">
        <v>1</v>
      </c>
      <c r="AC438">
        <v>90</v>
      </c>
      <c r="AD438">
        <v>1</v>
      </c>
      <c r="AE438">
        <v>89</v>
      </c>
      <c r="AF438">
        <v>2</v>
      </c>
      <c r="AG438">
        <v>92</v>
      </c>
      <c r="AH438">
        <v>2</v>
      </c>
    </row>
    <row r="439" spans="1:34">
      <c r="A439" t="s">
        <v>1459</v>
      </c>
      <c r="B439" s="24">
        <v>1808</v>
      </c>
      <c r="C439" s="24" t="s">
        <v>1460</v>
      </c>
      <c r="D439" s="24" t="s">
        <v>1461</v>
      </c>
      <c r="E439" s="93">
        <v>93</v>
      </c>
      <c r="F439" s="94">
        <v>4</v>
      </c>
      <c r="G439" s="94">
        <v>90</v>
      </c>
      <c r="H439" s="94">
        <v>4</v>
      </c>
      <c r="I439" s="94">
        <v>85</v>
      </c>
      <c r="J439" s="94">
        <v>4</v>
      </c>
      <c r="K439" s="94">
        <v>97</v>
      </c>
      <c r="L439" s="94">
        <v>2</v>
      </c>
      <c r="M439" s="94">
        <v>98</v>
      </c>
      <c r="N439" s="94">
        <v>2</v>
      </c>
      <c r="O439" s="94">
        <v>71</v>
      </c>
      <c r="P439" s="94">
        <v>2</v>
      </c>
      <c r="Q439">
        <v>86</v>
      </c>
      <c r="R439">
        <v>2</v>
      </c>
      <c r="S439">
        <v>85</v>
      </c>
      <c r="T439">
        <v>2</v>
      </c>
      <c r="U439">
        <v>79</v>
      </c>
      <c r="V439">
        <v>2</v>
      </c>
      <c r="W439">
        <v>90</v>
      </c>
      <c r="X439">
        <v>2</v>
      </c>
      <c r="Y439">
        <v>80</v>
      </c>
      <c r="Z439">
        <v>1</v>
      </c>
      <c r="AA439">
        <v>92</v>
      </c>
      <c r="AB439">
        <v>1</v>
      </c>
      <c r="AC439">
        <v>75</v>
      </c>
      <c r="AD439">
        <v>1</v>
      </c>
      <c r="AE439">
        <v>86</v>
      </c>
      <c r="AF439">
        <v>2</v>
      </c>
      <c r="AG439">
        <v>94</v>
      </c>
      <c r="AH439">
        <v>2</v>
      </c>
    </row>
    <row r="440" spans="1:34">
      <c r="A440" t="s">
        <v>1462</v>
      </c>
      <c r="B440" s="24">
        <v>1808</v>
      </c>
      <c r="C440" s="24" t="s">
        <v>1463</v>
      </c>
      <c r="D440" s="24" t="s">
        <v>1464</v>
      </c>
      <c r="E440" s="93">
        <v>91</v>
      </c>
      <c r="F440" s="94">
        <v>4</v>
      </c>
      <c r="G440" s="94">
        <v>88</v>
      </c>
      <c r="H440" s="94">
        <v>4</v>
      </c>
      <c r="I440" s="94">
        <v>89</v>
      </c>
      <c r="J440" s="94">
        <v>4</v>
      </c>
      <c r="K440" s="94">
        <v>96</v>
      </c>
      <c r="L440" s="94">
        <v>2</v>
      </c>
      <c r="M440" s="94">
        <v>98</v>
      </c>
      <c r="N440" s="94">
        <v>2</v>
      </c>
      <c r="O440" s="94">
        <v>86</v>
      </c>
      <c r="P440" s="94">
        <v>2</v>
      </c>
      <c r="Q440">
        <v>88</v>
      </c>
      <c r="R440">
        <v>2</v>
      </c>
      <c r="S440">
        <v>96</v>
      </c>
      <c r="T440">
        <v>2</v>
      </c>
      <c r="U440">
        <v>80</v>
      </c>
      <c r="V440">
        <v>2</v>
      </c>
      <c r="W440">
        <v>97</v>
      </c>
      <c r="X440">
        <v>2</v>
      </c>
      <c r="Y440">
        <v>76</v>
      </c>
      <c r="Z440">
        <v>1</v>
      </c>
      <c r="AA440">
        <v>92</v>
      </c>
      <c r="AB440">
        <v>1</v>
      </c>
      <c r="AC440">
        <v>76</v>
      </c>
      <c r="AD440">
        <v>1</v>
      </c>
      <c r="AE440">
        <v>88</v>
      </c>
      <c r="AF440">
        <v>2</v>
      </c>
      <c r="AG440">
        <v>91</v>
      </c>
      <c r="AH440">
        <v>2</v>
      </c>
    </row>
    <row r="441" spans="1:34">
      <c r="A441" t="s">
        <v>1465</v>
      </c>
      <c r="B441" s="24">
        <v>1808</v>
      </c>
      <c r="C441" s="24" t="s">
        <v>1466</v>
      </c>
      <c r="D441" s="24" t="s">
        <v>1467</v>
      </c>
      <c r="E441" s="93">
        <v>96</v>
      </c>
      <c r="F441" s="94">
        <v>4</v>
      </c>
      <c r="G441" s="94">
        <v>88</v>
      </c>
      <c r="H441" s="94">
        <v>4</v>
      </c>
      <c r="I441" s="94">
        <v>84</v>
      </c>
      <c r="J441" s="94">
        <v>4</v>
      </c>
      <c r="K441" s="94">
        <v>85</v>
      </c>
      <c r="L441" s="94">
        <v>2</v>
      </c>
      <c r="M441" s="94">
        <v>83</v>
      </c>
      <c r="N441" s="94">
        <v>2</v>
      </c>
      <c r="O441" s="94">
        <v>75</v>
      </c>
      <c r="P441" s="94">
        <v>2</v>
      </c>
      <c r="Q441">
        <v>83</v>
      </c>
      <c r="R441">
        <v>2</v>
      </c>
      <c r="S441">
        <v>83</v>
      </c>
      <c r="T441">
        <v>2</v>
      </c>
      <c r="U441">
        <v>71</v>
      </c>
      <c r="V441">
        <v>2</v>
      </c>
      <c r="W441">
        <v>84</v>
      </c>
      <c r="X441">
        <v>2</v>
      </c>
      <c r="Y441">
        <v>74</v>
      </c>
      <c r="Z441">
        <v>1</v>
      </c>
      <c r="AA441">
        <v>92</v>
      </c>
      <c r="AB441">
        <v>1</v>
      </c>
      <c r="AC441">
        <v>65</v>
      </c>
      <c r="AD441">
        <v>1</v>
      </c>
      <c r="AE441">
        <v>50</v>
      </c>
      <c r="AF441">
        <v>1</v>
      </c>
      <c r="AG441">
        <v>90</v>
      </c>
      <c r="AH441">
        <v>2</v>
      </c>
    </row>
    <row r="442" spans="1:34">
      <c r="A442" t="s">
        <v>1468</v>
      </c>
      <c r="B442" s="24">
        <v>1808</v>
      </c>
      <c r="C442" s="24" t="s">
        <v>1469</v>
      </c>
      <c r="D442" s="24" t="s">
        <v>1470</v>
      </c>
      <c r="E442" s="93">
        <v>88</v>
      </c>
      <c r="F442" s="94">
        <v>4</v>
      </c>
      <c r="G442" s="94">
        <v>90</v>
      </c>
      <c r="H442" s="94">
        <v>4</v>
      </c>
      <c r="I442" s="94">
        <v>82</v>
      </c>
      <c r="J442" s="94">
        <v>4</v>
      </c>
      <c r="K442" s="94">
        <v>90</v>
      </c>
      <c r="L442" s="94">
        <v>2</v>
      </c>
      <c r="M442" s="94">
        <v>79</v>
      </c>
      <c r="N442" s="94">
        <v>2</v>
      </c>
      <c r="O442" s="94">
        <v>75</v>
      </c>
      <c r="P442" s="94">
        <v>2</v>
      </c>
      <c r="Q442">
        <v>82</v>
      </c>
      <c r="R442">
        <v>2</v>
      </c>
      <c r="S442">
        <v>76</v>
      </c>
      <c r="T442">
        <v>2</v>
      </c>
      <c r="U442">
        <v>70</v>
      </c>
      <c r="V442">
        <v>2</v>
      </c>
      <c r="W442">
        <v>87</v>
      </c>
      <c r="X442">
        <v>2</v>
      </c>
      <c r="Y442">
        <v>74</v>
      </c>
      <c r="Z442">
        <v>1</v>
      </c>
      <c r="AA442">
        <v>92</v>
      </c>
      <c r="AB442">
        <v>1</v>
      </c>
      <c r="AC442">
        <v>70</v>
      </c>
      <c r="AD442">
        <v>1</v>
      </c>
      <c r="AE442">
        <v>50</v>
      </c>
      <c r="AF442">
        <v>1</v>
      </c>
      <c r="AG442">
        <v>92</v>
      </c>
      <c r="AH442">
        <v>2</v>
      </c>
    </row>
    <row r="443" spans="1:34">
      <c r="A443" t="s">
        <v>1471</v>
      </c>
      <c r="B443" s="24">
        <v>1808</v>
      </c>
      <c r="C443" s="24" t="s">
        <v>1472</v>
      </c>
      <c r="D443" s="24" t="s">
        <v>1473</v>
      </c>
      <c r="E443" s="93">
        <v>86</v>
      </c>
      <c r="F443" s="94">
        <v>4</v>
      </c>
      <c r="G443" s="94">
        <v>86</v>
      </c>
      <c r="H443" s="94">
        <v>4</v>
      </c>
      <c r="I443" s="94">
        <v>90</v>
      </c>
      <c r="J443" s="94">
        <v>4</v>
      </c>
      <c r="K443" s="94">
        <v>93</v>
      </c>
      <c r="L443" s="94">
        <v>2</v>
      </c>
      <c r="M443" s="94">
        <v>86</v>
      </c>
      <c r="N443" s="94">
        <v>2</v>
      </c>
      <c r="O443" s="94">
        <v>78</v>
      </c>
      <c r="P443" s="94">
        <v>2</v>
      </c>
      <c r="Q443">
        <v>92</v>
      </c>
      <c r="R443">
        <v>2</v>
      </c>
      <c r="S443">
        <v>90</v>
      </c>
      <c r="T443">
        <v>2</v>
      </c>
      <c r="U443">
        <v>77</v>
      </c>
      <c r="V443">
        <v>2</v>
      </c>
      <c r="W443">
        <v>93</v>
      </c>
      <c r="X443">
        <v>2</v>
      </c>
      <c r="Y443">
        <v>76</v>
      </c>
      <c r="Z443">
        <v>1</v>
      </c>
      <c r="AA443">
        <v>92</v>
      </c>
      <c r="AB443">
        <v>1</v>
      </c>
      <c r="AC443">
        <v>70</v>
      </c>
      <c r="AD443">
        <v>1</v>
      </c>
      <c r="AE443">
        <v>50</v>
      </c>
      <c r="AF443">
        <v>1</v>
      </c>
      <c r="AG443">
        <v>93</v>
      </c>
      <c r="AH443">
        <v>2</v>
      </c>
    </row>
    <row r="444" spans="1:34">
      <c r="A444" t="s">
        <v>1474</v>
      </c>
      <c r="B444" s="24">
        <v>1808</v>
      </c>
      <c r="C444" s="24" t="s">
        <v>1475</v>
      </c>
      <c r="D444" s="24" t="s">
        <v>1476</v>
      </c>
      <c r="E444" s="93">
        <v>85</v>
      </c>
      <c r="F444" s="94">
        <v>4</v>
      </c>
      <c r="G444" s="94">
        <v>88</v>
      </c>
      <c r="H444" s="94">
        <v>4</v>
      </c>
      <c r="I444" s="94">
        <v>88</v>
      </c>
      <c r="J444" s="94">
        <v>4</v>
      </c>
      <c r="K444" s="94">
        <v>80</v>
      </c>
      <c r="L444" s="94">
        <v>2</v>
      </c>
      <c r="M444" s="94">
        <v>72</v>
      </c>
      <c r="N444" s="94">
        <v>2</v>
      </c>
      <c r="O444" s="94">
        <v>75</v>
      </c>
      <c r="P444" s="94">
        <v>2</v>
      </c>
      <c r="Q444">
        <v>98</v>
      </c>
      <c r="R444">
        <v>2</v>
      </c>
      <c r="S444">
        <v>88</v>
      </c>
      <c r="T444">
        <v>2</v>
      </c>
      <c r="U444">
        <v>81</v>
      </c>
      <c r="V444">
        <v>2</v>
      </c>
      <c r="W444">
        <v>96</v>
      </c>
      <c r="X444">
        <v>2</v>
      </c>
      <c r="Y444">
        <v>72</v>
      </c>
      <c r="Z444">
        <v>1</v>
      </c>
      <c r="AA444">
        <v>92</v>
      </c>
      <c r="AB444">
        <v>1</v>
      </c>
      <c r="AC444">
        <v>76</v>
      </c>
      <c r="AD444">
        <v>1</v>
      </c>
      <c r="AE444">
        <v>88</v>
      </c>
      <c r="AF444">
        <v>2</v>
      </c>
      <c r="AG444">
        <v>91</v>
      </c>
      <c r="AH444">
        <v>2</v>
      </c>
    </row>
    <row r="445" spans="1:34">
      <c r="A445" t="s">
        <v>1477</v>
      </c>
      <c r="B445" s="24">
        <v>1808</v>
      </c>
      <c r="C445" s="24" t="s">
        <v>1478</v>
      </c>
      <c r="D445" s="24" t="s">
        <v>1479</v>
      </c>
      <c r="E445" s="93">
        <v>97</v>
      </c>
      <c r="F445" s="94">
        <v>4</v>
      </c>
      <c r="G445" s="94">
        <v>88</v>
      </c>
      <c r="H445" s="94">
        <v>4</v>
      </c>
      <c r="I445" s="94">
        <v>86</v>
      </c>
      <c r="J445" s="94">
        <v>4</v>
      </c>
      <c r="K445" s="94">
        <v>84</v>
      </c>
      <c r="L445" s="94">
        <v>2</v>
      </c>
      <c r="M445" s="94">
        <v>73</v>
      </c>
      <c r="N445" s="94">
        <v>2</v>
      </c>
      <c r="O445" s="94">
        <v>74</v>
      </c>
      <c r="P445" s="94">
        <v>2</v>
      </c>
      <c r="Q445">
        <v>86</v>
      </c>
      <c r="R445">
        <v>2</v>
      </c>
      <c r="S445">
        <v>86</v>
      </c>
      <c r="T445">
        <v>2</v>
      </c>
      <c r="U445">
        <v>76</v>
      </c>
      <c r="V445">
        <v>2</v>
      </c>
      <c r="W445">
        <v>96</v>
      </c>
      <c r="X445">
        <v>2</v>
      </c>
      <c r="Y445">
        <v>75</v>
      </c>
      <c r="Z445">
        <v>1</v>
      </c>
      <c r="AA445">
        <v>92</v>
      </c>
      <c r="AB445">
        <v>1</v>
      </c>
      <c r="AC445">
        <v>86</v>
      </c>
      <c r="AD445">
        <v>1</v>
      </c>
      <c r="AE445">
        <v>89</v>
      </c>
      <c r="AF445">
        <v>2</v>
      </c>
      <c r="AG445">
        <v>89</v>
      </c>
      <c r="AH445">
        <v>2</v>
      </c>
    </row>
    <row r="446" spans="1:34">
      <c r="A446" t="s">
        <v>1480</v>
      </c>
      <c r="B446" s="24">
        <v>1808</v>
      </c>
      <c r="C446" s="24" t="s">
        <v>1481</v>
      </c>
      <c r="D446" s="24" t="s">
        <v>1482</v>
      </c>
      <c r="E446" s="93">
        <v>95</v>
      </c>
      <c r="F446" s="94">
        <v>4</v>
      </c>
      <c r="G446" s="94">
        <v>95</v>
      </c>
      <c r="H446" s="94">
        <v>4</v>
      </c>
      <c r="I446" s="94">
        <v>89</v>
      </c>
      <c r="J446" s="94">
        <v>4</v>
      </c>
      <c r="K446" s="94">
        <v>100</v>
      </c>
      <c r="L446" s="94">
        <v>2</v>
      </c>
      <c r="M446" s="94">
        <v>85</v>
      </c>
      <c r="N446" s="94">
        <v>2</v>
      </c>
      <c r="O446" s="94">
        <v>94</v>
      </c>
      <c r="P446" s="94">
        <v>2</v>
      </c>
      <c r="Q446">
        <v>88</v>
      </c>
      <c r="R446">
        <v>2</v>
      </c>
      <c r="S446">
        <v>90</v>
      </c>
      <c r="T446">
        <v>2</v>
      </c>
      <c r="U446">
        <v>85</v>
      </c>
      <c r="V446">
        <v>2</v>
      </c>
      <c r="W446">
        <v>92</v>
      </c>
      <c r="X446">
        <v>2</v>
      </c>
      <c r="Y446">
        <v>72</v>
      </c>
      <c r="Z446">
        <v>1</v>
      </c>
      <c r="AA446">
        <v>92</v>
      </c>
      <c r="AB446">
        <v>1</v>
      </c>
      <c r="AC446">
        <v>70</v>
      </c>
      <c r="AD446">
        <v>1</v>
      </c>
      <c r="AE446">
        <v>89</v>
      </c>
      <c r="AF446">
        <v>2</v>
      </c>
      <c r="AG446">
        <v>92</v>
      </c>
      <c r="AH446">
        <v>2</v>
      </c>
    </row>
    <row r="447" spans="1:34">
      <c r="A447" t="s">
        <v>1483</v>
      </c>
      <c r="B447" s="24">
        <v>1808</v>
      </c>
      <c r="C447" s="24" t="s">
        <v>1484</v>
      </c>
      <c r="D447" s="24" t="s">
        <v>1485</v>
      </c>
      <c r="E447" s="93">
        <v>90</v>
      </c>
      <c r="F447" s="94">
        <v>4</v>
      </c>
      <c r="G447" s="94">
        <v>88</v>
      </c>
      <c r="H447" s="94">
        <v>4</v>
      </c>
      <c r="I447" s="94">
        <v>88</v>
      </c>
      <c r="J447" s="94">
        <v>4</v>
      </c>
      <c r="K447" s="94">
        <v>83</v>
      </c>
      <c r="L447" s="94">
        <v>2</v>
      </c>
      <c r="M447" s="94">
        <v>77</v>
      </c>
      <c r="N447" s="94">
        <v>2</v>
      </c>
      <c r="O447" s="94">
        <v>80</v>
      </c>
      <c r="P447" s="94">
        <v>2</v>
      </c>
      <c r="Q447">
        <v>86</v>
      </c>
      <c r="R447">
        <v>2</v>
      </c>
      <c r="S447">
        <v>88</v>
      </c>
      <c r="T447">
        <v>2</v>
      </c>
      <c r="U447">
        <v>83</v>
      </c>
      <c r="V447">
        <v>2</v>
      </c>
      <c r="W447">
        <v>93</v>
      </c>
      <c r="X447">
        <v>2</v>
      </c>
      <c r="Y447">
        <v>76</v>
      </c>
      <c r="Z447">
        <v>1</v>
      </c>
      <c r="AA447">
        <v>92</v>
      </c>
      <c r="AB447">
        <v>1</v>
      </c>
      <c r="AC447">
        <v>78</v>
      </c>
      <c r="AD447">
        <v>1</v>
      </c>
      <c r="AE447">
        <v>85</v>
      </c>
      <c r="AF447">
        <v>2</v>
      </c>
      <c r="AG447">
        <v>90</v>
      </c>
      <c r="AH447">
        <v>2</v>
      </c>
    </row>
    <row r="448" spans="1:34">
      <c r="A448" t="s">
        <v>1486</v>
      </c>
      <c r="B448" s="24">
        <v>1808</v>
      </c>
      <c r="C448" s="24" t="s">
        <v>1487</v>
      </c>
      <c r="D448" s="24" t="s">
        <v>1488</v>
      </c>
      <c r="E448" s="93">
        <v>87</v>
      </c>
      <c r="F448" s="94">
        <v>4</v>
      </c>
      <c r="G448" s="94">
        <v>88</v>
      </c>
      <c r="H448" s="94">
        <v>4</v>
      </c>
      <c r="I448" s="94">
        <v>88</v>
      </c>
      <c r="J448" s="94">
        <v>4</v>
      </c>
      <c r="K448" s="94">
        <v>83</v>
      </c>
      <c r="L448" s="94">
        <v>2</v>
      </c>
      <c r="M448" s="94">
        <v>77</v>
      </c>
      <c r="N448" s="94">
        <v>2</v>
      </c>
      <c r="O448" s="94">
        <v>76</v>
      </c>
      <c r="P448" s="94">
        <v>2</v>
      </c>
      <c r="Q448">
        <v>82</v>
      </c>
      <c r="R448">
        <v>2</v>
      </c>
      <c r="S448">
        <v>80</v>
      </c>
      <c r="T448">
        <v>2</v>
      </c>
      <c r="U448">
        <v>72</v>
      </c>
      <c r="V448">
        <v>2</v>
      </c>
      <c r="W448">
        <v>86</v>
      </c>
      <c r="X448">
        <v>2</v>
      </c>
      <c r="Y448">
        <v>77</v>
      </c>
      <c r="Z448">
        <v>1</v>
      </c>
      <c r="AA448">
        <v>92</v>
      </c>
      <c r="AB448">
        <v>1</v>
      </c>
      <c r="AC448">
        <v>78</v>
      </c>
      <c r="AD448">
        <v>1</v>
      </c>
      <c r="AE448">
        <v>89</v>
      </c>
      <c r="AF448">
        <v>2</v>
      </c>
      <c r="AG448">
        <v>91</v>
      </c>
      <c r="AH448">
        <v>2</v>
      </c>
    </row>
    <row r="449" spans="1:34">
      <c r="A449" t="s">
        <v>1489</v>
      </c>
      <c r="B449" s="24">
        <v>1808</v>
      </c>
      <c r="C449" s="24" t="s">
        <v>1490</v>
      </c>
      <c r="D449" s="24" t="s">
        <v>1491</v>
      </c>
      <c r="E449" s="93">
        <v>86</v>
      </c>
      <c r="F449" s="94">
        <v>4</v>
      </c>
      <c r="G449" s="94">
        <v>95</v>
      </c>
      <c r="H449" s="94">
        <v>4</v>
      </c>
      <c r="I449" s="94">
        <v>89</v>
      </c>
      <c r="J449" s="94">
        <v>4</v>
      </c>
      <c r="K449" s="94">
        <v>88</v>
      </c>
      <c r="L449" s="94">
        <v>2</v>
      </c>
      <c r="M449" s="94">
        <v>77</v>
      </c>
      <c r="N449" s="94">
        <v>2</v>
      </c>
      <c r="O449" s="94">
        <v>75</v>
      </c>
      <c r="P449" s="94">
        <v>2</v>
      </c>
      <c r="Q449">
        <v>86</v>
      </c>
      <c r="R449">
        <v>2</v>
      </c>
      <c r="S449">
        <v>88</v>
      </c>
      <c r="T449">
        <v>2</v>
      </c>
      <c r="U449">
        <v>70</v>
      </c>
      <c r="V449">
        <v>2</v>
      </c>
      <c r="W449">
        <v>89</v>
      </c>
      <c r="X449">
        <v>2</v>
      </c>
      <c r="Y449">
        <v>74</v>
      </c>
      <c r="Z449">
        <v>1</v>
      </c>
      <c r="AA449">
        <v>92</v>
      </c>
      <c r="AB449">
        <v>1</v>
      </c>
      <c r="AC449">
        <v>70</v>
      </c>
      <c r="AD449">
        <v>1</v>
      </c>
      <c r="AE449">
        <v>87</v>
      </c>
      <c r="AF449">
        <v>2</v>
      </c>
      <c r="AG449">
        <v>92</v>
      </c>
      <c r="AH449">
        <v>2</v>
      </c>
    </row>
    <row r="450" spans="1:34">
      <c r="A450" t="s">
        <v>1492</v>
      </c>
      <c r="B450" s="24">
        <v>1808</v>
      </c>
      <c r="C450" s="24" t="s">
        <v>1493</v>
      </c>
      <c r="D450" s="24" t="s">
        <v>1494</v>
      </c>
      <c r="E450" s="93">
        <v>93</v>
      </c>
      <c r="F450" s="94">
        <v>4</v>
      </c>
      <c r="G450" s="94">
        <v>90</v>
      </c>
      <c r="H450" s="94">
        <v>4</v>
      </c>
      <c r="I450" s="94">
        <v>88</v>
      </c>
      <c r="J450" s="94">
        <v>4</v>
      </c>
      <c r="K450" s="94">
        <v>83</v>
      </c>
      <c r="L450" s="94">
        <v>2</v>
      </c>
      <c r="M450" s="94">
        <v>78</v>
      </c>
      <c r="N450" s="94">
        <v>2</v>
      </c>
      <c r="O450" s="94">
        <v>75</v>
      </c>
      <c r="P450" s="94">
        <v>2</v>
      </c>
      <c r="Q450">
        <v>83</v>
      </c>
      <c r="R450">
        <v>2</v>
      </c>
      <c r="S450">
        <v>83</v>
      </c>
      <c r="T450">
        <v>2</v>
      </c>
      <c r="U450">
        <v>70</v>
      </c>
      <c r="V450">
        <v>2</v>
      </c>
      <c r="W450">
        <v>82</v>
      </c>
      <c r="X450">
        <v>2</v>
      </c>
      <c r="Y450">
        <v>78</v>
      </c>
      <c r="Z450">
        <v>1</v>
      </c>
      <c r="AA450">
        <v>92</v>
      </c>
      <c r="AB450">
        <v>1</v>
      </c>
      <c r="AC450">
        <v>78</v>
      </c>
      <c r="AD450">
        <v>1</v>
      </c>
      <c r="AE450">
        <v>90</v>
      </c>
      <c r="AF450">
        <v>2</v>
      </c>
      <c r="AG450">
        <v>90</v>
      </c>
      <c r="AH450">
        <v>2</v>
      </c>
    </row>
    <row r="451" spans="1:34">
      <c r="A451" t="s">
        <v>1495</v>
      </c>
      <c r="B451" s="24">
        <v>1808</v>
      </c>
      <c r="C451" s="24" t="s">
        <v>1496</v>
      </c>
      <c r="D451" s="24" t="s">
        <v>1497</v>
      </c>
      <c r="E451" s="93">
        <v>96</v>
      </c>
      <c r="F451" s="94">
        <v>4</v>
      </c>
      <c r="G451" s="94">
        <v>93</v>
      </c>
      <c r="H451" s="94">
        <v>4</v>
      </c>
      <c r="I451" s="94">
        <v>95</v>
      </c>
      <c r="J451" s="94">
        <v>4</v>
      </c>
      <c r="K451" s="94">
        <v>92</v>
      </c>
      <c r="L451" s="94">
        <v>2</v>
      </c>
      <c r="M451" s="94">
        <v>81</v>
      </c>
      <c r="N451" s="94">
        <v>2</v>
      </c>
      <c r="O451" s="94">
        <v>76</v>
      </c>
      <c r="P451" s="94">
        <v>2</v>
      </c>
      <c r="Q451">
        <v>87</v>
      </c>
      <c r="R451">
        <v>2</v>
      </c>
      <c r="S451">
        <v>86</v>
      </c>
      <c r="T451">
        <v>2</v>
      </c>
      <c r="U451">
        <v>70</v>
      </c>
      <c r="V451">
        <v>2</v>
      </c>
      <c r="W451">
        <v>94</v>
      </c>
      <c r="X451">
        <v>2</v>
      </c>
      <c r="Y451">
        <v>76</v>
      </c>
      <c r="Z451">
        <v>1</v>
      </c>
      <c r="AA451">
        <v>92</v>
      </c>
      <c r="AB451">
        <v>1</v>
      </c>
      <c r="AC451">
        <v>72</v>
      </c>
      <c r="AD451">
        <v>1</v>
      </c>
      <c r="AE451">
        <v>88</v>
      </c>
      <c r="AF451">
        <v>2</v>
      </c>
      <c r="AG451">
        <v>90</v>
      </c>
      <c r="AH451">
        <v>2</v>
      </c>
    </row>
    <row r="452" spans="1:34">
      <c r="A452" t="s">
        <v>1498</v>
      </c>
      <c r="B452" s="24">
        <v>1808</v>
      </c>
      <c r="C452" s="24" t="s">
        <v>1499</v>
      </c>
      <c r="D452" s="24" t="s">
        <v>1500</v>
      </c>
      <c r="E452" s="93">
        <v>91</v>
      </c>
      <c r="F452" s="94">
        <v>4</v>
      </c>
      <c r="G452" s="94">
        <v>90</v>
      </c>
      <c r="H452" s="94">
        <v>4</v>
      </c>
      <c r="I452" s="94">
        <v>82</v>
      </c>
      <c r="J452" s="94">
        <v>4</v>
      </c>
      <c r="K452" s="94">
        <v>96</v>
      </c>
      <c r="L452" s="94">
        <v>2</v>
      </c>
      <c r="M452" s="94">
        <v>84</v>
      </c>
      <c r="N452" s="94">
        <v>2</v>
      </c>
      <c r="O452" s="94">
        <v>75</v>
      </c>
      <c r="P452" s="94">
        <v>2</v>
      </c>
      <c r="Q452">
        <v>99</v>
      </c>
      <c r="R452">
        <v>2</v>
      </c>
      <c r="S452">
        <v>86</v>
      </c>
      <c r="T452">
        <v>2</v>
      </c>
      <c r="U452">
        <v>81</v>
      </c>
      <c r="V452">
        <v>2</v>
      </c>
      <c r="W452">
        <v>90</v>
      </c>
      <c r="X452">
        <v>2</v>
      </c>
      <c r="Y452">
        <v>70</v>
      </c>
      <c r="Z452">
        <v>1</v>
      </c>
      <c r="AA452">
        <v>92</v>
      </c>
      <c r="AB452">
        <v>1</v>
      </c>
      <c r="AC452">
        <v>80</v>
      </c>
      <c r="AD452">
        <v>1</v>
      </c>
      <c r="AE452">
        <v>87</v>
      </c>
      <c r="AF452">
        <v>2</v>
      </c>
      <c r="AG452">
        <v>91</v>
      </c>
      <c r="AH452">
        <v>2</v>
      </c>
    </row>
    <row r="453" spans="1:34">
      <c r="A453" t="s">
        <v>1501</v>
      </c>
      <c r="B453" s="24">
        <v>1808</v>
      </c>
      <c r="C453" s="24" t="s">
        <v>1502</v>
      </c>
      <c r="D453" s="24" t="s">
        <v>1503</v>
      </c>
      <c r="E453" s="93">
        <v>92</v>
      </c>
      <c r="F453" s="94">
        <v>4</v>
      </c>
      <c r="G453" s="94">
        <v>90</v>
      </c>
      <c r="H453" s="94">
        <v>4</v>
      </c>
      <c r="I453" s="94">
        <v>86</v>
      </c>
      <c r="J453" s="94">
        <v>4</v>
      </c>
      <c r="K453" s="94">
        <v>82</v>
      </c>
      <c r="L453" s="94">
        <v>2</v>
      </c>
      <c r="M453" s="94">
        <v>74</v>
      </c>
      <c r="N453" s="94">
        <v>2</v>
      </c>
      <c r="O453" s="94">
        <v>78</v>
      </c>
      <c r="P453" s="94">
        <v>2</v>
      </c>
      <c r="Q453">
        <v>85</v>
      </c>
      <c r="R453">
        <v>2</v>
      </c>
      <c r="S453">
        <v>86</v>
      </c>
      <c r="T453">
        <v>2</v>
      </c>
      <c r="U453">
        <v>78</v>
      </c>
      <c r="V453">
        <v>2</v>
      </c>
      <c r="W453">
        <v>100</v>
      </c>
      <c r="X453">
        <v>2</v>
      </c>
      <c r="Y453">
        <v>72</v>
      </c>
      <c r="Z453">
        <v>1</v>
      </c>
      <c r="AA453">
        <v>92</v>
      </c>
      <c r="AB453">
        <v>1</v>
      </c>
      <c r="AC453">
        <v>88</v>
      </c>
      <c r="AD453">
        <v>1</v>
      </c>
      <c r="AE453">
        <v>88</v>
      </c>
      <c r="AF453">
        <v>2</v>
      </c>
      <c r="AG453">
        <v>93</v>
      </c>
      <c r="AH453">
        <v>2</v>
      </c>
    </row>
    <row r="454" spans="1:34">
      <c r="A454" t="s">
        <v>1504</v>
      </c>
      <c r="B454" s="24">
        <v>1808</v>
      </c>
      <c r="C454" s="24" t="s">
        <v>1505</v>
      </c>
      <c r="D454" s="24" t="s">
        <v>1506</v>
      </c>
      <c r="E454" s="93">
        <v>94</v>
      </c>
      <c r="F454" s="94">
        <v>4</v>
      </c>
      <c r="G454" s="94">
        <v>90</v>
      </c>
      <c r="H454" s="94">
        <v>4</v>
      </c>
      <c r="I454" s="94">
        <v>89</v>
      </c>
      <c r="J454" s="94">
        <v>4</v>
      </c>
      <c r="K454" s="94">
        <v>91</v>
      </c>
      <c r="L454" s="94">
        <v>2</v>
      </c>
      <c r="M454" s="94">
        <v>80</v>
      </c>
      <c r="N454" s="94">
        <v>2</v>
      </c>
      <c r="O454" s="94">
        <v>75</v>
      </c>
      <c r="P454" s="94">
        <v>2</v>
      </c>
      <c r="Q454">
        <v>86</v>
      </c>
      <c r="R454">
        <v>2</v>
      </c>
      <c r="S454">
        <v>82</v>
      </c>
      <c r="T454">
        <v>2</v>
      </c>
      <c r="U454">
        <v>70</v>
      </c>
      <c r="V454">
        <v>2</v>
      </c>
      <c r="W454">
        <v>95</v>
      </c>
      <c r="X454">
        <v>2</v>
      </c>
      <c r="Y454">
        <v>73</v>
      </c>
      <c r="Z454">
        <v>1</v>
      </c>
      <c r="AA454">
        <v>92</v>
      </c>
      <c r="AB454">
        <v>1</v>
      </c>
      <c r="AC454">
        <v>76</v>
      </c>
      <c r="AD454">
        <v>1</v>
      </c>
      <c r="AE454">
        <v>86</v>
      </c>
      <c r="AF454">
        <v>2</v>
      </c>
      <c r="AG454">
        <v>92</v>
      </c>
      <c r="AH454">
        <v>2</v>
      </c>
    </row>
    <row r="455" spans="1:34">
      <c r="A455" t="s">
        <v>1507</v>
      </c>
      <c r="B455" s="24">
        <v>1808</v>
      </c>
      <c r="C455" s="24" t="s">
        <v>1508</v>
      </c>
      <c r="D455" s="24" t="s">
        <v>1509</v>
      </c>
      <c r="E455" s="93">
        <v>86</v>
      </c>
      <c r="F455" s="94">
        <v>4</v>
      </c>
      <c r="G455" s="94">
        <v>95</v>
      </c>
      <c r="H455" s="94">
        <v>4</v>
      </c>
      <c r="I455" s="94">
        <v>86</v>
      </c>
      <c r="J455" s="94">
        <v>4</v>
      </c>
      <c r="K455" s="94">
        <v>90</v>
      </c>
      <c r="L455" s="94">
        <v>2</v>
      </c>
      <c r="M455" s="94">
        <v>80</v>
      </c>
      <c r="N455" s="94">
        <v>2</v>
      </c>
      <c r="O455" s="94">
        <v>79</v>
      </c>
      <c r="P455" s="94">
        <v>2</v>
      </c>
      <c r="Q455">
        <v>92</v>
      </c>
      <c r="R455">
        <v>2</v>
      </c>
      <c r="S455">
        <v>85</v>
      </c>
      <c r="T455">
        <v>2</v>
      </c>
      <c r="U455">
        <v>78</v>
      </c>
      <c r="V455">
        <v>2</v>
      </c>
      <c r="W455">
        <v>94</v>
      </c>
      <c r="X455">
        <v>2</v>
      </c>
      <c r="Y455">
        <v>72</v>
      </c>
      <c r="Z455">
        <v>1</v>
      </c>
      <c r="AA455">
        <v>92</v>
      </c>
      <c r="AB455">
        <v>1</v>
      </c>
      <c r="AC455">
        <v>80</v>
      </c>
      <c r="AD455">
        <v>1</v>
      </c>
      <c r="AE455">
        <v>87</v>
      </c>
      <c r="AF455">
        <v>2</v>
      </c>
      <c r="AG455">
        <v>90</v>
      </c>
      <c r="AH455">
        <v>2</v>
      </c>
    </row>
    <row r="456" spans="1:34">
      <c r="A456" t="s">
        <v>1510</v>
      </c>
      <c r="B456" s="24">
        <v>1808</v>
      </c>
      <c r="C456" s="24" t="s">
        <v>1511</v>
      </c>
      <c r="D456" s="24" t="s">
        <v>1512</v>
      </c>
      <c r="E456" s="93">
        <v>92</v>
      </c>
      <c r="F456" s="94">
        <v>4</v>
      </c>
      <c r="G456" s="94">
        <v>95</v>
      </c>
      <c r="H456" s="94">
        <v>4</v>
      </c>
      <c r="I456" s="94">
        <v>93</v>
      </c>
      <c r="J456" s="94">
        <v>4</v>
      </c>
      <c r="K456" s="94">
        <v>90</v>
      </c>
      <c r="L456" s="94">
        <v>2</v>
      </c>
      <c r="M456" s="94">
        <v>82</v>
      </c>
      <c r="N456" s="94">
        <v>2</v>
      </c>
      <c r="O456" s="94">
        <v>78</v>
      </c>
      <c r="P456" s="94">
        <v>2</v>
      </c>
      <c r="Q456">
        <v>100</v>
      </c>
      <c r="R456">
        <v>2</v>
      </c>
      <c r="S456">
        <v>76</v>
      </c>
      <c r="T456">
        <v>2</v>
      </c>
      <c r="U456">
        <v>79</v>
      </c>
      <c r="V456">
        <v>2</v>
      </c>
      <c r="W456">
        <v>92</v>
      </c>
      <c r="X456">
        <v>2</v>
      </c>
      <c r="Y456">
        <v>74</v>
      </c>
      <c r="Z456">
        <v>1</v>
      </c>
      <c r="AA456">
        <v>92</v>
      </c>
      <c r="AB456">
        <v>1</v>
      </c>
      <c r="AC456">
        <v>80</v>
      </c>
      <c r="AD456">
        <v>1</v>
      </c>
      <c r="AE456">
        <v>85</v>
      </c>
      <c r="AF456">
        <v>2</v>
      </c>
      <c r="AG456">
        <v>90</v>
      </c>
      <c r="AH456">
        <v>2</v>
      </c>
    </row>
    <row r="457" spans="1:34">
      <c r="A457" t="s">
        <v>1513</v>
      </c>
      <c r="B457" s="24">
        <v>1808</v>
      </c>
      <c r="C457" s="24" t="s">
        <v>1514</v>
      </c>
      <c r="D457" s="24" t="s">
        <v>1515</v>
      </c>
      <c r="E457" s="93">
        <v>92</v>
      </c>
      <c r="F457" s="94">
        <v>4</v>
      </c>
      <c r="G457" s="94">
        <v>85</v>
      </c>
      <c r="H457" s="94">
        <v>4</v>
      </c>
      <c r="I457" s="94">
        <v>85</v>
      </c>
      <c r="J457" s="94">
        <v>4</v>
      </c>
      <c r="K457" s="94">
        <v>84</v>
      </c>
      <c r="L457" s="94">
        <v>2</v>
      </c>
      <c r="M457" s="94">
        <v>79</v>
      </c>
      <c r="N457" s="94">
        <v>2</v>
      </c>
      <c r="O457" s="94">
        <v>85</v>
      </c>
      <c r="P457" s="94">
        <v>2</v>
      </c>
      <c r="Q457">
        <v>98</v>
      </c>
      <c r="R457">
        <v>2</v>
      </c>
      <c r="S457">
        <v>88</v>
      </c>
      <c r="T457">
        <v>2</v>
      </c>
      <c r="U457">
        <v>88</v>
      </c>
      <c r="V457">
        <v>2</v>
      </c>
      <c r="W457">
        <v>94</v>
      </c>
      <c r="X457">
        <v>2</v>
      </c>
      <c r="Y457">
        <v>78</v>
      </c>
      <c r="Z457">
        <v>1</v>
      </c>
      <c r="AA457">
        <v>92</v>
      </c>
      <c r="AB457">
        <v>1</v>
      </c>
      <c r="AC457">
        <v>78</v>
      </c>
      <c r="AD457">
        <v>1</v>
      </c>
      <c r="AE457">
        <v>87</v>
      </c>
      <c r="AF457">
        <v>2</v>
      </c>
      <c r="AG457">
        <v>91</v>
      </c>
      <c r="AH457">
        <v>2</v>
      </c>
    </row>
    <row r="458" spans="1:34">
      <c r="A458" t="s">
        <v>1516</v>
      </c>
      <c r="B458" s="24">
        <v>1808</v>
      </c>
      <c r="C458" s="24" t="s">
        <v>1517</v>
      </c>
      <c r="D458" s="24" t="s">
        <v>1518</v>
      </c>
      <c r="E458" s="93">
        <v>88</v>
      </c>
      <c r="F458" s="94">
        <v>4</v>
      </c>
      <c r="G458" s="94">
        <v>85</v>
      </c>
      <c r="H458" s="94">
        <v>4</v>
      </c>
      <c r="I458" s="94">
        <v>96</v>
      </c>
      <c r="J458" s="94">
        <v>4</v>
      </c>
      <c r="K458" s="94">
        <v>84</v>
      </c>
      <c r="L458" s="94">
        <v>2</v>
      </c>
      <c r="M458" s="94">
        <v>72</v>
      </c>
      <c r="N458" s="94">
        <v>2</v>
      </c>
      <c r="O458" s="94">
        <v>78</v>
      </c>
      <c r="P458" s="94">
        <v>2</v>
      </c>
      <c r="Q458">
        <v>90</v>
      </c>
      <c r="R458">
        <v>2</v>
      </c>
      <c r="S458">
        <v>86</v>
      </c>
      <c r="T458">
        <v>2</v>
      </c>
      <c r="U458">
        <v>76</v>
      </c>
      <c r="V458">
        <v>2</v>
      </c>
      <c r="W458">
        <v>90</v>
      </c>
      <c r="X458">
        <v>2</v>
      </c>
      <c r="Y458">
        <v>80</v>
      </c>
      <c r="Z458">
        <v>1</v>
      </c>
      <c r="AA458">
        <v>92</v>
      </c>
      <c r="AB458">
        <v>1</v>
      </c>
      <c r="AC458">
        <v>70</v>
      </c>
      <c r="AD458">
        <v>1</v>
      </c>
      <c r="AE458">
        <v>88</v>
      </c>
      <c r="AF458">
        <v>2</v>
      </c>
      <c r="AG458">
        <v>92</v>
      </c>
      <c r="AH458">
        <v>2</v>
      </c>
    </row>
    <row r="459" spans="1:34">
      <c r="A459" t="s">
        <v>1519</v>
      </c>
      <c r="B459" s="24">
        <v>1809</v>
      </c>
      <c r="C459" s="24" t="s">
        <v>1520</v>
      </c>
      <c r="D459" s="24" t="s">
        <v>150</v>
      </c>
      <c r="E459" s="93">
        <v>87</v>
      </c>
      <c r="F459" s="94">
        <v>4</v>
      </c>
      <c r="G459" s="94">
        <v>95</v>
      </c>
      <c r="H459" s="94">
        <v>4</v>
      </c>
      <c r="I459" s="94">
        <v>92</v>
      </c>
      <c r="J459" s="94">
        <v>4</v>
      </c>
      <c r="K459" s="94">
        <v>91</v>
      </c>
      <c r="L459" s="94">
        <v>2</v>
      </c>
      <c r="M459" s="94">
        <v>97</v>
      </c>
      <c r="N459" s="94">
        <v>2</v>
      </c>
      <c r="O459" s="94">
        <v>95</v>
      </c>
      <c r="P459" s="94">
        <v>2</v>
      </c>
      <c r="Q459">
        <v>98</v>
      </c>
      <c r="R459">
        <v>2</v>
      </c>
      <c r="S459">
        <v>91</v>
      </c>
      <c r="T459">
        <v>2</v>
      </c>
      <c r="U459">
        <v>88</v>
      </c>
      <c r="V459">
        <v>2</v>
      </c>
      <c r="W459">
        <v>98</v>
      </c>
      <c r="X459">
        <v>2</v>
      </c>
      <c r="Y459">
        <v>70</v>
      </c>
      <c r="Z459">
        <v>1</v>
      </c>
      <c r="AA459">
        <v>91</v>
      </c>
      <c r="AB459">
        <v>1</v>
      </c>
      <c r="AC459">
        <v>68</v>
      </c>
      <c r="AD459">
        <v>1</v>
      </c>
      <c r="AE459">
        <v>86</v>
      </c>
      <c r="AF459">
        <v>2</v>
      </c>
      <c r="AG459">
        <v>95</v>
      </c>
      <c r="AH459">
        <v>2</v>
      </c>
    </row>
    <row r="460" spans="1:34">
      <c r="A460" t="s">
        <v>1521</v>
      </c>
      <c r="B460" s="24">
        <v>1809</v>
      </c>
      <c r="C460" s="24" t="s">
        <v>1522</v>
      </c>
      <c r="D460" s="24" t="s">
        <v>42</v>
      </c>
      <c r="E460" s="93">
        <v>90</v>
      </c>
      <c r="F460" s="94">
        <v>4</v>
      </c>
      <c r="G460" s="94">
        <v>96</v>
      </c>
      <c r="H460" s="94">
        <v>4</v>
      </c>
      <c r="I460" s="94">
        <v>93</v>
      </c>
      <c r="J460" s="94">
        <v>4</v>
      </c>
      <c r="K460" s="94">
        <v>95</v>
      </c>
      <c r="L460" s="94">
        <v>2</v>
      </c>
      <c r="M460" s="94">
        <v>90</v>
      </c>
      <c r="N460" s="94">
        <v>2</v>
      </c>
      <c r="O460" s="94">
        <v>95</v>
      </c>
      <c r="P460" s="94">
        <v>2</v>
      </c>
      <c r="Q460">
        <v>99</v>
      </c>
      <c r="R460">
        <v>2</v>
      </c>
      <c r="S460">
        <v>90</v>
      </c>
      <c r="T460">
        <v>2</v>
      </c>
      <c r="U460">
        <v>86</v>
      </c>
      <c r="V460">
        <v>2</v>
      </c>
      <c r="W460">
        <v>99</v>
      </c>
      <c r="X460">
        <v>2</v>
      </c>
      <c r="Y460">
        <v>78</v>
      </c>
      <c r="Z460">
        <v>1</v>
      </c>
      <c r="AA460">
        <v>91</v>
      </c>
      <c r="AB460">
        <v>1</v>
      </c>
      <c r="AC460">
        <v>72</v>
      </c>
      <c r="AD460">
        <v>1</v>
      </c>
      <c r="AE460">
        <v>86</v>
      </c>
      <c r="AF460">
        <v>2</v>
      </c>
      <c r="AG460">
        <v>96</v>
      </c>
      <c r="AH460">
        <v>2</v>
      </c>
    </row>
    <row r="461" spans="1:34">
      <c r="A461" t="s">
        <v>1523</v>
      </c>
      <c r="B461" s="24">
        <v>1809</v>
      </c>
      <c r="C461" s="24" t="s">
        <v>1524</v>
      </c>
      <c r="D461" s="24" t="s">
        <v>108</v>
      </c>
      <c r="E461" s="93">
        <v>95</v>
      </c>
      <c r="F461" s="94">
        <v>4</v>
      </c>
      <c r="G461" s="94">
        <v>99</v>
      </c>
      <c r="H461" s="94">
        <v>4</v>
      </c>
      <c r="I461" s="94">
        <v>95</v>
      </c>
      <c r="J461" s="94">
        <v>4</v>
      </c>
      <c r="K461" s="94">
        <v>99</v>
      </c>
      <c r="L461" s="94">
        <v>2</v>
      </c>
      <c r="M461" s="94">
        <v>95</v>
      </c>
      <c r="N461" s="94">
        <v>2</v>
      </c>
      <c r="O461" s="94">
        <v>96</v>
      </c>
      <c r="P461" s="94">
        <v>2</v>
      </c>
      <c r="Q461">
        <v>91</v>
      </c>
      <c r="R461">
        <v>2</v>
      </c>
      <c r="S461">
        <v>91</v>
      </c>
      <c r="T461">
        <v>2</v>
      </c>
      <c r="U461">
        <v>82</v>
      </c>
      <c r="V461">
        <v>2</v>
      </c>
      <c r="W461">
        <v>90</v>
      </c>
      <c r="X461">
        <v>2</v>
      </c>
      <c r="Y461">
        <v>80</v>
      </c>
      <c r="Z461">
        <v>1</v>
      </c>
      <c r="AA461">
        <v>91</v>
      </c>
      <c r="AB461">
        <v>1</v>
      </c>
      <c r="AC461">
        <v>80</v>
      </c>
      <c r="AD461">
        <v>1</v>
      </c>
      <c r="AE461">
        <v>87</v>
      </c>
      <c r="AF461">
        <v>2</v>
      </c>
      <c r="AG461">
        <v>95</v>
      </c>
      <c r="AH461">
        <v>2</v>
      </c>
    </row>
    <row r="462" spans="1:34">
      <c r="A462" t="s">
        <v>541</v>
      </c>
      <c r="B462" s="24">
        <v>1809</v>
      </c>
      <c r="C462" s="24" t="s">
        <v>1526</v>
      </c>
      <c r="D462" s="24" t="s">
        <v>97</v>
      </c>
      <c r="E462" s="93">
        <v>91</v>
      </c>
      <c r="F462" s="94">
        <v>4</v>
      </c>
      <c r="G462" s="94">
        <v>100</v>
      </c>
      <c r="H462" s="94">
        <v>4</v>
      </c>
      <c r="I462" s="94">
        <v>91</v>
      </c>
      <c r="J462" s="94">
        <v>4</v>
      </c>
      <c r="K462" s="94">
        <v>95</v>
      </c>
      <c r="L462" s="94">
        <v>2</v>
      </c>
      <c r="M462" s="94">
        <v>96</v>
      </c>
      <c r="N462" s="94">
        <v>2</v>
      </c>
      <c r="O462" s="94">
        <v>92</v>
      </c>
      <c r="P462" s="94">
        <v>2</v>
      </c>
      <c r="Q462">
        <v>93</v>
      </c>
      <c r="R462">
        <v>2</v>
      </c>
      <c r="S462">
        <v>90</v>
      </c>
      <c r="T462">
        <v>2</v>
      </c>
      <c r="U462">
        <v>86</v>
      </c>
      <c r="V462">
        <v>2</v>
      </c>
      <c r="W462">
        <v>96</v>
      </c>
      <c r="X462">
        <v>2</v>
      </c>
      <c r="Y462">
        <v>76</v>
      </c>
      <c r="Z462">
        <v>1</v>
      </c>
      <c r="AA462">
        <v>91</v>
      </c>
      <c r="AB462">
        <v>1</v>
      </c>
      <c r="AC462">
        <v>76</v>
      </c>
      <c r="AD462">
        <v>1</v>
      </c>
      <c r="AE462">
        <v>84</v>
      </c>
      <c r="AF462">
        <v>2</v>
      </c>
      <c r="AG462">
        <v>94</v>
      </c>
      <c r="AH462">
        <v>2</v>
      </c>
    </row>
    <row r="463" spans="1:34">
      <c r="A463" t="s">
        <v>1528</v>
      </c>
      <c r="B463" s="24">
        <v>1809</v>
      </c>
      <c r="C463" s="24" t="s">
        <v>1529</v>
      </c>
      <c r="D463" s="24" t="s">
        <v>86</v>
      </c>
      <c r="E463" s="93">
        <v>95</v>
      </c>
      <c r="F463" s="94">
        <v>4</v>
      </c>
      <c r="G463" s="94">
        <v>95</v>
      </c>
      <c r="H463" s="94">
        <v>4</v>
      </c>
      <c r="I463" s="94">
        <v>98</v>
      </c>
      <c r="J463" s="94">
        <v>4</v>
      </c>
      <c r="K463" s="94">
        <v>99</v>
      </c>
      <c r="L463" s="94">
        <v>2</v>
      </c>
      <c r="M463" s="94">
        <v>95</v>
      </c>
      <c r="N463" s="94">
        <v>2</v>
      </c>
      <c r="O463" s="94">
        <v>96</v>
      </c>
      <c r="P463" s="94">
        <v>2</v>
      </c>
      <c r="Q463">
        <v>100</v>
      </c>
      <c r="R463">
        <v>2</v>
      </c>
      <c r="S463">
        <v>92</v>
      </c>
      <c r="T463">
        <v>2</v>
      </c>
      <c r="U463">
        <v>85</v>
      </c>
      <c r="V463">
        <v>2</v>
      </c>
      <c r="W463">
        <v>100</v>
      </c>
      <c r="X463">
        <v>2</v>
      </c>
      <c r="Y463">
        <v>80</v>
      </c>
      <c r="Z463">
        <v>1</v>
      </c>
      <c r="AA463">
        <v>91</v>
      </c>
      <c r="AB463">
        <v>1</v>
      </c>
      <c r="AC463">
        <v>73</v>
      </c>
      <c r="AD463">
        <v>1</v>
      </c>
      <c r="AE463">
        <v>90</v>
      </c>
      <c r="AF463">
        <v>2</v>
      </c>
      <c r="AG463">
        <v>92</v>
      </c>
      <c r="AH463">
        <v>2</v>
      </c>
    </row>
    <row r="464" spans="1:34">
      <c r="A464" t="s">
        <v>1639</v>
      </c>
      <c r="B464" s="24">
        <v>1809</v>
      </c>
      <c r="C464" s="24" t="s">
        <v>1531</v>
      </c>
      <c r="D464" s="24" t="s">
        <v>160</v>
      </c>
      <c r="E464" s="93">
        <v>87</v>
      </c>
      <c r="F464" s="94">
        <v>4</v>
      </c>
      <c r="G464" s="94">
        <v>98</v>
      </c>
      <c r="H464" s="94">
        <v>4</v>
      </c>
      <c r="I464" s="94">
        <v>90</v>
      </c>
      <c r="J464" s="94">
        <v>4</v>
      </c>
      <c r="K464" s="94">
        <v>95</v>
      </c>
      <c r="L464" s="94">
        <v>2</v>
      </c>
      <c r="M464" s="94">
        <v>92</v>
      </c>
      <c r="N464" s="94">
        <v>2</v>
      </c>
      <c r="O464" s="94">
        <v>92</v>
      </c>
      <c r="P464" s="94">
        <v>2</v>
      </c>
      <c r="Q464">
        <v>93</v>
      </c>
      <c r="R464">
        <v>2</v>
      </c>
      <c r="S464">
        <v>91</v>
      </c>
      <c r="T464">
        <v>2</v>
      </c>
      <c r="U464">
        <v>82</v>
      </c>
      <c r="V464">
        <v>2</v>
      </c>
      <c r="W464">
        <v>91</v>
      </c>
      <c r="X464">
        <v>2</v>
      </c>
      <c r="Y464">
        <v>78</v>
      </c>
      <c r="Z464">
        <v>1</v>
      </c>
      <c r="AA464">
        <v>91</v>
      </c>
      <c r="AB464">
        <v>1</v>
      </c>
      <c r="AC464">
        <v>75</v>
      </c>
      <c r="AD464">
        <v>1</v>
      </c>
      <c r="AE464">
        <v>82</v>
      </c>
      <c r="AF464">
        <v>2</v>
      </c>
      <c r="AG464">
        <v>93</v>
      </c>
      <c r="AH464">
        <v>2</v>
      </c>
    </row>
    <row r="465" spans="1:34">
      <c r="A465" t="s">
        <v>1202</v>
      </c>
      <c r="B465" s="24">
        <v>1809</v>
      </c>
      <c r="C465" s="24" t="s">
        <v>1533</v>
      </c>
      <c r="D465" s="24" t="s">
        <v>174</v>
      </c>
      <c r="E465" s="93">
        <v>96</v>
      </c>
      <c r="F465" s="94">
        <v>4</v>
      </c>
      <c r="G465" s="94">
        <v>99</v>
      </c>
      <c r="H465" s="94">
        <v>4</v>
      </c>
      <c r="I465" s="94">
        <v>90</v>
      </c>
      <c r="J465" s="94">
        <v>4</v>
      </c>
      <c r="K465" s="94">
        <v>95</v>
      </c>
      <c r="L465" s="94">
        <v>2</v>
      </c>
      <c r="M465" s="94">
        <v>93</v>
      </c>
      <c r="N465" s="94">
        <v>2</v>
      </c>
      <c r="O465" s="94">
        <v>96</v>
      </c>
      <c r="P465" s="94">
        <v>2</v>
      </c>
      <c r="Q465">
        <v>99</v>
      </c>
      <c r="R465">
        <v>2</v>
      </c>
      <c r="S465">
        <v>90</v>
      </c>
      <c r="T465">
        <v>2</v>
      </c>
      <c r="U465">
        <v>79</v>
      </c>
      <c r="V465">
        <v>2</v>
      </c>
      <c r="W465">
        <v>93</v>
      </c>
      <c r="X465">
        <v>2</v>
      </c>
      <c r="Y465">
        <v>82</v>
      </c>
      <c r="Z465">
        <v>1</v>
      </c>
      <c r="AA465">
        <v>91</v>
      </c>
      <c r="AB465">
        <v>1</v>
      </c>
      <c r="AC465">
        <v>76</v>
      </c>
      <c r="AD465">
        <v>1</v>
      </c>
      <c r="AE465">
        <v>82</v>
      </c>
      <c r="AF465">
        <v>2</v>
      </c>
      <c r="AG465">
        <v>90</v>
      </c>
      <c r="AH465">
        <v>2</v>
      </c>
    </row>
    <row r="466" spans="1:34">
      <c r="A466" t="s">
        <v>1530</v>
      </c>
      <c r="B466" s="24">
        <v>1809</v>
      </c>
      <c r="C466" s="24" t="s">
        <v>1535</v>
      </c>
      <c r="D466" s="24" t="s">
        <v>106</v>
      </c>
      <c r="E466" s="93">
        <v>90</v>
      </c>
      <c r="F466" s="94">
        <v>4</v>
      </c>
      <c r="G466" s="94">
        <v>99</v>
      </c>
      <c r="H466" s="94">
        <v>4</v>
      </c>
      <c r="I466" s="94">
        <v>90</v>
      </c>
      <c r="J466" s="94">
        <v>4</v>
      </c>
      <c r="K466" s="94">
        <v>95</v>
      </c>
      <c r="L466" s="94">
        <v>2</v>
      </c>
      <c r="M466" s="94">
        <v>97</v>
      </c>
      <c r="N466" s="94">
        <v>2</v>
      </c>
      <c r="O466" s="94">
        <v>96</v>
      </c>
      <c r="P466" s="94">
        <v>2</v>
      </c>
      <c r="Q466">
        <v>99</v>
      </c>
      <c r="R466">
        <v>2</v>
      </c>
      <c r="S466">
        <v>92</v>
      </c>
      <c r="T466">
        <v>2</v>
      </c>
      <c r="U466">
        <v>83</v>
      </c>
      <c r="V466">
        <v>2</v>
      </c>
      <c r="W466">
        <v>96</v>
      </c>
      <c r="X466">
        <v>2</v>
      </c>
      <c r="Y466">
        <v>79</v>
      </c>
      <c r="Z466">
        <v>1</v>
      </c>
      <c r="AA466">
        <v>91</v>
      </c>
      <c r="AB466">
        <v>1</v>
      </c>
      <c r="AC466">
        <v>72</v>
      </c>
      <c r="AD466">
        <v>1</v>
      </c>
      <c r="AE466">
        <v>85</v>
      </c>
      <c r="AF466">
        <v>2</v>
      </c>
      <c r="AG466">
        <v>95</v>
      </c>
      <c r="AH466">
        <v>2</v>
      </c>
    </row>
    <row r="467" spans="1:34">
      <c r="A467" t="s">
        <v>1532</v>
      </c>
      <c r="B467" s="24">
        <v>1809</v>
      </c>
      <c r="C467" s="24" t="s">
        <v>1537</v>
      </c>
      <c r="D467" s="24" t="s">
        <v>91</v>
      </c>
      <c r="E467" s="93">
        <v>96</v>
      </c>
      <c r="F467" s="94">
        <v>4</v>
      </c>
      <c r="G467" s="94">
        <v>97</v>
      </c>
      <c r="H467" s="94">
        <v>4</v>
      </c>
      <c r="I467" s="94">
        <v>93</v>
      </c>
      <c r="J467" s="94">
        <v>4</v>
      </c>
      <c r="K467" s="94">
        <v>95</v>
      </c>
      <c r="L467" s="94">
        <v>2</v>
      </c>
      <c r="M467" s="94">
        <v>97</v>
      </c>
      <c r="N467" s="94">
        <v>2</v>
      </c>
      <c r="O467" s="94">
        <v>96</v>
      </c>
      <c r="P467" s="94">
        <v>2</v>
      </c>
      <c r="Q467">
        <v>100</v>
      </c>
      <c r="R467">
        <v>2</v>
      </c>
      <c r="S467">
        <v>90</v>
      </c>
      <c r="T467">
        <v>2</v>
      </c>
      <c r="U467">
        <v>88</v>
      </c>
      <c r="V467">
        <v>2</v>
      </c>
      <c r="W467">
        <v>100</v>
      </c>
      <c r="X467">
        <v>2</v>
      </c>
      <c r="Y467">
        <v>80</v>
      </c>
      <c r="Z467">
        <v>1</v>
      </c>
      <c r="AA467">
        <v>91</v>
      </c>
      <c r="AB467">
        <v>1</v>
      </c>
      <c r="AC467">
        <v>73</v>
      </c>
      <c r="AD467">
        <v>1</v>
      </c>
      <c r="AE467">
        <v>86</v>
      </c>
      <c r="AF467">
        <v>2</v>
      </c>
      <c r="AG467">
        <v>92</v>
      </c>
      <c r="AH467">
        <v>2</v>
      </c>
    </row>
    <row r="468" spans="1:34">
      <c r="A468" t="s">
        <v>1641</v>
      </c>
      <c r="B468" s="24">
        <v>1809</v>
      </c>
      <c r="C468" s="24" t="s">
        <v>1540</v>
      </c>
      <c r="D468" s="24" t="s">
        <v>137</v>
      </c>
      <c r="E468" s="93">
        <v>87</v>
      </c>
      <c r="F468" s="94">
        <v>4</v>
      </c>
      <c r="G468" s="94">
        <v>96</v>
      </c>
      <c r="H468" s="94">
        <v>4</v>
      </c>
      <c r="I468" s="94">
        <v>92</v>
      </c>
      <c r="J468" s="94">
        <v>4</v>
      </c>
      <c r="K468" s="94">
        <v>96</v>
      </c>
      <c r="L468" s="94">
        <v>2</v>
      </c>
      <c r="M468" s="94">
        <v>97</v>
      </c>
      <c r="N468" s="94">
        <v>2</v>
      </c>
      <c r="O468" s="94">
        <v>94</v>
      </c>
      <c r="P468" s="94">
        <v>2</v>
      </c>
      <c r="Q468">
        <v>92</v>
      </c>
      <c r="R468">
        <v>2</v>
      </c>
      <c r="S468">
        <v>91</v>
      </c>
      <c r="T468">
        <v>2</v>
      </c>
      <c r="U468">
        <v>90</v>
      </c>
      <c r="V468">
        <v>2</v>
      </c>
      <c r="W468">
        <v>94</v>
      </c>
      <c r="X468">
        <v>2</v>
      </c>
      <c r="Y468">
        <v>83</v>
      </c>
      <c r="Z468">
        <v>1</v>
      </c>
      <c r="AA468">
        <v>91</v>
      </c>
      <c r="AB468">
        <v>1</v>
      </c>
      <c r="AC468">
        <v>72</v>
      </c>
      <c r="AD468">
        <v>1</v>
      </c>
      <c r="AE468">
        <v>86</v>
      </c>
      <c r="AF468">
        <v>2</v>
      </c>
      <c r="AG468">
        <v>94</v>
      </c>
      <c r="AH468">
        <v>2</v>
      </c>
    </row>
    <row r="469" spans="1:34">
      <c r="A469" t="s">
        <v>1536</v>
      </c>
      <c r="B469" s="24">
        <v>1809</v>
      </c>
      <c r="C469" s="24" t="s">
        <v>1543</v>
      </c>
      <c r="D469" s="24" t="s">
        <v>1538</v>
      </c>
      <c r="E469" s="93">
        <v>90</v>
      </c>
      <c r="F469" s="94">
        <v>4</v>
      </c>
      <c r="G469" s="94">
        <v>94</v>
      </c>
      <c r="H469" s="94">
        <v>4</v>
      </c>
      <c r="I469" s="94">
        <v>94</v>
      </c>
      <c r="J469" s="94">
        <v>4</v>
      </c>
      <c r="K469" s="94">
        <v>91</v>
      </c>
      <c r="L469" s="94">
        <v>2</v>
      </c>
      <c r="M469" s="94">
        <v>97</v>
      </c>
      <c r="N469" s="94">
        <v>2</v>
      </c>
      <c r="O469" s="94">
        <v>94</v>
      </c>
      <c r="P469" s="94">
        <v>2</v>
      </c>
      <c r="Q469">
        <v>98</v>
      </c>
      <c r="R469">
        <v>2</v>
      </c>
      <c r="S469">
        <v>92</v>
      </c>
      <c r="T469">
        <v>2</v>
      </c>
      <c r="U469">
        <v>86</v>
      </c>
      <c r="V469">
        <v>2</v>
      </c>
      <c r="W469">
        <v>92</v>
      </c>
      <c r="X469">
        <v>2</v>
      </c>
      <c r="Y469">
        <v>80</v>
      </c>
      <c r="Z469">
        <v>1</v>
      </c>
      <c r="AA469">
        <v>91</v>
      </c>
      <c r="AB469">
        <v>1</v>
      </c>
      <c r="AC469">
        <v>72</v>
      </c>
      <c r="AD469">
        <v>1</v>
      </c>
      <c r="AE469">
        <v>84</v>
      </c>
      <c r="AF469">
        <v>2</v>
      </c>
      <c r="AG469">
        <v>93</v>
      </c>
      <c r="AH469">
        <v>2</v>
      </c>
    </row>
    <row r="470" spans="1:34">
      <c r="A470" t="s">
        <v>2295</v>
      </c>
      <c r="B470" s="24">
        <v>1809</v>
      </c>
      <c r="C470" s="24" t="s">
        <v>1545</v>
      </c>
      <c r="D470" s="24" t="s">
        <v>8</v>
      </c>
      <c r="E470" s="93">
        <v>94</v>
      </c>
      <c r="F470" s="94">
        <v>4</v>
      </c>
      <c r="G470" s="94">
        <v>95</v>
      </c>
      <c r="H470" s="94">
        <v>4</v>
      </c>
      <c r="I470" s="94">
        <v>93</v>
      </c>
      <c r="J470" s="94">
        <v>4</v>
      </c>
      <c r="K470" s="94">
        <v>93</v>
      </c>
      <c r="L470" s="94">
        <v>2</v>
      </c>
      <c r="M470" s="94">
        <v>90</v>
      </c>
      <c r="N470" s="94">
        <v>2</v>
      </c>
      <c r="O470" s="94">
        <v>96</v>
      </c>
      <c r="P470" s="94">
        <v>2</v>
      </c>
      <c r="Q470">
        <v>99</v>
      </c>
      <c r="R470">
        <v>2</v>
      </c>
      <c r="S470">
        <v>91</v>
      </c>
      <c r="T470">
        <v>2</v>
      </c>
      <c r="U470">
        <v>86</v>
      </c>
      <c r="V470">
        <v>2</v>
      </c>
      <c r="W470">
        <v>95</v>
      </c>
      <c r="X470">
        <v>2</v>
      </c>
      <c r="Y470">
        <v>82</v>
      </c>
      <c r="Z470">
        <v>1</v>
      </c>
      <c r="AA470">
        <v>91</v>
      </c>
      <c r="AB470">
        <v>1</v>
      </c>
      <c r="AC470">
        <v>68</v>
      </c>
      <c r="AD470">
        <v>1</v>
      </c>
      <c r="AE470">
        <v>89</v>
      </c>
      <c r="AF470">
        <v>2</v>
      </c>
      <c r="AG470">
        <v>90</v>
      </c>
      <c r="AH470">
        <v>2</v>
      </c>
    </row>
    <row r="471" spans="1:34">
      <c r="A471" t="s">
        <v>387</v>
      </c>
      <c r="B471" s="24">
        <v>1809</v>
      </c>
      <c r="C471" s="24" t="s">
        <v>1547</v>
      </c>
      <c r="D471" s="24" t="s">
        <v>111</v>
      </c>
      <c r="E471" s="93">
        <v>89</v>
      </c>
      <c r="F471" s="94">
        <v>4</v>
      </c>
      <c r="G471" s="94">
        <v>97</v>
      </c>
      <c r="H471" s="94">
        <v>4</v>
      </c>
      <c r="I471" s="94">
        <v>91</v>
      </c>
      <c r="J471" s="94">
        <v>4</v>
      </c>
      <c r="K471" s="94">
        <v>95</v>
      </c>
      <c r="L471" s="94">
        <v>2</v>
      </c>
      <c r="M471" s="94">
        <v>90</v>
      </c>
      <c r="N471" s="94">
        <v>2</v>
      </c>
      <c r="O471" s="94">
        <v>95</v>
      </c>
      <c r="P471" s="94">
        <v>2</v>
      </c>
      <c r="Q471">
        <v>90</v>
      </c>
      <c r="R471">
        <v>2</v>
      </c>
      <c r="S471">
        <v>88</v>
      </c>
      <c r="T471">
        <v>2</v>
      </c>
      <c r="U471">
        <v>78</v>
      </c>
      <c r="V471">
        <v>2</v>
      </c>
      <c r="W471">
        <v>90</v>
      </c>
      <c r="X471">
        <v>2</v>
      </c>
      <c r="Y471">
        <v>80</v>
      </c>
      <c r="Z471">
        <v>1</v>
      </c>
      <c r="AA471">
        <v>91</v>
      </c>
      <c r="AB471">
        <v>1</v>
      </c>
      <c r="AC471">
        <v>68</v>
      </c>
      <c r="AD471">
        <v>1</v>
      </c>
      <c r="AE471">
        <v>79</v>
      </c>
      <c r="AF471">
        <v>2</v>
      </c>
      <c r="AG471">
        <v>91</v>
      </c>
      <c r="AH471">
        <v>2</v>
      </c>
    </row>
    <row r="472" spans="1:34">
      <c r="A472" t="s">
        <v>891</v>
      </c>
      <c r="B472" s="24">
        <v>1809</v>
      </c>
      <c r="C472" s="24" t="s">
        <v>1549</v>
      </c>
      <c r="D472" s="24" t="s">
        <v>61</v>
      </c>
      <c r="E472" s="93">
        <v>89</v>
      </c>
      <c r="F472" s="94">
        <v>4</v>
      </c>
      <c r="G472" s="94">
        <v>99</v>
      </c>
      <c r="H472" s="94">
        <v>4</v>
      </c>
      <c r="I472" s="94">
        <v>94</v>
      </c>
      <c r="J472" s="94">
        <v>4</v>
      </c>
      <c r="K472" s="94">
        <v>99</v>
      </c>
      <c r="L472" s="94">
        <v>2</v>
      </c>
      <c r="M472" s="94">
        <v>97</v>
      </c>
      <c r="N472" s="94">
        <v>2</v>
      </c>
      <c r="O472" s="94">
        <v>95</v>
      </c>
      <c r="P472" s="94">
        <v>2</v>
      </c>
      <c r="Q472">
        <v>97</v>
      </c>
      <c r="R472">
        <v>2</v>
      </c>
      <c r="S472">
        <v>91</v>
      </c>
      <c r="T472">
        <v>2</v>
      </c>
      <c r="U472">
        <v>88</v>
      </c>
      <c r="V472">
        <v>2</v>
      </c>
      <c r="W472">
        <v>99</v>
      </c>
      <c r="X472">
        <v>2</v>
      </c>
      <c r="Y472">
        <v>79</v>
      </c>
      <c r="Z472">
        <v>1</v>
      </c>
      <c r="AA472">
        <v>91</v>
      </c>
      <c r="AB472">
        <v>1</v>
      </c>
      <c r="AC472">
        <v>70</v>
      </c>
      <c r="AD472">
        <v>1</v>
      </c>
      <c r="AE472">
        <v>50</v>
      </c>
      <c r="AF472">
        <v>1</v>
      </c>
      <c r="AG472">
        <v>90</v>
      </c>
      <c r="AH472">
        <v>2</v>
      </c>
    </row>
    <row r="473" spans="1:34">
      <c r="A473" t="s">
        <v>1383</v>
      </c>
      <c r="B473" s="24">
        <v>1809</v>
      </c>
      <c r="C473" s="24" t="s">
        <v>1551</v>
      </c>
      <c r="D473" s="24" t="s">
        <v>57</v>
      </c>
      <c r="E473" s="93">
        <v>88</v>
      </c>
      <c r="F473" s="94">
        <v>4</v>
      </c>
      <c r="G473" s="94">
        <v>99</v>
      </c>
      <c r="H473" s="94">
        <v>4</v>
      </c>
      <c r="I473" s="94">
        <v>90</v>
      </c>
      <c r="J473" s="94">
        <v>4</v>
      </c>
      <c r="K473" s="94">
        <v>95</v>
      </c>
      <c r="L473" s="94">
        <v>2</v>
      </c>
      <c r="M473" s="94">
        <v>91</v>
      </c>
      <c r="N473" s="94">
        <v>2</v>
      </c>
      <c r="O473" s="94">
        <v>93</v>
      </c>
      <c r="P473" s="94">
        <v>2</v>
      </c>
      <c r="Q473">
        <v>96</v>
      </c>
      <c r="R473">
        <v>2</v>
      </c>
      <c r="S473">
        <v>92</v>
      </c>
      <c r="T473">
        <v>2</v>
      </c>
      <c r="U473">
        <v>78</v>
      </c>
      <c r="V473">
        <v>2</v>
      </c>
      <c r="W473">
        <v>92</v>
      </c>
      <c r="X473">
        <v>2</v>
      </c>
      <c r="Y473">
        <v>80</v>
      </c>
      <c r="Z473">
        <v>1</v>
      </c>
      <c r="AA473">
        <v>91</v>
      </c>
      <c r="AB473">
        <v>1</v>
      </c>
      <c r="AC473">
        <v>60</v>
      </c>
      <c r="AD473">
        <v>1</v>
      </c>
      <c r="AE473">
        <v>84</v>
      </c>
      <c r="AF473">
        <v>2</v>
      </c>
      <c r="AG473">
        <v>90</v>
      </c>
      <c r="AH473">
        <v>2</v>
      </c>
    </row>
    <row r="474" spans="1:34">
      <c r="A474" t="s">
        <v>1544</v>
      </c>
      <c r="B474" s="24">
        <v>1809</v>
      </c>
      <c r="C474" s="24" t="s">
        <v>1554</v>
      </c>
      <c r="D474" s="24" t="s">
        <v>22</v>
      </c>
      <c r="E474" s="93">
        <v>91</v>
      </c>
      <c r="F474" s="94">
        <v>4</v>
      </c>
      <c r="G474" s="94">
        <v>98</v>
      </c>
      <c r="H474" s="94">
        <v>4</v>
      </c>
      <c r="I474" s="94">
        <v>92</v>
      </c>
      <c r="J474" s="94">
        <v>4</v>
      </c>
      <c r="K474" s="94">
        <v>96</v>
      </c>
      <c r="L474" s="94">
        <v>2</v>
      </c>
      <c r="M474" s="94">
        <v>96</v>
      </c>
      <c r="N474" s="94">
        <v>2</v>
      </c>
      <c r="O474" s="94">
        <v>95</v>
      </c>
      <c r="P474" s="94">
        <v>2</v>
      </c>
      <c r="Q474">
        <v>91</v>
      </c>
      <c r="R474">
        <v>2</v>
      </c>
      <c r="S474">
        <v>90</v>
      </c>
      <c r="T474">
        <v>2</v>
      </c>
      <c r="U474">
        <v>88</v>
      </c>
      <c r="V474">
        <v>2</v>
      </c>
      <c r="W474">
        <v>100</v>
      </c>
      <c r="X474">
        <v>2</v>
      </c>
      <c r="Y474">
        <v>82</v>
      </c>
      <c r="Z474">
        <v>1</v>
      </c>
      <c r="AA474">
        <v>91</v>
      </c>
      <c r="AB474">
        <v>1</v>
      </c>
      <c r="AC474">
        <v>84</v>
      </c>
      <c r="AD474">
        <v>1</v>
      </c>
      <c r="AE474">
        <v>89</v>
      </c>
      <c r="AF474">
        <v>2</v>
      </c>
      <c r="AG474">
        <v>90</v>
      </c>
      <c r="AH474">
        <v>2</v>
      </c>
    </row>
    <row r="475" spans="1:34">
      <c r="A475" t="s">
        <v>1546</v>
      </c>
      <c r="B475" s="24">
        <v>1809</v>
      </c>
      <c r="C475" s="24" t="s">
        <v>1556</v>
      </c>
      <c r="D475" s="24" t="s">
        <v>152</v>
      </c>
      <c r="E475" s="93">
        <v>96</v>
      </c>
      <c r="F475" s="94">
        <v>4</v>
      </c>
      <c r="G475" s="94">
        <v>95</v>
      </c>
      <c r="H475" s="94">
        <v>4</v>
      </c>
      <c r="I475" s="94">
        <v>94</v>
      </c>
      <c r="J475" s="94">
        <v>4</v>
      </c>
      <c r="K475" s="94">
        <v>95</v>
      </c>
      <c r="L475" s="94">
        <v>2</v>
      </c>
      <c r="M475" s="94">
        <v>92</v>
      </c>
      <c r="N475" s="94">
        <v>2</v>
      </c>
      <c r="O475" s="94">
        <v>96</v>
      </c>
      <c r="P475" s="94">
        <v>2</v>
      </c>
      <c r="Q475">
        <v>100</v>
      </c>
      <c r="R475">
        <v>2</v>
      </c>
      <c r="S475">
        <v>92</v>
      </c>
      <c r="T475">
        <v>2</v>
      </c>
      <c r="U475">
        <v>81</v>
      </c>
      <c r="V475">
        <v>2</v>
      </c>
      <c r="W475">
        <v>93</v>
      </c>
      <c r="X475">
        <v>2</v>
      </c>
      <c r="Y475">
        <v>83</v>
      </c>
      <c r="Z475">
        <v>1</v>
      </c>
      <c r="AA475">
        <v>91</v>
      </c>
      <c r="AB475">
        <v>1</v>
      </c>
      <c r="AC475">
        <v>68</v>
      </c>
      <c r="AD475">
        <v>1</v>
      </c>
      <c r="AE475">
        <v>85</v>
      </c>
      <c r="AF475">
        <v>2</v>
      </c>
      <c r="AG475">
        <v>93</v>
      </c>
      <c r="AH475">
        <v>2</v>
      </c>
    </row>
    <row r="476" spans="1:34">
      <c r="A476" t="s">
        <v>2155</v>
      </c>
      <c r="B476" s="24">
        <v>1809</v>
      </c>
      <c r="C476" s="24" t="s">
        <v>1558</v>
      </c>
      <c r="D476" s="24" t="s">
        <v>169</v>
      </c>
      <c r="E476" s="93">
        <v>94</v>
      </c>
      <c r="F476" s="94">
        <v>4</v>
      </c>
      <c r="G476" s="94">
        <v>97</v>
      </c>
      <c r="H476" s="94">
        <v>4</v>
      </c>
      <c r="I476" s="94">
        <v>93</v>
      </c>
      <c r="J476" s="94">
        <v>4</v>
      </c>
      <c r="K476" s="94">
        <v>95</v>
      </c>
      <c r="L476" s="94">
        <v>2</v>
      </c>
      <c r="M476" s="94">
        <v>93</v>
      </c>
      <c r="N476" s="94">
        <v>2</v>
      </c>
      <c r="O476" s="94">
        <v>92</v>
      </c>
      <c r="P476" s="94">
        <v>2</v>
      </c>
      <c r="Q476">
        <v>94</v>
      </c>
      <c r="R476">
        <v>2</v>
      </c>
      <c r="S476">
        <v>90</v>
      </c>
      <c r="T476">
        <v>2</v>
      </c>
      <c r="U476">
        <v>76</v>
      </c>
      <c r="V476">
        <v>2</v>
      </c>
      <c r="W476">
        <v>94</v>
      </c>
      <c r="X476">
        <v>2</v>
      </c>
      <c r="Y476">
        <v>79</v>
      </c>
      <c r="Z476">
        <v>1</v>
      </c>
      <c r="AA476">
        <v>91</v>
      </c>
      <c r="AB476">
        <v>1</v>
      </c>
      <c r="AC476">
        <v>70</v>
      </c>
      <c r="AD476">
        <v>1</v>
      </c>
      <c r="AE476">
        <v>83</v>
      </c>
      <c r="AF476">
        <v>2</v>
      </c>
      <c r="AG476">
        <v>91</v>
      </c>
      <c r="AH476">
        <v>2</v>
      </c>
    </row>
    <row r="477" spans="1:34">
      <c r="A477" t="s">
        <v>1553</v>
      </c>
      <c r="B477" s="24">
        <v>1809</v>
      </c>
      <c r="C477" s="24" t="s">
        <v>1561</v>
      </c>
      <c r="D477" s="24" t="s">
        <v>47</v>
      </c>
      <c r="E477" s="93">
        <v>91</v>
      </c>
      <c r="F477" s="94">
        <v>4</v>
      </c>
      <c r="G477" s="94">
        <v>97</v>
      </c>
      <c r="H477" s="94">
        <v>4</v>
      </c>
      <c r="I477" s="94">
        <v>94</v>
      </c>
      <c r="J477" s="94">
        <v>4</v>
      </c>
      <c r="K477" s="94">
        <v>95</v>
      </c>
      <c r="L477" s="94">
        <v>2</v>
      </c>
      <c r="M477" s="94">
        <v>94</v>
      </c>
      <c r="N477" s="94">
        <v>2</v>
      </c>
      <c r="O477" s="94">
        <v>93</v>
      </c>
      <c r="P477" s="94">
        <v>2</v>
      </c>
      <c r="Q477">
        <v>98</v>
      </c>
      <c r="R477">
        <v>2</v>
      </c>
      <c r="S477">
        <v>91</v>
      </c>
      <c r="T477">
        <v>2</v>
      </c>
      <c r="U477">
        <v>76</v>
      </c>
      <c r="V477">
        <v>2</v>
      </c>
      <c r="W477">
        <v>96</v>
      </c>
      <c r="X477">
        <v>2</v>
      </c>
      <c r="Y477">
        <v>79</v>
      </c>
      <c r="Z477">
        <v>1</v>
      </c>
      <c r="AA477">
        <v>91</v>
      </c>
      <c r="AB477">
        <v>1</v>
      </c>
      <c r="AC477">
        <v>78</v>
      </c>
      <c r="AD477">
        <v>1</v>
      </c>
      <c r="AE477">
        <v>86</v>
      </c>
      <c r="AF477">
        <v>2</v>
      </c>
      <c r="AG477">
        <v>90</v>
      </c>
      <c r="AH477">
        <v>2</v>
      </c>
    </row>
    <row r="478" spans="1:34">
      <c r="A478" t="s">
        <v>1674</v>
      </c>
      <c r="B478" s="24">
        <v>1809</v>
      </c>
      <c r="C478" s="24" t="s">
        <v>1564</v>
      </c>
      <c r="D478" s="24" t="s">
        <v>85</v>
      </c>
      <c r="E478" s="93">
        <v>86</v>
      </c>
      <c r="F478" s="94">
        <v>4</v>
      </c>
      <c r="G478" s="94">
        <v>99</v>
      </c>
      <c r="H478" s="94">
        <v>4</v>
      </c>
      <c r="I478" s="94">
        <v>90</v>
      </c>
      <c r="J478" s="94">
        <v>4</v>
      </c>
      <c r="K478" s="94">
        <v>95</v>
      </c>
      <c r="L478" s="94">
        <v>2</v>
      </c>
      <c r="M478" s="94">
        <v>90</v>
      </c>
      <c r="N478" s="94">
        <v>2</v>
      </c>
      <c r="O478" s="94">
        <v>92</v>
      </c>
      <c r="P478" s="94">
        <v>2</v>
      </c>
      <c r="Q478">
        <v>95</v>
      </c>
      <c r="R478">
        <v>2</v>
      </c>
      <c r="S478">
        <v>88</v>
      </c>
      <c r="T478">
        <v>2</v>
      </c>
      <c r="U478">
        <v>75</v>
      </c>
      <c r="V478">
        <v>2</v>
      </c>
      <c r="W478">
        <v>97</v>
      </c>
      <c r="X478">
        <v>2</v>
      </c>
      <c r="Y478">
        <v>82</v>
      </c>
      <c r="Z478">
        <v>1</v>
      </c>
      <c r="AA478">
        <v>91</v>
      </c>
      <c r="AB478">
        <v>1</v>
      </c>
      <c r="AC478">
        <v>70</v>
      </c>
      <c r="AD478">
        <v>1</v>
      </c>
      <c r="AE478">
        <v>83</v>
      </c>
      <c r="AF478">
        <v>2</v>
      </c>
      <c r="AG478">
        <v>92</v>
      </c>
      <c r="AH478">
        <v>2</v>
      </c>
    </row>
    <row r="479" spans="1:34">
      <c r="A479" t="s">
        <v>1555</v>
      </c>
      <c r="B479" s="24">
        <v>1809</v>
      </c>
      <c r="C479" s="24" t="s">
        <v>1566</v>
      </c>
      <c r="D479" s="24" t="s">
        <v>82</v>
      </c>
      <c r="E479" s="93">
        <v>93</v>
      </c>
      <c r="F479" s="94">
        <v>4</v>
      </c>
      <c r="G479" s="94">
        <v>99</v>
      </c>
      <c r="H479" s="94">
        <v>4</v>
      </c>
      <c r="I479" s="94">
        <v>93</v>
      </c>
      <c r="J479" s="94">
        <v>4</v>
      </c>
      <c r="K479" s="94">
        <v>98</v>
      </c>
      <c r="L479" s="94">
        <v>2</v>
      </c>
      <c r="M479" s="94">
        <v>98</v>
      </c>
      <c r="N479" s="94">
        <v>2</v>
      </c>
      <c r="O479" s="94">
        <v>96</v>
      </c>
      <c r="P479" s="94">
        <v>2</v>
      </c>
      <c r="Q479">
        <v>99</v>
      </c>
      <c r="R479">
        <v>2</v>
      </c>
      <c r="S479">
        <v>92</v>
      </c>
      <c r="T479">
        <v>2</v>
      </c>
      <c r="U479">
        <v>99</v>
      </c>
      <c r="V479">
        <v>2</v>
      </c>
      <c r="W479">
        <v>96</v>
      </c>
      <c r="X479">
        <v>2</v>
      </c>
      <c r="Y479">
        <v>76</v>
      </c>
      <c r="Z479">
        <v>1</v>
      </c>
      <c r="AA479">
        <v>91</v>
      </c>
      <c r="AB479">
        <v>1</v>
      </c>
      <c r="AC479">
        <v>81</v>
      </c>
      <c r="AD479">
        <v>1</v>
      </c>
      <c r="AE479">
        <v>85</v>
      </c>
      <c r="AF479">
        <v>2</v>
      </c>
      <c r="AG479">
        <v>91</v>
      </c>
      <c r="AH479">
        <v>2</v>
      </c>
    </row>
    <row r="480" spans="1:34">
      <c r="A480" t="s">
        <v>412</v>
      </c>
      <c r="B480" s="24">
        <v>1809</v>
      </c>
      <c r="C480" s="24" t="s">
        <v>1568</v>
      </c>
      <c r="D480" s="24" t="s">
        <v>20</v>
      </c>
      <c r="E480" s="93">
        <v>93</v>
      </c>
      <c r="F480" s="94">
        <v>4</v>
      </c>
      <c r="G480" s="94">
        <v>98</v>
      </c>
      <c r="H480" s="94">
        <v>4</v>
      </c>
      <c r="I480" s="94">
        <v>92</v>
      </c>
      <c r="J480" s="94">
        <v>4</v>
      </c>
      <c r="K480" s="94">
        <v>95</v>
      </c>
      <c r="L480" s="94">
        <v>2</v>
      </c>
      <c r="M480" s="94">
        <v>91</v>
      </c>
      <c r="N480" s="94">
        <v>2</v>
      </c>
      <c r="O480" s="94">
        <v>93</v>
      </c>
      <c r="P480" s="94">
        <v>2</v>
      </c>
      <c r="Q480">
        <v>91</v>
      </c>
      <c r="R480">
        <v>2</v>
      </c>
      <c r="S480">
        <v>88</v>
      </c>
      <c r="T480">
        <v>2</v>
      </c>
      <c r="U480">
        <v>85</v>
      </c>
      <c r="V480">
        <v>2</v>
      </c>
      <c r="W480">
        <v>96</v>
      </c>
      <c r="X480">
        <v>2</v>
      </c>
      <c r="Y480">
        <v>78</v>
      </c>
      <c r="Z480">
        <v>1</v>
      </c>
      <c r="AA480">
        <v>91</v>
      </c>
      <c r="AB480">
        <v>1</v>
      </c>
      <c r="AC480">
        <v>86</v>
      </c>
      <c r="AD480">
        <v>1</v>
      </c>
      <c r="AE480">
        <v>83</v>
      </c>
      <c r="AF480">
        <v>2</v>
      </c>
      <c r="AG480">
        <v>93</v>
      </c>
      <c r="AH480">
        <v>2</v>
      </c>
    </row>
    <row r="481" spans="1:34">
      <c r="A481" t="s">
        <v>1984</v>
      </c>
      <c r="B481" s="24">
        <v>1809</v>
      </c>
      <c r="C481" s="24" t="s">
        <v>1570</v>
      </c>
      <c r="D481" s="24" t="s">
        <v>172</v>
      </c>
      <c r="E481" s="93">
        <v>93</v>
      </c>
      <c r="F481" s="94">
        <v>4</v>
      </c>
      <c r="G481" s="94">
        <v>96</v>
      </c>
      <c r="H481" s="94">
        <v>4</v>
      </c>
      <c r="I481" s="94">
        <v>91</v>
      </c>
      <c r="J481" s="94">
        <v>4</v>
      </c>
      <c r="K481" s="94">
        <v>95</v>
      </c>
      <c r="L481" s="94">
        <v>2</v>
      </c>
      <c r="M481" s="94">
        <v>94</v>
      </c>
      <c r="N481" s="94">
        <v>2</v>
      </c>
      <c r="O481" s="94">
        <v>94</v>
      </c>
      <c r="P481" s="94">
        <v>2</v>
      </c>
      <c r="Q481">
        <v>93</v>
      </c>
      <c r="R481">
        <v>2</v>
      </c>
      <c r="S481">
        <v>90</v>
      </c>
      <c r="T481">
        <v>2</v>
      </c>
      <c r="U481">
        <v>72</v>
      </c>
      <c r="V481">
        <v>2</v>
      </c>
      <c r="W481">
        <v>90</v>
      </c>
      <c r="X481">
        <v>2</v>
      </c>
      <c r="Y481">
        <v>79</v>
      </c>
      <c r="Z481">
        <v>1</v>
      </c>
      <c r="AA481">
        <v>91</v>
      </c>
      <c r="AB481">
        <v>1</v>
      </c>
      <c r="AC481">
        <v>80</v>
      </c>
      <c r="AD481">
        <v>1</v>
      </c>
      <c r="AE481">
        <v>50</v>
      </c>
      <c r="AF481">
        <v>1</v>
      </c>
      <c r="AG481">
        <v>96</v>
      </c>
      <c r="AH481">
        <v>2</v>
      </c>
    </row>
    <row r="482" spans="1:34">
      <c r="A482" t="s">
        <v>2328</v>
      </c>
      <c r="B482" s="24">
        <v>1809</v>
      </c>
      <c r="C482" s="24" t="s">
        <v>1572</v>
      </c>
      <c r="D482" s="24" t="s">
        <v>115</v>
      </c>
      <c r="E482" s="93">
        <v>90</v>
      </c>
      <c r="F482" s="94">
        <v>4</v>
      </c>
      <c r="G482" s="94">
        <v>100</v>
      </c>
      <c r="H482" s="94">
        <v>4</v>
      </c>
      <c r="I482" s="94">
        <v>94</v>
      </c>
      <c r="J482" s="94">
        <v>4</v>
      </c>
      <c r="K482" s="94">
        <v>95</v>
      </c>
      <c r="L482" s="94">
        <v>2</v>
      </c>
      <c r="M482" s="94">
        <v>97</v>
      </c>
      <c r="N482" s="94">
        <v>2</v>
      </c>
      <c r="O482" s="94">
        <v>95</v>
      </c>
      <c r="P482" s="94">
        <v>2</v>
      </c>
      <c r="Q482">
        <v>99</v>
      </c>
      <c r="R482">
        <v>2</v>
      </c>
      <c r="S482">
        <v>91</v>
      </c>
      <c r="T482">
        <v>2</v>
      </c>
      <c r="U482">
        <v>83</v>
      </c>
      <c r="V482">
        <v>2</v>
      </c>
      <c r="W482">
        <v>97</v>
      </c>
      <c r="X482">
        <v>2</v>
      </c>
      <c r="Y482">
        <v>78</v>
      </c>
      <c r="Z482">
        <v>1</v>
      </c>
      <c r="AA482">
        <v>91</v>
      </c>
      <c r="AB482">
        <v>1</v>
      </c>
      <c r="AC482">
        <v>80</v>
      </c>
      <c r="AD482">
        <v>1</v>
      </c>
      <c r="AE482">
        <v>50</v>
      </c>
      <c r="AF482">
        <v>1</v>
      </c>
      <c r="AG482">
        <v>94</v>
      </c>
      <c r="AH482">
        <v>2</v>
      </c>
    </row>
    <row r="483" spans="1:34">
      <c r="B483" s="24">
        <v>1809</v>
      </c>
      <c r="C483" s="24" t="s">
        <v>3326</v>
      </c>
      <c r="K483" s="94">
        <v>95</v>
      </c>
    </row>
    <row r="484" spans="1:34">
      <c r="A484" t="s">
        <v>1567</v>
      </c>
      <c r="B484" s="24">
        <v>1809</v>
      </c>
      <c r="C484" s="24" t="s">
        <v>1575</v>
      </c>
      <c r="D484" s="24" t="s">
        <v>80</v>
      </c>
      <c r="E484" s="93">
        <v>90</v>
      </c>
      <c r="F484" s="94">
        <v>4</v>
      </c>
      <c r="G484" s="94">
        <v>96</v>
      </c>
      <c r="H484" s="94">
        <v>4</v>
      </c>
      <c r="I484" s="94">
        <v>92</v>
      </c>
      <c r="J484" s="94">
        <v>4</v>
      </c>
      <c r="K484" s="94">
        <v>96</v>
      </c>
      <c r="L484" s="94">
        <v>2</v>
      </c>
      <c r="M484" s="94">
        <v>92</v>
      </c>
      <c r="N484" s="94">
        <v>2</v>
      </c>
      <c r="O484" s="94">
        <v>97</v>
      </c>
      <c r="P484" s="94">
        <v>2</v>
      </c>
      <c r="Q484">
        <v>100</v>
      </c>
      <c r="R484">
        <v>2</v>
      </c>
      <c r="S484">
        <v>92</v>
      </c>
      <c r="T484">
        <v>2</v>
      </c>
      <c r="U484">
        <v>79</v>
      </c>
      <c r="V484">
        <v>2</v>
      </c>
      <c r="W484">
        <v>90</v>
      </c>
      <c r="X484">
        <v>2</v>
      </c>
      <c r="Y484">
        <v>82</v>
      </c>
      <c r="Z484">
        <v>1</v>
      </c>
      <c r="AA484">
        <v>91</v>
      </c>
      <c r="AB484">
        <v>1</v>
      </c>
      <c r="AC484">
        <v>76</v>
      </c>
      <c r="AD484">
        <v>1</v>
      </c>
      <c r="AE484">
        <v>87</v>
      </c>
      <c r="AF484">
        <v>2</v>
      </c>
      <c r="AG484">
        <v>91</v>
      </c>
      <c r="AH484">
        <v>2</v>
      </c>
    </row>
    <row r="485" spans="1:34">
      <c r="A485" t="s">
        <v>293</v>
      </c>
      <c r="B485" s="24">
        <v>1809</v>
      </c>
      <c r="C485" s="24" t="s">
        <v>1577</v>
      </c>
      <c r="D485" s="24" t="s">
        <v>29</v>
      </c>
      <c r="E485" s="93">
        <v>91</v>
      </c>
      <c r="F485" s="94">
        <v>4</v>
      </c>
      <c r="G485" s="94">
        <v>98</v>
      </c>
      <c r="H485" s="94">
        <v>4</v>
      </c>
      <c r="I485" s="94">
        <v>93</v>
      </c>
      <c r="J485" s="94">
        <v>4</v>
      </c>
      <c r="K485" s="94">
        <v>99</v>
      </c>
      <c r="L485" s="94">
        <v>2</v>
      </c>
      <c r="M485" s="94">
        <v>97</v>
      </c>
      <c r="N485" s="94">
        <v>2</v>
      </c>
      <c r="O485" s="94">
        <v>96</v>
      </c>
      <c r="P485" s="94">
        <v>2</v>
      </c>
      <c r="Q485">
        <v>100</v>
      </c>
      <c r="R485">
        <v>2</v>
      </c>
      <c r="S485">
        <v>92</v>
      </c>
      <c r="T485">
        <v>2</v>
      </c>
      <c r="U485">
        <v>88</v>
      </c>
      <c r="V485">
        <v>2</v>
      </c>
      <c r="W485">
        <v>99</v>
      </c>
      <c r="X485">
        <v>2</v>
      </c>
      <c r="Y485">
        <v>84</v>
      </c>
      <c r="Z485">
        <v>1</v>
      </c>
      <c r="AA485">
        <v>91</v>
      </c>
      <c r="AB485">
        <v>1</v>
      </c>
      <c r="AC485">
        <v>75</v>
      </c>
      <c r="AD485">
        <v>1</v>
      </c>
      <c r="AE485">
        <v>89</v>
      </c>
      <c r="AF485">
        <v>2</v>
      </c>
      <c r="AG485">
        <v>90</v>
      </c>
      <c r="AH485">
        <v>2</v>
      </c>
    </row>
    <row r="486" spans="1:34">
      <c r="A486" t="s">
        <v>1569</v>
      </c>
      <c r="B486" s="24">
        <v>1809</v>
      </c>
      <c r="C486" s="24" t="s">
        <v>1580</v>
      </c>
      <c r="D486" s="24" t="s">
        <v>23</v>
      </c>
      <c r="E486" s="93">
        <v>90</v>
      </c>
      <c r="F486" s="94">
        <v>4</v>
      </c>
      <c r="G486" s="94">
        <v>100</v>
      </c>
      <c r="H486" s="94">
        <v>4</v>
      </c>
      <c r="I486" s="94">
        <v>90</v>
      </c>
      <c r="J486" s="94">
        <v>4</v>
      </c>
      <c r="K486" s="94">
        <v>99</v>
      </c>
      <c r="L486" s="94">
        <v>2</v>
      </c>
      <c r="M486" s="94">
        <v>97</v>
      </c>
      <c r="N486" s="94">
        <v>2</v>
      </c>
      <c r="O486" s="94">
        <v>94</v>
      </c>
      <c r="P486" s="94">
        <v>2</v>
      </c>
      <c r="Q486">
        <v>99</v>
      </c>
      <c r="R486">
        <v>2</v>
      </c>
      <c r="S486">
        <v>92</v>
      </c>
      <c r="T486">
        <v>2</v>
      </c>
      <c r="U486">
        <v>78</v>
      </c>
      <c r="V486">
        <v>2</v>
      </c>
      <c r="W486">
        <v>98</v>
      </c>
      <c r="X486">
        <v>2</v>
      </c>
      <c r="Y486">
        <v>80</v>
      </c>
      <c r="Z486">
        <v>1</v>
      </c>
      <c r="AA486">
        <v>91</v>
      </c>
      <c r="AB486">
        <v>1</v>
      </c>
      <c r="AC486">
        <v>78</v>
      </c>
      <c r="AD486">
        <v>1</v>
      </c>
      <c r="AE486">
        <v>84</v>
      </c>
      <c r="AF486">
        <v>2</v>
      </c>
      <c r="AG486">
        <v>93</v>
      </c>
      <c r="AH486">
        <v>2</v>
      </c>
    </row>
    <row r="487" spans="1:34">
      <c r="A487" t="s">
        <v>780</v>
      </c>
      <c r="B487" s="24">
        <v>1809</v>
      </c>
      <c r="C487" s="24" t="s">
        <v>1582</v>
      </c>
      <c r="D487" s="24" t="s">
        <v>178</v>
      </c>
      <c r="E487" s="93">
        <v>95</v>
      </c>
      <c r="F487" s="94">
        <v>4</v>
      </c>
      <c r="G487" s="94">
        <v>96</v>
      </c>
      <c r="H487" s="94">
        <v>4</v>
      </c>
      <c r="I487" s="94">
        <v>94</v>
      </c>
      <c r="J487" s="94">
        <v>4</v>
      </c>
      <c r="K487" s="94">
        <v>95</v>
      </c>
      <c r="L487" s="94">
        <v>2</v>
      </c>
      <c r="M487" s="94">
        <v>93</v>
      </c>
      <c r="N487" s="94">
        <v>2</v>
      </c>
      <c r="O487" s="94">
        <v>96</v>
      </c>
      <c r="P487" s="94">
        <v>2</v>
      </c>
      <c r="Q487">
        <v>99</v>
      </c>
      <c r="R487">
        <v>2</v>
      </c>
      <c r="S487">
        <v>91</v>
      </c>
      <c r="T487">
        <v>2</v>
      </c>
      <c r="U487">
        <v>83</v>
      </c>
      <c r="V487">
        <v>2</v>
      </c>
      <c r="W487">
        <v>96</v>
      </c>
      <c r="X487">
        <v>2</v>
      </c>
      <c r="Y487">
        <v>88</v>
      </c>
      <c r="Z487">
        <v>1</v>
      </c>
      <c r="AA487">
        <v>91</v>
      </c>
      <c r="AB487">
        <v>1</v>
      </c>
      <c r="AC487">
        <v>82</v>
      </c>
      <c r="AD487">
        <v>1</v>
      </c>
      <c r="AE487">
        <v>88</v>
      </c>
      <c r="AF487">
        <v>2</v>
      </c>
      <c r="AG487">
        <v>92</v>
      </c>
      <c r="AH487">
        <v>2</v>
      </c>
    </row>
    <row r="488" spans="1:34">
      <c r="A488" t="s">
        <v>2027</v>
      </c>
      <c r="B488" s="24">
        <v>1809</v>
      </c>
      <c r="C488" s="24" t="s">
        <v>1584</v>
      </c>
      <c r="D488" s="24" t="s">
        <v>144</v>
      </c>
      <c r="E488" s="93">
        <v>93</v>
      </c>
      <c r="F488" s="94">
        <v>4</v>
      </c>
      <c r="G488" s="94">
        <v>97</v>
      </c>
      <c r="H488" s="94">
        <v>4</v>
      </c>
      <c r="I488" s="94">
        <v>91</v>
      </c>
      <c r="J488" s="94">
        <v>4</v>
      </c>
      <c r="K488" s="94">
        <v>95</v>
      </c>
      <c r="L488" s="94">
        <v>2</v>
      </c>
      <c r="M488" s="94">
        <v>92</v>
      </c>
      <c r="N488" s="94">
        <v>2</v>
      </c>
      <c r="O488" s="94">
        <v>93</v>
      </c>
      <c r="P488" s="94">
        <v>2</v>
      </c>
      <c r="Q488">
        <v>93</v>
      </c>
      <c r="R488">
        <v>2</v>
      </c>
      <c r="S488">
        <v>92</v>
      </c>
      <c r="T488">
        <v>2</v>
      </c>
      <c r="U488">
        <v>86</v>
      </c>
      <c r="V488">
        <v>2</v>
      </c>
      <c r="W488">
        <v>95</v>
      </c>
      <c r="X488">
        <v>2</v>
      </c>
      <c r="Y488">
        <v>80</v>
      </c>
      <c r="Z488">
        <v>1</v>
      </c>
      <c r="AA488">
        <v>91</v>
      </c>
      <c r="AB488">
        <v>1</v>
      </c>
      <c r="AC488">
        <v>70</v>
      </c>
      <c r="AD488">
        <v>1</v>
      </c>
      <c r="AE488">
        <v>85</v>
      </c>
      <c r="AF488">
        <v>2</v>
      </c>
      <c r="AG488">
        <v>94</v>
      </c>
      <c r="AH488">
        <v>2</v>
      </c>
    </row>
    <row r="489" spans="1:34">
      <c r="A489" t="s">
        <v>1583</v>
      </c>
      <c r="B489" s="24">
        <v>1809</v>
      </c>
      <c r="C489" s="24" t="s">
        <v>1586</v>
      </c>
      <c r="D489" s="24" t="s">
        <v>72</v>
      </c>
      <c r="E489" s="93">
        <v>93</v>
      </c>
      <c r="F489" s="94">
        <v>4</v>
      </c>
      <c r="G489" s="94">
        <v>99</v>
      </c>
      <c r="H489" s="94">
        <v>4</v>
      </c>
      <c r="I489" s="94">
        <v>95</v>
      </c>
      <c r="J489" s="94">
        <v>4</v>
      </c>
      <c r="K489" s="94">
        <v>99</v>
      </c>
      <c r="L489" s="94">
        <v>2</v>
      </c>
      <c r="M489" s="94">
        <v>98</v>
      </c>
      <c r="N489" s="94">
        <v>2</v>
      </c>
      <c r="O489" s="94">
        <v>95</v>
      </c>
      <c r="P489" s="94">
        <v>2</v>
      </c>
      <c r="Q489">
        <v>98</v>
      </c>
      <c r="R489">
        <v>2</v>
      </c>
      <c r="S489">
        <v>92</v>
      </c>
      <c r="T489">
        <v>2</v>
      </c>
      <c r="U489">
        <v>92</v>
      </c>
      <c r="V489">
        <v>2</v>
      </c>
      <c r="W489">
        <v>98</v>
      </c>
      <c r="X489">
        <v>2</v>
      </c>
      <c r="Y489">
        <v>73</v>
      </c>
      <c r="Z489">
        <v>1</v>
      </c>
      <c r="AA489">
        <v>91</v>
      </c>
      <c r="AB489">
        <v>1</v>
      </c>
      <c r="AC489">
        <v>90</v>
      </c>
      <c r="AD489">
        <v>1</v>
      </c>
      <c r="AE489">
        <v>87</v>
      </c>
      <c r="AF489">
        <v>2</v>
      </c>
      <c r="AG489">
        <v>93</v>
      </c>
      <c r="AH489">
        <v>2</v>
      </c>
    </row>
    <row r="490" spans="1:34">
      <c r="A490" t="s">
        <v>1587</v>
      </c>
      <c r="B490" s="24">
        <v>1809</v>
      </c>
      <c r="C490" s="24" t="s">
        <v>1588</v>
      </c>
      <c r="D490" s="24" t="s">
        <v>195</v>
      </c>
      <c r="E490" s="93">
        <v>94</v>
      </c>
      <c r="F490" s="94">
        <v>4</v>
      </c>
      <c r="G490" s="94">
        <v>96</v>
      </c>
      <c r="H490" s="94">
        <v>4</v>
      </c>
      <c r="I490" s="94">
        <v>92</v>
      </c>
      <c r="J490" s="94">
        <v>4</v>
      </c>
      <c r="K490" s="94">
        <v>91</v>
      </c>
      <c r="L490" s="94">
        <v>2</v>
      </c>
      <c r="M490" s="94">
        <v>90</v>
      </c>
      <c r="N490" s="94">
        <v>2</v>
      </c>
      <c r="O490" s="94">
        <v>94</v>
      </c>
      <c r="P490" s="94">
        <v>2</v>
      </c>
      <c r="Q490">
        <v>99</v>
      </c>
      <c r="R490">
        <v>2</v>
      </c>
      <c r="S490">
        <v>91</v>
      </c>
      <c r="T490">
        <v>2</v>
      </c>
      <c r="U490">
        <v>88</v>
      </c>
      <c r="V490">
        <v>2</v>
      </c>
      <c r="W490">
        <v>98</v>
      </c>
      <c r="X490">
        <v>2</v>
      </c>
      <c r="Y490">
        <v>78</v>
      </c>
      <c r="Z490">
        <v>1</v>
      </c>
      <c r="AA490">
        <v>91</v>
      </c>
      <c r="AB490">
        <v>1</v>
      </c>
      <c r="AC490">
        <v>72</v>
      </c>
      <c r="AD490">
        <v>1</v>
      </c>
      <c r="AE490">
        <v>86</v>
      </c>
      <c r="AF490">
        <v>2</v>
      </c>
      <c r="AG490">
        <v>96</v>
      </c>
      <c r="AH490">
        <v>2</v>
      </c>
    </row>
    <row r="491" spans="1:34">
      <c r="A491" t="s">
        <v>325</v>
      </c>
      <c r="B491" s="24">
        <v>1809</v>
      </c>
      <c r="C491" s="24" t="s">
        <v>1590</v>
      </c>
      <c r="D491" s="24" t="s">
        <v>78</v>
      </c>
      <c r="E491" s="93">
        <v>91</v>
      </c>
      <c r="F491" s="94">
        <v>4</v>
      </c>
      <c r="G491" s="94">
        <v>97</v>
      </c>
      <c r="H491" s="94">
        <v>4</v>
      </c>
      <c r="I491" s="94">
        <v>90</v>
      </c>
      <c r="J491" s="94">
        <v>4</v>
      </c>
      <c r="K491" s="94">
        <v>95</v>
      </c>
      <c r="L491" s="94">
        <v>2</v>
      </c>
      <c r="M491" s="94">
        <v>92</v>
      </c>
      <c r="N491" s="94">
        <v>2</v>
      </c>
      <c r="O491" s="94">
        <v>96</v>
      </c>
      <c r="P491" s="94">
        <v>2</v>
      </c>
      <c r="Q491">
        <v>98</v>
      </c>
      <c r="R491">
        <v>2</v>
      </c>
      <c r="S491">
        <v>91</v>
      </c>
      <c r="T491">
        <v>2</v>
      </c>
      <c r="U491">
        <v>82</v>
      </c>
      <c r="V491">
        <v>2</v>
      </c>
      <c r="W491">
        <v>100</v>
      </c>
      <c r="X491">
        <v>2</v>
      </c>
      <c r="Y491">
        <v>77</v>
      </c>
      <c r="Z491">
        <v>1</v>
      </c>
      <c r="AA491">
        <v>91</v>
      </c>
      <c r="AB491">
        <v>1</v>
      </c>
      <c r="AC491">
        <v>73</v>
      </c>
      <c r="AD491">
        <v>1</v>
      </c>
      <c r="AE491">
        <v>50</v>
      </c>
      <c r="AF491">
        <v>1</v>
      </c>
      <c r="AG491">
        <v>94</v>
      </c>
      <c r="AH491">
        <v>2</v>
      </c>
    </row>
    <row r="492" spans="1:34">
      <c r="A492" t="s">
        <v>1693</v>
      </c>
      <c r="B492" s="24">
        <v>1809</v>
      </c>
      <c r="C492" s="24" t="s">
        <v>1592</v>
      </c>
      <c r="D492" s="24" t="s">
        <v>159</v>
      </c>
      <c r="E492" s="93">
        <v>92</v>
      </c>
      <c r="F492" s="94">
        <v>4</v>
      </c>
      <c r="G492" s="94">
        <v>95</v>
      </c>
      <c r="H492" s="94">
        <v>4</v>
      </c>
      <c r="I492" s="94">
        <v>92</v>
      </c>
      <c r="J492" s="94">
        <v>4</v>
      </c>
      <c r="K492" s="94">
        <v>95</v>
      </c>
      <c r="L492" s="94">
        <v>2</v>
      </c>
      <c r="M492" s="94">
        <v>94</v>
      </c>
      <c r="N492" s="94">
        <v>2</v>
      </c>
      <c r="O492" s="94">
        <v>95</v>
      </c>
      <c r="P492" s="94">
        <v>2</v>
      </c>
      <c r="Q492">
        <v>100</v>
      </c>
      <c r="R492">
        <v>2</v>
      </c>
      <c r="S492">
        <v>91</v>
      </c>
      <c r="T492">
        <v>2</v>
      </c>
      <c r="U492">
        <v>76</v>
      </c>
      <c r="V492">
        <v>2</v>
      </c>
      <c r="W492">
        <v>96</v>
      </c>
      <c r="X492">
        <v>2</v>
      </c>
      <c r="Y492">
        <v>80</v>
      </c>
      <c r="Z492">
        <v>1</v>
      </c>
      <c r="AA492">
        <v>91</v>
      </c>
      <c r="AB492">
        <v>1</v>
      </c>
      <c r="AC492">
        <v>64</v>
      </c>
      <c r="AD492">
        <v>1</v>
      </c>
      <c r="AE492">
        <v>86</v>
      </c>
      <c r="AF492">
        <v>2</v>
      </c>
      <c r="AG492">
        <v>92</v>
      </c>
      <c r="AH492">
        <v>2</v>
      </c>
    </row>
    <row r="493" spans="1:34">
      <c r="A493" t="s">
        <v>1589</v>
      </c>
      <c r="B493" s="24">
        <v>1809</v>
      </c>
      <c r="C493" s="24" t="s">
        <v>1594</v>
      </c>
      <c r="D493" s="24" t="s">
        <v>3229</v>
      </c>
      <c r="E493" s="93">
        <v>95</v>
      </c>
      <c r="F493" s="94">
        <v>4</v>
      </c>
      <c r="G493" s="94">
        <v>94</v>
      </c>
      <c r="H493" s="94">
        <v>4</v>
      </c>
      <c r="I493" s="94">
        <v>94</v>
      </c>
      <c r="J493" s="94">
        <v>4</v>
      </c>
      <c r="K493" s="94">
        <v>95</v>
      </c>
      <c r="L493" s="94">
        <v>2</v>
      </c>
      <c r="M493" s="94">
        <v>92</v>
      </c>
      <c r="N493" s="94">
        <v>2</v>
      </c>
      <c r="O493" s="94">
        <v>96</v>
      </c>
      <c r="P493" s="94">
        <v>2</v>
      </c>
      <c r="Q493">
        <v>99</v>
      </c>
      <c r="R493">
        <v>2</v>
      </c>
      <c r="S493">
        <v>93</v>
      </c>
      <c r="T493">
        <v>2</v>
      </c>
      <c r="U493">
        <v>85</v>
      </c>
      <c r="V493">
        <v>2</v>
      </c>
      <c r="W493">
        <v>98</v>
      </c>
      <c r="X493">
        <v>2</v>
      </c>
      <c r="Y493">
        <v>82</v>
      </c>
      <c r="Z493">
        <v>1</v>
      </c>
      <c r="AA493">
        <v>91</v>
      </c>
      <c r="AB493">
        <v>1</v>
      </c>
      <c r="AC493">
        <v>75</v>
      </c>
      <c r="AD493">
        <v>1</v>
      </c>
      <c r="AE493">
        <v>89</v>
      </c>
      <c r="AF493">
        <v>2</v>
      </c>
      <c r="AG493">
        <v>90</v>
      </c>
      <c r="AH493">
        <v>2</v>
      </c>
    </row>
    <row r="494" spans="1:34">
      <c r="A494" t="s">
        <v>1591</v>
      </c>
      <c r="B494" s="24">
        <v>1809</v>
      </c>
      <c r="C494" s="24" t="s">
        <v>1596</v>
      </c>
      <c r="D494" s="24" t="s">
        <v>16</v>
      </c>
      <c r="E494" s="93">
        <v>93</v>
      </c>
      <c r="F494" s="94">
        <v>4</v>
      </c>
      <c r="G494" s="94">
        <v>99</v>
      </c>
      <c r="H494" s="94">
        <v>4</v>
      </c>
      <c r="I494" s="94">
        <v>93</v>
      </c>
      <c r="J494" s="94">
        <v>4</v>
      </c>
      <c r="K494" s="94">
        <v>95</v>
      </c>
      <c r="L494" s="94">
        <v>2</v>
      </c>
      <c r="M494" s="94">
        <v>95</v>
      </c>
      <c r="N494" s="94">
        <v>2</v>
      </c>
      <c r="O494" s="94">
        <v>96</v>
      </c>
      <c r="P494" s="94">
        <v>2</v>
      </c>
      <c r="Q494">
        <v>100</v>
      </c>
      <c r="R494">
        <v>2</v>
      </c>
      <c r="S494">
        <v>93</v>
      </c>
      <c r="T494">
        <v>2</v>
      </c>
      <c r="U494">
        <v>86</v>
      </c>
      <c r="V494">
        <v>2</v>
      </c>
      <c r="W494">
        <v>98</v>
      </c>
      <c r="X494">
        <v>2</v>
      </c>
      <c r="Y494">
        <v>80</v>
      </c>
      <c r="Z494">
        <v>1</v>
      </c>
      <c r="AA494">
        <v>91</v>
      </c>
      <c r="AB494">
        <v>1</v>
      </c>
      <c r="AC494">
        <v>68</v>
      </c>
      <c r="AD494">
        <v>1</v>
      </c>
      <c r="AE494">
        <v>89</v>
      </c>
      <c r="AF494">
        <v>2</v>
      </c>
      <c r="AG494">
        <v>93</v>
      </c>
      <c r="AH494">
        <v>2</v>
      </c>
    </row>
    <row r="495" spans="1:34">
      <c r="A495" t="s">
        <v>1593</v>
      </c>
      <c r="B495" s="24">
        <v>1809</v>
      </c>
      <c r="C495" s="24" t="s">
        <v>1599</v>
      </c>
      <c r="D495" s="24" t="s">
        <v>67</v>
      </c>
      <c r="E495" s="93">
        <v>94</v>
      </c>
      <c r="F495" s="94">
        <v>4</v>
      </c>
      <c r="G495" s="94">
        <v>97</v>
      </c>
      <c r="H495" s="94">
        <v>4</v>
      </c>
      <c r="I495" s="94">
        <v>94</v>
      </c>
      <c r="J495" s="94">
        <v>4</v>
      </c>
      <c r="K495" s="94">
        <v>98</v>
      </c>
      <c r="L495" s="94">
        <v>2</v>
      </c>
      <c r="M495" s="94">
        <v>95</v>
      </c>
      <c r="N495" s="94">
        <v>2</v>
      </c>
      <c r="O495" s="94">
        <v>95</v>
      </c>
      <c r="P495" s="94">
        <v>2</v>
      </c>
      <c r="Q495">
        <v>99</v>
      </c>
      <c r="R495">
        <v>2</v>
      </c>
      <c r="S495">
        <v>90</v>
      </c>
      <c r="T495">
        <v>2</v>
      </c>
      <c r="U495">
        <v>85</v>
      </c>
      <c r="V495">
        <v>2</v>
      </c>
      <c r="W495">
        <v>100</v>
      </c>
      <c r="X495">
        <v>2</v>
      </c>
      <c r="Y495">
        <v>83</v>
      </c>
      <c r="Z495">
        <v>1</v>
      </c>
      <c r="AA495">
        <v>91</v>
      </c>
      <c r="AB495">
        <v>1</v>
      </c>
      <c r="AC495">
        <v>75</v>
      </c>
      <c r="AD495">
        <v>1</v>
      </c>
      <c r="AE495">
        <v>86</v>
      </c>
      <c r="AF495">
        <v>2</v>
      </c>
      <c r="AG495">
        <v>95</v>
      </c>
      <c r="AH495">
        <v>2</v>
      </c>
    </row>
    <row r="496" spans="1:34">
      <c r="A496" t="s">
        <v>2524</v>
      </c>
      <c r="B496" s="24">
        <v>1809</v>
      </c>
      <c r="C496" s="24" t="s">
        <v>1602</v>
      </c>
      <c r="D496" s="24" t="s">
        <v>171</v>
      </c>
      <c r="E496" s="93">
        <v>93</v>
      </c>
      <c r="F496" s="94">
        <v>4</v>
      </c>
      <c r="G496" s="94">
        <v>92</v>
      </c>
      <c r="H496" s="94">
        <v>4</v>
      </c>
      <c r="I496" s="94">
        <v>95</v>
      </c>
      <c r="J496" s="94">
        <v>4</v>
      </c>
      <c r="K496" s="94">
        <v>95</v>
      </c>
      <c r="L496" s="94">
        <v>2</v>
      </c>
      <c r="M496" s="94">
        <v>96</v>
      </c>
      <c r="N496" s="94">
        <v>2</v>
      </c>
      <c r="O496" s="94">
        <v>96</v>
      </c>
      <c r="P496" s="94">
        <v>2</v>
      </c>
      <c r="Q496">
        <v>91</v>
      </c>
      <c r="R496">
        <v>2</v>
      </c>
      <c r="S496">
        <v>90</v>
      </c>
      <c r="T496">
        <v>2</v>
      </c>
      <c r="U496">
        <v>70</v>
      </c>
      <c r="V496">
        <v>2</v>
      </c>
      <c r="W496">
        <v>95</v>
      </c>
      <c r="X496">
        <v>2</v>
      </c>
      <c r="Y496">
        <v>84</v>
      </c>
      <c r="Z496">
        <v>1</v>
      </c>
      <c r="AA496">
        <v>91</v>
      </c>
      <c r="AB496">
        <v>1</v>
      </c>
      <c r="AC496">
        <v>74</v>
      </c>
      <c r="AD496">
        <v>1</v>
      </c>
      <c r="AE496">
        <v>88</v>
      </c>
      <c r="AF496">
        <v>2</v>
      </c>
      <c r="AG496">
        <v>92</v>
      </c>
      <c r="AH496">
        <v>2</v>
      </c>
    </row>
    <row r="497" spans="1:34">
      <c r="A497" t="s">
        <v>484</v>
      </c>
      <c r="B497" s="24">
        <v>1809</v>
      </c>
      <c r="C497" s="24" t="s">
        <v>1604</v>
      </c>
      <c r="D497" s="24" t="s">
        <v>77</v>
      </c>
      <c r="E497" s="93">
        <v>93</v>
      </c>
      <c r="F497" s="94">
        <v>4</v>
      </c>
      <c r="G497" s="94">
        <v>98</v>
      </c>
      <c r="H497" s="94">
        <v>4</v>
      </c>
      <c r="I497" s="94">
        <v>91</v>
      </c>
      <c r="J497" s="94">
        <v>4</v>
      </c>
      <c r="K497" s="94">
        <v>98</v>
      </c>
      <c r="L497" s="94">
        <v>2</v>
      </c>
      <c r="M497" s="94">
        <v>96</v>
      </c>
      <c r="N497" s="94">
        <v>2</v>
      </c>
      <c r="O497" s="94">
        <v>93</v>
      </c>
      <c r="P497" s="94">
        <v>2</v>
      </c>
      <c r="Q497">
        <v>98</v>
      </c>
      <c r="R497">
        <v>2</v>
      </c>
      <c r="S497">
        <v>90</v>
      </c>
      <c r="T497">
        <v>2</v>
      </c>
      <c r="U497">
        <v>85</v>
      </c>
      <c r="V497">
        <v>2</v>
      </c>
      <c r="W497">
        <v>95</v>
      </c>
      <c r="X497">
        <v>2</v>
      </c>
      <c r="Y497">
        <v>82</v>
      </c>
      <c r="Z497">
        <v>1</v>
      </c>
      <c r="AA497">
        <v>91</v>
      </c>
      <c r="AB497">
        <v>1</v>
      </c>
      <c r="AC497">
        <v>62</v>
      </c>
      <c r="AD497">
        <v>1</v>
      </c>
      <c r="AE497">
        <v>86</v>
      </c>
      <c r="AF497">
        <v>2</v>
      </c>
      <c r="AG497">
        <v>93</v>
      </c>
      <c r="AH497">
        <v>2</v>
      </c>
    </row>
    <row r="498" spans="1:34">
      <c r="A498" t="s">
        <v>1735</v>
      </c>
      <c r="B498" s="24">
        <v>1809</v>
      </c>
      <c r="C498" s="24" t="s">
        <v>1607</v>
      </c>
      <c r="D498" s="24" t="s">
        <v>1737</v>
      </c>
      <c r="E498" s="93">
        <v>90</v>
      </c>
      <c r="F498" s="94">
        <v>4</v>
      </c>
      <c r="G498" s="94">
        <v>98</v>
      </c>
      <c r="H498" s="94">
        <v>4</v>
      </c>
      <c r="I498" s="94">
        <v>90</v>
      </c>
      <c r="J498" s="94">
        <v>4</v>
      </c>
      <c r="K498" s="94">
        <v>95</v>
      </c>
      <c r="L498" s="94">
        <v>2</v>
      </c>
      <c r="M498" s="94">
        <v>92</v>
      </c>
      <c r="N498" s="94">
        <v>2</v>
      </c>
      <c r="O498" s="94">
        <v>93</v>
      </c>
      <c r="P498" s="94">
        <v>2</v>
      </c>
      <c r="Q498">
        <v>93</v>
      </c>
      <c r="R498">
        <v>2</v>
      </c>
      <c r="S498">
        <v>91</v>
      </c>
      <c r="T498">
        <v>2</v>
      </c>
      <c r="U498">
        <v>85</v>
      </c>
      <c r="V498">
        <v>2</v>
      </c>
      <c r="W498">
        <v>100</v>
      </c>
      <c r="X498">
        <v>2</v>
      </c>
      <c r="Y498">
        <v>85</v>
      </c>
      <c r="Z498">
        <v>1</v>
      </c>
      <c r="AA498">
        <v>91</v>
      </c>
      <c r="AB498">
        <v>1</v>
      </c>
      <c r="AC498">
        <v>68</v>
      </c>
      <c r="AD498">
        <v>1</v>
      </c>
      <c r="AE498">
        <v>84</v>
      </c>
      <c r="AF498">
        <v>2</v>
      </c>
      <c r="AG498">
        <v>91</v>
      </c>
      <c r="AH498">
        <v>2</v>
      </c>
    </row>
    <row r="499" spans="1:34">
      <c r="A499" t="s">
        <v>2234</v>
      </c>
      <c r="B499" s="24">
        <v>1809</v>
      </c>
      <c r="C499" s="24" t="s">
        <v>1610</v>
      </c>
      <c r="D499" s="24" t="s">
        <v>74</v>
      </c>
      <c r="E499" s="93">
        <v>93</v>
      </c>
      <c r="F499" s="94">
        <v>4</v>
      </c>
      <c r="G499" s="94">
        <v>98</v>
      </c>
      <c r="H499" s="94">
        <v>4</v>
      </c>
      <c r="I499" s="94">
        <v>92</v>
      </c>
      <c r="J499" s="94">
        <v>4</v>
      </c>
      <c r="K499" s="94">
        <v>95</v>
      </c>
      <c r="L499" s="94">
        <v>2</v>
      </c>
      <c r="M499" s="94">
        <v>93</v>
      </c>
      <c r="N499" s="94">
        <v>2</v>
      </c>
      <c r="O499" s="94">
        <v>95</v>
      </c>
      <c r="P499" s="94">
        <v>2</v>
      </c>
      <c r="Q499">
        <v>99</v>
      </c>
      <c r="R499">
        <v>2</v>
      </c>
      <c r="S499">
        <v>92</v>
      </c>
      <c r="T499">
        <v>2</v>
      </c>
      <c r="U499">
        <v>90</v>
      </c>
      <c r="V499">
        <v>2</v>
      </c>
      <c r="W499">
        <v>91</v>
      </c>
      <c r="X499">
        <v>2</v>
      </c>
      <c r="Y499">
        <v>80</v>
      </c>
      <c r="Z499">
        <v>1</v>
      </c>
      <c r="AA499">
        <v>91</v>
      </c>
      <c r="AB499">
        <v>1</v>
      </c>
      <c r="AC499">
        <v>70</v>
      </c>
      <c r="AD499">
        <v>1</v>
      </c>
      <c r="AE499">
        <v>83</v>
      </c>
      <c r="AF499">
        <v>2</v>
      </c>
      <c r="AG499">
        <v>93</v>
      </c>
      <c r="AH499">
        <v>2</v>
      </c>
    </row>
    <row r="500" spans="1:34">
      <c r="A500" t="s">
        <v>1744</v>
      </c>
      <c r="B500" s="24">
        <v>1809</v>
      </c>
      <c r="C500" s="24" t="s">
        <v>1613</v>
      </c>
      <c r="D500" s="24" t="s">
        <v>48</v>
      </c>
      <c r="E500" s="93">
        <v>90</v>
      </c>
      <c r="F500" s="94">
        <v>4</v>
      </c>
      <c r="G500" s="94">
        <v>96</v>
      </c>
      <c r="H500" s="94">
        <v>4</v>
      </c>
      <c r="I500" s="94">
        <v>98</v>
      </c>
      <c r="J500" s="94">
        <v>4</v>
      </c>
      <c r="K500" s="94">
        <v>96</v>
      </c>
      <c r="L500" s="94">
        <v>2</v>
      </c>
      <c r="M500" s="94">
        <v>96</v>
      </c>
      <c r="N500" s="94">
        <v>2</v>
      </c>
      <c r="O500" s="94">
        <v>96</v>
      </c>
      <c r="P500" s="94">
        <v>2</v>
      </c>
      <c r="Q500">
        <v>99</v>
      </c>
      <c r="R500">
        <v>2</v>
      </c>
      <c r="S500">
        <v>95</v>
      </c>
      <c r="T500">
        <v>2</v>
      </c>
      <c r="U500">
        <v>76</v>
      </c>
      <c r="V500">
        <v>2</v>
      </c>
      <c r="W500">
        <v>98</v>
      </c>
      <c r="X500">
        <v>2</v>
      </c>
      <c r="Y500">
        <v>78</v>
      </c>
      <c r="Z500">
        <v>1</v>
      </c>
      <c r="AA500">
        <v>91</v>
      </c>
      <c r="AB500">
        <v>1</v>
      </c>
      <c r="AC500">
        <v>70</v>
      </c>
      <c r="AD500">
        <v>1</v>
      </c>
      <c r="AE500">
        <v>60</v>
      </c>
      <c r="AF500">
        <v>2</v>
      </c>
      <c r="AG500">
        <v>94</v>
      </c>
      <c r="AH500">
        <v>2</v>
      </c>
    </row>
    <row r="501" spans="1:34">
      <c r="A501" t="s">
        <v>1612</v>
      </c>
      <c r="B501" s="24">
        <v>1809</v>
      </c>
      <c r="C501" s="24" t="s">
        <v>1615</v>
      </c>
      <c r="D501" s="24" t="s">
        <v>204</v>
      </c>
      <c r="E501" s="93">
        <v>91</v>
      </c>
      <c r="F501" s="94">
        <v>4</v>
      </c>
      <c r="G501" s="94">
        <v>93</v>
      </c>
      <c r="H501" s="94">
        <v>4</v>
      </c>
      <c r="I501" s="94">
        <v>94</v>
      </c>
      <c r="J501" s="94">
        <v>4</v>
      </c>
      <c r="K501" s="94">
        <v>95</v>
      </c>
      <c r="L501" s="94">
        <v>2</v>
      </c>
      <c r="M501" s="94">
        <v>96</v>
      </c>
      <c r="N501" s="94">
        <v>2</v>
      </c>
      <c r="O501" s="94">
        <v>95</v>
      </c>
      <c r="P501" s="94">
        <v>2</v>
      </c>
      <c r="Q501">
        <v>99</v>
      </c>
      <c r="R501">
        <v>2</v>
      </c>
      <c r="S501">
        <v>93</v>
      </c>
      <c r="T501">
        <v>2</v>
      </c>
      <c r="U501">
        <v>82</v>
      </c>
      <c r="V501">
        <v>2</v>
      </c>
      <c r="W501">
        <v>93</v>
      </c>
      <c r="X501">
        <v>2</v>
      </c>
      <c r="Y501">
        <v>82</v>
      </c>
      <c r="Z501">
        <v>1</v>
      </c>
      <c r="AA501">
        <v>91</v>
      </c>
      <c r="AB501">
        <v>1</v>
      </c>
      <c r="AC501">
        <v>76</v>
      </c>
      <c r="AD501">
        <v>1</v>
      </c>
      <c r="AE501">
        <v>85</v>
      </c>
      <c r="AF501">
        <v>2</v>
      </c>
      <c r="AG501">
        <v>96</v>
      </c>
      <c r="AH501">
        <v>2</v>
      </c>
    </row>
    <row r="502" spans="1:34">
      <c r="A502" t="s">
        <v>1614</v>
      </c>
      <c r="B502" s="24">
        <v>1809</v>
      </c>
      <c r="C502" s="24" t="s">
        <v>1617</v>
      </c>
      <c r="D502" s="24" t="s">
        <v>113</v>
      </c>
      <c r="E502" s="93">
        <v>92</v>
      </c>
      <c r="F502" s="94">
        <v>4</v>
      </c>
      <c r="G502" s="94">
        <v>96</v>
      </c>
      <c r="H502" s="94">
        <v>4</v>
      </c>
      <c r="I502" s="94">
        <v>90</v>
      </c>
      <c r="J502" s="94">
        <v>4</v>
      </c>
      <c r="K502" s="94">
        <v>98</v>
      </c>
      <c r="L502" s="94">
        <v>2</v>
      </c>
      <c r="M502" s="94">
        <v>98</v>
      </c>
      <c r="N502" s="94">
        <v>2</v>
      </c>
      <c r="O502" s="94">
        <v>94</v>
      </c>
      <c r="P502" s="94">
        <v>2</v>
      </c>
      <c r="Q502">
        <v>100</v>
      </c>
      <c r="R502">
        <v>2</v>
      </c>
      <c r="S502">
        <v>91</v>
      </c>
      <c r="T502">
        <v>2</v>
      </c>
      <c r="U502">
        <v>88</v>
      </c>
      <c r="V502">
        <v>2</v>
      </c>
      <c r="W502">
        <v>98</v>
      </c>
      <c r="X502">
        <v>2</v>
      </c>
      <c r="Y502">
        <v>80</v>
      </c>
      <c r="Z502">
        <v>1</v>
      </c>
      <c r="AA502">
        <v>91</v>
      </c>
      <c r="AB502">
        <v>1</v>
      </c>
      <c r="AC502">
        <v>73</v>
      </c>
      <c r="AD502">
        <v>1</v>
      </c>
      <c r="AE502">
        <v>83</v>
      </c>
      <c r="AF502">
        <v>2</v>
      </c>
      <c r="AG502">
        <v>92</v>
      </c>
      <c r="AH502">
        <v>2</v>
      </c>
    </row>
    <row r="503" spans="1:34">
      <c r="A503" t="s">
        <v>1616</v>
      </c>
      <c r="B503" s="24">
        <v>1809</v>
      </c>
      <c r="C503" s="24" t="s">
        <v>1620</v>
      </c>
      <c r="D503" s="24" t="s">
        <v>1618</v>
      </c>
      <c r="E503" s="93">
        <v>94</v>
      </c>
      <c r="F503" s="94">
        <v>4</v>
      </c>
      <c r="G503" s="94">
        <v>94</v>
      </c>
      <c r="H503" s="94">
        <v>4</v>
      </c>
      <c r="I503" s="94">
        <v>93</v>
      </c>
      <c r="J503" s="94">
        <v>4</v>
      </c>
      <c r="K503" s="94">
        <v>92</v>
      </c>
      <c r="L503" s="94">
        <v>2</v>
      </c>
      <c r="M503" s="94">
        <v>95</v>
      </c>
      <c r="N503" s="94">
        <v>2</v>
      </c>
      <c r="O503" s="94">
        <v>97</v>
      </c>
      <c r="P503" s="94">
        <v>2</v>
      </c>
      <c r="Q503">
        <v>91</v>
      </c>
      <c r="R503">
        <v>2</v>
      </c>
      <c r="S503">
        <v>90</v>
      </c>
      <c r="T503">
        <v>2</v>
      </c>
      <c r="U503">
        <v>88</v>
      </c>
      <c r="V503">
        <v>2</v>
      </c>
      <c r="W503">
        <v>100</v>
      </c>
      <c r="X503">
        <v>2</v>
      </c>
      <c r="Y503">
        <v>92</v>
      </c>
      <c r="Z503">
        <v>1</v>
      </c>
      <c r="AA503">
        <v>91</v>
      </c>
      <c r="AB503">
        <v>1</v>
      </c>
      <c r="AC503">
        <v>67</v>
      </c>
      <c r="AD503">
        <v>1</v>
      </c>
      <c r="AE503">
        <v>81</v>
      </c>
      <c r="AF503">
        <v>2</v>
      </c>
      <c r="AG503">
        <v>94</v>
      </c>
      <c r="AH503">
        <v>2</v>
      </c>
    </row>
    <row r="504" spans="1:34">
      <c r="A504" t="s">
        <v>1619</v>
      </c>
      <c r="B504" s="24">
        <v>1809</v>
      </c>
      <c r="C504" s="24" t="s">
        <v>1622</v>
      </c>
      <c r="D504" s="24" t="s">
        <v>30</v>
      </c>
      <c r="E504" s="93">
        <v>94</v>
      </c>
      <c r="F504" s="94">
        <v>4</v>
      </c>
      <c r="G504" s="94">
        <v>95</v>
      </c>
      <c r="H504" s="94">
        <v>4</v>
      </c>
      <c r="I504" s="94">
        <v>93</v>
      </c>
      <c r="J504" s="94">
        <v>4</v>
      </c>
      <c r="K504" s="94">
        <v>95</v>
      </c>
      <c r="L504" s="94">
        <v>2</v>
      </c>
      <c r="M504" s="94">
        <v>95</v>
      </c>
      <c r="N504" s="94">
        <v>2</v>
      </c>
      <c r="O504" s="94">
        <v>96</v>
      </c>
      <c r="P504" s="94">
        <v>2</v>
      </c>
      <c r="Q504">
        <v>99</v>
      </c>
      <c r="R504">
        <v>2</v>
      </c>
      <c r="S504">
        <v>92</v>
      </c>
      <c r="T504">
        <v>2</v>
      </c>
      <c r="U504">
        <v>85</v>
      </c>
      <c r="V504">
        <v>2</v>
      </c>
      <c r="W504">
        <v>95</v>
      </c>
      <c r="X504">
        <v>2</v>
      </c>
      <c r="Y504">
        <v>80</v>
      </c>
      <c r="Z504">
        <v>1</v>
      </c>
      <c r="AA504">
        <v>91</v>
      </c>
      <c r="AB504">
        <v>1</v>
      </c>
      <c r="AC504">
        <v>76</v>
      </c>
      <c r="AD504">
        <v>1</v>
      </c>
      <c r="AE504">
        <v>90</v>
      </c>
      <c r="AF504">
        <v>2</v>
      </c>
      <c r="AG504">
        <v>93</v>
      </c>
      <c r="AH504">
        <v>2</v>
      </c>
    </row>
    <row r="505" spans="1:34">
      <c r="A505" t="s">
        <v>1621</v>
      </c>
      <c r="B505" s="24">
        <v>1809</v>
      </c>
      <c r="C505" s="24" t="s">
        <v>1624</v>
      </c>
      <c r="D505" s="24" t="s">
        <v>121</v>
      </c>
      <c r="E505" s="93">
        <v>93</v>
      </c>
      <c r="F505" s="94">
        <v>4</v>
      </c>
      <c r="G505" s="94">
        <v>98</v>
      </c>
      <c r="H505" s="94">
        <v>4</v>
      </c>
      <c r="I505" s="94">
        <v>92</v>
      </c>
      <c r="J505" s="94">
        <v>4</v>
      </c>
      <c r="K505" s="94">
        <v>99</v>
      </c>
      <c r="L505" s="94">
        <v>2</v>
      </c>
      <c r="M505" s="94">
        <v>95</v>
      </c>
      <c r="N505" s="94">
        <v>2</v>
      </c>
      <c r="O505" s="94">
        <v>95</v>
      </c>
      <c r="P505" s="94">
        <v>2</v>
      </c>
      <c r="Q505">
        <v>98</v>
      </c>
      <c r="R505">
        <v>2</v>
      </c>
      <c r="S505">
        <v>92</v>
      </c>
      <c r="T505">
        <v>2</v>
      </c>
      <c r="U505">
        <v>88</v>
      </c>
      <c r="V505">
        <v>2</v>
      </c>
      <c r="W505">
        <v>100</v>
      </c>
      <c r="X505">
        <v>2</v>
      </c>
      <c r="Y505">
        <v>81</v>
      </c>
      <c r="Z505">
        <v>1</v>
      </c>
      <c r="AA505">
        <v>91</v>
      </c>
      <c r="AB505">
        <v>1</v>
      </c>
      <c r="AC505">
        <v>70</v>
      </c>
      <c r="AD505">
        <v>1</v>
      </c>
      <c r="AE505">
        <v>88</v>
      </c>
      <c r="AF505">
        <v>2</v>
      </c>
      <c r="AG505">
        <v>94</v>
      </c>
      <c r="AH505">
        <v>2</v>
      </c>
    </row>
    <row r="506" spans="1:34">
      <c r="A506" t="s">
        <v>1761</v>
      </c>
      <c r="B506" s="24">
        <v>1809</v>
      </c>
      <c r="C506" s="24" t="s">
        <v>1627</v>
      </c>
      <c r="D506" s="24" t="s">
        <v>181</v>
      </c>
      <c r="E506" s="93">
        <v>90</v>
      </c>
      <c r="F506" s="94">
        <v>4</v>
      </c>
      <c r="G506" s="94">
        <v>98</v>
      </c>
      <c r="H506" s="94">
        <v>4</v>
      </c>
      <c r="I506" s="94">
        <v>93</v>
      </c>
      <c r="J506" s="94">
        <v>4</v>
      </c>
      <c r="K506" s="94">
        <v>95</v>
      </c>
      <c r="L506" s="94">
        <v>2</v>
      </c>
      <c r="M506" s="94">
        <v>95</v>
      </c>
      <c r="N506" s="94">
        <v>2</v>
      </c>
      <c r="O506" s="94">
        <v>94</v>
      </c>
      <c r="P506" s="94">
        <v>2</v>
      </c>
      <c r="Q506">
        <v>99</v>
      </c>
      <c r="R506">
        <v>2</v>
      </c>
      <c r="S506">
        <v>90</v>
      </c>
      <c r="T506">
        <v>2</v>
      </c>
      <c r="U506">
        <v>92</v>
      </c>
      <c r="V506">
        <v>2</v>
      </c>
      <c r="W506">
        <v>96</v>
      </c>
      <c r="X506">
        <v>2</v>
      </c>
      <c r="Y506">
        <v>78</v>
      </c>
      <c r="Z506">
        <v>1</v>
      </c>
      <c r="AA506">
        <v>91</v>
      </c>
      <c r="AB506">
        <v>1</v>
      </c>
      <c r="AC506">
        <v>75</v>
      </c>
      <c r="AD506">
        <v>1</v>
      </c>
      <c r="AE506">
        <v>80</v>
      </c>
      <c r="AF506">
        <v>2</v>
      </c>
      <c r="AG506">
        <v>93</v>
      </c>
      <c r="AH506">
        <v>2</v>
      </c>
    </row>
    <row r="507" spans="1:34">
      <c r="A507" t="s">
        <v>1923</v>
      </c>
      <c r="B507" s="24">
        <v>1809</v>
      </c>
      <c r="C507" s="24" t="s">
        <v>1629</v>
      </c>
      <c r="D507" s="24" t="s">
        <v>87</v>
      </c>
      <c r="E507" s="93">
        <v>90</v>
      </c>
      <c r="F507" s="94">
        <v>4</v>
      </c>
      <c r="G507" s="94">
        <v>100</v>
      </c>
      <c r="H507" s="94">
        <v>4</v>
      </c>
      <c r="I507" s="94">
        <v>90</v>
      </c>
      <c r="J507" s="94">
        <v>4</v>
      </c>
      <c r="K507" s="94">
        <v>98</v>
      </c>
      <c r="L507" s="94">
        <v>2</v>
      </c>
      <c r="M507" s="94">
        <v>91</v>
      </c>
      <c r="N507" s="94">
        <v>2</v>
      </c>
      <c r="O507" s="94">
        <v>94</v>
      </c>
      <c r="P507" s="94">
        <v>2</v>
      </c>
      <c r="Q507">
        <v>92</v>
      </c>
      <c r="R507">
        <v>2</v>
      </c>
      <c r="S507">
        <v>91</v>
      </c>
      <c r="T507">
        <v>2</v>
      </c>
      <c r="U507">
        <v>73</v>
      </c>
      <c r="V507">
        <v>2</v>
      </c>
      <c r="W507">
        <v>95</v>
      </c>
      <c r="X507">
        <v>2</v>
      </c>
      <c r="Y507">
        <v>79</v>
      </c>
      <c r="Z507">
        <v>1</v>
      </c>
      <c r="AA507">
        <v>91</v>
      </c>
      <c r="AB507">
        <v>1</v>
      </c>
      <c r="AC507">
        <v>63</v>
      </c>
      <c r="AD507">
        <v>1</v>
      </c>
      <c r="AE507">
        <v>82</v>
      </c>
      <c r="AF507">
        <v>2</v>
      </c>
      <c r="AG507">
        <v>93</v>
      </c>
      <c r="AH507">
        <v>2</v>
      </c>
    </row>
    <row r="508" spans="1:34">
      <c r="A508" t="s">
        <v>1626</v>
      </c>
      <c r="B508" s="24">
        <v>1809</v>
      </c>
      <c r="C508" s="24" t="s">
        <v>1632</v>
      </c>
      <c r="D508" s="24" t="s">
        <v>3264</v>
      </c>
      <c r="E508" s="93">
        <v>91</v>
      </c>
      <c r="F508" s="94">
        <v>4</v>
      </c>
      <c r="G508" s="94">
        <v>96</v>
      </c>
      <c r="H508" s="94">
        <v>4</v>
      </c>
      <c r="I508" s="94">
        <v>92</v>
      </c>
      <c r="J508" s="94">
        <v>4</v>
      </c>
      <c r="K508" s="94">
        <v>95</v>
      </c>
      <c r="L508" s="94">
        <v>2</v>
      </c>
      <c r="M508" s="94">
        <v>95</v>
      </c>
      <c r="N508" s="94">
        <v>2</v>
      </c>
      <c r="O508" s="94">
        <v>94</v>
      </c>
      <c r="P508" s="94">
        <v>2</v>
      </c>
      <c r="Q508">
        <v>99</v>
      </c>
      <c r="R508">
        <v>2</v>
      </c>
      <c r="S508">
        <v>91</v>
      </c>
      <c r="T508">
        <v>2</v>
      </c>
      <c r="U508">
        <v>81</v>
      </c>
      <c r="V508">
        <v>2</v>
      </c>
      <c r="W508">
        <v>98</v>
      </c>
      <c r="X508">
        <v>2</v>
      </c>
      <c r="Y508">
        <v>82</v>
      </c>
      <c r="Z508">
        <v>1</v>
      </c>
      <c r="AA508">
        <v>91</v>
      </c>
      <c r="AB508">
        <v>1</v>
      </c>
      <c r="AC508">
        <v>80</v>
      </c>
      <c r="AD508">
        <v>1</v>
      </c>
      <c r="AE508">
        <v>84</v>
      </c>
      <c r="AF508">
        <v>2</v>
      </c>
      <c r="AG508">
        <v>96</v>
      </c>
      <c r="AH508">
        <v>2</v>
      </c>
    </row>
    <row r="509" spans="1:34">
      <c r="A509" t="s">
        <v>1769</v>
      </c>
      <c r="B509" s="24">
        <v>1809</v>
      </c>
      <c r="C509" s="24" t="s">
        <v>3265</v>
      </c>
      <c r="D509" s="24" t="s">
        <v>1771</v>
      </c>
      <c r="E509" s="93">
        <v>96</v>
      </c>
      <c r="F509" s="94">
        <v>4</v>
      </c>
      <c r="G509" s="94">
        <v>97</v>
      </c>
      <c r="H509" s="94">
        <v>4</v>
      </c>
      <c r="I509" s="94">
        <v>90</v>
      </c>
      <c r="J509" s="94">
        <v>4</v>
      </c>
      <c r="K509" s="94">
        <v>92</v>
      </c>
      <c r="L509" s="94">
        <v>2</v>
      </c>
      <c r="M509" s="94">
        <v>91</v>
      </c>
      <c r="N509" s="94">
        <v>2</v>
      </c>
      <c r="O509" s="94">
        <v>95</v>
      </c>
      <c r="P509" s="94">
        <v>2</v>
      </c>
      <c r="Q509">
        <v>93</v>
      </c>
      <c r="R509">
        <v>2</v>
      </c>
      <c r="S509">
        <v>90</v>
      </c>
      <c r="T509">
        <v>2</v>
      </c>
      <c r="U509">
        <v>81</v>
      </c>
      <c r="V509">
        <v>2</v>
      </c>
      <c r="W509">
        <v>99</v>
      </c>
      <c r="X509">
        <v>2</v>
      </c>
      <c r="Y509">
        <v>84</v>
      </c>
      <c r="Z509">
        <v>1</v>
      </c>
      <c r="AA509">
        <v>91</v>
      </c>
      <c r="AB509">
        <v>1</v>
      </c>
      <c r="AC509">
        <v>81</v>
      </c>
      <c r="AD509">
        <v>1</v>
      </c>
      <c r="AE509">
        <v>83</v>
      </c>
      <c r="AF509">
        <v>2</v>
      </c>
      <c r="AG509">
        <v>91</v>
      </c>
      <c r="AH509">
        <v>2</v>
      </c>
    </row>
    <row r="510" spans="1:34">
      <c r="A510" t="s">
        <v>1631</v>
      </c>
      <c r="B510" s="24">
        <v>1809</v>
      </c>
      <c r="C510" s="24" t="s">
        <v>3263</v>
      </c>
      <c r="D510" s="24" t="s">
        <v>11</v>
      </c>
      <c r="E510" s="93">
        <v>95</v>
      </c>
      <c r="F510" s="94">
        <v>4</v>
      </c>
      <c r="G510" s="94">
        <v>100</v>
      </c>
      <c r="H510" s="94">
        <v>4</v>
      </c>
      <c r="I510" s="94">
        <v>93</v>
      </c>
      <c r="J510" s="94">
        <v>4</v>
      </c>
      <c r="K510" s="94">
        <v>95</v>
      </c>
      <c r="L510" s="94">
        <v>2</v>
      </c>
      <c r="M510" s="94">
        <v>96</v>
      </c>
      <c r="N510" s="94">
        <v>2</v>
      </c>
      <c r="O510" s="94">
        <v>96</v>
      </c>
      <c r="P510" s="94">
        <v>2</v>
      </c>
      <c r="Q510">
        <v>99</v>
      </c>
      <c r="R510">
        <v>2</v>
      </c>
      <c r="S510">
        <v>92</v>
      </c>
      <c r="T510">
        <v>2</v>
      </c>
      <c r="U510">
        <v>93</v>
      </c>
      <c r="V510">
        <v>2</v>
      </c>
      <c r="W510">
        <v>99</v>
      </c>
      <c r="X510">
        <v>2</v>
      </c>
      <c r="Y510">
        <v>87</v>
      </c>
      <c r="Z510">
        <v>1</v>
      </c>
      <c r="AA510">
        <v>91</v>
      </c>
      <c r="AB510">
        <v>1</v>
      </c>
      <c r="AC510">
        <v>81</v>
      </c>
      <c r="AD510">
        <v>1</v>
      </c>
      <c r="AE510">
        <v>86</v>
      </c>
      <c r="AF510">
        <v>2</v>
      </c>
      <c r="AG510">
        <v>92</v>
      </c>
      <c r="AH510">
        <v>2</v>
      </c>
    </row>
    <row r="511" spans="1:34">
      <c r="A511" t="s">
        <v>2263</v>
      </c>
      <c r="B511" s="24">
        <v>1810</v>
      </c>
      <c r="C511" s="24" t="s">
        <v>1634</v>
      </c>
      <c r="D511" s="24" t="s">
        <v>2265</v>
      </c>
      <c r="E511" s="93">
        <v>91</v>
      </c>
      <c r="F511" s="94">
        <v>4</v>
      </c>
      <c r="G511" s="94">
        <v>97</v>
      </c>
      <c r="H511" s="94">
        <v>4</v>
      </c>
      <c r="I511" s="94">
        <v>90</v>
      </c>
      <c r="J511" s="94">
        <v>4</v>
      </c>
      <c r="K511" s="94">
        <v>95</v>
      </c>
      <c r="L511" s="94">
        <v>2</v>
      </c>
      <c r="M511" s="94">
        <v>84</v>
      </c>
      <c r="N511" s="94">
        <v>2</v>
      </c>
      <c r="O511" s="94">
        <v>92</v>
      </c>
      <c r="P511" s="94">
        <v>2</v>
      </c>
      <c r="Q511">
        <v>95</v>
      </c>
      <c r="R511">
        <v>2</v>
      </c>
      <c r="S511">
        <v>92</v>
      </c>
      <c r="T511">
        <v>2</v>
      </c>
      <c r="U511">
        <v>88</v>
      </c>
      <c r="V511">
        <v>2</v>
      </c>
      <c r="W511">
        <v>93</v>
      </c>
      <c r="X511">
        <v>2</v>
      </c>
      <c r="Y511">
        <v>80</v>
      </c>
      <c r="Z511">
        <v>1</v>
      </c>
      <c r="AA511">
        <v>90</v>
      </c>
      <c r="AB511">
        <v>1</v>
      </c>
      <c r="AC511">
        <v>71</v>
      </c>
      <c r="AD511">
        <v>1</v>
      </c>
      <c r="AE511">
        <v>88</v>
      </c>
      <c r="AF511">
        <v>2</v>
      </c>
      <c r="AG511">
        <v>89</v>
      </c>
      <c r="AH511">
        <v>2</v>
      </c>
    </row>
    <row r="512" spans="1:34">
      <c r="A512" t="s">
        <v>2100</v>
      </c>
      <c r="B512" s="24">
        <v>1810</v>
      </c>
      <c r="C512" s="24" t="s">
        <v>1637</v>
      </c>
      <c r="D512" s="24" t="s">
        <v>184</v>
      </c>
      <c r="E512" s="93">
        <v>93</v>
      </c>
      <c r="F512" s="94">
        <v>4</v>
      </c>
      <c r="G512" s="94">
        <v>97</v>
      </c>
      <c r="H512" s="94">
        <v>4</v>
      </c>
      <c r="I512" s="94">
        <v>95</v>
      </c>
      <c r="J512" s="94">
        <v>4</v>
      </c>
      <c r="K512" s="94">
        <v>93</v>
      </c>
      <c r="L512" s="94">
        <v>2</v>
      </c>
      <c r="M512" s="94">
        <v>75</v>
      </c>
      <c r="N512" s="94">
        <v>2</v>
      </c>
      <c r="O512" s="94">
        <v>92</v>
      </c>
      <c r="P512" s="94">
        <v>2</v>
      </c>
      <c r="Q512">
        <v>95</v>
      </c>
      <c r="R512">
        <v>2</v>
      </c>
      <c r="S512">
        <v>92</v>
      </c>
      <c r="T512">
        <v>2</v>
      </c>
      <c r="U512">
        <v>82</v>
      </c>
      <c r="V512">
        <v>2</v>
      </c>
      <c r="W512">
        <v>90</v>
      </c>
      <c r="X512">
        <v>2</v>
      </c>
      <c r="Y512">
        <v>90</v>
      </c>
      <c r="Z512">
        <v>1</v>
      </c>
      <c r="AA512">
        <v>90</v>
      </c>
      <c r="AB512">
        <v>1</v>
      </c>
      <c r="AC512">
        <v>70</v>
      </c>
      <c r="AD512">
        <v>1</v>
      </c>
      <c r="AE512">
        <v>89</v>
      </c>
      <c r="AF512">
        <v>2</v>
      </c>
      <c r="AG512">
        <v>88</v>
      </c>
      <c r="AH512">
        <v>2</v>
      </c>
    </row>
    <row r="513" spans="1:34">
      <c r="A513" t="s">
        <v>1358</v>
      </c>
      <c r="B513" s="24">
        <v>1810</v>
      </c>
      <c r="C513" s="24" t="s">
        <v>1640</v>
      </c>
      <c r="D513" s="24" t="s">
        <v>1359</v>
      </c>
      <c r="E513" s="93">
        <v>94</v>
      </c>
      <c r="F513" s="94">
        <v>4</v>
      </c>
      <c r="G513" s="94">
        <v>98</v>
      </c>
      <c r="H513" s="94">
        <v>4</v>
      </c>
      <c r="I513" s="94">
        <v>94</v>
      </c>
      <c r="J513" s="94">
        <v>4</v>
      </c>
      <c r="K513" s="94">
        <v>93</v>
      </c>
      <c r="L513" s="94">
        <v>2</v>
      </c>
      <c r="M513" s="94">
        <v>96</v>
      </c>
      <c r="N513" s="94">
        <v>2</v>
      </c>
      <c r="O513" s="94">
        <v>95</v>
      </c>
      <c r="P513" s="94">
        <v>2</v>
      </c>
      <c r="Q513">
        <v>99</v>
      </c>
      <c r="R513">
        <v>2</v>
      </c>
      <c r="S513">
        <v>91</v>
      </c>
      <c r="T513">
        <v>2</v>
      </c>
      <c r="U513">
        <v>88</v>
      </c>
      <c r="V513">
        <v>2</v>
      </c>
      <c r="W513">
        <v>91</v>
      </c>
      <c r="X513">
        <v>2</v>
      </c>
      <c r="Y513">
        <v>83</v>
      </c>
      <c r="Z513">
        <v>1</v>
      </c>
      <c r="AA513">
        <v>90</v>
      </c>
      <c r="AB513">
        <v>1</v>
      </c>
      <c r="AC513">
        <v>80</v>
      </c>
      <c r="AD513">
        <v>1</v>
      </c>
      <c r="AE513">
        <v>85</v>
      </c>
      <c r="AF513">
        <v>2</v>
      </c>
      <c r="AG513">
        <v>90</v>
      </c>
      <c r="AH513">
        <v>2</v>
      </c>
    </row>
    <row r="514" spans="1:34">
      <c r="A514" t="s">
        <v>1525</v>
      </c>
      <c r="B514" s="24">
        <v>1810</v>
      </c>
      <c r="C514" s="24" t="s">
        <v>1642</v>
      </c>
      <c r="D514" s="24" t="s">
        <v>1527</v>
      </c>
      <c r="E514" s="93">
        <v>94</v>
      </c>
      <c r="F514" s="94">
        <v>4</v>
      </c>
      <c r="G514" s="94">
        <v>95</v>
      </c>
      <c r="H514" s="94">
        <v>4</v>
      </c>
      <c r="I514" s="94">
        <v>93</v>
      </c>
      <c r="J514" s="94">
        <v>4</v>
      </c>
      <c r="K514" s="94">
        <v>97</v>
      </c>
      <c r="L514" s="94">
        <v>2</v>
      </c>
      <c r="M514" s="94">
        <v>85</v>
      </c>
      <c r="N514" s="94">
        <v>2</v>
      </c>
      <c r="O514" s="94">
        <v>95</v>
      </c>
      <c r="P514" s="94">
        <v>2</v>
      </c>
      <c r="Q514">
        <v>97</v>
      </c>
      <c r="R514">
        <v>2</v>
      </c>
      <c r="S514">
        <v>90</v>
      </c>
      <c r="T514">
        <v>2</v>
      </c>
      <c r="U514">
        <v>80</v>
      </c>
      <c r="V514">
        <v>2</v>
      </c>
      <c r="W514">
        <v>91</v>
      </c>
      <c r="X514">
        <v>2</v>
      </c>
      <c r="Y514">
        <v>82</v>
      </c>
      <c r="Z514">
        <v>1</v>
      </c>
      <c r="AA514">
        <v>90</v>
      </c>
      <c r="AB514">
        <v>1</v>
      </c>
      <c r="AC514">
        <v>85</v>
      </c>
      <c r="AD514">
        <v>1</v>
      </c>
      <c r="AE514">
        <v>89</v>
      </c>
      <c r="AF514">
        <v>2</v>
      </c>
      <c r="AG514">
        <v>90</v>
      </c>
      <c r="AH514">
        <v>2</v>
      </c>
    </row>
    <row r="515" spans="1:34">
      <c r="A515" t="s">
        <v>545</v>
      </c>
      <c r="B515" s="24">
        <v>1810</v>
      </c>
      <c r="C515" s="24" t="s">
        <v>1644</v>
      </c>
      <c r="D515" s="24" t="s">
        <v>194</v>
      </c>
      <c r="E515" s="93">
        <v>92</v>
      </c>
      <c r="F515" s="94">
        <v>4</v>
      </c>
      <c r="G515" s="94">
        <v>97</v>
      </c>
      <c r="H515" s="94">
        <v>4</v>
      </c>
      <c r="I515" s="94">
        <v>92</v>
      </c>
      <c r="J515" s="94">
        <v>4</v>
      </c>
      <c r="K515" s="94">
        <v>96</v>
      </c>
      <c r="L515" s="94">
        <v>2</v>
      </c>
      <c r="M515" s="94">
        <v>89</v>
      </c>
      <c r="N515" s="94">
        <v>2</v>
      </c>
      <c r="O515" s="94">
        <v>94</v>
      </c>
      <c r="P515" s="94">
        <v>2</v>
      </c>
      <c r="Q515">
        <v>96</v>
      </c>
      <c r="R515">
        <v>2</v>
      </c>
      <c r="S515">
        <v>90</v>
      </c>
      <c r="T515">
        <v>2</v>
      </c>
      <c r="U515">
        <v>83</v>
      </c>
      <c r="V515">
        <v>2</v>
      </c>
      <c r="W515">
        <v>91</v>
      </c>
      <c r="X515">
        <v>2</v>
      </c>
      <c r="Y515">
        <v>84</v>
      </c>
      <c r="Z515">
        <v>1</v>
      </c>
      <c r="AA515">
        <v>90</v>
      </c>
      <c r="AB515">
        <v>1</v>
      </c>
      <c r="AC515">
        <v>88</v>
      </c>
      <c r="AD515">
        <v>1</v>
      </c>
      <c r="AE515">
        <v>90</v>
      </c>
      <c r="AF515">
        <v>2</v>
      </c>
      <c r="AG515">
        <v>91</v>
      </c>
      <c r="AH515">
        <v>2</v>
      </c>
    </row>
    <row r="516" spans="1:34">
      <c r="A516" t="s">
        <v>882</v>
      </c>
      <c r="B516" s="24">
        <v>1810</v>
      </c>
      <c r="C516" s="24" t="s">
        <v>1647</v>
      </c>
      <c r="D516" s="24" t="s">
        <v>884</v>
      </c>
      <c r="E516" s="93">
        <v>90</v>
      </c>
      <c r="F516" s="94">
        <v>4</v>
      </c>
      <c r="G516" s="94">
        <v>96</v>
      </c>
      <c r="H516" s="94">
        <v>4</v>
      </c>
      <c r="I516" s="94">
        <v>92</v>
      </c>
      <c r="J516" s="94">
        <v>4</v>
      </c>
      <c r="K516" s="94">
        <v>91</v>
      </c>
      <c r="L516" s="94">
        <v>2</v>
      </c>
      <c r="M516" s="94">
        <v>82</v>
      </c>
      <c r="N516" s="94">
        <v>2</v>
      </c>
      <c r="O516" s="94">
        <v>92</v>
      </c>
      <c r="P516" s="94">
        <v>2</v>
      </c>
      <c r="Q516">
        <v>99</v>
      </c>
      <c r="R516">
        <v>2</v>
      </c>
      <c r="S516">
        <v>92</v>
      </c>
      <c r="T516">
        <v>2</v>
      </c>
      <c r="U516">
        <v>88</v>
      </c>
      <c r="V516">
        <v>2</v>
      </c>
      <c r="W516">
        <v>100</v>
      </c>
      <c r="X516">
        <v>2</v>
      </c>
      <c r="Y516">
        <v>78</v>
      </c>
      <c r="Z516">
        <v>1</v>
      </c>
      <c r="AA516">
        <v>90</v>
      </c>
      <c r="AB516">
        <v>1</v>
      </c>
      <c r="AC516">
        <v>90</v>
      </c>
      <c r="AD516">
        <v>1</v>
      </c>
      <c r="AE516">
        <v>84</v>
      </c>
      <c r="AF516">
        <v>2</v>
      </c>
      <c r="AG516">
        <v>93</v>
      </c>
      <c r="AH516">
        <v>2</v>
      </c>
    </row>
    <row r="517" spans="1:34">
      <c r="A517" t="s">
        <v>1534</v>
      </c>
      <c r="B517" s="24">
        <v>1810</v>
      </c>
      <c r="C517" s="24" t="s">
        <v>1650</v>
      </c>
      <c r="D517" s="24" t="s">
        <v>205</v>
      </c>
      <c r="E517" s="93">
        <v>92</v>
      </c>
      <c r="F517" s="94">
        <v>4</v>
      </c>
      <c r="G517" s="94">
        <v>96</v>
      </c>
      <c r="H517" s="94">
        <v>4</v>
      </c>
      <c r="I517" s="94">
        <v>92</v>
      </c>
      <c r="J517" s="94">
        <v>4</v>
      </c>
      <c r="K517" s="94">
        <v>91</v>
      </c>
      <c r="L517" s="94">
        <v>2</v>
      </c>
      <c r="M517" s="94">
        <v>95</v>
      </c>
      <c r="N517" s="94">
        <v>2</v>
      </c>
      <c r="O517" s="94">
        <v>92</v>
      </c>
      <c r="P517" s="94">
        <v>2</v>
      </c>
      <c r="Q517">
        <v>95</v>
      </c>
      <c r="R517">
        <v>2</v>
      </c>
      <c r="S517">
        <v>92</v>
      </c>
      <c r="T517">
        <v>2</v>
      </c>
      <c r="U517">
        <v>86</v>
      </c>
      <c r="V517">
        <v>2</v>
      </c>
      <c r="W517">
        <v>90</v>
      </c>
      <c r="X517">
        <v>2</v>
      </c>
      <c r="Y517">
        <v>79</v>
      </c>
      <c r="Z517">
        <v>1</v>
      </c>
      <c r="AA517">
        <v>90</v>
      </c>
      <c r="AB517">
        <v>1</v>
      </c>
      <c r="AC517">
        <v>82</v>
      </c>
      <c r="AD517">
        <v>1</v>
      </c>
      <c r="AE517">
        <v>87</v>
      </c>
      <c r="AF517">
        <v>2</v>
      </c>
      <c r="AG517">
        <v>90</v>
      </c>
      <c r="AH517">
        <v>2</v>
      </c>
    </row>
    <row r="518" spans="1:34">
      <c r="A518" t="s">
        <v>2297</v>
      </c>
      <c r="B518" s="24">
        <v>1810</v>
      </c>
      <c r="C518" s="24" t="s">
        <v>3256</v>
      </c>
      <c r="D518" s="24" t="s">
        <v>33</v>
      </c>
      <c r="E518" s="93">
        <v>95</v>
      </c>
      <c r="F518" s="94">
        <v>4</v>
      </c>
      <c r="G518" s="94">
        <v>98</v>
      </c>
      <c r="H518" s="94">
        <v>4</v>
      </c>
      <c r="I518" s="94">
        <v>93</v>
      </c>
      <c r="J518" s="94">
        <v>4</v>
      </c>
      <c r="K518" s="94">
        <v>96</v>
      </c>
      <c r="L518" s="94">
        <v>2</v>
      </c>
      <c r="M518" s="94">
        <v>94</v>
      </c>
      <c r="N518" s="94">
        <v>2</v>
      </c>
      <c r="O518" s="94">
        <v>92</v>
      </c>
      <c r="P518" s="94">
        <v>2</v>
      </c>
      <c r="Q518">
        <v>100</v>
      </c>
      <c r="R518">
        <v>2</v>
      </c>
      <c r="S518">
        <v>90</v>
      </c>
      <c r="T518">
        <v>2</v>
      </c>
      <c r="U518">
        <v>85</v>
      </c>
      <c r="V518">
        <v>2</v>
      </c>
      <c r="W518">
        <v>100</v>
      </c>
      <c r="X518">
        <v>2</v>
      </c>
      <c r="Y518">
        <v>78</v>
      </c>
      <c r="Z518">
        <v>1</v>
      </c>
      <c r="AA518">
        <v>90</v>
      </c>
      <c r="AB518">
        <v>1</v>
      </c>
      <c r="AC518">
        <v>73</v>
      </c>
      <c r="AD518">
        <v>1</v>
      </c>
      <c r="AE518">
        <v>87</v>
      </c>
      <c r="AF518">
        <v>2</v>
      </c>
      <c r="AG518">
        <v>90</v>
      </c>
      <c r="AH518">
        <v>2</v>
      </c>
    </row>
    <row r="519" spans="1:34">
      <c r="A519" t="s">
        <v>1221</v>
      </c>
      <c r="B519" s="24">
        <v>1810</v>
      </c>
      <c r="C519" s="24" t="s">
        <v>1655</v>
      </c>
      <c r="D519" s="24" t="s">
        <v>1223</v>
      </c>
      <c r="E519" s="93">
        <v>90</v>
      </c>
      <c r="F519" s="94">
        <v>4</v>
      </c>
      <c r="G519" s="94">
        <v>99</v>
      </c>
      <c r="H519" s="94">
        <v>4</v>
      </c>
      <c r="I519" s="94">
        <v>92</v>
      </c>
      <c r="J519" s="94">
        <v>4</v>
      </c>
      <c r="K519" s="94">
        <v>91</v>
      </c>
      <c r="L519" s="94">
        <v>2</v>
      </c>
      <c r="M519" s="94">
        <v>97</v>
      </c>
      <c r="N519" s="94">
        <v>2</v>
      </c>
      <c r="O519" s="94">
        <v>95</v>
      </c>
      <c r="P519" s="94">
        <v>2</v>
      </c>
      <c r="Q519">
        <v>90</v>
      </c>
      <c r="R519">
        <v>2</v>
      </c>
      <c r="S519">
        <v>88</v>
      </c>
      <c r="T519">
        <v>2</v>
      </c>
      <c r="U519">
        <v>70</v>
      </c>
      <c r="V519">
        <v>2</v>
      </c>
      <c r="W519">
        <v>90</v>
      </c>
      <c r="X519">
        <v>2</v>
      </c>
      <c r="Y519">
        <v>80</v>
      </c>
      <c r="Z519">
        <v>1</v>
      </c>
      <c r="AA519">
        <v>90</v>
      </c>
      <c r="AB519">
        <v>1</v>
      </c>
      <c r="AC519">
        <v>88</v>
      </c>
      <c r="AD519">
        <v>1</v>
      </c>
      <c r="AE519">
        <v>82</v>
      </c>
      <c r="AF519">
        <v>2</v>
      </c>
      <c r="AG519">
        <v>91</v>
      </c>
      <c r="AH519">
        <v>2</v>
      </c>
    </row>
    <row r="520" spans="1:34">
      <c r="A520" t="s">
        <v>1542</v>
      </c>
      <c r="B520" s="24">
        <v>1810</v>
      </c>
      <c r="C520" s="24" t="s">
        <v>1658</v>
      </c>
      <c r="D520" s="24" t="s">
        <v>101</v>
      </c>
      <c r="E520" s="93">
        <v>91</v>
      </c>
      <c r="F520" s="94">
        <v>4</v>
      </c>
      <c r="G520" s="94">
        <v>97</v>
      </c>
      <c r="H520" s="94">
        <v>4</v>
      </c>
      <c r="I520" s="94">
        <v>92</v>
      </c>
      <c r="J520" s="94">
        <v>4</v>
      </c>
      <c r="K520" s="94">
        <v>90</v>
      </c>
      <c r="L520" s="94">
        <v>2</v>
      </c>
      <c r="M520" s="94">
        <v>80</v>
      </c>
      <c r="N520" s="94">
        <v>2</v>
      </c>
      <c r="O520" s="94">
        <v>93</v>
      </c>
      <c r="P520" s="94">
        <v>2</v>
      </c>
      <c r="Q520">
        <v>98</v>
      </c>
      <c r="R520">
        <v>2</v>
      </c>
      <c r="S520">
        <v>92</v>
      </c>
      <c r="T520">
        <v>2</v>
      </c>
      <c r="U520">
        <v>72</v>
      </c>
      <c r="V520">
        <v>2</v>
      </c>
      <c r="W520">
        <v>93</v>
      </c>
      <c r="X520">
        <v>2</v>
      </c>
      <c r="Y520">
        <v>83</v>
      </c>
      <c r="Z520">
        <v>1</v>
      </c>
      <c r="AA520">
        <v>90</v>
      </c>
      <c r="AB520">
        <v>1</v>
      </c>
      <c r="AC520">
        <v>86</v>
      </c>
      <c r="AD520">
        <v>1</v>
      </c>
      <c r="AE520">
        <v>89</v>
      </c>
      <c r="AF520">
        <v>2</v>
      </c>
      <c r="AG520">
        <v>89</v>
      </c>
      <c r="AH520">
        <v>2</v>
      </c>
    </row>
    <row r="521" spans="1:34">
      <c r="A521" t="s">
        <v>1663</v>
      </c>
      <c r="B521" s="24">
        <v>1810</v>
      </c>
      <c r="C521" s="24" t="s">
        <v>1661</v>
      </c>
      <c r="D521" s="24" t="s">
        <v>1664</v>
      </c>
      <c r="E521" s="93">
        <v>88</v>
      </c>
      <c r="F521" s="94">
        <v>4</v>
      </c>
      <c r="G521" s="94">
        <v>98</v>
      </c>
      <c r="H521" s="94">
        <v>4</v>
      </c>
      <c r="I521" s="94">
        <v>88</v>
      </c>
      <c r="J521" s="94">
        <v>4</v>
      </c>
      <c r="K521" s="94">
        <v>91</v>
      </c>
      <c r="L521" s="94">
        <v>2</v>
      </c>
      <c r="M521" s="94">
        <v>95</v>
      </c>
      <c r="N521" s="94">
        <v>2</v>
      </c>
      <c r="O521" s="94">
        <v>93</v>
      </c>
      <c r="P521" s="94">
        <v>2</v>
      </c>
      <c r="Q521">
        <v>94</v>
      </c>
      <c r="R521">
        <v>2</v>
      </c>
      <c r="S521">
        <v>92</v>
      </c>
      <c r="T521">
        <v>2</v>
      </c>
      <c r="U521">
        <v>79</v>
      </c>
      <c r="V521">
        <v>2</v>
      </c>
      <c r="W521">
        <v>100</v>
      </c>
      <c r="X521">
        <v>2</v>
      </c>
      <c r="Y521">
        <v>82</v>
      </c>
      <c r="Z521">
        <v>1</v>
      </c>
      <c r="AA521">
        <v>90</v>
      </c>
      <c r="AB521">
        <v>1</v>
      </c>
      <c r="AC521">
        <v>65</v>
      </c>
      <c r="AD521">
        <v>1</v>
      </c>
      <c r="AE521">
        <v>50</v>
      </c>
      <c r="AF521">
        <v>1</v>
      </c>
      <c r="AG521">
        <v>92</v>
      </c>
      <c r="AH521">
        <v>2</v>
      </c>
    </row>
    <row r="522" spans="1:34">
      <c r="B522" s="24">
        <v>1810</v>
      </c>
      <c r="C522" s="24" t="s">
        <v>3327</v>
      </c>
      <c r="K522" s="94">
        <v>91</v>
      </c>
    </row>
    <row r="523" spans="1:34">
      <c r="A523" t="s">
        <v>1665</v>
      </c>
      <c r="B523" s="24">
        <v>1810</v>
      </c>
      <c r="C523" s="24" t="s">
        <v>1666</v>
      </c>
      <c r="D523" s="24" t="s">
        <v>1667</v>
      </c>
      <c r="E523" s="93">
        <v>90</v>
      </c>
      <c r="F523" s="94">
        <v>4</v>
      </c>
      <c r="G523" s="94">
        <v>97</v>
      </c>
      <c r="H523" s="94">
        <v>4</v>
      </c>
      <c r="I523" s="94">
        <v>91</v>
      </c>
      <c r="J523" s="94">
        <v>4</v>
      </c>
      <c r="K523" s="94">
        <v>96</v>
      </c>
      <c r="L523" s="94">
        <v>2</v>
      </c>
      <c r="M523" s="94">
        <v>79</v>
      </c>
      <c r="N523" s="94">
        <v>2</v>
      </c>
      <c r="O523" s="94">
        <v>93</v>
      </c>
      <c r="P523" s="94">
        <v>2</v>
      </c>
      <c r="Q523">
        <v>95</v>
      </c>
      <c r="R523">
        <v>2</v>
      </c>
      <c r="S523">
        <v>85</v>
      </c>
      <c r="T523">
        <v>2</v>
      </c>
      <c r="U523">
        <v>90</v>
      </c>
      <c r="V523">
        <v>2</v>
      </c>
      <c r="W523">
        <v>100</v>
      </c>
      <c r="X523">
        <v>2</v>
      </c>
      <c r="Y523">
        <v>82</v>
      </c>
      <c r="Z523">
        <v>1</v>
      </c>
      <c r="AA523">
        <v>90</v>
      </c>
      <c r="AB523">
        <v>1</v>
      </c>
      <c r="AC523">
        <v>70</v>
      </c>
      <c r="AD523">
        <v>1</v>
      </c>
      <c r="AE523">
        <v>84</v>
      </c>
      <c r="AF523">
        <v>2</v>
      </c>
      <c r="AG523">
        <v>93</v>
      </c>
      <c r="AH523">
        <v>2</v>
      </c>
    </row>
    <row r="524" spans="1:34">
      <c r="A524" t="s">
        <v>1961</v>
      </c>
      <c r="B524" s="24">
        <v>1810</v>
      </c>
      <c r="C524" s="24" t="s">
        <v>1669</v>
      </c>
      <c r="D524" s="24" t="s">
        <v>146</v>
      </c>
      <c r="E524" s="93">
        <v>91</v>
      </c>
      <c r="F524" s="94">
        <v>4</v>
      </c>
      <c r="G524" s="94">
        <v>95</v>
      </c>
      <c r="H524" s="94">
        <v>4</v>
      </c>
      <c r="I524" s="94">
        <v>91</v>
      </c>
      <c r="J524" s="94">
        <v>4</v>
      </c>
      <c r="K524" s="94">
        <v>91</v>
      </c>
      <c r="L524" s="94">
        <v>2</v>
      </c>
      <c r="M524" s="94">
        <v>89</v>
      </c>
      <c r="N524" s="94">
        <v>2</v>
      </c>
      <c r="O524" s="94">
        <v>93</v>
      </c>
      <c r="P524" s="94">
        <v>2</v>
      </c>
      <c r="Q524">
        <v>99</v>
      </c>
      <c r="R524">
        <v>2</v>
      </c>
      <c r="S524">
        <v>92</v>
      </c>
      <c r="T524">
        <v>2</v>
      </c>
      <c r="U524">
        <v>78</v>
      </c>
      <c r="V524">
        <v>2</v>
      </c>
      <c r="W524">
        <v>90</v>
      </c>
      <c r="X524">
        <v>2</v>
      </c>
      <c r="Y524">
        <v>80</v>
      </c>
      <c r="Z524">
        <v>1</v>
      </c>
      <c r="AA524">
        <v>90</v>
      </c>
      <c r="AB524">
        <v>1</v>
      </c>
      <c r="AC524">
        <v>86</v>
      </c>
      <c r="AD524">
        <v>1</v>
      </c>
      <c r="AE524">
        <v>50</v>
      </c>
      <c r="AF524">
        <v>1</v>
      </c>
      <c r="AG524">
        <v>95</v>
      </c>
      <c r="AH524">
        <v>2</v>
      </c>
    </row>
    <row r="525" spans="1:34">
      <c r="A525" t="s">
        <v>907</v>
      </c>
      <c r="B525" s="24">
        <v>1810</v>
      </c>
      <c r="C525" s="24" t="s">
        <v>1672</v>
      </c>
      <c r="D525" s="24" t="s">
        <v>909</v>
      </c>
      <c r="E525" s="93">
        <v>90</v>
      </c>
      <c r="F525" s="94">
        <v>4</v>
      </c>
      <c r="G525" s="94">
        <v>95</v>
      </c>
      <c r="H525" s="94">
        <v>4</v>
      </c>
      <c r="I525" s="94">
        <v>92</v>
      </c>
      <c r="J525" s="94">
        <v>4</v>
      </c>
      <c r="K525" s="94">
        <v>91</v>
      </c>
      <c r="L525" s="94">
        <v>2</v>
      </c>
      <c r="M525" s="94">
        <v>77</v>
      </c>
      <c r="N525" s="94">
        <v>2</v>
      </c>
      <c r="O525" s="94">
        <v>93</v>
      </c>
      <c r="P525" s="94">
        <v>2</v>
      </c>
      <c r="Q525">
        <v>96</v>
      </c>
      <c r="R525">
        <v>2</v>
      </c>
      <c r="S525">
        <v>92</v>
      </c>
      <c r="T525">
        <v>2</v>
      </c>
      <c r="U525">
        <v>85</v>
      </c>
      <c r="V525">
        <v>2</v>
      </c>
      <c r="W525">
        <v>90</v>
      </c>
      <c r="X525">
        <v>2</v>
      </c>
      <c r="Y525">
        <v>80</v>
      </c>
      <c r="Z525">
        <v>1</v>
      </c>
      <c r="AA525">
        <v>90</v>
      </c>
      <c r="AB525">
        <v>1</v>
      </c>
      <c r="AC525">
        <v>65</v>
      </c>
      <c r="AD525">
        <v>1</v>
      </c>
      <c r="AE525">
        <v>86</v>
      </c>
      <c r="AF525">
        <v>2</v>
      </c>
      <c r="AG525">
        <v>96</v>
      </c>
      <c r="AH525">
        <v>2</v>
      </c>
    </row>
    <row r="526" spans="1:34">
      <c r="A526" t="s">
        <v>2313</v>
      </c>
      <c r="B526" s="24">
        <v>1810</v>
      </c>
      <c r="C526" s="24" t="s">
        <v>1675</v>
      </c>
      <c r="D526" s="24" t="s">
        <v>2315</v>
      </c>
      <c r="E526" s="93">
        <v>90</v>
      </c>
      <c r="F526" s="94">
        <v>4</v>
      </c>
      <c r="G526" s="94">
        <v>96</v>
      </c>
      <c r="H526" s="94">
        <v>4</v>
      </c>
      <c r="I526" s="94">
        <v>94</v>
      </c>
      <c r="J526" s="94">
        <v>4</v>
      </c>
      <c r="K526" s="94">
        <v>91</v>
      </c>
      <c r="L526" s="94">
        <v>2</v>
      </c>
      <c r="M526" s="94">
        <v>90</v>
      </c>
      <c r="N526" s="94">
        <v>2</v>
      </c>
      <c r="O526" s="94">
        <v>93</v>
      </c>
      <c r="P526" s="94">
        <v>2</v>
      </c>
      <c r="Q526">
        <v>99</v>
      </c>
      <c r="R526">
        <v>2</v>
      </c>
      <c r="S526">
        <v>90</v>
      </c>
      <c r="T526">
        <v>2</v>
      </c>
      <c r="U526">
        <v>85</v>
      </c>
      <c r="V526">
        <v>2</v>
      </c>
      <c r="W526">
        <v>91</v>
      </c>
      <c r="X526">
        <v>2</v>
      </c>
      <c r="Y526">
        <v>84</v>
      </c>
      <c r="Z526">
        <v>1</v>
      </c>
      <c r="AA526">
        <v>90</v>
      </c>
      <c r="AB526">
        <v>1</v>
      </c>
      <c r="AC526">
        <v>76</v>
      </c>
      <c r="AD526">
        <v>1</v>
      </c>
      <c r="AE526">
        <v>86</v>
      </c>
      <c r="AF526">
        <v>2</v>
      </c>
      <c r="AG526">
        <v>92</v>
      </c>
      <c r="AH526">
        <v>2</v>
      </c>
    </row>
    <row r="527" spans="1:34">
      <c r="A527" t="s">
        <v>2625</v>
      </c>
      <c r="B527" s="24">
        <v>1810</v>
      </c>
      <c r="C527" s="24" t="s">
        <v>3257</v>
      </c>
      <c r="D527" s="24" t="s">
        <v>126</v>
      </c>
      <c r="E527" s="93">
        <v>93</v>
      </c>
      <c r="F527" s="94">
        <v>4</v>
      </c>
      <c r="G527" s="94">
        <v>98</v>
      </c>
      <c r="H527" s="94">
        <v>4</v>
      </c>
      <c r="I527" s="94">
        <v>93</v>
      </c>
      <c r="J527" s="94">
        <v>4</v>
      </c>
      <c r="K527" s="94">
        <v>90</v>
      </c>
      <c r="L527" s="94">
        <v>2</v>
      </c>
      <c r="M527" s="94">
        <v>75</v>
      </c>
      <c r="N527" s="94">
        <v>2</v>
      </c>
      <c r="O527" s="94">
        <v>96</v>
      </c>
      <c r="P527" s="94">
        <v>2</v>
      </c>
      <c r="Q527">
        <v>94</v>
      </c>
      <c r="R527">
        <v>2</v>
      </c>
      <c r="S527">
        <v>91</v>
      </c>
      <c r="T527">
        <v>2</v>
      </c>
      <c r="U527">
        <v>85</v>
      </c>
      <c r="V527">
        <v>2</v>
      </c>
      <c r="W527">
        <v>90</v>
      </c>
      <c r="X527">
        <v>2</v>
      </c>
      <c r="Y527">
        <v>82</v>
      </c>
      <c r="Z527">
        <v>1</v>
      </c>
      <c r="AA527">
        <v>90</v>
      </c>
      <c r="AB527">
        <v>1</v>
      </c>
      <c r="AC527">
        <v>70</v>
      </c>
      <c r="AD527">
        <v>1</v>
      </c>
      <c r="AE527">
        <v>90</v>
      </c>
      <c r="AF527">
        <v>2</v>
      </c>
      <c r="AG527">
        <v>90</v>
      </c>
      <c r="AH527">
        <v>2</v>
      </c>
    </row>
    <row r="528" spans="1:34">
      <c r="A528" t="s">
        <v>1560</v>
      </c>
      <c r="B528" s="24">
        <v>1810</v>
      </c>
      <c r="C528" s="24" t="s">
        <v>1679</v>
      </c>
      <c r="D528" s="24" t="s">
        <v>1562</v>
      </c>
      <c r="E528" s="93">
        <v>92</v>
      </c>
      <c r="F528" s="94">
        <v>4</v>
      </c>
      <c r="G528" s="94">
        <v>95</v>
      </c>
      <c r="H528" s="94">
        <v>4</v>
      </c>
      <c r="I528" s="94">
        <v>91</v>
      </c>
      <c r="J528" s="94">
        <v>4</v>
      </c>
      <c r="K528" s="94">
        <v>90</v>
      </c>
      <c r="L528" s="94">
        <v>2</v>
      </c>
      <c r="M528" s="94">
        <v>79</v>
      </c>
      <c r="N528" s="94">
        <v>2</v>
      </c>
      <c r="O528" s="94">
        <v>94</v>
      </c>
      <c r="P528" s="94">
        <v>2</v>
      </c>
      <c r="Q528">
        <v>98</v>
      </c>
      <c r="R528">
        <v>2</v>
      </c>
      <c r="S528">
        <v>90</v>
      </c>
      <c r="T528">
        <v>2</v>
      </c>
      <c r="U528">
        <v>76</v>
      </c>
      <c r="V528">
        <v>2</v>
      </c>
      <c r="W528">
        <v>91</v>
      </c>
      <c r="X528">
        <v>2</v>
      </c>
      <c r="Y528">
        <v>80</v>
      </c>
      <c r="Z528">
        <v>1</v>
      </c>
      <c r="AA528">
        <v>90</v>
      </c>
      <c r="AB528">
        <v>1</v>
      </c>
      <c r="AC528">
        <v>76</v>
      </c>
      <c r="AD528">
        <v>1</v>
      </c>
      <c r="AE528">
        <v>86</v>
      </c>
      <c r="AF528">
        <v>2</v>
      </c>
      <c r="AG528">
        <v>88</v>
      </c>
      <c r="AH528">
        <v>2</v>
      </c>
    </row>
    <row r="529" spans="1:34">
      <c r="A529" t="s">
        <v>426</v>
      </c>
      <c r="B529" s="24">
        <v>1810</v>
      </c>
      <c r="C529" s="24" t="s">
        <v>1682</v>
      </c>
      <c r="D529" s="24" t="s">
        <v>180</v>
      </c>
      <c r="E529" s="93">
        <v>92</v>
      </c>
      <c r="F529" s="94">
        <v>4</v>
      </c>
      <c r="G529" s="94">
        <v>96</v>
      </c>
      <c r="H529" s="94">
        <v>4</v>
      </c>
      <c r="I529" s="94">
        <v>90</v>
      </c>
      <c r="J529" s="94">
        <v>4</v>
      </c>
      <c r="K529" s="94">
        <v>91</v>
      </c>
      <c r="L529" s="94">
        <v>2</v>
      </c>
      <c r="M529" s="94">
        <v>87</v>
      </c>
      <c r="N529" s="94">
        <v>2</v>
      </c>
      <c r="O529" s="94">
        <v>92</v>
      </c>
      <c r="P529" s="94">
        <v>2</v>
      </c>
      <c r="Q529">
        <v>94</v>
      </c>
      <c r="R529">
        <v>2</v>
      </c>
      <c r="S529">
        <v>91</v>
      </c>
      <c r="T529">
        <v>2</v>
      </c>
      <c r="U529">
        <v>73</v>
      </c>
      <c r="V529">
        <v>2</v>
      </c>
      <c r="W529">
        <v>90</v>
      </c>
      <c r="X529">
        <v>2</v>
      </c>
      <c r="Y529">
        <v>81</v>
      </c>
      <c r="Z529">
        <v>1</v>
      </c>
      <c r="AA529">
        <v>90</v>
      </c>
      <c r="AB529">
        <v>1</v>
      </c>
      <c r="AC529">
        <v>78</v>
      </c>
      <c r="AD529">
        <v>1</v>
      </c>
      <c r="AE529">
        <v>89</v>
      </c>
      <c r="AF529">
        <v>2</v>
      </c>
      <c r="AG529">
        <v>89</v>
      </c>
      <c r="AH529">
        <v>2</v>
      </c>
    </row>
    <row r="530" spans="1:34">
      <c r="A530" t="s">
        <v>940</v>
      </c>
      <c r="B530" s="24">
        <v>1810</v>
      </c>
      <c r="C530" s="24" t="s">
        <v>1685</v>
      </c>
      <c r="D530" s="24" t="s">
        <v>179</v>
      </c>
      <c r="E530" s="93">
        <v>93</v>
      </c>
      <c r="F530" s="94">
        <v>4</v>
      </c>
      <c r="G530" s="94">
        <v>95</v>
      </c>
      <c r="H530" s="94">
        <v>4</v>
      </c>
      <c r="I530" s="94">
        <v>91</v>
      </c>
      <c r="J530" s="94">
        <v>4</v>
      </c>
      <c r="K530" s="94">
        <v>99</v>
      </c>
      <c r="L530" s="94">
        <v>2</v>
      </c>
      <c r="M530" s="94">
        <v>81</v>
      </c>
      <c r="N530" s="94">
        <v>2</v>
      </c>
      <c r="O530" s="94">
        <v>92</v>
      </c>
      <c r="P530" s="94">
        <v>2</v>
      </c>
      <c r="Q530">
        <v>95</v>
      </c>
      <c r="R530">
        <v>2</v>
      </c>
      <c r="S530">
        <v>91</v>
      </c>
      <c r="T530">
        <v>2</v>
      </c>
      <c r="U530">
        <v>83</v>
      </c>
      <c r="V530">
        <v>2</v>
      </c>
      <c r="W530">
        <v>93</v>
      </c>
      <c r="X530">
        <v>2</v>
      </c>
      <c r="Y530">
        <v>78</v>
      </c>
      <c r="Z530">
        <v>1</v>
      </c>
      <c r="AA530">
        <v>90</v>
      </c>
      <c r="AB530">
        <v>1</v>
      </c>
      <c r="AC530">
        <v>76</v>
      </c>
      <c r="AD530">
        <v>1</v>
      </c>
      <c r="AE530">
        <v>84</v>
      </c>
      <c r="AF530">
        <v>2</v>
      </c>
      <c r="AG530">
        <v>94</v>
      </c>
      <c r="AH530">
        <v>2</v>
      </c>
    </row>
    <row r="531" spans="1:34">
      <c r="A531" t="s">
        <v>1573</v>
      </c>
      <c r="B531" s="24">
        <v>1810</v>
      </c>
      <c r="C531" s="24" t="s">
        <v>1688</v>
      </c>
      <c r="D531" s="24" t="s">
        <v>31</v>
      </c>
      <c r="E531" s="93">
        <v>95</v>
      </c>
      <c r="F531" s="94">
        <v>4</v>
      </c>
      <c r="G531" s="94">
        <v>97</v>
      </c>
      <c r="H531" s="94">
        <v>4</v>
      </c>
      <c r="I531" s="94">
        <v>90</v>
      </c>
      <c r="J531" s="94">
        <v>4</v>
      </c>
      <c r="K531" s="94">
        <v>97</v>
      </c>
      <c r="L531" s="94">
        <v>2</v>
      </c>
      <c r="M531" s="94">
        <v>80</v>
      </c>
      <c r="N531" s="94">
        <v>2</v>
      </c>
      <c r="O531" s="94">
        <v>95</v>
      </c>
      <c r="P531" s="94">
        <v>2</v>
      </c>
      <c r="Q531">
        <v>97</v>
      </c>
      <c r="R531">
        <v>2</v>
      </c>
      <c r="S531">
        <v>91</v>
      </c>
      <c r="T531">
        <v>2</v>
      </c>
      <c r="U531">
        <v>81</v>
      </c>
      <c r="V531">
        <v>2</v>
      </c>
      <c r="W531">
        <v>91</v>
      </c>
      <c r="X531">
        <v>2</v>
      </c>
      <c r="Y531">
        <v>83</v>
      </c>
      <c r="Z531">
        <v>1</v>
      </c>
      <c r="AA531">
        <v>90</v>
      </c>
      <c r="AB531">
        <v>1</v>
      </c>
      <c r="AC531">
        <v>85</v>
      </c>
      <c r="AD531">
        <v>1</v>
      </c>
      <c r="AE531">
        <v>88</v>
      </c>
      <c r="AF531">
        <v>2</v>
      </c>
      <c r="AG531">
        <v>90</v>
      </c>
      <c r="AH531">
        <v>2</v>
      </c>
    </row>
    <row r="532" spans="1:34">
      <c r="A532" t="s">
        <v>609</v>
      </c>
      <c r="B532" s="24">
        <v>1810</v>
      </c>
      <c r="C532" s="24" t="s">
        <v>1691</v>
      </c>
      <c r="D532" s="24" t="s">
        <v>611</v>
      </c>
      <c r="E532" s="93">
        <v>90</v>
      </c>
      <c r="F532" s="94">
        <v>4</v>
      </c>
      <c r="G532" s="94">
        <v>96</v>
      </c>
      <c r="H532" s="94">
        <v>4</v>
      </c>
      <c r="I532" s="94">
        <v>92</v>
      </c>
      <c r="J532" s="94">
        <v>4</v>
      </c>
      <c r="K532" s="94">
        <v>91</v>
      </c>
      <c r="L532" s="94">
        <v>2</v>
      </c>
      <c r="M532" s="94">
        <v>95</v>
      </c>
      <c r="N532" s="94">
        <v>2</v>
      </c>
      <c r="O532" s="94">
        <v>95</v>
      </c>
      <c r="P532" s="94">
        <v>2</v>
      </c>
      <c r="Q532">
        <v>99</v>
      </c>
      <c r="R532">
        <v>2</v>
      </c>
      <c r="S532">
        <v>91</v>
      </c>
      <c r="T532">
        <v>2</v>
      </c>
      <c r="U532">
        <v>78</v>
      </c>
      <c r="V532">
        <v>2</v>
      </c>
      <c r="W532">
        <v>91</v>
      </c>
      <c r="X532">
        <v>2</v>
      </c>
      <c r="Y532">
        <v>79</v>
      </c>
      <c r="Z532">
        <v>1</v>
      </c>
      <c r="AA532">
        <v>90</v>
      </c>
      <c r="AB532">
        <v>1</v>
      </c>
      <c r="AC532">
        <v>82</v>
      </c>
      <c r="AD532">
        <v>1</v>
      </c>
      <c r="AE532">
        <v>50</v>
      </c>
      <c r="AF532">
        <v>1</v>
      </c>
      <c r="AG532">
        <v>92</v>
      </c>
      <c r="AH532">
        <v>2</v>
      </c>
    </row>
    <row r="533" spans="1:34">
      <c r="A533" t="s">
        <v>1574</v>
      </c>
      <c r="B533" s="24">
        <v>1810</v>
      </c>
      <c r="C533" s="24" t="s">
        <v>1694</v>
      </c>
      <c r="D533" s="24" t="s">
        <v>119</v>
      </c>
      <c r="E533" s="93">
        <v>92</v>
      </c>
      <c r="F533" s="94">
        <v>4</v>
      </c>
      <c r="G533" s="94">
        <v>97</v>
      </c>
      <c r="H533" s="94">
        <v>4</v>
      </c>
      <c r="I533" s="94">
        <v>92</v>
      </c>
      <c r="J533" s="94">
        <v>4</v>
      </c>
      <c r="K533" s="94">
        <v>91</v>
      </c>
      <c r="L533" s="94">
        <v>2</v>
      </c>
      <c r="M533" s="94">
        <v>91</v>
      </c>
      <c r="N533" s="94">
        <v>2</v>
      </c>
      <c r="O533" s="94">
        <v>93</v>
      </c>
      <c r="P533" s="94">
        <v>2</v>
      </c>
      <c r="Q533">
        <v>96</v>
      </c>
      <c r="R533">
        <v>2</v>
      </c>
      <c r="S533">
        <v>91</v>
      </c>
      <c r="T533">
        <v>2</v>
      </c>
      <c r="U533">
        <v>83</v>
      </c>
      <c r="V533">
        <v>2</v>
      </c>
      <c r="W533">
        <v>93</v>
      </c>
      <c r="X533">
        <v>2</v>
      </c>
      <c r="Y533">
        <v>79</v>
      </c>
      <c r="Z533">
        <v>1</v>
      </c>
      <c r="AA533">
        <v>90</v>
      </c>
      <c r="AB533">
        <v>1</v>
      </c>
      <c r="AC533">
        <v>90</v>
      </c>
      <c r="AD533">
        <v>1</v>
      </c>
      <c r="AE533">
        <v>94</v>
      </c>
      <c r="AF533">
        <v>2</v>
      </c>
      <c r="AG533">
        <v>89</v>
      </c>
      <c r="AH533">
        <v>2</v>
      </c>
    </row>
    <row r="534" spans="1:34">
      <c r="A534" t="s">
        <v>1576</v>
      </c>
      <c r="B534" s="24">
        <v>1810</v>
      </c>
      <c r="C534" s="24" t="s">
        <v>1696</v>
      </c>
      <c r="D534" s="24" t="s">
        <v>1578</v>
      </c>
      <c r="E534" s="93">
        <v>87</v>
      </c>
      <c r="F534" s="94">
        <v>4</v>
      </c>
      <c r="G534" s="94">
        <v>99</v>
      </c>
      <c r="H534" s="94">
        <v>4</v>
      </c>
      <c r="I534" s="94">
        <v>92</v>
      </c>
      <c r="J534" s="94">
        <v>4</v>
      </c>
      <c r="K534" s="94">
        <v>95</v>
      </c>
      <c r="L534" s="94">
        <v>2</v>
      </c>
      <c r="M534" s="94">
        <v>92</v>
      </c>
      <c r="N534" s="94">
        <v>2</v>
      </c>
      <c r="O534" s="94">
        <v>95</v>
      </c>
      <c r="P534" s="94">
        <v>2</v>
      </c>
      <c r="Q534">
        <v>97</v>
      </c>
      <c r="R534">
        <v>2</v>
      </c>
      <c r="S534">
        <v>92</v>
      </c>
      <c r="T534">
        <v>2</v>
      </c>
      <c r="U534">
        <v>77</v>
      </c>
      <c r="V534">
        <v>2</v>
      </c>
      <c r="W534">
        <v>100</v>
      </c>
      <c r="X534">
        <v>2</v>
      </c>
      <c r="Y534">
        <v>80</v>
      </c>
      <c r="Z534">
        <v>1</v>
      </c>
      <c r="AA534">
        <v>90</v>
      </c>
      <c r="AB534">
        <v>1</v>
      </c>
      <c r="AC534">
        <v>92</v>
      </c>
      <c r="AD534">
        <v>1</v>
      </c>
      <c r="AE534">
        <v>87</v>
      </c>
      <c r="AF534">
        <v>2</v>
      </c>
      <c r="AG534">
        <v>87</v>
      </c>
      <c r="AH534">
        <v>2</v>
      </c>
    </row>
    <row r="535" spans="1:34">
      <c r="A535" t="s">
        <v>2839</v>
      </c>
      <c r="B535" s="24">
        <v>1810</v>
      </c>
      <c r="C535" s="24" t="s">
        <v>1699</v>
      </c>
      <c r="D535" s="24" t="s">
        <v>2841</v>
      </c>
      <c r="E535" s="93">
        <v>90</v>
      </c>
      <c r="F535" s="94">
        <v>4</v>
      </c>
      <c r="G535" s="94">
        <v>97</v>
      </c>
      <c r="H535" s="94">
        <v>4</v>
      </c>
      <c r="I535" s="94">
        <v>93</v>
      </c>
      <c r="J535" s="94">
        <v>4</v>
      </c>
      <c r="K535" s="94">
        <v>91</v>
      </c>
      <c r="L535" s="94">
        <v>2</v>
      </c>
      <c r="M535" s="94">
        <v>92</v>
      </c>
      <c r="N535" s="94">
        <v>2</v>
      </c>
      <c r="O535" s="94">
        <v>93</v>
      </c>
      <c r="P535" s="94">
        <v>2</v>
      </c>
      <c r="Q535">
        <v>90</v>
      </c>
      <c r="R535">
        <v>2</v>
      </c>
      <c r="S535">
        <v>88</v>
      </c>
      <c r="T535">
        <v>2</v>
      </c>
      <c r="U535">
        <v>85</v>
      </c>
      <c r="V535">
        <v>2</v>
      </c>
      <c r="W535">
        <v>91</v>
      </c>
      <c r="X535">
        <v>2</v>
      </c>
      <c r="Y535">
        <v>79</v>
      </c>
      <c r="Z535">
        <v>1</v>
      </c>
      <c r="AA535">
        <v>90</v>
      </c>
      <c r="AB535">
        <v>1</v>
      </c>
      <c r="AC535">
        <v>86</v>
      </c>
      <c r="AD535">
        <v>1</v>
      </c>
      <c r="AE535">
        <v>89</v>
      </c>
      <c r="AF535">
        <v>2</v>
      </c>
      <c r="AG535">
        <v>88</v>
      </c>
      <c r="AH535">
        <v>2</v>
      </c>
    </row>
    <row r="536" spans="1:34">
      <c r="A536" t="s">
        <v>615</v>
      </c>
      <c r="B536" s="24">
        <v>1810</v>
      </c>
      <c r="C536" s="24" t="s">
        <v>1702</v>
      </c>
      <c r="D536" s="24" t="s">
        <v>617</v>
      </c>
      <c r="E536" s="93">
        <v>88</v>
      </c>
      <c r="F536" s="94">
        <v>4</v>
      </c>
      <c r="G536" s="94">
        <v>93</v>
      </c>
      <c r="H536" s="94">
        <v>4</v>
      </c>
      <c r="I536" s="94">
        <v>85</v>
      </c>
      <c r="J536" s="94">
        <v>4</v>
      </c>
      <c r="K536" s="94">
        <v>97</v>
      </c>
      <c r="L536" s="94">
        <v>2</v>
      </c>
      <c r="M536" s="94">
        <v>78</v>
      </c>
      <c r="N536" s="94">
        <v>2</v>
      </c>
      <c r="O536" s="94">
        <v>91</v>
      </c>
      <c r="P536" s="94">
        <v>2</v>
      </c>
      <c r="Q536">
        <v>90</v>
      </c>
      <c r="R536">
        <v>2</v>
      </c>
      <c r="S536">
        <v>92</v>
      </c>
      <c r="T536">
        <v>2</v>
      </c>
      <c r="U536">
        <v>70</v>
      </c>
      <c r="V536">
        <v>2</v>
      </c>
      <c r="W536">
        <v>90</v>
      </c>
      <c r="X536">
        <v>2</v>
      </c>
      <c r="Y536">
        <v>75</v>
      </c>
      <c r="Z536">
        <v>1</v>
      </c>
      <c r="AA536">
        <v>90</v>
      </c>
      <c r="AB536">
        <v>1</v>
      </c>
      <c r="AC536">
        <v>80</v>
      </c>
      <c r="AD536">
        <v>1</v>
      </c>
      <c r="AE536">
        <v>50</v>
      </c>
      <c r="AF536">
        <v>1</v>
      </c>
      <c r="AG536">
        <v>86</v>
      </c>
      <c r="AH536">
        <v>2</v>
      </c>
    </row>
    <row r="537" spans="1:34">
      <c r="A537" t="s">
        <v>1585</v>
      </c>
      <c r="B537" s="24">
        <v>1810</v>
      </c>
      <c r="C537" s="24" t="s">
        <v>1704</v>
      </c>
      <c r="D537" s="24" t="s">
        <v>43</v>
      </c>
      <c r="E537" s="93">
        <v>95</v>
      </c>
      <c r="F537" s="94">
        <v>4</v>
      </c>
      <c r="G537" s="94">
        <v>98</v>
      </c>
      <c r="H537" s="94">
        <v>4</v>
      </c>
      <c r="I537" s="94">
        <v>92</v>
      </c>
      <c r="J537" s="94">
        <v>4</v>
      </c>
      <c r="K537" s="94">
        <v>91</v>
      </c>
      <c r="L537" s="94">
        <v>2</v>
      </c>
      <c r="M537" s="94">
        <v>86</v>
      </c>
      <c r="N537" s="94">
        <v>2</v>
      </c>
      <c r="O537" s="94">
        <v>96</v>
      </c>
      <c r="P537" s="94">
        <v>2</v>
      </c>
      <c r="Q537">
        <v>96</v>
      </c>
      <c r="R537">
        <v>2</v>
      </c>
      <c r="S537">
        <v>80</v>
      </c>
      <c r="T537">
        <v>2</v>
      </c>
      <c r="U537">
        <v>86</v>
      </c>
      <c r="V537">
        <v>2</v>
      </c>
      <c r="W537">
        <v>95</v>
      </c>
      <c r="X537">
        <v>2</v>
      </c>
      <c r="Y537">
        <v>77</v>
      </c>
      <c r="Z537">
        <v>1</v>
      </c>
      <c r="AA537">
        <v>90</v>
      </c>
      <c r="AB537">
        <v>1</v>
      </c>
      <c r="AC537">
        <v>78</v>
      </c>
      <c r="AD537">
        <v>1</v>
      </c>
      <c r="AE537">
        <v>92</v>
      </c>
      <c r="AF537">
        <v>2</v>
      </c>
      <c r="AG537">
        <v>90</v>
      </c>
      <c r="AH537">
        <v>2</v>
      </c>
    </row>
    <row r="538" spans="1:34">
      <c r="A538" t="s">
        <v>2848</v>
      </c>
      <c r="B538" s="24">
        <v>1810</v>
      </c>
      <c r="C538" s="24" t="s">
        <v>1707</v>
      </c>
      <c r="D538" s="24" t="s">
        <v>191</v>
      </c>
      <c r="E538" s="93">
        <v>90</v>
      </c>
      <c r="F538" s="94">
        <v>4</v>
      </c>
      <c r="G538" s="94">
        <v>99</v>
      </c>
      <c r="H538" s="94">
        <v>4</v>
      </c>
      <c r="I538" s="94">
        <v>92</v>
      </c>
      <c r="J538" s="94">
        <v>4</v>
      </c>
      <c r="K538" s="94">
        <v>91</v>
      </c>
      <c r="L538" s="94">
        <v>2</v>
      </c>
      <c r="M538" s="94">
        <v>97</v>
      </c>
      <c r="N538" s="94">
        <v>2</v>
      </c>
      <c r="O538" s="94">
        <v>93</v>
      </c>
      <c r="P538" s="94">
        <v>2</v>
      </c>
      <c r="Q538">
        <v>92</v>
      </c>
      <c r="R538">
        <v>2</v>
      </c>
      <c r="S538">
        <v>91</v>
      </c>
      <c r="T538">
        <v>2</v>
      </c>
      <c r="U538">
        <v>78</v>
      </c>
      <c r="V538">
        <v>2</v>
      </c>
      <c r="W538">
        <v>99</v>
      </c>
      <c r="X538">
        <v>2</v>
      </c>
      <c r="Y538">
        <v>76</v>
      </c>
      <c r="Z538">
        <v>1</v>
      </c>
      <c r="AA538">
        <v>90</v>
      </c>
      <c r="AB538">
        <v>1</v>
      </c>
      <c r="AC538">
        <v>75</v>
      </c>
      <c r="AD538">
        <v>1</v>
      </c>
      <c r="AE538">
        <v>90</v>
      </c>
      <c r="AF538">
        <v>2</v>
      </c>
      <c r="AG538">
        <v>91</v>
      </c>
      <c r="AH538">
        <v>2</v>
      </c>
    </row>
    <row r="539" spans="1:34">
      <c r="A539" t="s">
        <v>1872</v>
      </c>
      <c r="B539" s="24">
        <v>1810</v>
      </c>
      <c r="C539" s="24" t="s">
        <v>1710</v>
      </c>
      <c r="D539" s="24" t="s">
        <v>35</v>
      </c>
      <c r="E539" s="93">
        <v>75</v>
      </c>
      <c r="F539" s="94">
        <v>4</v>
      </c>
      <c r="G539" s="94">
        <v>96</v>
      </c>
      <c r="H539" s="94">
        <v>4</v>
      </c>
      <c r="I539" s="94">
        <v>93</v>
      </c>
      <c r="J539" s="94">
        <v>4</v>
      </c>
      <c r="K539" s="94">
        <v>91</v>
      </c>
      <c r="L539" s="94">
        <v>2</v>
      </c>
      <c r="M539" s="94">
        <v>76</v>
      </c>
      <c r="N539" s="94">
        <v>2</v>
      </c>
      <c r="O539" s="94">
        <v>93</v>
      </c>
      <c r="P539" s="94">
        <v>2</v>
      </c>
      <c r="Q539">
        <v>95</v>
      </c>
      <c r="R539">
        <v>2</v>
      </c>
      <c r="S539">
        <v>88</v>
      </c>
      <c r="T539">
        <v>2</v>
      </c>
      <c r="U539">
        <v>82</v>
      </c>
      <c r="V539">
        <v>2</v>
      </c>
      <c r="W539">
        <v>91</v>
      </c>
      <c r="X539">
        <v>2</v>
      </c>
      <c r="Y539">
        <v>77</v>
      </c>
      <c r="Z539">
        <v>1</v>
      </c>
      <c r="AA539">
        <v>90</v>
      </c>
      <c r="AB539">
        <v>1</v>
      </c>
      <c r="AC539">
        <v>90</v>
      </c>
      <c r="AD539">
        <v>1</v>
      </c>
      <c r="AE539">
        <v>50</v>
      </c>
      <c r="AF539">
        <v>1</v>
      </c>
      <c r="AG539">
        <v>86</v>
      </c>
      <c r="AH539">
        <v>2</v>
      </c>
    </row>
    <row r="540" spans="1:34">
      <c r="A540" t="s">
        <v>960</v>
      </c>
      <c r="B540" s="24">
        <v>1810</v>
      </c>
      <c r="C540" s="24" t="s">
        <v>1713</v>
      </c>
      <c r="D540" s="24" t="s">
        <v>170</v>
      </c>
      <c r="E540" s="93">
        <v>92</v>
      </c>
      <c r="F540" s="94">
        <v>4</v>
      </c>
      <c r="G540" s="94">
        <v>99</v>
      </c>
      <c r="H540" s="94">
        <v>4</v>
      </c>
      <c r="I540" s="94">
        <v>92</v>
      </c>
      <c r="J540" s="94">
        <v>4</v>
      </c>
      <c r="K540" s="94">
        <v>99</v>
      </c>
      <c r="L540" s="94">
        <v>2</v>
      </c>
      <c r="M540" s="94">
        <v>87</v>
      </c>
      <c r="N540" s="94">
        <v>2</v>
      </c>
      <c r="O540" s="94">
        <v>94</v>
      </c>
      <c r="P540" s="94">
        <v>2</v>
      </c>
      <c r="Q540">
        <v>99</v>
      </c>
      <c r="R540">
        <v>2</v>
      </c>
      <c r="S540">
        <v>91</v>
      </c>
      <c r="T540">
        <v>2</v>
      </c>
      <c r="U540">
        <v>81</v>
      </c>
      <c r="V540">
        <v>2</v>
      </c>
      <c r="W540">
        <v>90</v>
      </c>
      <c r="X540">
        <v>2</v>
      </c>
      <c r="Y540">
        <v>76</v>
      </c>
      <c r="Z540">
        <v>1</v>
      </c>
      <c r="AA540">
        <v>90</v>
      </c>
      <c r="AB540">
        <v>1</v>
      </c>
      <c r="AC540">
        <v>86</v>
      </c>
      <c r="AD540">
        <v>1</v>
      </c>
      <c r="AE540">
        <v>79</v>
      </c>
      <c r="AF540">
        <v>2</v>
      </c>
      <c r="AG540">
        <v>88</v>
      </c>
      <c r="AH540">
        <v>2</v>
      </c>
    </row>
    <row r="541" spans="1:34">
      <c r="A541" t="s">
        <v>1109</v>
      </c>
      <c r="B541" s="24">
        <v>1810</v>
      </c>
      <c r="C541" s="24" t="s">
        <v>1716</v>
      </c>
      <c r="D541" s="24" t="s">
        <v>114</v>
      </c>
      <c r="E541" s="93">
        <v>95</v>
      </c>
      <c r="F541" s="94">
        <v>4</v>
      </c>
      <c r="G541" s="94">
        <v>99</v>
      </c>
      <c r="H541" s="94">
        <v>4</v>
      </c>
      <c r="I541" s="94">
        <v>94</v>
      </c>
      <c r="J541" s="94">
        <v>4</v>
      </c>
      <c r="K541" s="94">
        <v>91</v>
      </c>
      <c r="L541" s="94">
        <v>2</v>
      </c>
      <c r="M541" s="94">
        <v>93</v>
      </c>
      <c r="N541" s="94">
        <v>2</v>
      </c>
      <c r="O541" s="94">
        <v>94</v>
      </c>
      <c r="P541" s="94">
        <v>2</v>
      </c>
      <c r="Q541">
        <v>90</v>
      </c>
      <c r="R541">
        <v>2</v>
      </c>
      <c r="S541">
        <v>91</v>
      </c>
      <c r="T541">
        <v>2</v>
      </c>
      <c r="U541">
        <v>75</v>
      </c>
      <c r="V541">
        <v>2</v>
      </c>
      <c r="W541">
        <v>90</v>
      </c>
      <c r="X541">
        <v>2</v>
      </c>
      <c r="Y541">
        <v>83</v>
      </c>
      <c r="Z541">
        <v>1</v>
      </c>
      <c r="AA541">
        <v>90</v>
      </c>
      <c r="AB541">
        <v>1</v>
      </c>
      <c r="AC541">
        <v>85</v>
      </c>
      <c r="AD541">
        <v>1</v>
      </c>
      <c r="AE541">
        <v>88</v>
      </c>
      <c r="AF541">
        <v>2</v>
      </c>
      <c r="AG541">
        <v>92</v>
      </c>
      <c r="AH541">
        <v>2</v>
      </c>
    </row>
    <row r="542" spans="1:34">
      <c r="A542" t="s">
        <v>1701</v>
      </c>
      <c r="B542" s="24">
        <v>1810</v>
      </c>
      <c r="C542" s="24" t="s">
        <v>1719</v>
      </c>
      <c r="D542" s="24" t="s">
        <v>198</v>
      </c>
      <c r="E542" s="93">
        <v>97</v>
      </c>
      <c r="F542" s="94">
        <v>4</v>
      </c>
      <c r="G542" s="94">
        <v>99</v>
      </c>
      <c r="H542" s="94">
        <v>4</v>
      </c>
      <c r="I542" s="94">
        <v>98</v>
      </c>
      <c r="J542" s="94">
        <v>4</v>
      </c>
      <c r="K542" s="94">
        <v>91</v>
      </c>
      <c r="L542" s="94">
        <v>2</v>
      </c>
      <c r="M542" s="94">
        <v>88</v>
      </c>
      <c r="N542" s="94">
        <v>2</v>
      </c>
      <c r="O542" s="94">
        <v>94</v>
      </c>
      <c r="P542" s="94">
        <v>2</v>
      </c>
      <c r="Q542">
        <v>100</v>
      </c>
      <c r="R542">
        <v>2</v>
      </c>
      <c r="S542">
        <v>91</v>
      </c>
      <c r="T542">
        <v>2</v>
      </c>
      <c r="U542">
        <v>85</v>
      </c>
      <c r="V542">
        <v>2</v>
      </c>
      <c r="W542">
        <v>96</v>
      </c>
      <c r="X542">
        <v>2</v>
      </c>
      <c r="Y542">
        <v>84</v>
      </c>
      <c r="Z542">
        <v>1</v>
      </c>
      <c r="AA542">
        <v>90</v>
      </c>
      <c r="AB542">
        <v>1</v>
      </c>
      <c r="AC542">
        <v>80</v>
      </c>
      <c r="AD542">
        <v>1</v>
      </c>
      <c r="AE542">
        <v>94</v>
      </c>
      <c r="AF542">
        <v>2</v>
      </c>
      <c r="AG542">
        <v>90</v>
      </c>
      <c r="AH542">
        <v>2</v>
      </c>
    </row>
    <row r="543" spans="1:34">
      <c r="A543" t="s">
        <v>2853</v>
      </c>
      <c r="B543" s="24">
        <v>1810</v>
      </c>
      <c r="C543" s="24" t="s">
        <v>1722</v>
      </c>
      <c r="D543" s="24" t="s">
        <v>39</v>
      </c>
      <c r="E543" s="93">
        <v>93</v>
      </c>
      <c r="F543" s="94">
        <v>4</v>
      </c>
      <c r="G543" s="94">
        <v>98</v>
      </c>
      <c r="H543" s="94">
        <v>4</v>
      </c>
      <c r="I543" s="94">
        <v>91</v>
      </c>
      <c r="J543" s="94">
        <v>4</v>
      </c>
      <c r="K543" s="94">
        <v>90</v>
      </c>
      <c r="L543" s="94">
        <v>2</v>
      </c>
      <c r="M543" s="94">
        <v>86</v>
      </c>
      <c r="N543" s="94">
        <v>2</v>
      </c>
      <c r="O543" s="94">
        <v>93</v>
      </c>
      <c r="P543" s="94">
        <v>2</v>
      </c>
      <c r="Q543">
        <v>100</v>
      </c>
      <c r="R543">
        <v>2</v>
      </c>
      <c r="S543">
        <v>92</v>
      </c>
      <c r="T543">
        <v>2</v>
      </c>
      <c r="U543">
        <v>88</v>
      </c>
      <c r="V543">
        <v>2</v>
      </c>
      <c r="W543">
        <v>96</v>
      </c>
      <c r="X543">
        <v>2</v>
      </c>
      <c r="Y543">
        <v>80</v>
      </c>
      <c r="Z543">
        <v>1</v>
      </c>
      <c r="AA543">
        <v>90</v>
      </c>
      <c r="AB543">
        <v>1</v>
      </c>
      <c r="AC543">
        <v>85</v>
      </c>
      <c r="AD543">
        <v>1</v>
      </c>
      <c r="AE543">
        <v>91</v>
      </c>
      <c r="AF543">
        <v>2</v>
      </c>
      <c r="AG543">
        <v>91</v>
      </c>
      <c r="AH543">
        <v>2</v>
      </c>
    </row>
    <row r="544" spans="1:34">
      <c r="A544" t="s">
        <v>1114</v>
      </c>
      <c r="B544" s="24">
        <v>1810</v>
      </c>
      <c r="C544" s="24" t="s">
        <v>1725</v>
      </c>
      <c r="D544" s="24" t="s">
        <v>202</v>
      </c>
      <c r="E544" s="93">
        <v>92</v>
      </c>
      <c r="F544" s="94">
        <v>4</v>
      </c>
      <c r="G544" s="94">
        <v>99</v>
      </c>
      <c r="H544" s="94">
        <v>4</v>
      </c>
      <c r="I544" s="94">
        <v>93</v>
      </c>
      <c r="J544" s="94">
        <v>4</v>
      </c>
      <c r="K544" s="94">
        <v>91</v>
      </c>
      <c r="L544" s="94">
        <v>2</v>
      </c>
      <c r="M544" s="94">
        <v>90</v>
      </c>
      <c r="N544" s="94">
        <v>2</v>
      </c>
      <c r="O544" s="94">
        <v>92</v>
      </c>
      <c r="P544" s="94">
        <v>2</v>
      </c>
      <c r="Q544">
        <v>99</v>
      </c>
      <c r="R544">
        <v>2</v>
      </c>
      <c r="S544">
        <v>90</v>
      </c>
      <c r="T544">
        <v>2</v>
      </c>
      <c r="U544">
        <v>85</v>
      </c>
      <c r="V544">
        <v>2</v>
      </c>
      <c r="W544">
        <v>100</v>
      </c>
      <c r="X544">
        <v>2</v>
      </c>
      <c r="Y544">
        <v>81</v>
      </c>
      <c r="Z544">
        <v>1</v>
      </c>
      <c r="AA544">
        <v>90</v>
      </c>
      <c r="AB544">
        <v>1</v>
      </c>
      <c r="AC544">
        <v>86</v>
      </c>
      <c r="AD544">
        <v>1</v>
      </c>
      <c r="AE544">
        <v>86</v>
      </c>
      <c r="AF544">
        <v>2</v>
      </c>
      <c r="AG544">
        <v>93</v>
      </c>
      <c r="AH544">
        <v>2</v>
      </c>
    </row>
    <row r="545" spans="1:34">
      <c r="A545" t="s">
        <v>1721</v>
      </c>
      <c r="B545" s="24">
        <v>1810</v>
      </c>
      <c r="C545" s="24" t="s">
        <v>1727</v>
      </c>
      <c r="D545" s="24" t="s">
        <v>1723</v>
      </c>
      <c r="E545" s="93">
        <v>90</v>
      </c>
      <c r="F545" s="94">
        <v>4</v>
      </c>
      <c r="G545" s="94">
        <v>94</v>
      </c>
      <c r="H545" s="94">
        <v>4</v>
      </c>
      <c r="I545" s="94">
        <v>92</v>
      </c>
      <c r="J545" s="94">
        <v>4</v>
      </c>
      <c r="K545" s="94">
        <v>95</v>
      </c>
      <c r="L545" s="94">
        <v>2</v>
      </c>
      <c r="M545" s="94">
        <v>84</v>
      </c>
      <c r="N545" s="94">
        <v>2</v>
      </c>
      <c r="O545" s="94">
        <v>93</v>
      </c>
      <c r="P545" s="94">
        <v>2</v>
      </c>
      <c r="Q545">
        <v>90</v>
      </c>
      <c r="R545">
        <v>2</v>
      </c>
      <c r="S545">
        <v>91</v>
      </c>
      <c r="T545">
        <v>2</v>
      </c>
      <c r="U545">
        <v>82</v>
      </c>
      <c r="V545">
        <v>2</v>
      </c>
      <c r="W545">
        <v>90</v>
      </c>
      <c r="X545">
        <v>2</v>
      </c>
      <c r="Y545">
        <v>78</v>
      </c>
      <c r="Z545">
        <v>1</v>
      </c>
      <c r="AA545">
        <v>90</v>
      </c>
      <c r="AB545">
        <v>1</v>
      </c>
      <c r="AC545">
        <v>80</v>
      </c>
      <c r="AD545">
        <v>1</v>
      </c>
      <c r="AE545">
        <v>87</v>
      </c>
      <c r="AF545">
        <v>2</v>
      </c>
      <c r="AG545">
        <v>91</v>
      </c>
      <c r="AH545">
        <v>2</v>
      </c>
    </row>
    <row r="546" spans="1:34">
      <c r="A546" t="s">
        <v>1724</v>
      </c>
      <c r="B546" s="24">
        <v>1810</v>
      </c>
      <c r="C546" s="24" t="s">
        <v>1730</v>
      </c>
      <c r="D546" s="24" t="s">
        <v>182</v>
      </c>
      <c r="E546" s="93">
        <v>90</v>
      </c>
      <c r="F546" s="94">
        <v>4</v>
      </c>
      <c r="G546" s="94">
        <v>95</v>
      </c>
      <c r="H546" s="94">
        <v>4</v>
      </c>
      <c r="I546" s="94">
        <v>92</v>
      </c>
      <c r="J546" s="94">
        <v>4</v>
      </c>
      <c r="K546" s="94">
        <v>91</v>
      </c>
      <c r="L546" s="94">
        <v>2</v>
      </c>
      <c r="M546" s="94">
        <v>97</v>
      </c>
      <c r="N546" s="94">
        <v>2</v>
      </c>
      <c r="O546" s="94">
        <v>93</v>
      </c>
      <c r="P546" s="94">
        <v>2</v>
      </c>
      <c r="Q546">
        <v>96</v>
      </c>
      <c r="R546">
        <v>2</v>
      </c>
      <c r="S546">
        <v>92</v>
      </c>
      <c r="T546">
        <v>2</v>
      </c>
      <c r="U546">
        <v>85</v>
      </c>
      <c r="V546">
        <v>2</v>
      </c>
      <c r="W546">
        <v>92</v>
      </c>
      <c r="X546">
        <v>2</v>
      </c>
      <c r="Y546">
        <v>75</v>
      </c>
      <c r="Z546">
        <v>1</v>
      </c>
      <c r="AA546">
        <v>90</v>
      </c>
      <c r="AB546">
        <v>1</v>
      </c>
      <c r="AC546">
        <v>75</v>
      </c>
      <c r="AD546">
        <v>1</v>
      </c>
      <c r="AE546">
        <v>87</v>
      </c>
      <c r="AF546">
        <v>2</v>
      </c>
      <c r="AG546">
        <v>93</v>
      </c>
      <c r="AH546">
        <v>2</v>
      </c>
    </row>
    <row r="547" spans="1:34">
      <c r="A547" t="s">
        <v>2521</v>
      </c>
      <c r="B547" s="24">
        <v>1810</v>
      </c>
      <c r="C547" s="24" t="s">
        <v>1733</v>
      </c>
      <c r="D547" s="24" t="s">
        <v>2523</v>
      </c>
      <c r="E547" s="93">
        <v>90</v>
      </c>
      <c r="F547" s="94">
        <v>4</v>
      </c>
      <c r="G547" s="94">
        <v>96</v>
      </c>
      <c r="H547" s="94">
        <v>4</v>
      </c>
      <c r="I547" s="94">
        <v>91</v>
      </c>
      <c r="J547" s="94">
        <v>4</v>
      </c>
      <c r="K547" s="94">
        <v>93</v>
      </c>
      <c r="L547" s="94">
        <v>2</v>
      </c>
      <c r="M547" s="94">
        <v>83</v>
      </c>
      <c r="N547" s="94">
        <v>2</v>
      </c>
      <c r="O547" s="94">
        <v>93</v>
      </c>
      <c r="P547" s="94">
        <v>2</v>
      </c>
      <c r="Q547">
        <v>90</v>
      </c>
      <c r="R547">
        <v>2</v>
      </c>
      <c r="S547">
        <v>91</v>
      </c>
      <c r="T547">
        <v>2</v>
      </c>
      <c r="U547">
        <v>75</v>
      </c>
      <c r="V547">
        <v>2</v>
      </c>
      <c r="W547">
        <v>90</v>
      </c>
      <c r="X547">
        <v>2</v>
      </c>
      <c r="Y547">
        <v>80</v>
      </c>
      <c r="Z547">
        <v>1</v>
      </c>
      <c r="AA547">
        <v>90</v>
      </c>
      <c r="AB547">
        <v>1</v>
      </c>
      <c r="AC547">
        <v>78</v>
      </c>
      <c r="AD547">
        <v>1</v>
      </c>
      <c r="AE547">
        <v>86</v>
      </c>
      <c r="AF547">
        <v>2</v>
      </c>
      <c r="AG547">
        <v>92</v>
      </c>
      <c r="AH547">
        <v>2</v>
      </c>
    </row>
    <row r="548" spans="1:34">
      <c r="A548" t="s">
        <v>1892</v>
      </c>
      <c r="B548" s="24">
        <v>1810</v>
      </c>
      <c r="C548" s="24" t="s">
        <v>1736</v>
      </c>
      <c r="D548" s="24" t="s">
        <v>188</v>
      </c>
      <c r="E548" s="93">
        <v>91</v>
      </c>
      <c r="F548" s="94">
        <v>4</v>
      </c>
      <c r="G548" s="94">
        <v>96</v>
      </c>
      <c r="H548" s="94">
        <v>4</v>
      </c>
      <c r="I548" s="94">
        <v>91</v>
      </c>
      <c r="J548" s="94">
        <v>4</v>
      </c>
      <c r="K548" s="94">
        <v>97</v>
      </c>
      <c r="L548" s="94">
        <v>2</v>
      </c>
      <c r="M548" s="94">
        <v>83</v>
      </c>
      <c r="N548" s="94">
        <v>2</v>
      </c>
      <c r="O548" s="94">
        <v>93</v>
      </c>
      <c r="P548" s="94">
        <v>2</v>
      </c>
      <c r="Q548">
        <v>99</v>
      </c>
      <c r="R548">
        <v>2</v>
      </c>
      <c r="S548">
        <v>91</v>
      </c>
      <c r="T548">
        <v>2</v>
      </c>
      <c r="U548">
        <v>88</v>
      </c>
      <c r="V548">
        <v>2</v>
      </c>
      <c r="W548">
        <v>94</v>
      </c>
      <c r="X548">
        <v>2</v>
      </c>
      <c r="Y548">
        <v>80</v>
      </c>
      <c r="Z548">
        <v>1</v>
      </c>
      <c r="AA548">
        <v>90</v>
      </c>
      <c r="AB548">
        <v>1</v>
      </c>
      <c r="AC548">
        <v>85</v>
      </c>
      <c r="AD548">
        <v>1</v>
      </c>
      <c r="AE548">
        <v>90</v>
      </c>
      <c r="AF548">
        <v>2</v>
      </c>
      <c r="AG548">
        <v>91</v>
      </c>
      <c r="AH548">
        <v>2</v>
      </c>
    </row>
    <row r="549" spans="1:34">
      <c r="A549" t="s">
        <v>1601</v>
      </c>
      <c r="B549" s="24">
        <v>1810</v>
      </c>
      <c r="C549" s="24" t="s">
        <v>1739</v>
      </c>
      <c r="D549" s="24" t="s">
        <v>192</v>
      </c>
      <c r="E549" s="93">
        <v>96</v>
      </c>
      <c r="F549" s="94">
        <v>4</v>
      </c>
      <c r="G549" s="94">
        <v>98</v>
      </c>
      <c r="H549" s="94">
        <v>4</v>
      </c>
      <c r="I549" s="94">
        <v>95</v>
      </c>
      <c r="J549" s="94">
        <v>4</v>
      </c>
      <c r="K549" s="94">
        <v>95</v>
      </c>
      <c r="L549" s="94">
        <v>2</v>
      </c>
      <c r="M549" s="94">
        <v>98</v>
      </c>
      <c r="N549" s="94">
        <v>2</v>
      </c>
      <c r="O549" s="94">
        <v>95</v>
      </c>
      <c r="P549" s="94">
        <v>2</v>
      </c>
      <c r="Q549">
        <v>95</v>
      </c>
      <c r="R549">
        <v>2</v>
      </c>
      <c r="S549">
        <v>92</v>
      </c>
      <c r="T549">
        <v>2</v>
      </c>
      <c r="U549">
        <v>75</v>
      </c>
      <c r="V549">
        <v>2</v>
      </c>
      <c r="W549">
        <v>95</v>
      </c>
      <c r="X549">
        <v>2</v>
      </c>
      <c r="Y549">
        <v>85</v>
      </c>
      <c r="Z549">
        <v>1</v>
      </c>
      <c r="AA549">
        <v>90</v>
      </c>
      <c r="AB549">
        <v>1</v>
      </c>
      <c r="AC549">
        <v>88</v>
      </c>
      <c r="AD549">
        <v>1</v>
      </c>
      <c r="AE549">
        <v>90</v>
      </c>
      <c r="AF549">
        <v>2</v>
      </c>
      <c r="AG549">
        <v>93</v>
      </c>
      <c r="AH549">
        <v>2</v>
      </c>
    </row>
    <row r="550" spans="1:34">
      <c r="A550" t="s">
        <v>1305</v>
      </c>
      <c r="B550" s="24">
        <v>1810</v>
      </c>
      <c r="C550" s="24" t="s">
        <v>1742</v>
      </c>
      <c r="D550" s="24" t="s">
        <v>190</v>
      </c>
      <c r="E550" s="93">
        <v>93</v>
      </c>
      <c r="F550" s="94">
        <v>4</v>
      </c>
      <c r="G550" s="94">
        <v>97</v>
      </c>
      <c r="H550" s="94">
        <v>4</v>
      </c>
      <c r="I550" s="94">
        <v>92</v>
      </c>
      <c r="J550" s="94">
        <v>4</v>
      </c>
      <c r="K550" s="94">
        <v>99</v>
      </c>
      <c r="L550" s="94">
        <v>2</v>
      </c>
      <c r="M550" s="94">
        <v>94</v>
      </c>
      <c r="N550" s="94">
        <v>2</v>
      </c>
      <c r="O550" s="94">
        <v>94</v>
      </c>
      <c r="P550" s="94">
        <v>2</v>
      </c>
      <c r="Q550">
        <v>90</v>
      </c>
      <c r="R550">
        <v>2</v>
      </c>
      <c r="S550">
        <v>90</v>
      </c>
      <c r="T550">
        <v>2</v>
      </c>
      <c r="U550">
        <v>85</v>
      </c>
      <c r="V550">
        <v>2</v>
      </c>
      <c r="W550">
        <v>90</v>
      </c>
      <c r="X550">
        <v>2</v>
      </c>
      <c r="Y550">
        <v>78</v>
      </c>
      <c r="Z550">
        <v>1</v>
      </c>
      <c r="AA550">
        <v>90</v>
      </c>
      <c r="AB550">
        <v>1</v>
      </c>
      <c r="AC550">
        <v>88</v>
      </c>
      <c r="AD550">
        <v>1</v>
      </c>
      <c r="AE550">
        <v>89</v>
      </c>
      <c r="AF550">
        <v>2</v>
      </c>
      <c r="AG550">
        <v>90</v>
      </c>
      <c r="AH550">
        <v>2</v>
      </c>
    </row>
    <row r="551" spans="1:34">
      <c r="A551" t="s">
        <v>491</v>
      </c>
      <c r="B551" s="24">
        <v>1810</v>
      </c>
      <c r="C551" s="24" t="s">
        <v>1745</v>
      </c>
      <c r="D551" s="24" t="s">
        <v>189</v>
      </c>
      <c r="E551" s="93">
        <v>91</v>
      </c>
      <c r="F551" s="94">
        <v>4</v>
      </c>
      <c r="G551" s="94">
        <v>97</v>
      </c>
      <c r="H551" s="94">
        <v>4</v>
      </c>
      <c r="I551" s="94">
        <v>91</v>
      </c>
      <c r="J551" s="94">
        <v>4</v>
      </c>
      <c r="K551" s="94">
        <v>91</v>
      </c>
      <c r="L551" s="94">
        <v>2</v>
      </c>
      <c r="M551" s="94">
        <v>80</v>
      </c>
      <c r="N551" s="94">
        <v>2</v>
      </c>
      <c r="O551" s="94">
        <v>93</v>
      </c>
      <c r="P551" s="94">
        <v>2</v>
      </c>
      <c r="Q551">
        <v>90</v>
      </c>
      <c r="R551">
        <v>2</v>
      </c>
      <c r="S551">
        <v>88</v>
      </c>
      <c r="T551">
        <v>2</v>
      </c>
      <c r="U551">
        <v>70</v>
      </c>
      <c r="V551">
        <v>2</v>
      </c>
      <c r="W551">
        <v>91</v>
      </c>
      <c r="X551">
        <v>2</v>
      </c>
      <c r="Y551">
        <v>70</v>
      </c>
      <c r="Z551">
        <v>1</v>
      </c>
      <c r="AA551">
        <v>90</v>
      </c>
      <c r="AB551">
        <v>1</v>
      </c>
      <c r="AC551">
        <v>80</v>
      </c>
      <c r="AD551">
        <v>1</v>
      </c>
      <c r="AE551">
        <v>80</v>
      </c>
      <c r="AF551">
        <v>2</v>
      </c>
      <c r="AG551">
        <v>93</v>
      </c>
      <c r="AH551">
        <v>2</v>
      </c>
    </row>
    <row r="552" spans="1:34">
      <c r="A552" t="s">
        <v>1738</v>
      </c>
      <c r="B552" s="24">
        <v>1810</v>
      </c>
      <c r="C552" s="24" t="s">
        <v>1747</v>
      </c>
      <c r="D552" s="24" t="s">
        <v>1740</v>
      </c>
      <c r="E552" s="93">
        <v>90</v>
      </c>
      <c r="F552" s="94">
        <v>4</v>
      </c>
      <c r="G552" s="94">
        <v>95</v>
      </c>
      <c r="H552" s="94">
        <v>4</v>
      </c>
      <c r="I552" s="94">
        <v>91</v>
      </c>
      <c r="J552" s="94">
        <v>4</v>
      </c>
      <c r="K552" s="94">
        <v>91</v>
      </c>
      <c r="L552" s="94">
        <v>2</v>
      </c>
      <c r="M552" s="94">
        <v>97</v>
      </c>
      <c r="N552" s="94">
        <v>2</v>
      </c>
      <c r="O552" s="94">
        <v>92</v>
      </c>
      <c r="P552" s="94">
        <v>2</v>
      </c>
      <c r="Q552">
        <v>90</v>
      </c>
      <c r="R552">
        <v>2</v>
      </c>
      <c r="S552">
        <v>90</v>
      </c>
      <c r="T552">
        <v>2</v>
      </c>
      <c r="U552">
        <v>90</v>
      </c>
      <c r="V552">
        <v>2</v>
      </c>
      <c r="W552">
        <v>90</v>
      </c>
      <c r="X552">
        <v>2</v>
      </c>
      <c r="Y552">
        <v>73</v>
      </c>
      <c r="Z552">
        <v>1</v>
      </c>
      <c r="AA552">
        <v>90</v>
      </c>
      <c r="AB552">
        <v>1</v>
      </c>
      <c r="AC552">
        <v>86</v>
      </c>
      <c r="AD552">
        <v>1</v>
      </c>
      <c r="AE552">
        <v>87</v>
      </c>
      <c r="AF552">
        <v>2</v>
      </c>
      <c r="AG552">
        <v>91</v>
      </c>
      <c r="AH552">
        <v>2</v>
      </c>
    </row>
    <row r="553" spans="1:34">
      <c r="A553" t="s">
        <v>1606</v>
      </c>
      <c r="B553" s="24">
        <v>1810</v>
      </c>
      <c r="C553" s="24" t="s">
        <v>1750</v>
      </c>
      <c r="D553" s="24" t="s">
        <v>1608</v>
      </c>
      <c r="E553" s="93">
        <v>92</v>
      </c>
      <c r="F553" s="94">
        <v>4</v>
      </c>
      <c r="G553" s="94">
        <v>99</v>
      </c>
      <c r="H553" s="94">
        <v>4</v>
      </c>
      <c r="I553" s="94">
        <v>93</v>
      </c>
      <c r="J553" s="94">
        <v>4</v>
      </c>
      <c r="K553" s="94">
        <v>95</v>
      </c>
      <c r="L553" s="94">
        <v>2</v>
      </c>
      <c r="M553" s="94">
        <v>91</v>
      </c>
      <c r="N553" s="94">
        <v>2</v>
      </c>
      <c r="O553" s="94">
        <v>93</v>
      </c>
      <c r="P553" s="94">
        <v>2</v>
      </c>
      <c r="Q553">
        <v>90</v>
      </c>
      <c r="R553">
        <v>2</v>
      </c>
      <c r="S553">
        <v>90</v>
      </c>
      <c r="T553">
        <v>2</v>
      </c>
      <c r="U553">
        <v>70</v>
      </c>
      <c r="V553">
        <v>2</v>
      </c>
      <c r="W553">
        <v>92</v>
      </c>
      <c r="X553">
        <v>2</v>
      </c>
      <c r="Y553">
        <v>82</v>
      </c>
      <c r="Z553">
        <v>1</v>
      </c>
      <c r="AA553">
        <v>90</v>
      </c>
      <c r="AB553">
        <v>1</v>
      </c>
      <c r="AC553">
        <v>88</v>
      </c>
      <c r="AD553">
        <v>1</v>
      </c>
      <c r="AE553">
        <v>90</v>
      </c>
      <c r="AF553">
        <v>2</v>
      </c>
      <c r="AG553">
        <v>89</v>
      </c>
      <c r="AH553">
        <v>2</v>
      </c>
    </row>
    <row r="554" spans="1:34">
      <c r="A554" t="s">
        <v>1609</v>
      </c>
      <c r="B554" s="24">
        <v>1810</v>
      </c>
      <c r="C554" s="24" t="s">
        <v>1753</v>
      </c>
      <c r="D554" s="24" t="s">
        <v>1611</v>
      </c>
      <c r="E554" s="93">
        <v>94</v>
      </c>
      <c r="F554" s="94">
        <v>4</v>
      </c>
      <c r="G554" s="94">
        <v>98</v>
      </c>
      <c r="H554" s="94">
        <v>4</v>
      </c>
      <c r="I554" s="94">
        <v>98</v>
      </c>
      <c r="J554" s="94">
        <v>4</v>
      </c>
      <c r="K554" s="94">
        <v>91</v>
      </c>
      <c r="L554" s="94">
        <v>2</v>
      </c>
      <c r="M554" s="94">
        <v>98</v>
      </c>
      <c r="N554" s="94">
        <v>2</v>
      </c>
      <c r="O554" s="94">
        <v>95</v>
      </c>
      <c r="P554" s="94">
        <v>2</v>
      </c>
      <c r="Q554">
        <v>99</v>
      </c>
      <c r="R554">
        <v>2</v>
      </c>
      <c r="S554">
        <v>88</v>
      </c>
      <c r="T554">
        <v>2</v>
      </c>
      <c r="U554">
        <v>95</v>
      </c>
      <c r="V554">
        <v>2</v>
      </c>
      <c r="W554">
        <v>99</v>
      </c>
      <c r="X554">
        <v>2</v>
      </c>
      <c r="Y554">
        <v>84</v>
      </c>
      <c r="Z554">
        <v>1</v>
      </c>
      <c r="AA554">
        <v>90</v>
      </c>
      <c r="AB554">
        <v>1</v>
      </c>
      <c r="AC554">
        <v>87</v>
      </c>
      <c r="AD554">
        <v>1</v>
      </c>
      <c r="AE554">
        <v>89</v>
      </c>
      <c r="AF554">
        <v>2</v>
      </c>
      <c r="AG554">
        <v>91</v>
      </c>
      <c r="AH554">
        <v>2</v>
      </c>
    </row>
    <row r="555" spans="1:34">
      <c r="A555" t="s">
        <v>1746</v>
      </c>
      <c r="B555" s="24">
        <v>1810</v>
      </c>
      <c r="C555" s="24" t="s">
        <v>1755</v>
      </c>
      <c r="D555" s="24" t="s">
        <v>1748</v>
      </c>
      <c r="E555" s="93">
        <v>90</v>
      </c>
      <c r="F555" s="94">
        <v>4</v>
      </c>
      <c r="G555" s="94">
        <v>96</v>
      </c>
      <c r="H555" s="94">
        <v>4</v>
      </c>
      <c r="I555" s="94">
        <v>91</v>
      </c>
      <c r="J555" s="94">
        <v>4</v>
      </c>
      <c r="K555" s="94">
        <v>90</v>
      </c>
      <c r="L555" s="94">
        <v>2</v>
      </c>
      <c r="M555" s="94">
        <v>81</v>
      </c>
      <c r="N555" s="94">
        <v>2</v>
      </c>
      <c r="O555" s="94">
        <v>94</v>
      </c>
      <c r="P555" s="94">
        <v>2</v>
      </c>
      <c r="Q555">
        <v>98</v>
      </c>
      <c r="R555">
        <v>2</v>
      </c>
      <c r="S555">
        <v>92</v>
      </c>
      <c r="T555">
        <v>2</v>
      </c>
      <c r="U555">
        <v>72</v>
      </c>
      <c r="V555">
        <v>2</v>
      </c>
      <c r="W555">
        <v>90</v>
      </c>
      <c r="X555">
        <v>2</v>
      </c>
      <c r="Y555">
        <v>78</v>
      </c>
      <c r="Z555">
        <v>1</v>
      </c>
      <c r="AA555">
        <v>90</v>
      </c>
      <c r="AB555">
        <v>1</v>
      </c>
      <c r="AC555">
        <v>80</v>
      </c>
      <c r="AD555">
        <v>1</v>
      </c>
      <c r="AE555">
        <v>90</v>
      </c>
      <c r="AF555">
        <v>2</v>
      </c>
      <c r="AG555">
        <v>90</v>
      </c>
      <c r="AH555">
        <v>2</v>
      </c>
    </row>
    <row r="556" spans="1:34">
      <c r="A556" t="s">
        <v>1749</v>
      </c>
      <c r="B556" s="24">
        <v>1810</v>
      </c>
      <c r="C556" s="24" t="s">
        <v>1757</v>
      </c>
      <c r="D556" s="24" t="s">
        <v>1751</v>
      </c>
      <c r="E556" s="93">
        <v>95</v>
      </c>
      <c r="F556" s="94">
        <v>4</v>
      </c>
      <c r="G556" s="94">
        <v>94</v>
      </c>
      <c r="H556" s="94">
        <v>4</v>
      </c>
      <c r="I556" s="94">
        <v>91</v>
      </c>
      <c r="J556" s="94">
        <v>4</v>
      </c>
      <c r="K556" s="94">
        <v>91</v>
      </c>
      <c r="L556" s="94">
        <v>2</v>
      </c>
      <c r="M556" s="94">
        <v>77</v>
      </c>
      <c r="N556" s="94">
        <v>2</v>
      </c>
      <c r="O556" s="94">
        <v>93</v>
      </c>
      <c r="P556" s="94">
        <v>2</v>
      </c>
      <c r="Q556">
        <v>99</v>
      </c>
      <c r="R556">
        <v>2</v>
      </c>
      <c r="S556">
        <v>91</v>
      </c>
      <c r="T556">
        <v>2</v>
      </c>
      <c r="U556">
        <v>86</v>
      </c>
      <c r="V556">
        <v>2</v>
      </c>
      <c r="W556">
        <v>97</v>
      </c>
      <c r="X556">
        <v>2</v>
      </c>
      <c r="Y556">
        <v>80</v>
      </c>
      <c r="Z556">
        <v>1</v>
      </c>
      <c r="AA556">
        <v>90</v>
      </c>
      <c r="AB556">
        <v>1</v>
      </c>
      <c r="AC556">
        <v>78</v>
      </c>
      <c r="AD556">
        <v>1</v>
      </c>
      <c r="AE556">
        <v>88</v>
      </c>
      <c r="AF556">
        <v>2</v>
      </c>
      <c r="AG556">
        <v>92</v>
      </c>
      <c r="AH556">
        <v>2</v>
      </c>
    </row>
    <row r="557" spans="1:34">
      <c r="A557" t="s">
        <v>2540</v>
      </c>
      <c r="B557" s="24">
        <v>1810</v>
      </c>
      <c r="C557" s="24" t="s">
        <v>1759</v>
      </c>
      <c r="D557" s="24" t="s">
        <v>183</v>
      </c>
      <c r="E557" s="93">
        <v>93</v>
      </c>
      <c r="F557" s="94">
        <v>4</v>
      </c>
      <c r="G557" s="94">
        <v>97</v>
      </c>
      <c r="H557" s="94">
        <v>4</v>
      </c>
      <c r="I557" s="94">
        <v>93</v>
      </c>
      <c r="J557" s="94">
        <v>4</v>
      </c>
      <c r="K557" s="94">
        <v>91</v>
      </c>
      <c r="L557" s="94">
        <v>2</v>
      </c>
      <c r="M557" s="94">
        <v>82</v>
      </c>
      <c r="N557" s="94">
        <v>2</v>
      </c>
      <c r="O557" s="94">
        <v>93</v>
      </c>
      <c r="P557" s="94">
        <v>2</v>
      </c>
      <c r="Q557">
        <v>99</v>
      </c>
      <c r="R557">
        <v>2</v>
      </c>
      <c r="S557">
        <v>91</v>
      </c>
      <c r="T557">
        <v>2</v>
      </c>
      <c r="U557">
        <v>72</v>
      </c>
      <c r="V557">
        <v>2</v>
      </c>
      <c r="W557">
        <v>96</v>
      </c>
      <c r="X557">
        <v>2</v>
      </c>
      <c r="Y557">
        <v>81</v>
      </c>
      <c r="Z557">
        <v>1</v>
      </c>
      <c r="AA557">
        <v>90</v>
      </c>
      <c r="AB557">
        <v>1</v>
      </c>
      <c r="AC557">
        <v>80</v>
      </c>
      <c r="AD557">
        <v>1</v>
      </c>
      <c r="AE557">
        <v>89</v>
      </c>
      <c r="AF557">
        <v>2</v>
      </c>
      <c r="AG557">
        <v>91</v>
      </c>
      <c r="AH557">
        <v>2</v>
      </c>
    </row>
    <row r="558" spans="1:34">
      <c r="A558" t="s">
        <v>1143</v>
      </c>
      <c r="B558" s="24">
        <v>1810</v>
      </c>
      <c r="C558" s="24" t="s">
        <v>1762</v>
      </c>
      <c r="D558" s="24" t="s">
        <v>199</v>
      </c>
      <c r="E558" s="93">
        <v>92</v>
      </c>
      <c r="F558" s="94">
        <v>4</v>
      </c>
      <c r="G558" s="94">
        <v>97</v>
      </c>
      <c r="H558" s="94">
        <v>4</v>
      </c>
      <c r="I558" s="94">
        <v>94</v>
      </c>
      <c r="J558" s="94">
        <v>4</v>
      </c>
      <c r="K558" s="94">
        <v>91</v>
      </c>
      <c r="L558" s="94">
        <v>2</v>
      </c>
      <c r="M558" s="94">
        <v>98</v>
      </c>
      <c r="N558" s="94">
        <v>2</v>
      </c>
      <c r="O558" s="94">
        <v>93</v>
      </c>
      <c r="P558" s="94">
        <v>2</v>
      </c>
      <c r="Q558">
        <v>97</v>
      </c>
      <c r="R558">
        <v>2</v>
      </c>
      <c r="S558">
        <v>92</v>
      </c>
      <c r="T558">
        <v>2</v>
      </c>
      <c r="U558">
        <v>90</v>
      </c>
      <c r="V558">
        <v>2</v>
      </c>
      <c r="W558">
        <v>96</v>
      </c>
      <c r="X558">
        <v>2</v>
      </c>
      <c r="Y558">
        <v>82</v>
      </c>
      <c r="Z558">
        <v>1</v>
      </c>
      <c r="AA558">
        <v>90</v>
      </c>
      <c r="AB558">
        <v>1</v>
      </c>
      <c r="AC558">
        <v>85</v>
      </c>
      <c r="AD558">
        <v>1</v>
      </c>
      <c r="AE558">
        <v>87</v>
      </c>
      <c r="AF558">
        <v>2</v>
      </c>
      <c r="AG558">
        <v>92</v>
      </c>
      <c r="AH558">
        <v>2</v>
      </c>
    </row>
    <row r="559" spans="1:34">
      <c r="A559" t="s">
        <v>1756</v>
      </c>
      <c r="B559" s="24">
        <v>1810</v>
      </c>
      <c r="C559" s="24" t="s">
        <v>1764</v>
      </c>
      <c r="D559" s="24" t="s">
        <v>98</v>
      </c>
      <c r="E559" s="93">
        <v>93</v>
      </c>
      <c r="F559" s="94">
        <v>4</v>
      </c>
      <c r="G559" s="94">
        <v>99</v>
      </c>
      <c r="H559" s="94">
        <v>4</v>
      </c>
      <c r="I559" s="94">
        <v>94</v>
      </c>
      <c r="J559" s="94">
        <v>4</v>
      </c>
      <c r="K559" s="94">
        <v>91</v>
      </c>
      <c r="L559" s="94">
        <v>2</v>
      </c>
      <c r="M559" s="94">
        <v>93</v>
      </c>
      <c r="N559" s="94">
        <v>2</v>
      </c>
      <c r="O559" s="94">
        <v>95</v>
      </c>
      <c r="P559" s="94">
        <v>2</v>
      </c>
      <c r="Q559">
        <v>100</v>
      </c>
      <c r="R559">
        <v>2</v>
      </c>
      <c r="S559">
        <v>92</v>
      </c>
      <c r="T559">
        <v>2</v>
      </c>
      <c r="U559">
        <v>76</v>
      </c>
      <c r="V559">
        <v>2</v>
      </c>
      <c r="W559">
        <v>91</v>
      </c>
      <c r="X559">
        <v>2</v>
      </c>
      <c r="Y559">
        <v>80</v>
      </c>
      <c r="Z559">
        <v>1</v>
      </c>
      <c r="AA559">
        <v>90</v>
      </c>
      <c r="AB559">
        <v>1</v>
      </c>
      <c r="AC559">
        <v>87</v>
      </c>
      <c r="AD559">
        <v>1</v>
      </c>
      <c r="AE559">
        <v>89</v>
      </c>
      <c r="AF559">
        <v>2</v>
      </c>
      <c r="AG559">
        <v>94</v>
      </c>
      <c r="AH559">
        <v>2</v>
      </c>
    </row>
    <row r="560" spans="1:34">
      <c r="A560" t="s">
        <v>1623</v>
      </c>
      <c r="B560" s="24">
        <v>1810</v>
      </c>
      <c r="C560" s="24" t="s">
        <v>1767</v>
      </c>
      <c r="D560" s="24" t="s">
        <v>1625</v>
      </c>
      <c r="E560" s="93">
        <v>90</v>
      </c>
      <c r="F560" s="94">
        <v>4</v>
      </c>
      <c r="G560" s="94">
        <v>95</v>
      </c>
      <c r="H560" s="94">
        <v>4</v>
      </c>
      <c r="I560" s="94">
        <v>91</v>
      </c>
      <c r="J560" s="94">
        <v>4</v>
      </c>
      <c r="K560" s="94">
        <v>91</v>
      </c>
      <c r="L560" s="94">
        <v>2</v>
      </c>
      <c r="M560" s="94">
        <v>88</v>
      </c>
      <c r="N560" s="94">
        <v>2</v>
      </c>
      <c r="O560" s="94">
        <v>94</v>
      </c>
      <c r="P560" s="94">
        <v>2</v>
      </c>
      <c r="Q560">
        <v>90</v>
      </c>
      <c r="R560">
        <v>2</v>
      </c>
      <c r="S560">
        <v>88</v>
      </c>
      <c r="T560">
        <v>2</v>
      </c>
      <c r="U560">
        <v>79</v>
      </c>
      <c r="V560">
        <v>2</v>
      </c>
      <c r="W560">
        <v>92</v>
      </c>
      <c r="X560">
        <v>2</v>
      </c>
      <c r="Y560">
        <v>78</v>
      </c>
      <c r="Z560">
        <v>1</v>
      </c>
      <c r="AA560">
        <v>90</v>
      </c>
      <c r="AB560">
        <v>1</v>
      </c>
      <c r="AC560">
        <v>80</v>
      </c>
      <c r="AD560">
        <v>1</v>
      </c>
      <c r="AE560">
        <v>86</v>
      </c>
      <c r="AF560">
        <v>2</v>
      </c>
      <c r="AG560">
        <v>92</v>
      </c>
      <c r="AH560">
        <v>2</v>
      </c>
    </row>
    <row r="561" spans="1:34">
      <c r="A561" t="s">
        <v>1628</v>
      </c>
      <c r="B561" s="24">
        <v>1810</v>
      </c>
      <c r="C561" s="24" t="s">
        <v>1770</v>
      </c>
      <c r="D561" s="24" t="s">
        <v>1630</v>
      </c>
      <c r="E561" s="93">
        <v>94</v>
      </c>
      <c r="F561" s="94">
        <v>4</v>
      </c>
      <c r="G561" s="94">
        <v>94</v>
      </c>
      <c r="H561" s="94">
        <v>4</v>
      </c>
      <c r="I561" s="94">
        <v>92</v>
      </c>
      <c r="J561" s="94">
        <v>4</v>
      </c>
      <c r="K561" s="94">
        <v>91</v>
      </c>
      <c r="L561" s="94">
        <v>2</v>
      </c>
      <c r="M561" s="94">
        <v>80</v>
      </c>
      <c r="N561" s="94">
        <v>2</v>
      </c>
      <c r="O561" s="94">
        <v>94</v>
      </c>
      <c r="P561" s="94">
        <v>2</v>
      </c>
      <c r="Q561">
        <v>99</v>
      </c>
      <c r="R561">
        <v>2</v>
      </c>
      <c r="S561">
        <v>91</v>
      </c>
      <c r="T561">
        <v>2</v>
      </c>
      <c r="U561">
        <v>86</v>
      </c>
      <c r="V561">
        <v>2</v>
      </c>
      <c r="W561">
        <v>93</v>
      </c>
      <c r="X561">
        <v>2</v>
      </c>
      <c r="Y561">
        <v>79</v>
      </c>
      <c r="Z561">
        <v>1</v>
      </c>
      <c r="AA561">
        <v>90</v>
      </c>
      <c r="AB561">
        <v>1</v>
      </c>
      <c r="AC561">
        <v>90</v>
      </c>
      <c r="AD561">
        <v>1</v>
      </c>
      <c r="AE561">
        <v>92</v>
      </c>
      <c r="AF561">
        <v>2</v>
      </c>
      <c r="AG561">
        <v>90</v>
      </c>
      <c r="AH561">
        <v>2</v>
      </c>
    </row>
    <row r="562" spans="1:34">
      <c r="A562" t="s">
        <v>1774</v>
      </c>
      <c r="B562" s="24">
        <v>1811</v>
      </c>
      <c r="C562" s="24" t="s">
        <v>1775</v>
      </c>
      <c r="D562" s="24" t="s">
        <v>1776</v>
      </c>
      <c r="E562" s="93">
        <v>81</v>
      </c>
      <c r="F562" s="94">
        <v>4</v>
      </c>
      <c r="G562" s="94">
        <v>90</v>
      </c>
      <c r="H562" s="94">
        <v>4</v>
      </c>
      <c r="I562" s="94">
        <v>86</v>
      </c>
      <c r="J562" s="94">
        <v>4</v>
      </c>
      <c r="K562" s="94">
        <v>86</v>
      </c>
      <c r="L562" s="94">
        <v>2</v>
      </c>
      <c r="M562" s="94">
        <v>93</v>
      </c>
      <c r="N562" s="94">
        <v>2</v>
      </c>
      <c r="O562" s="94">
        <v>85</v>
      </c>
      <c r="P562" s="94">
        <v>2</v>
      </c>
      <c r="Q562">
        <v>79</v>
      </c>
      <c r="R562">
        <v>2</v>
      </c>
      <c r="S562">
        <v>90</v>
      </c>
      <c r="T562">
        <v>2</v>
      </c>
      <c r="U562">
        <v>70</v>
      </c>
      <c r="V562">
        <v>2</v>
      </c>
      <c r="W562">
        <v>80</v>
      </c>
      <c r="X562">
        <v>2</v>
      </c>
      <c r="Y562">
        <v>76</v>
      </c>
      <c r="Z562">
        <v>1</v>
      </c>
      <c r="AA562">
        <v>91</v>
      </c>
      <c r="AB562">
        <v>1</v>
      </c>
      <c r="AC562">
        <v>80</v>
      </c>
      <c r="AD562">
        <v>1</v>
      </c>
      <c r="AE562">
        <v>85</v>
      </c>
      <c r="AF562">
        <v>2</v>
      </c>
      <c r="AG562">
        <v>84</v>
      </c>
      <c r="AH562">
        <v>2</v>
      </c>
    </row>
    <row r="563" spans="1:34">
      <c r="A563" t="s">
        <v>1777</v>
      </c>
      <c r="B563" s="24">
        <v>1811</v>
      </c>
      <c r="C563" s="24" t="s">
        <v>1778</v>
      </c>
      <c r="D563" s="24" t="s">
        <v>1779</v>
      </c>
      <c r="E563" s="93">
        <v>65</v>
      </c>
      <c r="F563" s="94">
        <v>4</v>
      </c>
      <c r="G563" s="94">
        <v>90</v>
      </c>
      <c r="H563" s="94">
        <v>4</v>
      </c>
      <c r="I563" s="94">
        <v>88</v>
      </c>
      <c r="J563" s="94">
        <v>4</v>
      </c>
      <c r="K563" s="94">
        <v>82</v>
      </c>
      <c r="L563" s="94">
        <v>2</v>
      </c>
      <c r="M563" s="94">
        <v>80</v>
      </c>
      <c r="N563" s="94">
        <v>2</v>
      </c>
      <c r="O563" s="94">
        <v>80</v>
      </c>
      <c r="P563" s="94">
        <v>2</v>
      </c>
      <c r="Q563">
        <v>93</v>
      </c>
      <c r="R563">
        <v>2</v>
      </c>
      <c r="S563">
        <v>80</v>
      </c>
      <c r="T563">
        <v>2</v>
      </c>
      <c r="U563">
        <v>73</v>
      </c>
      <c r="V563">
        <v>2</v>
      </c>
      <c r="W563">
        <v>83</v>
      </c>
      <c r="X563">
        <v>2</v>
      </c>
      <c r="Y563">
        <v>74</v>
      </c>
      <c r="Z563">
        <v>1</v>
      </c>
      <c r="AA563">
        <v>91</v>
      </c>
      <c r="AB563">
        <v>1</v>
      </c>
      <c r="AC563">
        <v>88</v>
      </c>
      <c r="AD563">
        <v>1</v>
      </c>
      <c r="AE563">
        <v>50</v>
      </c>
      <c r="AF563">
        <v>1</v>
      </c>
      <c r="AG563">
        <v>82</v>
      </c>
      <c r="AH563">
        <v>2</v>
      </c>
    </row>
    <row r="564" spans="1:34">
      <c r="A564" t="s">
        <v>1780</v>
      </c>
      <c r="B564" s="24">
        <v>1811</v>
      </c>
      <c r="C564" s="24" t="s">
        <v>1781</v>
      </c>
      <c r="D564" s="24" t="s">
        <v>201</v>
      </c>
      <c r="E564" s="93">
        <v>80</v>
      </c>
      <c r="F564" s="94">
        <v>4</v>
      </c>
      <c r="G564" s="94">
        <v>85</v>
      </c>
      <c r="H564" s="94">
        <v>4</v>
      </c>
      <c r="I564" s="94">
        <v>90</v>
      </c>
      <c r="J564" s="94">
        <v>4</v>
      </c>
      <c r="K564" s="94">
        <v>96</v>
      </c>
      <c r="L564" s="94">
        <v>2</v>
      </c>
      <c r="M564" s="94">
        <v>89</v>
      </c>
      <c r="N564" s="94">
        <v>2</v>
      </c>
      <c r="O564" s="94">
        <v>88</v>
      </c>
      <c r="P564" s="94">
        <v>2</v>
      </c>
      <c r="Q564">
        <v>86</v>
      </c>
      <c r="R564">
        <v>2</v>
      </c>
      <c r="S564">
        <v>86</v>
      </c>
      <c r="T564">
        <v>2</v>
      </c>
      <c r="U564">
        <v>85</v>
      </c>
      <c r="V564">
        <v>2</v>
      </c>
      <c r="W564">
        <v>94</v>
      </c>
      <c r="X564">
        <v>2</v>
      </c>
      <c r="Y564">
        <v>78</v>
      </c>
      <c r="Z564">
        <v>1</v>
      </c>
      <c r="AA564">
        <v>91</v>
      </c>
      <c r="AB564">
        <v>1</v>
      </c>
      <c r="AC564">
        <v>80</v>
      </c>
      <c r="AD564">
        <v>1</v>
      </c>
      <c r="AE564">
        <v>83</v>
      </c>
      <c r="AF564">
        <v>2</v>
      </c>
      <c r="AG564">
        <v>86</v>
      </c>
      <c r="AH564">
        <v>2</v>
      </c>
    </row>
    <row r="565" spans="1:34">
      <c r="A565" t="s">
        <v>1782</v>
      </c>
      <c r="B565" s="24">
        <v>1811</v>
      </c>
      <c r="C565" s="24" t="s">
        <v>1783</v>
      </c>
      <c r="D565" s="24" t="s">
        <v>1784</v>
      </c>
      <c r="E565" s="93">
        <v>84</v>
      </c>
      <c r="F565" s="94">
        <v>4</v>
      </c>
      <c r="G565" s="94">
        <v>90</v>
      </c>
      <c r="H565" s="94">
        <v>4</v>
      </c>
      <c r="I565" s="94">
        <v>89</v>
      </c>
      <c r="J565" s="94">
        <v>4</v>
      </c>
      <c r="K565" s="94">
        <v>85</v>
      </c>
      <c r="L565" s="94">
        <v>2</v>
      </c>
      <c r="M565" s="94">
        <v>91</v>
      </c>
      <c r="N565" s="94">
        <v>2</v>
      </c>
      <c r="O565" s="94">
        <v>88</v>
      </c>
      <c r="P565" s="94">
        <v>2</v>
      </c>
      <c r="Q565">
        <v>83</v>
      </c>
      <c r="R565">
        <v>2</v>
      </c>
      <c r="S565">
        <v>82</v>
      </c>
      <c r="T565">
        <v>2</v>
      </c>
      <c r="U565">
        <v>81</v>
      </c>
      <c r="V565">
        <v>2</v>
      </c>
      <c r="W565">
        <v>86</v>
      </c>
      <c r="X565">
        <v>2</v>
      </c>
      <c r="Y565">
        <v>80</v>
      </c>
      <c r="Z565">
        <v>1</v>
      </c>
      <c r="AA565">
        <v>91</v>
      </c>
      <c r="AB565">
        <v>1</v>
      </c>
      <c r="AC565">
        <v>78</v>
      </c>
      <c r="AD565">
        <v>1</v>
      </c>
      <c r="AE565">
        <v>50</v>
      </c>
      <c r="AF565">
        <v>1</v>
      </c>
      <c r="AG565">
        <v>88</v>
      </c>
      <c r="AH565">
        <v>2</v>
      </c>
    </row>
    <row r="566" spans="1:34">
      <c r="A566" t="s">
        <v>1785</v>
      </c>
      <c r="B566" s="24">
        <v>1811</v>
      </c>
      <c r="C566" s="24" t="s">
        <v>1786</v>
      </c>
      <c r="D566" s="24" t="s">
        <v>1787</v>
      </c>
      <c r="E566" s="93">
        <v>63</v>
      </c>
      <c r="F566" s="94">
        <v>4</v>
      </c>
      <c r="G566" s="94">
        <v>85</v>
      </c>
      <c r="H566" s="94">
        <v>4</v>
      </c>
      <c r="I566" s="94">
        <v>89</v>
      </c>
      <c r="J566" s="94">
        <v>4</v>
      </c>
      <c r="K566" s="94">
        <v>84</v>
      </c>
      <c r="L566" s="94">
        <v>2</v>
      </c>
      <c r="M566" s="94">
        <v>84</v>
      </c>
      <c r="N566" s="94">
        <v>2</v>
      </c>
      <c r="O566" s="94">
        <v>86</v>
      </c>
      <c r="P566" s="94">
        <v>2</v>
      </c>
      <c r="Q566">
        <v>95</v>
      </c>
      <c r="R566">
        <v>2</v>
      </c>
      <c r="S566">
        <v>82</v>
      </c>
      <c r="T566">
        <v>2</v>
      </c>
      <c r="U566">
        <v>70</v>
      </c>
      <c r="V566">
        <v>2</v>
      </c>
      <c r="W566">
        <v>82</v>
      </c>
      <c r="X566">
        <v>2</v>
      </c>
      <c r="Y566">
        <v>77</v>
      </c>
      <c r="Z566">
        <v>1</v>
      </c>
      <c r="AA566">
        <v>91</v>
      </c>
      <c r="AB566">
        <v>1</v>
      </c>
      <c r="AC566">
        <v>75</v>
      </c>
      <c r="AD566">
        <v>1</v>
      </c>
      <c r="AE566">
        <v>84</v>
      </c>
      <c r="AF566">
        <v>2</v>
      </c>
      <c r="AG566">
        <v>79</v>
      </c>
      <c r="AH566">
        <v>2</v>
      </c>
    </row>
    <row r="567" spans="1:34">
      <c r="A567" t="s">
        <v>1788</v>
      </c>
      <c r="B567" s="24">
        <v>1811</v>
      </c>
      <c r="C567" s="24" t="s">
        <v>1789</v>
      </c>
      <c r="D567" s="24" t="s">
        <v>1790</v>
      </c>
      <c r="E567" s="93">
        <v>90</v>
      </c>
      <c r="F567" s="94">
        <v>4</v>
      </c>
      <c r="G567" s="94">
        <v>90</v>
      </c>
      <c r="H567" s="94">
        <v>4</v>
      </c>
      <c r="I567" s="94">
        <v>97</v>
      </c>
      <c r="J567" s="94">
        <v>4</v>
      </c>
      <c r="K567" s="94">
        <v>85</v>
      </c>
      <c r="L567" s="94">
        <v>2</v>
      </c>
      <c r="M567" s="94">
        <v>92</v>
      </c>
      <c r="N567" s="94">
        <v>2</v>
      </c>
      <c r="O567" s="94">
        <v>88</v>
      </c>
      <c r="P567" s="94">
        <v>2</v>
      </c>
      <c r="Q567">
        <v>85</v>
      </c>
      <c r="R567">
        <v>2</v>
      </c>
      <c r="S567">
        <v>84</v>
      </c>
      <c r="T567">
        <v>2</v>
      </c>
      <c r="U567">
        <v>83</v>
      </c>
      <c r="V567">
        <v>2</v>
      </c>
      <c r="W567">
        <v>89</v>
      </c>
      <c r="X567">
        <v>2</v>
      </c>
      <c r="Y567">
        <v>83</v>
      </c>
      <c r="Z567">
        <v>1</v>
      </c>
      <c r="AA567">
        <v>91</v>
      </c>
      <c r="AB567">
        <v>1</v>
      </c>
      <c r="AC567">
        <v>80</v>
      </c>
      <c r="AD567">
        <v>1</v>
      </c>
      <c r="AE567">
        <v>80</v>
      </c>
      <c r="AF567">
        <v>2</v>
      </c>
      <c r="AG567">
        <v>80</v>
      </c>
      <c r="AH567">
        <v>2</v>
      </c>
    </row>
    <row r="568" spans="1:34">
      <c r="A568" t="s">
        <v>1791</v>
      </c>
      <c r="B568" s="24">
        <v>1811</v>
      </c>
      <c r="C568" s="24" t="s">
        <v>1792</v>
      </c>
      <c r="D568" s="24" t="s">
        <v>1793</v>
      </c>
      <c r="E568" s="93">
        <v>92</v>
      </c>
      <c r="F568" s="94">
        <v>4</v>
      </c>
      <c r="G568" s="94">
        <v>95</v>
      </c>
      <c r="H568" s="94">
        <v>4</v>
      </c>
      <c r="I568" s="94">
        <v>95</v>
      </c>
      <c r="J568" s="94">
        <v>4</v>
      </c>
      <c r="K568" s="94">
        <v>90</v>
      </c>
      <c r="L568" s="94">
        <v>2</v>
      </c>
      <c r="M568" s="94">
        <v>92</v>
      </c>
      <c r="N568" s="94">
        <v>2</v>
      </c>
      <c r="O568" s="94">
        <v>88</v>
      </c>
      <c r="P568" s="94">
        <v>2</v>
      </c>
      <c r="Q568">
        <v>90</v>
      </c>
      <c r="R568">
        <v>2</v>
      </c>
      <c r="S568">
        <v>91</v>
      </c>
      <c r="T568">
        <v>2</v>
      </c>
      <c r="U568">
        <v>90</v>
      </c>
      <c r="V568">
        <v>2</v>
      </c>
      <c r="W568">
        <v>98</v>
      </c>
      <c r="X568">
        <v>2</v>
      </c>
      <c r="Y568">
        <v>82</v>
      </c>
      <c r="Z568">
        <v>1</v>
      </c>
      <c r="AA568">
        <v>91</v>
      </c>
      <c r="AB568">
        <v>1</v>
      </c>
      <c r="AC568">
        <v>88</v>
      </c>
      <c r="AD568">
        <v>1</v>
      </c>
      <c r="AE568">
        <v>85</v>
      </c>
      <c r="AF568">
        <v>2</v>
      </c>
      <c r="AG568">
        <v>80</v>
      </c>
      <c r="AH568">
        <v>2</v>
      </c>
    </row>
    <row r="569" spans="1:34">
      <c r="A569" t="s">
        <v>1794</v>
      </c>
      <c r="B569" s="24">
        <v>1811</v>
      </c>
      <c r="C569" s="24" t="s">
        <v>1795</v>
      </c>
      <c r="D569" s="24" t="s">
        <v>1796</v>
      </c>
      <c r="E569" s="93">
        <v>93</v>
      </c>
      <c r="F569" s="94">
        <v>4</v>
      </c>
      <c r="G569" s="94">
        <v>90</v>
      </c>
      <c r="H569" s="94">
        <v>4</v>
      </c>
      <c r="I569" s="94">
        <v>90</v>
      </c>
      <c r="J569" s="94">
        <v>4</v>
      </c>
      <c r="K569" s="94">
        <v>83</v>
      </c>
      <c r="L569" s="94">
        <v>2</v>
      </c>
      <c r="M569" s="94">
        <v>86</v>
      </c>
      <c r="N569" s="94">
        <v>2</v>
      </c>
      <c r="O569" s="94">
        <v>86</v>
      </c>
      <c r="P569" s="94">
        <v>2</v>
      </c>
      <c r="Q569">
        <v>90</v>
      </c>
      <c r="R569">
        <v>2</v>
      </c>
      <c r="S569">
        <v>90</v>
      </c>
      <c r="T569">
        <v>2</v>
      </c>
      <c r="U569">
        <v>70</v>
      </c>
      <c r="V569">
        <v>2</v>
      </c>
      <c r="W569">
        <v>86</v>
      </c>
      <c r="X569">
        <v>2</v>
      </c>
      <c r="Y569">
        <v>84</v>
      </c>
      <c r="Z569">
        <v>1</v>
      </c>
      <c r="AA569">
        <v>91</v>
      </c>
      <c r="AB569">
        <v>1</v>
      </c>
      <c r="AC569">
        <v>85</v>
      </c>
      <c r="AD569">
        <v>1</v>
      </c>
      <c r="AE569">
        <v>86</v>
      </c>
      <c r="AF569">
        <v>2</v>
      </c>
      <c r="AG569">
        <v>82</v>
      </c>
      <c r="AH569">
        <v>2</v>
      </c>
    </row>
    <row r="570" spans="1:34">
      <c r="A570" t="s">
        <v>1797</v>
      </c>
      <c r="B570" s="24">
        <v>1811</v>
      </c>
      <c r="C570" s="24" t="s">
        <v>1798</v>
      </c>
      <c r="D570" s="24" t="s">
        <v>1799</v>
      </c>
      <c r="E570" s="93">
        <v>70</v>
      </c>
      <c r="F570" s="94">
        <v>4</v>
      </c>
      <c r="G570" s="94">
        <v>90</v>
      </c>
      <c r="H570" s="94">
        <v>4</v>
      </c>
      <c r="I570" s="94">
        <v>89</v>
      </c>
      <c r="J570" s="94">
        <v>4</v>
      </c>
      <c r="K570" s="94">
        <v>93</v>
      </c>
      <c r="L570" s="94">
        <v>2</v>
      </c>
      <c r="M570" s="94">
        <v>91</v>
      </c>
      <c r="N570" s="94">
        <v>2</v>
      </c>
      <c r="O570" s="94">
        <v>88</v>
      </c>
      <c r="P570" s="94">
        <v>2</v>
      </c>
      <c r="Q570">
        <v>79</v>
      </c>
      <c r="R570">
        <v>2</v>
      </c>
      <c r="S570">
        <v>65</v>
      </c>
      <c r="T570">
        <v>2</v>
      </c>
      <c r="U570">
        <v>70</v>
      </c>
      <c r="V570">
        <v>2</v>
      </c>
      <c r="W570">
        <v>80</v>
      </c>
      <c r="X570">
        <v>2</v>
      </c>
      <c r="Y570">
        <v>80</v>
      </c>
      <c r="Z570">
        <v>1</v>
      </c>
      <c r="AA570">
        <v>91</v>
      </c>
      <c r="AB570">
        <v>1</v>
      </c>
      <c r="AC570">
        <v>85</v>
      </c>
      <c r="AD570">
        <v>1</v>
      </c>
      <c r="AE570">
        <v>87</v>
      </c>
      <c r="AF570">
        <v>2</v>
      </c>
      <c r="AG570">
        <v>83</v>
      </c>
      <c r="AH570">
        <v>2</v>
      </c>
    </row>
    <row r="571" spans="1:34">
      <c r="A571" t="s">
        <v>1800</v>
      </c>
      <c r="B571" s="24">
        <v>1811</v>
      </c>
      <c r="C571" s="24" t="s">
        <v>1801</v>
      </c>
      <c r="D571" s="24" t="s">
        <v>1802</v>
      </c>
      <c r="E571" s="93">
        <v>72</v>
      </c>
      <c r="F571" s="94">
        <v>4</v>
      </c>
      <c r="G571" s="94">
        <v>95</v>
      </c>
      <c r="H571" s="94">
        <v>4</v>
      </c>
      <c r="I571" s="94">
        <v>90</v>
      </c>
      <c r="J571" s="94">
        <v>4</v>
      </c>
      <c r="K571" s="94">
        <v>84</v>
      </c>
      <c r="L571" s="94">
        <v>2</v>
      </c>
      <c r="M571" s="94">
        <v>90</v>
      </c>
      <c r="N571" s="94">
        <v>2</v>
      </c>
      <c r="O571" s="94">
        <v>88</v>
      </c>
      <c r="P571" s="94">
        <v>2</v>
      </c>
      <c r="Q571">
        <v>94</v>
      </c>
      <c r="R571">
        <v>2</v>
      </c>
      <c r="S571">
        <v>82</v>
      </c>
      <c r="T571">
        <v>2</v>
      </c>
      <c r="U571">
        <v>70</v>
      </c>
      <c r="V571">
        <v>2</v>
      </c>
      <c r="W571">
        <v>96</v>
      </c>
      <c r="X571">
        <v>2</v>
      </c>
      <c r="Y571">
        <v>81</v>
      </c>
      <c r="Z571">
        <v>1</v>
      </c>
      <c r="AA571">
        <v>91</v>
      </c>
      <c r="AB571">
        <v>1</v>
      </c>
      <c r="AC571">
        <v>93</v>
      </c>
      <c r="AD571">
        <v>1</v>
      </c>
      <c r="AE571">
        <v>80</v>
      </c>
      <c r="AF571">
        <v>2</v>
      </c>
      <c r="AG571">
        <v>87</v>
      </c>
      <c r="AH571">
        <v>2</v>
      </c>
    </row>
    <row r="572" spans="1:34">
      <c r="A572" t="s">
        <v>1803</v>
      </c>
      <c r="B572" s="24">
        <v>1811</v>
      </c>
      <c r="C572" s="24" t="s">
        <v>1804</v>
      </c>
      <c r="D572" s="24" t="s">
        <v>1805</v>
      </c>
      <c r="E572" s="93">
        <v>78</v>
      </c>
      <c r="F572" s="94">
        <v>4</v>
      </c>
      <c r="G572" s="94">
        <v>85</v>
      </c>
      <c r="H572" s="94">
        <v>4</v>
      </c>
      <c r="I572" s="94">
        <v>90</v>
      </c>
      <c r="J572" s="94">
        <v>4</v>
      </c>
      <c r="K572" s="94">
        <v>83</v>
      </c>
      <c r="L572" s="94">
        <v>2</v>
      </c>
      <c r="M572" s="94">
        <v>87</v>
      </c>
      <c r="N572" s="94">
        <v>2</v>
      </c>
      <c r="O572" s="94">
        <v>85</v>
      </c>
      <c r="P572" s="94">
        <v>2</v>
      </c>
      <c r="Q572">
        <v>81</v>
      </c>
      <c r="R572">
        <v>2</v>
      </c>
      <c r="S572">
        <v>80</v>
      </c>
      <c r="T572">
        <v>2</v>
      </c>
      <c r="U572">
        <v>70</v>
      </c>
      <c r="V572">
        <v>2</v>
      </c>
      <c r="W572">
        <v>82</v>
      </c>
      <c r="X572">
        <v>2</v>
      </c>
      <c r="Y572">
        <v>78</v>
      </c>
      <c r="Z572">
        <v>1</v>
      </c>
      <c r="AA572">
        <v>91</v>
      </c>
      <c r="AB572">
        <v>1</v>
      </c>
      <c r="AC572">
        <v>88</v>
      </c>
      <c r="AD572">
        <v>1</v>
      </c>
      <c r="AE572">
        <v>80</v>
      </c>
      <c r="AF572">
        <v>2</v>
      </c>
      <c r="AG572">
        <v>82</v>
      </c>
      <c r="AH572">
        <v>2</v>
      </c>
    </row>
    <row r="573" spans="1:34">
      <c r="A573" t="s">
        <v>1806</v>
      </c>
      <c r="B573" s="24">
        <v>1811</v>
      </c>
      <c r="C573" s="24" t="s">
        <v>1807</v>
      </c>
      <c r="D573" s="24" t="s">
        <v>1808</v>
      </c>
      <c r="E573" s="93">
        <v>80</v>
      </c>
      <c r="F573" s="94">
        <v>4</v>
      </c>
      <c r="G573" s="94">
        <v>95</v>
      </c>
      <c r="H573" s="94">
        <v>4</v>
      </c>
      <c r="I573" s="94">
        <v>90</v>
      </c>
      <c r="J573" s="94">
        <v>4</v>
      </c>
      <c r="K573" s="94">
        <v>92</v>
      </c>
      <c r="L573" s="94">
        <v>2</v>
      </c>
      <c r="M573" s="94">
        <v>96</v>
      </c>
      <c r="N573" s="94">
        <v>2</v>
      </c>
      <c r="O573" s="94">
        <v>89</v>
      </c>
      <c r="P573" s="94">
        <v>2</v>
      </c>
      <c r="Q573">
        <v>88</v>
      </c>
      <c r="R573">
        <v>2</v>
      </c>
      <c r="S573">
        <v>88</v>
      </c>
      <c r="T573">
        <v>2</v>
      </c>
      <c r="U573">
        <v>73</v>
      </c>
      <c r="V573">
        <v>2</v>
      </c>
      <c r="W573">
        <v>94</v>
      </c>
      <c r="X573">
        <v>2</v>
      </c>
      <c r="Y573">
        <v>77</v>
      </c>
      <c r="Z573">
        <v>1</v>
      </c>
      <c r="AA573">
        <v>91</v>
      </c>
      <c r="AB573">
        <v>1</v>
      </c>
      <c r="AC573">
        <v>86</v>
      </c>
      <c r="AD573">
        <v>1</v>
      </c>
      <c r="AE573">
        <v>83</v>
      </c>
      <c r="AF573">
        <v>2</v>
      </c>
      <c r="AG573">
        <v>79</v>
      </c>
      <c r="AH573">
        <v>2</v>
      </c>
    </row>
    <row r="574" spans="1:34">
      <c r="A574" t="s">
        <v>1809</v>
      </c>
      <c r="B574" s="24">
        <v>1811</v>
      </c>
      <c r="C574" s="24" t="s">
        <v>1810</v>
      </c>
      <c r="D574" s="24" t="s">
        <v>1811</v>
      </c>
      <c r="E574" s="93">
        <v>81</v>
      </c>
      <c r="F574" s="94">
        <v>4</v>
      </c>
      <c r="G574" s="94">
        <v>90</v>
      </c>
      <c r="H574" s="94">
        <v>4</v>
      </c>
      <c r="I574" s="94">
        <v>85</v>
      </c>
      <c r="J574" s="94">
        <v>4</v>
      </c>
      <c r="K574" s="94">
        <v>86</v>
      </c>
      <c r="L574" s="94">
        <v>2</v>
      </c>
      <c r="M574" s="94">
        <v>88</v>
      </c>
      <c r="N574" s="94">
        <v>2</v>
      </c>
      <c r="O574" s="94">
        <v>85</v>
      </c>
      <c r="P574" s="94">
        <v>2</v>
      </c>
      <c r="Q574">
        <v>88</v>
      </c>
      <c r="R574">
        <v>2</v>
      </c>
      <c r="S574">
        <v>84</v>
      </c>
      <c r="T574">
        <v>2</v>
      </c>
      <c r="U574">
        <v>86</v>
      </c>
      <c r="V574">
        <v>2</v>
      </c>
      <c r="W574">
        <v>92</v>
      </c>
      <c r="X574">
        <v>2</v>
      </c>
      <c r="Y574">
        <v>78</v>
      </c>
      <c r="Z574">
        <v>1</v>
      </c>
      <c r="AA574">
        <v>91</v>
      </c>
      <c r="AB574">
        <v>1</v>
      </c>
      <c r="AC574">
        <v>85</v>
      </c>
      <c r="AD574">
        <v>1</v>
      </c>
      <c r="AE574">
        <v>84</v>
      </c>
      <c r="AF574">
        <v>2</v>
      </c>
      <c r="AG574">
        <v>85</v>
      </c>
      <c r="AH574">
        <v>2</v>
      </c>
    </row>
    <row r="575" spans="1:34">
      <c r="A575" t="s">
        <v>1812</v>
      </c>
      <c r="B575" s="24">
        <v>1811</v>
      </c>
      <c r="C575" s="24" t="s">
        <v>1813</v>
      </c>
      <c r="D575" s="24" t="s">
        <v>1814</v>
      </c>
      <c r="E575" s="93">
        <v>88</v>
      </c>
      <c r="F575" s="94">
        <v>4</v>
      </c>
      <c r="G575" s="94">
        <v>90</v>
      </c>
      <c r="H575" s="94">
        <v>4</v>
      </c>
      <c r="I575" s="94">
        <v>92</v>
      </c>
      <c r="J575" s="94">
        <v>4</v>
      </c>
      <c r="K575" s="94">
        <v>81</v>
      </c>
      <c r="L575" s="94">
        <v>2</v>
      </c>
      <c r="M575" s="94">
        <v>91</v>
      </c>
      <c r="N575" s="94">
        <v>2</v>
      </c>
      <c r="O575" s="94">
        <v>88</v>
      </c>
      <c r="P575" s="94">
        <v>2</v>
      </c>
      <c r="Q575">
        <v>99</v>
      </c>
      <c r="R575">
        <v>2</v>
      </c>
      <c r="S575">
        <v>80</v>
      </c>
      <c r="T575">
        <v>2</v>
      </c>
      <c r="U575">
        <v>76</v>
      </c>
      <c r="V575">
        <v>2</v>
      </c>
      <c r="W575">
        <v>98</v>
      </c>
      <c r="X575">
        <v>2</v>
      </c>
      <c r="Y575">
        <v>81</v>
      </c>
      <c r="Z575">
        <v>1</v>
      </c>
      <c r="AA575">
        <v>91</v>
      </c>
      <c r="AB575">
        <v>1</v>
      </c>
      <c r="AC575">
        <v>82</v>
      </c>
      <c r="AD575">
        <v>1</v>
      </c>
      <c r="AE575">
        <v>86</v>
      </c>
      <c r="AF575">
        <v>2</v>
      </c>
      <c r="AG575">
        <v>79</v>
      </c>
      <c r="AH575">
        <v>2</v>
      </c>
    </row>
    <row r="576" spans="1:34">
      <c r="A576" t="s">
        <v>1815</v>
      </c>
      <c r="B576" s="24">
        <v>1811</v>
      </c>
      <c r="C576" s="24" t="s">
        <v>1816</v>
      </c>
      <c r="D576" s="24" t="s">
        <v>1817</v>
      </c>
      <c r="E576" s="93">
        <v>89</v>
      </c>
      <c r="F576" s="94">
        <v>4</v>
      </c>
      <c r="G576" s="94">
        <v>90</v>
      </c>
      <c r="H576" s="94">
        <v>4</v>
      </c>
      <c r="I576" s="94">
        <v>93</v>
      </c>
      <c r="J576" s="94">
        <v>4</v>
      </c>
      <c r="K576" s="94">
        <v>94</v>
      </c>
      <c r="L576" s="94">
        <v>2</v>
      </c>
      <c r="M576" s="94">
        <v>92</v>
      </c>
      <c r="N576" s="94">
        <v>2</v>
      </c>
      <c r="O576" s="94">
        <v>88</v>
      </c>
      <c r="P576" s="94">
        <v>2</v>
      </c>
      <c r="Q576">
        <v>96</v>
      </c>
      <c r="R576">
        <v>2</v>
      </c>
      <c r="S576">
        <v>90</v>
      </c>
      <c r="T576">
        <v>2</v>
      </c>
      <c r="U576">
        <v>70</v>
      </c>
      <c r="V576">
        <v>2</v>
      </c>
      <c r="W576">
        <v>91</v>
      </c>
      <c r="X576">
        <v>2</v>
      </c>
      <c r="Y576">
        <v>80</v>
      </c>
      <c r="Z576">
        <v>1</v>
      </c>
      <c r="AA576">
        <v>91</v>
      </c>
      <c r="AB576">
        <v>1</v>
      </c>
      <c r="AC576">
        <v>86</v>
      </c>
      <c r="AD576">
        <v>1</v>
      </c>
      <c r="AE576">
        <v>86</v>
      </c>
      <c r="AF576">
        <v>2</v>
      </c>
      <c r="AG576">
        <v>86</v>
      </c>
      <c r="AH576">
        <v>2</v>
      </c>
    </row>
    <row r="577" spans="1:34">
      <c r="A577" t="s">
        <v>1818</v>
      </c>
      <c r="B577" s="24">
        <v>1811</v>
      </c>
      <c r="C577" s="24" t="s">
        <v>1819</v>
      </c>
      <c r="D577" s="24" t="s">
        <v>1820</v>
      </c>
      <c r="E577" s="93">
        <v>92</v>
      </c>
      <c r="F577" s="94">
        <v>4</v>
      </c>
      <c r="G577" s="94">
        <v>90</v>
      </c>
      <c r="H577" s="94">
        <v>4</v>
      </c>
      <c r="I577" s="94">
        <v>90</v>
      </c>
      <c r="J577" s="94">
        <v>4</v>
      </c>
      <c r="K577" s="94">
        <v>81</v>
      </c>
      <c r="L577" s="94">
        <v>2</v>
      </c>
      <c r="M577" s="94">
        <v>96</v>
      </c>
      <c r="N577" s="94">
        <v>2</v>
      </c>
      <c r="O577" s="94">
        <v>88</v>
      </c>
      <c r="P577" s="94">
        <v>2</v>
      </c>
      <c r="Q577">
        <v>86</v>
      </c>
      <c r="R577">
        <v>2</v>
      </c>
      <c r="S577">
        <v>75</v>
      </c>
      <c r="T577">
        <v>2</v>
      </c>
      <c r="U577">
        <v>70</v>
      </c>
      <c r="V577">
        <v>2</v>
      </c>
      <c r="W577">
        <v>84</v>
      </c>
      <c r="X577">
        <v>2</v>
      </c>
      <c r="Y577">
        <v>80</v>
      </c>
      <c r="Z577">
        <v>1</v>
      </c>
      <c r="AA577">
        <v>91</v>
      </c>
      <c r="AB577">
        <v>1</v>
      </c>
      <c r="AC577">
        <v>86</v>
      </c>
      <c r="AD577">
        <v>1</v>
      </c>
      <c r="AE577">
        <v>88</v>
      </c>
      <c r="AF577">
        <v>2</v>
      </c>
      <c r="AG577">
        <v>80</v>
      </c>
      <c r="AH577">
        <v>2</v>
      </c>
    </row>
    <row r="578" spans="1:34">
      <c r="A578" t="s">
        <v>1821</v>
      </c>
      <c r="B578" s="24">
        <v>1811</v>
      </c>
      <c r="C578" s="24" t="s">
        <v>1822</v>
      </c>
      <c r="D578" s="24" t="s">
        <v>1823</v>
      </c>
      <c r="E578" s="93">
        <v>80</v>
      </c>
      <c r="F578" s="94">
        <v>4</v>
      </c>
      <c r="G578" s="94">
        <v>90</v>
      </c>
      <c r="H578" s="94">
        <v>4</v>
      </c>
      <c r="I578" s="94">
        <v>90</v>
      </c>
      <c r="J578" s="94">
        <v>4</v>
      </c>
      <c r="K578" s="94">
        <v>84</v>
      </c>
      <c r="L578" s="94">
        <v>2</v>
      </c>
      <c r="M578" s="94">
        <v>87</v>
      </c>
      <c r="N578" s="94">
        <v>2</v>
      </c>
      <c r="O578" s="94">
        <v>87</v>
      </c>
      <c r="P578" s="94">
        <v>2</v>
      </c>
      <c r="Q578">
        <v>96</v>
      </c>
      <c r="R578">
        <v>2</v>
      </c>
      <c r="S578">
        <v>94</v>
      </c>
      <c r="T578">
        <v>2</v>
      </c>
      <c r="U578">
        <v>85</v>
      </c>
      <c r="V578">
        <v>2</v>
      </c>
      <c r="W578">
        <v>92</v>
      </c>
      <c r="X578">
        <v>2</v>
      </c>
      <c r="Y578">
        <v>77</v>
      </c>
      <c r="Z578">
        <v>1</v>
      </c>
      <c r="AA578">
        <v>91</v>
      </c>
      <c r="AB578">
        <v>1</v>
      </c>
      <c r="AC578">
        <v>76</v>
      </c>
      <c r="AD578">
        <v>1</v>
      </c>
      <c r="AE578">
        <v>90</v>
      </c>
      <c r="AF578">
        <v>2</v>
      </c>
      <c r="AG578">
        <v>80</v>
      </c>
      <c r="AH578">
        <v>2</v>
      </c>
    </row>
    <row r="579" spans="1:34">
      <c r="A579" t="s">
        <v>1824</v>
      </c>
      <c r="B579" s="24">
        <v>1811</v>
      </c>
      <c r="C579" s="24" t="s">
        <v>1825</v>
      </c>
      <c r="D579" s="24" t="s">
        <v>1826</v>
      </c>
      <c r="E579" s="93">
        <v>65</v>
      </c>
      <c r="F579" s="94">
        <v>4</v>
      </c>
      <c r="G579" s="94">
        <v>90</v>
      </c>
      <c r="H579" s="94">
        <v>4</v>
      </c>
      <c r="I579" s="94">
        <v>81</v>
      </c>
      <c r="J579" s="94">
        <v>4</v>
      </c>
      <c r="K579" s="94">
        <v>82</v>
      </c>
      <c r="L579" s="94">
        <v>2</v>
      </c>
      <c r="M579" s="94">
        <v>83</v>
      </c>
      <c r="N579" s="94">
        <v>2</v>
      </c>
      <c r="O579" s="94">
        <v>83</v>
      </c>
      <c r="P579" s="94">
        <v>2</v>
      </c>
      <c r="Q579">
        <v>93</v>
      </c>
      <c r="R579">
        <v>2</v>
      </c>
      <c r="S579">
        <v>84</v>
      </c>
      <c r="T579">
        <v>2</v>
      </c>
      <c r="U579">
        <v>76</v>
      </c>
      <c r="V579">
        <v>2</v>
      </c>
      <c r="W579">
        <v>83</v>
      </c>
      <c r="X579">
        <v>2</v>
      </c>
      <c r="Y579">
        <v>76</v>
      </c>
      <c r="Z579">
        <v>1</v>
      </c>
      <c r="AA579">
        <v>91</v>
      </c>
      <c r="AB579">
        <v>1</v>
      </c>
      <c r="AC579">
        <v>90</v>
      </c>
      <c r="AD579">
        <v>1</v>
      </c>
      <c r="AE579">
        <v>85</v>
      </c>
      <c r="AF579">
        <v>2</v>
      </c>
      <c r="AG579">
        <v>82</v>
      </c>
      <c r="AH579">
        <v>2</v>
      </c>
    </row>
    <row r="580" spans="1:34">
      <c r="A580" t="s">
        <v>1827</v>
      </c>
      <c r="B580" s="24">
        <v>1811</v>
      </c>
      <c r="C580" s="24" t="s">
        <v>1828</v>
      </c>
      <c r="D580" s="24" t="s">
        <v>1829</v>
      </c>
      <c r="E580" s="93">
        <v>80</v>
      </c>
      <c r="F580" s="94">
        <v>4</v>
      </c>
      <c r="G580" s="94">
        <v>90</v>
      </c>
      <c r="H580" s="94">
        <v>4</v>
      </c>
      <c r="I580" s="94">
        <v>84</v>
      </c>
      <c r="J580" s="94">
        <v>4</v>
      </c>
      <c r="K580" s="94">
        <v>90</v>
      </c>
      <c r="L580" s="94">
        <v>2</v>
      </c>
      <c r="M580" s="94">
        <v>97</v>
      </c>
      <c r="N580" s="94">
        <v>2</v>
      </c>
      <c r="O580" s="94">
        <v>88</v>
      </c>
      <c r="P580" s="94">
        <v>2</v>
      </c>
      <c r="Q580">
        <v>95</v>
      </c>
      <c r="R580">
        <v>2</v>
      </c>
      <c r="S580">
        <v>100</v>
      </c>
      <c r="T580">
        <v>2</v>
      </c>
      <c r="U580">
        <v>85</v>
      </c>
      <c r="V580">
        <v>2</v>
      </c>
      <c r="W580">
        <v>96</v>
      </c>
      <c r="X580">
        <v>2</v>
      </c>
      <c r="Y580">
        <v>78</v>
      </c>
      <c r="Z580">
        <v>1</v>
      </c>
      <c r="AA580">
        <v>91</v>
      </c>
      <c r="AB580">
        <v>1</v>
      </c>
      <c r="AC580">
        <v>75</v>
      </c>
      <c r="AD580">
        <v>1</v>
      </c>
      <c r="AE580">
        <v>88</v>
      </c>
      <c r="AF580">
        <v>2</v>
      </c>
      <c r="AG580">
        <v>83</v>
      </c>
      <c r="AH580">
        <v>2</v>
      </c>
    </row>
    <row r="581" spans="1:34">
      <c r="A581" t="s">
        <v>1830</v>
      </c>
      <c r="B581" s="24">
        <v>1811</v>
      </c>
      <c r="C581" s="24" t="s">
        <v>1831</v>
      </c>
      <c r="D581" s="24" t="s">
        <v>1832</v>
      </c>
      <c r="E581" s="93">
        <v>81</v>
      </c>
      <c r="F581" s="94">
        <v>4</v>
      </c>
      <c r="G581" s="94">
        <v>90</v>
      </c>
      <c r="H581" s="94">
        <v>4</v>
      </c>
      <c r="I581" s="94">
        <v>84</v>
      </c>
      <c r="J581" s="94">
        <v>4</v>
      </c>
      <c r="K581" s="94">
        <v>83</v>
      </c>
      <c r="L581" s="94">
        <v>2</v>
      </c>
      <c r="M581" s="94">
        <v>88</v>
      </c>
      <c r="N581" s="94">
        <v>2</v>
      </c>
      <c r="O581" s="94">
        <v>85</v>
      </c>
      <c r="P581" s="94">
        <v>2</v>
      </c>
      <c r="Q581">
        <v>88</v>
      </c>
      <c r="R581">
        <v>2</v>
      </c>
      <c r="S581">
        <v>90</v>
      </c>
      <c r="T581">
        <v>2</v>
      </c>
      <c r="U581">
        <v>77</v>
      </c>
      <c r="V581">
        <v>2</v>
      </c>
      <c r="W581">
        <v>90</v>
      </c>
      <c r="X581">
        <v>2</v>
      </c>
      <c r="Y581">
        <v>75</v>
      </c>
      <c r="Z581">
        <v>1</v>
      </c>
      <c r="AA581">
        <v>91</v>
      </c>
      <c r="AB581">
        <v>1</v>
      </c>
      <c r="AC581">
        <v>76</v>
      </c>
      <c r="AD581">
        <v>1</v>
      </c>
      <c r="AE581">
        <v>87</v>
      </c>
      <c r="AF581">
        <v>2</v>
      </c>
      <c r="AG581">
        <v>87</v>
      </c>
      <c r="AH581">
        <v>2</v>
      </c>
    </row>
    <row r="582" spans="1:34">
      <c r="A582" t="s">
        <v>1833</v>
      </c>
      <c r="B582" s="24">
        <v>1811</v>
      </c>
      <c r="C582" s="24" t="s">
        <v>1834</v>
      </c>
      <c r="D582" s="24" t="s">
        <v>1835</v>
      </c>
      <c r="E582" s="93">
        <v>82</v>
      </c>
      <c r="F582" s="94">
        <v>4</v>
      </c>
      <c r="G582" s="94">
        <v>85</v>
      </c>
      <c r="H582" s="94">
        <v>4</v>
      </c>
      <c r="I582" s="94">
        <v>92</v>
      </c>
      <c r="J582" s="94">
        <v>4</v>
      </c>
      <c r="K582" s="94">
        <v>82</v>
      </c>
      <c r="L582" s="94">
        <v>2</v>
      </c>
      <c r="M582" s="94">
        <v>90</v>
      </c>
      <c r="N582" s="94">
        <v>2</v>
      </c>
      <c r="O582" s="94">
        <v>87</v>
      </c>
      <c r="P582" s="94">
        <v>2</v>
      </c>
      <c r="Q582">
        <v>84</v>
      </c>
      <c r="R582">
        <v>2</v>
      </c>
      <c r="S582">
        <v>80</v>
      </c>
      <c r="T582">
        <v>2</v>
      </c>
      <c r="U582">
        <v>81</v>
      </c>
      <c r="V582">
        <v>2</v>
      </c>
      <c r="W582">
        <v>94</v>
      </c>
      <c r="X582">
        <v>2</v>
      </c>
      <c r="Y582">
        <v>76</v>
      </c>
      <c r="Z582">
        <v>1</v>
      </c>
      <c r="AA582">
        <v>91</v>
      </c>
      <c r="AB582">
        <v>1</v>
      </c>
      <c r="AC582">
        <v>65</v>
      </c>
      <c r="AD582">
        <v>1</v>
      </c>
      <c r="AE582">
        <v>86</v>
      </c>
      <c r="AF582">
        <v>2</v>
      </c>
      <c r="AG582">
        <v>82</v>
      </c>
      <c r="AH582">
        <v>2</v>
      </c>
    </row>
    <row r="583" spans="1:34">
      <c r="A583" t="s">
        <v>1836</v>
      </c>
      <c r="B583" s="24">
        <v>1811</v>
      </c>
      <c r="C583" s="24" t="s">
        <v>1837</v>
      </c>
      <c r="D583" s="24" t="s">
        <v>1838</v>
      </c>
      <c r="E583" s="93">
        <v>86</v>
      </c>
      <c r="F583" s="94">
        <v>4</v>
      </c>
      <c r="G583" s="94">
        <v>90</v>
      </c>
      <c r="H583" s="94">
        <v>4</v>
      </c>
      <c r="I583" s="94">
        <v>93</v>
      </c>
      <c r="J583" s="94">
        <v>4</v>
      </c>
      <c r="K583" s="94">
        <v>83</v>
      </c>
      <c r="L583" s="94">
        <v>2</v>
      </c>
      <c r="M583" s="94">
        <v>85</v>
      </c>
      <c r="N583" s="94">
        <v>2</v>
      </c>
      <c r="O583" s="94">
        <v>89</v>
      </c>
      <c r="P583" s="94">
        <v>2</v>
      </c>
      <c r="Q583">
        <v>94</v>
      </c>
      <c r="R583">
        <v>2</v>
      </c>
      <c r="S583">
        <v>84</v>
      </c>
      <c r="T583">
        <v>2</v>
      </c>
      <c r="U583">
        <v>79</v>
      </c>
      <c r="V583">
        <v>2</v>
      </c>
      <c r="W583">
        <v>93</v>
      </c>
      <c r="X583">
        <v>2</v>
      </c>
      <c r="Y583">
        <v>80</v>
      </c>
      <c r="Z583">
        <v>1</v>
      </c>
      <c r="AA583">
        <v>91</v>
      </c>
      <c r="AB583">
        <v>1</v>
      </c>
      <c r="AC583">
        <v>70</v>
      </c>
      <c r="AD583">
        <v>1</v>
      </c>
      <c r="AE583">
        <v>86</v>
      </c>
      <c r="AF583">
        <v>2</v>
      </c>
      <c r="AG583">
        <v>79</v>
      </c>
      <c r="AH583">
        <v>2</v>
      </c>
    </row>
    <row r="584" spans="1:34">
      <c r="A584" t="s">
        <v>1839</v>
      </c>
      <c r="B584" s="24">
        <v>1811</v>
      </c>
      <c r="C584" s="24" t="s">
        <v>1840</v>
      </c>
      <c r="D584" s="24" t="s">
        <v>1841</v>
      </c>
      <c r="E584" s="93">
        <v>88</v>
      </c>
      <c r="F584" s="94">
        <v>4</v>
      </c>
      <c r="G584" s="94">
        <v>90</v>
      </c>
      <c r="H584" s="94">
        <v>4</v>
      </c>
      <c r="I584" s="94">
        <v>95</v>
      </c>
      <c r="J584" s="94">
        <v>4</v>
      </c>
      <c r="K584" s="94">
        <v>82</v>
      </c>
      <c r="L584" s="94">
        <v>2</v>
      </c>
      <c r="M584" s="94">
        <v>82</v>
      </c>
      <c r="N584" s="94">
        <v>2</v>
      </c>
      <c r="O584" s="94">
        <v>88</v>
      </c>
      <c r="P584" s="94">
        <v>2</v>
      </c>
      <c r="Q584">
        <v>82</v>
      </c>
      <c r="R584">
        <v>2</v>
      </c>
      <c r="S584">
        <v>85</v>
      </c>
      <c r="T584">
        <v>2</v>
      </c>
      <c r="U584">
        <v>78</v>
      </c>
      <c r="V584">
        <v>2</v>
      </c>
      <c r="W584">
        <v>90</v>
      </c>
      <c r="X584">
        <v>2</v>
      </c>
      <c r="Y584">
        <v>78</v>
      </c>
      <c r="Z584">
        <v>1</v>
      </c>
      <c r="AA584">
        <v>91</v>
      </c>
      <c r="AB584">
        <v>1</v>
      </c>
      <c r="AC584">
        <v>70</v>
      </c>
      <c r="AD584">
        <v>1</v>
      </c>
      <c r="AE584">
        <v>86</v>
      </c>
      <c r="AF584">
        <v>2</v>
      </c>
      <c r="AG584">
        <v>87</v>
      </c>
      <c r="AH584">
        <v>2</v>
      </c>
    </row>
    <row r="585" spans="1:34">
      <c r="A585" t="s">
        <v>1842</v>
      </c>
      <c r="B585" s="24">
        <v>1811</v>
      </c>
      <c r="C585" s="24" t="s">
        <v>1843</v>
      </c>
      <c r="D585" s="24" t="s">
        <v>1844</v>
      </c>
      <c r="E585" s="93">
        <v>97</v>
      </c>
      <c r="F585" s="94">
        <v>4</v>
      </c>
      <c r="G585" s="94">
        <v>90</v>
      </c>
      <c r="H585" s="94">
        <v>4</v>
      </c>
      <c r="I585" s="94">
        <v>85</v>
      </c>
      <c r="J585" s="94">
        <v>4</v>
      </c>
      <c r="K585" s="94">
        <v>90</v>
      </c>
      <c r="L585" s="94">
        <v>2</v>
      </c>
      <c r="M585" s="94">
        <v>94</v>
      </c>
      <c r="N585" s="94">
        <v>2</v>
      </c>
      <c r="O585" s="94">
        <v>88</v>
      </c>
      <c r="P585" s="94">
        <v>2</v>
      </c>
      <c r="Q585">
        <v>80</v>
      </c>
      <c r="R585">
        <v>2</v>
      </c>
      <c r="S585">
        <v>81</v>
      </c>
      <c r="T585">
        <v>2</v>
      </c>
      <c r="U585">
        <v>77</v>
      </c>
      <c r="V585">
        <v>2</v>
      </c>
      <c r="W585">
        <v>92</v>
      </c>
      <c r="X585">
        <v>2</v>
      </c>
      <c r="Y585">
        <v>79</v>
      </c>
      <c r="Z585">
        <v>1</v>
      </c>
      <c r="AA585">
        <v>91</v>
      </c>
      <c r="AB585">
        <v>1</v>
      </c>
      <c r="AC585">
        <v>76</v>
      </c>
      <c r="AD585">
        <v>1</v>
      </c>
      <c r="AE585">
        <v>88</v>
      </c>
      <c r="AF585">
        <v>2</v>
      </c>
      <c r="AG585">
        <v>82</v>
      </c>
      <c r="AH585">
        <v>2</v>
      </c>
    </row>
    <row r="586" spans="1:34">
      <c r="A586" t="s">
        <v>1845</v>
      </c>
      <c r="B586" s="24">
        <v>1811</v>
      </c>
      <c r="C586" s="24" t="s">
        <v>1846</v>
      </c>
      <c r="D586" s="24" t="s">
        <v>1847</v>
      </c>
      <c r="E586" s="93">
        <v>80</v>
      </c>
      <c r="F586" s="94">
        <v>4</v>
      </c>
      <c r="G586" s="94">
        <v>85</v>
      </c>
      <c r="H586" s="94">
        <v>4</v>
      </c>
      <c r="I586" s="94">
        <v>85</v>
      </c>
      <c r="J586" s="94">
        <v>4</v>
      </c>
      <c r="K586" s="94">
        <v>83</v>
      </c>
      <c r="L586" s="94">
        <v>2</v>
      </c>
      <c r="M586" s="94">
        <v>83</v>
      </c>
      <c r="N586" s="94">
        <v>2</v>
      </c>
      <c r="O586" s="94">
        <v>86</v>
      </c>
      <c r="P586" s="94">
        <v>2</v>
      </c>
      <c r="Q586">
        <v>83</v>
      </c>
      <c r="R586">
        <v>2</v>
      </c>
      <c r="S586">
        <v>80</v>
      </c>
      <c r="T586">
        <v>2</v>
      </c>
      <c r="U586">
        <v>83</v>
      </c>
      <c r="V586">
        <v>2</v>
      </c>
      <c r="W586">
        <v>89</v>
      </c>
      <c r="X586">
        <v>2</v>
      </c>
      <c r="Y586">
        <v>75</v>
      </c>
      <c r="Z586">
        <v>1</v>
      </c>
      <c r="AA586">
        <v>91</v>
      </c>
      <c r="AB586">
        <v>1</v>
      </c>
      <c r="AC586">
        <v>86</v>
      </c>
      <c r="AD586">
        <v>1</v>
      </c>
      <c r="AE586">
        <v>89</v>
      </c>
      <c r="AF586">
        <v>2</v>
      </c>
      <c r="AG586">
        <v>79</v>
      </c>
      <c r="AH586">
        <v>2</v>
      </c>
    </row>
    <row r="587" spans="1:34">
      <c r="A587" t="s">
        <v>1848</v>
      </c>
      <c r="B587" s="24">
        <v>1811</v>
      </c>
      <c r="C587" s="24" t="s">
        <v>1849</v>
      </c>
      <c r="D587" s="24" t="s">
        <v>1850</v>
      </c>
      <c r="E587" s="93">
        <v>85</v>
      </c>
      <c r="F587" s="94">
        <v>4</v>
      </c>
      <c r="G587" s="94">
        <v>85</v>
      </c>
      <c r="H587" s="94">
        <v>4</v>
      </c>
      <c r="I587" s="94">
        <v>89</v>
      </c>
      <c r="J587" s="94">
        <v>4</v>
      </c>
      <c r="K587" s="94">
        <v>84</v>
      </c>
      <c r="L587" s="94">
        <v>2</v>
      </c>
      <c r="M587" s="94">
        <v>84</v>
      </c>
      <c r="N587" s="94">
        <v>2</v>
      </c>
      <c r="O587" s="94">
        <v>84</v>
      </c>
      <c r="P587" s="94">
        <v>2</v>
      </c>
      <c r="Q587">
        <v>84</v>
      </c>
      <c r="R587">
        <v>2</v>
      </c>
      <c r="S587">
        <v>86</v>
      </c>
      <c r="T587">
        <v>2</v>
      </c>
      <c r="U587">
        <v>78</v>
      </c>
      <c r="V587">
        <v>2</v>
      </c>
      <c r="W587">
        <v>82</v>
      </c>
      <c r="X587">
        <v>2</v>
      </c>
      <c r="Y587">
        <v>78</v>
      </c>
      <c r="Z587">
        <v>1</v>
      </c>
      <c r="AA587">
        <v>91</v>
      </c>
      <c r="AB587">
        <v>1</v>
      </c>
      <c r="AC587">
        <v>70</v>
      </c>
      <c r="AD587">
        <v>1</v>
      </c>
      <c r="AE587">
        <v>88</v>
      </c>
      <c r="AF587">
        <v>2</v>
      </c>
      <c r="AG587">
        <v>85</v>
      </c>
      <c r="AH587">
        <v>2</v>
      </c>
    </row>
    <row r="588" spans="1:34">
      <c r="A588" t="s">
        <v>1851</v>
      </c>
      <c r="B588" s="24">
        <v>1811</v>
      </c>
      <c r="C588" s="24" t="s">
        <v>1852</v>
      </c>
      <c r="D588" s="24" t="s">
        <v>1853</v>
      </c>
      <c r="E588" s="93">
        <v>90</v>
      </c>
      <c r="F588" s="94">
        <v>4</v>
      </c>
      <c r="G588" s="94">
        <v>90</v>
      </c>
      <c r="H588" s="94">
        <v>4</v>
      </c>
      <c r="I588" s="94">
        <v>90</v>
      </c>
      <c r="J588" s="94">
        <v>4</v>
      </c>
      <c r="K588" s="94">
        <v>89</v>
      </c>
      <c r="L588" s="94">
        <v>2</v>
      </c>
      <c r="M588" s="94">
        <v>92</v>
      </c>
      <c r="N588" s="94">
        <v>2</v>
      </c>
      <c r="O588" s="94">
        <v>85</v>
      </c>
      <c r="P588" s="94">
        <v>2</v>
      </c>
      <c r="Q588">
        <v>99</v>
      </c>
      <c r="R588">
        <v>2</v>
      </c>
      <c r="S588">
        <v>80</v>
      </c>
      <c r="T588">
        <v>2</v>
      </c>
      <c r="U588">
        <v>76</v>
      </c>
      <c r="V588">
        <v>2</v>
      </c>
      <c r="W588">
        <v>83</v>
      </c>
      <c r="X588">
        <v>2</v>
      </c>
      <c r="Y588">
        <v>79</v>
      </c>
      <c r="Z588">
        <v>1</v>
      </c>
      <c r="AA588">
        <v>91</v>
      </c>
      <c r="AB588">
        <v>1</v>
      </c>
      <c r="AC588">
        <v>78</v>
      </c>
      <c r="AD588">
        <v>1</v>
      </c>
      <c r="AE588">
        <v>89</v>
      </c>
      <c r="AF588">
        <v>2</v>
      </c>
      <c r="AG588">
        <v>80</v>
      </c>
      <c r="AH588">
        <v>2</v>
      </c>
    </row>
    <row r="589" spans="1:34">
      <c r="A589" t="s">
        <v>1854</v>
      </c>
      <c r="B589" s="24">
        <v>1811</v>
      </c>
      <c r="C589" s="24" t="s">
        <v>1855</v>
      </c>
      <c r="D589" s="24" t="s">
        <v>1856</v>
      </c>
      <c r="E589" s="93">
        <v>78</v>
      </c>
      <c r="F589" s="94">
        <v>4</v>
      </c>
      <c r="G589" s="94">
        <v>90</v>
      </c>
      <c r="H589" s="94">
        <v>4</v>
      </c>
      <c r="I589" s="94">
        <v>88</v>
      </c>
      <c r="J589" s="94">
        <v>4</v>
      </c>
      <c r="K589" s="94">
        <v>94</v>
      </c>
      <c r="L589" s="94">
        <v>2</v>
      </c>
      <c r="M589" s="94">
        <v>97</v>
      </c>
      <c r="N589" s="94">
        <v>2</v>
      </c>
      <c r="O589" s="94">
        <v>83</v>
      </c>
      <c r="P589" s="94">
        <v>2</v>
      </c>
      <c r="Q589">
        <v>87</v>
      </c>
      <c r="R589">
        <v>2</v>
      </c>
      <c r="S589">
        <v>86</v>
      </c>
      <c r="T589">
        <v>2</v>
      </c>
      <c r="U589">
        <v>85</v>
      </c>
      <c r="V589">
        <v>2</v>
      </c>
      <c r="W589">
        <v>99</v>
      </c>
      <c r="X589">
        <v>2</v>
      </c>
      <c r="Y589">
        <v>82</v>
      </c>
      <c r="Z589">
        <v>1</v>
      </c>
      <c r="AA589">
        <v>91</v>
      </c>
      <c r="AB589">
        <v>1</v>
      </c>
      <c r="AC589">
        <v>78</v>
      </c>
      <c r="AD589">
        <v>1</v>
      </c>
      <c r="AE589">
        <v>50</v>
      </c>
      <c r="AF589">
        <v>1</v>
      </c>
      <c r="AG589">
        <v>86</v>
      </c>
      <c r="AH589">
        <v>2</v>
      </c>
    </row>
    <row r="590" spans="1:34">
      <c r="A590" t="s">
        <v>1857</v>
      </c>
      <c r="B590" s="24">
        <v>1811</v>
      </c>
      <c r="C590" s="24" t="s">
        <v>1858</v>
      </c>
      <c r="D590" s="24" t="s">
        <v>1859</v>
      </c>
      <c r="E590" s="93">
        <v>60</v>
      </c>
      <c r="F590" s="94">
        <v>4</v>
      </c>
      <c r="G590" s="94">
        <v>90</v>
      </c>
      <c r="H590" s="94">
        <v>4</v>
      </c>
      <c r="I590" s="94">
        <v>88</v>
      </c>
      <c r="J590" s="94">
        <v>4</v>
      </c>
      <c r="K590" s="94">
        <v>83</v>
      </c>
      <c r="L590" s="94">
        <v>2</v>
      </c>
      <c r="M590" s="94">
        <v>91</v>
      </c>
      <c r="N590" s="94">
        <v>2</v>
      </c>
      <c r="O590" s="94">
        <v>85</v>
      </c>
      <c r="P590" s="94">
        <v>2</v>
      </c>
      <c r="Q590">
        <v>80</v>
      </c>
      <c r="R590">
        <v>2</v>
      </c>
      <c r="S590">
        <v>70</v>
      </c>
      <c r="T590">
        <v>2</v>
      </c>
      <c r="U590">
        <v>70</v>
      </c>
      <c r="V590">
        <v>2</v>
      </c>
      <c r="W590">
        <v>82</v>
      </c>
      <c r="X590">
        <v>2</v>
      </c>
      <c r="Y590">
        <v>80</v>
      </c>
      <c r="Z590">
        <v>1</v>
      </c>
      <c r="AA590">
        <v>91</v>
      </c>
      <c r="AB590">
        <v>1</v>
      </c>
      <c r="AC590">
        <v>70</v>
      </c>
      <c r="AD590">
        <v>1</v>
      </c>
      <c r="AE590">
        <v>86</v>
      </c>
      <c r="AF590">
        <v>2</v>
      </c>
      <c r="AG590">
        <v>90</v>
      </c>
      <c r="AH590">
        <v>2</v>
      </c>
    </row>
    <row r="591" spans="1:34">
      <c r="A591" t="s">
        <v>1860</v>
      </c>
      <c r="B591" s="24">
        <v>1811</v>
      </c>
      <c r="C591" s="24" t="s">
        <v>1861</v>
      </c>
      <c r="D591" s="24" t="s">
        <v>1862</v>
      </c>
      <c r="E591" s="93">
        <v>85</v>
      </c>
      <c r="F591" s="94">
        <v>4</v>
      </c>
      <c r="G591" s="94">
        <v>90</v>
      </c>
      <c r="H591" s="94">
        <v>4</v>
      </c>
      <c r="I591" s="94">
        <v>88</v>
      </c>
      <c r="J591" s="94">
        <v>4</v>
      </c>
      <c r="K591" s="94">
        <v>89</v>
      </c>
      <c r="L591" s="94">
        <v>2</v>
      </c>
      <c r="M591" s="94">
        <v>84</v>
      </c>
      <c r="N591" s="94">
        <v>2</v>
      </c>
      <c r="O591" s="94">
        <v>86</v>
      </c>
      <c r="P591" s="94">
        <v>2</v>
      </c>
      <c r="Q591">
        <v>95</v>
      </c>
      <c r="R591">
        <v>2</v>
      </c>
      <c r="S591">
        <v>82</v>
      </c>
      <c r="T591">
        <v>2</v>
      </c>
      <c r="U591">
        <v>75</v>
      </c>
      <c r="V591">
        <v>2</v>
      </c>
      <c r="W591">
        <v>95</v>
      </c>
      <c r="X591">
        <v>2</v>
      </c>
      <c r="Y591">
        <v>75</v>
      </c>
      <c r="Z591">
        <v>1</v>
      </c>
      <c r="AA591">
        <v>91</v>
      </c>
      <c r="AB591">
        <v>1</v>
      </c>
      <c r="AC591">
        <v>78</v>
      </c>
      <c r="AD591">
        <v>1</v>
      </c>
      <c r="AE591">
        <v>85</v>
      </c>
      <c r="AF591">
        <v>2</v>
      </c>
      <c r="AG591">
        <v>83</v>
      </c>
      <c r="AH591">
        <v>2</v>
      </c>
    </row>
    <row r="592" spans="1:34">
      <c r="A592" t="s">
        <v>1863</v>
      </c>
      <c r="B592" s="24">
        <v>1811</v>
      </c>
      <c r="C592" s="24" t="s">
        <v>1864</v>
      </c>
      <c r="D592" s="24" t="s">
        <v>1865</v>
      </c>
      <c r="E592" s="93">
        <v>90</v>
      </c>
      <c r="F592" s="94">
        <v>4</v>
      </c>
      <c r="G592" s="94">
        <v>90</v>
      </c>
      <c r="H592" s="94">
        <v>4</v>
      </c>
      <c r="I592" s="94">
        <v>90</v>
      </c>
      <c r="J592" s="94">
        <v>4</v>
      </c>
      <c r="K592" s="94">
        <v>86</v>
      </c>
      <c r="L592" s="94">
        <v>2</v>
      </c>
      <c r="M592" s="94">
        <v>93</v>
      </c>
      <c r="N592" s="94">
        <v>2</v>
      </c>
      <c r="O592" s="94">
        <v>88</v>
      </c>
      <c r="P592" s="94">
        <v>2</v>
      </c>
      <c r="Q592">
        <v>99</v>
      </c>
      <c r="R592">
        <v>2</v>
      </c>
      <c r="S592">
        <v>85</v>
      </c>
      <c r="T592">
        <v>2</v>
      </c>
      <c r="U592">
        <v>71</v>
      </c>
      <c r="V592">
        <v>2</v>
      </c>
      <c r="W592">
        <v>92</v>
      </c>
      <c r="X592">
        <v>2</v>
      </c>
      <c r="Y592">
        <v>74</v>
      </c>
      <c r="Z592">
        <v>1</v>
      </c>
      <c r="AA592">
        <v>91</v>
      </c>
      <c r="AB592">
        <v>1</v>
      </c>
      <c r="AC592">
        <v>72</v>
      </c>
      <c r="AD592">
        <v>1</v>
      </c>
      <c r="AE592">
        <v>82</v>
      </c>
      <c r="AF592">
        <v>2</v>
      </c>
      <c r="AG592">
        <v>84</v>
      </c>
      <c r="AH592">
        <v>2</v>
      </c>
    </row>
    <row r="593" spans="1:34">
      <c r="A593" t="s">
        <v>1866</v>
      </c>
      <c r="B593" s="24">
        <v>1811</v>
      </c>
      <c r="C593" s="24" t="s">
        <v>1867</v>
      </c>
      <c r="D593" s="24" t="s">
        <v>1868</v>
      </c>
      <c r="E593" s="93">
        <v>90</v>
      </c>
      <c r="F593" s="94">
        <v>4</v>
      </c>
      <c r="G593" s="94">
        <v>90</v>
      </c>
      <c r="H593" s="94">
        <v>4</v>
      </c>
      <c r="I593" s="94">
        <v>87</v>
      </c>
      <c r="J593" s="94">
        <v>4</v>
      </c>
      <c r="K593" s="94">
        <v>82</v>
      </c>
      <c r="L593" s="94">
        <v>2</v>
      </c>
      <c r="M593" s="94">
        <v>81</v>
      </c>
      <c r="N593" s="94">
        <v>2</v>
      </c>
      <c r="O593" s="94">
        <v>85</v>
      </c>
      <c r="P593" s="94">
        <v>2</v>
      </c>
      <c r="Q593">
        <v>100</v>
      </c>
      <c r="R593">
        <v>2</v>
      </c>
      <c r="S593">
        <v>84</v>
      </c>
      <c r="T593">
        <v>2</v>
      </c>
      <c r="U593">
        <v>70</v>
      </c>
      <c r="V593">
        <v>2</v>
      </c>
      <c r="W593">
        <v>85</v>
      </c>
      <c r="X593">
        <v>2</v>
      </c>
      <c r="Y593">
        <v>80</v>
      </c>
      <c r="Z593">
        <v>1</v>
      </c>
      <c r="AA593">
        <v>91</v>
      </c>
      <c r="AB593">
        <v>1</v>
      </c>
      <c r="AC593">
        <v>80</v>
      </c>
      <c r="AD593">
        <v>1</v>
      </c>
      <c r="AE593">
        <v>88</v>
      </c>
      <c r="AF593">
        <v>2</v>
      </c>
      <c r="AG593">
        <v>80</v>
      </c>
      <c r="AH593">
        <v>2</v>
      </c>
    </row>
    <row r="594" spans="1:34">
      <c r="A594" t="s">
        <v>1678</v>
      </c>
      <c r="B594" s="24">
        <v>1811</v>
      </c>
      <c r="C594" s="24" t="s">
        <v>1870</v>
      </c>
      <c r="D594" s="24" t="s">
        <v>1680</v>
      </c>
      <c r="E594" s="93">
        <v>88</v>
      </c>
      <c r="F594" s="94">
        <v>4</v>
      </c>
      <c r="G594" s="94">
        <v>90</v>
      </c>
      <c r="H594" s="94">
        <v>4</v>
      </c>
      <c r="I594" s="94">
        <v>87</v>
      </c>
      <c r="J594" s="94">
        <v>4</v>
      </c>
      <c r="K594" s="94">
        <v>83</v>
      </c>
      <c r="L594" s="94">
        <v>2</v>
      </c>
      <c r="M594" s="94">
        <v>89</v>
      </c>
      <c r="N594" s="94">
        <v>2</v>
      </c>
      <c r="O594" s="94">
        <v>86</v>
      </c>
      <c r="P594" s="94">
        <v>2</v>
      </c>
      <c r="Q594">
        <v>96</v>
      </c>
      <c r="R594">
        <v>2</v>
      </c>
      <c r="S594">
        <v>80</v>
      </c>
      <c r="T594">
        <v>2</v>
      </c>
      <c r="U594">
        <v>78</v>
      </c>
      <c r="V594">
        <v>2</v>
      </c>
      <c r="W594">
        <v>88</v>
      </c>
      <c r="X594">
        <v>2</v>
      </c>
      <c r="Y594">
        <v>76</v>
      </c>
      <c r="Z594">
        <v>1</v>
      </c>
      <c r="AA594">
        <v>91</v>
      </c>
      <c r="AB594">
        <v>1</v>
      </c>
      <c r="AC594">
        <v>88</v>
      </c>
      <c r="AD594">
        <v>1</v>
      </c>
      <c r="AE594">
        <v>84</v>
      </c>
      <c r="AF594">
        <v>2</v>
      </c>
      <c r="AG594">
        <v>80</v>
      </c>
      <c r="AH594">
        <v>2</v>
      </c>
    </row>
    <row r="595" spans="1:34">
      <c r="A595" t="s">
        <v>1565</v>
      </c>
      <c r="B595" s="24">
        <v>1811</v>
      </c>
      <c r="C595" s="24" t="s">
        <v>1873</v>
      </c>
      <c r="D595" s="24" t="s">
        <v>185</v>
      </c>
      <c r="E595" s="93">
        <v>87</v>
      </c>
      <c r="F595" s="94">
        <v>4</v>
      </c>
      <c r="G595" s="94">
        <v>95</v>
      </c>
      <c r="H595" s="94">
        <v>4</v>
      </c>
      <c r="I595" s="94">
        <v>92</v>
      </c>
      <c r="J595" s="94">
        <v>4</v>
      </c>
      <c r="K595" s="94">
        <v>93</v>
      </c>
      <c r="L595" s="94">
        <v>2</v>
      </c>
      <c r="M595" s="94">
        <v>95</v>
      </c>
      <c r="N595" s="94">
        <v>2</v>
      </c>
      <c r="O595" s="94">
        <v>88</v>
      </c>
      <c r="P595" s="94">
        <v>2</v>
      </c>
      <c r="Q595">
        <v>99</v>
      </c>
      <c r="R595">
        <v>2</v>
      </c>
      <c r="S595">
        <v>86</v>
      </c>
      <c r="T595">
        <v>2</v>
      </c>
      <c r="U595">
        <v>86</v>
      </c>
      <c r="V595">
        <v>2</v>
      </c>
      <c r="W595">
        <v>96</v>
      </c>
      <c r="X595">
        <v>2</v>
      </c>
      <c r="Y595">
        <v>75</v>
      </c>
      <c r="Z595">
        <v>1</v>
      </c>
      <c r="AA595">
        <v>91</v>
      </c>
      <c r="AB595">
        <v>1</v>
      </c>
      <c r="AC595">
        <v>76</v>
      </c>
      <c r="AD595">
        <v>1</v>
      </c>
      <c r="AE595">
        <v>86</v>
      </c>
      <c r="AF595">
        <v>2</v>
      </c>
      <c r="AG595">
        <v>82</v>
      </c>
      <c r="AH595">
        <v>2</v>
      </c>
    </row>
    <row r="596" spans="1:34">
      <c r="A596" t="s">
        <v>1874</v>
      </c>
      <c r="B596" s="24">
        <v>1811</v>
      </c>
      <c r="C596" s="24" t="s">
        <v>1875</v>
      </c>
      <c r="D596" s="24" t="s">
        <v>1876</v>
      </c>
      <c r="E596" s="93">
        <v>91</v>
      </c>
      <c r="F596" s="94">
        <v>4</v>
      </c>
      <c r="G596" s="94">
        <v>90</v>
      </c>
      <c r="H596" s="94">
        <v>4</v>
      </c>
      <c r="I596" s="94">
        <v>90</v>
      </c>
      <c r="J596" s="94">
        <v>4</v>
      </c>
      <c r="K596" s="94">
        <v>86</v>
      </c>
      <c r="L596" s="94">
        <v>2</v>
      </c>
      <c r="M596" s="94">
        <v>85</v>
      </c>
      <c r="N596" s="94">
        <v>2</v>
      </c>
      <c r="O596" s="94">
        <v>86</v>
      </c>
      <c r="P596" s="94">
        <v>2</v>
      </c>
      <c r="Q596">
        <v>88</v>
      </c>
      <c r="R596">
        <v>2</v>
      </c>
      <c r="S596">
        <v>80</v>
      </c>
      <c r="T596">
        <v>2</v>
      </c>
      <c r="U596">
        <v>72</v>
      </c>
      <c r="V596">
        <v>2</v>
      </c>
      <c r="W596">
        <v>86</v>
      </c>
      <c r="X596">
        <v>2</v>
      </c>
      <c r="Y596">
        <v>73</v>
      </c>
      <c r="Z596">
        <v>1</v>
      </c>
      <c r="AA596">
        <v>91</v>
      </c>
      <c r="AB596">
        <v>1</v>
      </c>
      <c r="AC596">
        <v>80</v>
      </c>
      <c r="AD596">
        <v>1</v>
      </c>
      <c r="AE596">
        <v>87</v>
      </c>
      <c r="AF596">
        <v>2</v>
      </c>
      <c r="AG596">
        <v>82</v>
      </c>
      <c r="AH596">
        <v>2</v>
      </c>
    </row>
    <row r="597" spans="1:34">
      <c r="A597" t="s">
        <v>1877</v>
      </c>
      <c r="B597" s="24">
        <v>1811</v>
      </c>
      <c r="C597" s="24" t="s">
        <v>1878</v>
      </c>
      <c r="D597" s="24" t="s">
        <v>1879</v>
      </c>
      <c r="E597" s="93">
        <v>65</v>
      </c>
      <c r="F597" s="94">
        <v>4</v>
      </c>
      <c r="G597" s="94">
        <v>85</v>
      </c>
      <c r="H597" s="94">
        <v>4</v>
      </c>
      <c r="I597" s="94">
        <v>90</v>
      </c>
      <c r="J597" s="94">
        <v>4</v>
      </c>
      <c r="K597" s="94">
        <v>83</v>
      </c>
      <c r="L597" s="94">
        <v>2</v>
      </c>
      <c r="M597" s="94">
        <v>83</v>
      </c>
      <c r="N597" s="94">
        <v>2</v>
      </c>
      <c r="O597" s="94">
        <v>83</v>
      </c>
      <c r="P597" s="94">
        <v>2</v>
      </c>
      <c r="Q597">
        <v>89</v>
      </c>
      <c r="R597">
        <v>2</v>
      </c>
      <c r="S597">
        <v>84</v>
      </c>
      <c r="T597">
        <v>2</v>
      </c>
      <c r="U597">
        <v>70</v>
      </c>
      <c r="V597">
        <v>2</v>
      </c>
      <c r="W597">
        <v>89</v>
      </c>
      <c r="X597">
        <v>2</v>
      </c>
      <c r="Y597">
        <v>82</v>
      </c>
      <c r="Z597">
        <v>1</v>
      </c>
      <c r="AA597">
        <v>91</v>
      </c>
      <c r="AB597">
        <v>1</v>
      </c>
      <c r="AC597">
        <v>80</v>
      </c>
      <c r="AD597">
        <v>1</v>
      </c>
      <c r="AE597">
        <v>86</v>
      </c>
      <c r="AF597">
        <v>2</v>
      </c>
      <c r="AG597">
        <v>83</v>
      </c>
      <c r="AH597">
        <v>2</v>
      </c>
    </row>
    <row r="598" spans="1:34">
      <c r="A598">
        <v>20183001</v>
      </c>
      <c r="B598" s="24">
        <v>1811</v>
      </c>
      <c r="C598" s="24" t="s">
        <v>1881</v>
      </c>
      <c r="D598" s="24" t="s">
        <v>1882</v>
      </c>
      <c r="E598" s="93">
        <v>70</v>
      </c>
      <c r="F598" s="94">
        <v>4</v>
      </c>
      <c r="G598" s="94">
        <v>90</v>
      </c>
      <c r="H598" s="94">
        <v>4</v>
      </c>
      <c r="I598" s="94">
        <v>83</v>
      </c>
      <c r="J598" s="94">
        <v>4</v>
      </c>
      <c r="K598" s="94">
        <v>84</v>
      </c>
      <c r="L598" s="94">
        <v>2</v>
      </c>
      <c r="M598" s="94">
        <v>93</v>
      </c>
      <c r="N598" s="94">
        <v>2</v>
      </c>
      <c r="O598" s="94">
        <v>81</v>
      </c>
      <c r="P598" s="94">
        <v>2</v>
      </c>
      <c r="Q598">
        <v>96</v>
      </c>
      <c r="R598">
        <v>2</v>
      </c>
      <c r="S598">
        <v>84</v>
      </c>
      <c r="T598">
        <v>2</v>
      </c>
      <c r="U598">
        <v>70</v>
      </c>
      <c r="V598">
        <v>2</v>
      </c>
      <c r="W598">
        <v>82</v>
      </c>
      <c r="X598">
        <v>2</v>
      </c>
      <c r="Y598">
        <v>86</v>
      </c>
      <c r="Z598">
        <v>1</v>
      </c>
      <c r="AA598">
        <v>91</v>
      </c>
      <c r="AB598">
        <v>1</v>
      </c>
      <c r="AC598">
        <v>78</v>
      </c>
      <c r="AD598">
        <v>1</v>
      </c>
      <c r="AE598">
        <v>87</v>
      </c>
      <c r="AF598">
        <v>2</v>
      </c>
      <c r="AG598">
        <v>87</v>
      </c>
      <c r="AH598">
        <v>2</v>
      </c>
    </row>
    <row r="599" spans="1:34">
      <c r="A599" t="s">
        <v>1883</v>
      </c>
      <c r="B599" s="24">
        <v>1811</v>
      </c>
      <c r="C599" s="24" t="s">
        <v>1884</v>
      </c>
      <c r="D599" s="24" t="s">
        <v>1885</v>
      </c>
      <c r="E599" s="93">
        <v>70</v>
      </c>
      <c r="F599" s="94">
        <v>4</v>
      </c>
      <c r="G599" s="94">
        <v>85</v>
      </c>
      <c r="H599" s="94">
        <v>4</v>
      </c>
      <c r="I599" s="94">
        <v>89</v>
      </c>
      <c r="J599" s="94">
        <v>4</v>
      </c>
      <c r="K599" s="94">
        <v>80</v>
      </c>
      <c r="L599" s="94">
        <v>2</v>
      </c>
      <c r="M599" s="94">
        <v>82</v>
      </c>
      <c r="N599" s="94">
        <v>2</v>
      </c>
      <c r="O599" s="94">
        <v>90</v>
      </c>
      <c r="P599" s="94">
        <v>2</v>
      </c>
      <c r="Q599">
        <v>84</v>
      </c>
      <c r="R599">
        <v>2</v>
      </c>
      <c r="S599">
        <v>84</v>
      </c>
      <c r="T599">
        <v>2</v>
      </c>
      <c r="U599">
        <v>88</v>
      </c>
      <c r="V599">
        <v>2</v>
      </c>
      <c r="W599">
        <v>80</v>
      </c>
      <c r="X599">
        <v>2</v>
      </c>
      <c r="Y599">
        <v>80</v>
      </c>
      <c r="Z599">
        <v>1</v>
      </c>
      <c r="AA599">
        <v>91</v>
      </c>
      <c r="AB599">
        <v>1</v>
      </c>
      <c r="AC599">
        <v>70</v>
      </c>
      <c r="AD599">
        <v>1</v>
      </c>
      <c r="AE599">
        <v>80</v>
      </c>
      <c r="AF599">
        <v>2</v>
      </c>
      <c r="AG599">
        <v>82</v>
      </c>
      <c r="AH599">
        <v>2</v>
      </c>
    </row>
    <row r="600" spans="1:34">
      <c r="A600" t="s">
        <v>1886</v>
      </c>
      <c r="B600" s="24">
        <v>1811</v>
      </c>
      <c r="C600" s="24" t="s">
        <v>1887</v>
      </c>
      <c r="D600" s="24" t="s">
        <v>1888</v>
      </c>
      <c r="E600" s="93">
        <v>89</v>
      </c>
      <c r="F600" s="94">
        <v>4</v>
      </c>
      <c r="G600" s="94">
        <v>90</v>
      </c>
      <c r="H600" s="94">
        <v>4</v>
      </c>
      <c r="I600" s="94">
        <v>90</v>
      </c>
      <c r="J600" s="94">
        <v>4</v>
      </c>
      <c r="K600" s="94">
        <v>95</v>
      </c>
      <c r="L600" s="94">
        <v>2</v>
      </c>
      <c r="M600" s="94">
        <v>95</v>
      </c>
      <c r="N600" s="94">
        <v>2</v>
      </c>
      <c r="O600" s="94">
        <v>89</v>
      </c>
      <c r="P600" s="94">
        <v>2</v>
      </c>
      <c r="Q600">
        <v>96</v>
      </c>
      <c r="R600">
        <v>2</v>
      </c>
      <c r="S600">
        <v>88</v>
      </c>
      <c r="T600">
        <v>2</v>
      </c>
      <c r="U600">
        <v>81</v>
      </c>
      <c r="V600">
        <v>2</v>
      </c>
      <c r="W600">
        <v>97</v>
      </c>
      <c r="X600">
        <v>2</v>
      </c>
      <c r="Y600">
        <v>82</v>
      </c>
      <c r="Z600">
        <v>1</v>
      </c>
      <c r="AA600">
        <v>91</v>
      </c>
      <c r="AB600">
        <v>1</v>
      </c>
      <c r="AC600">
        <v>68</v>
      </c>
      <c r="AD600">
        <v>1</v>
      </c>
      <c r="AE600">
        <v>88</v>
      </c>
      <c r="AF600">
        <v>2</v>
      </c>
      <c r="AG600">
        <v>79</v>
      </c>
      <c r="AH600">
        <v>2</v>
      </c>
    </row>
    <row r="601" spans="1:34">
      <c r="A601" t="s">
        <v>1889</v>
      </c>
      <c r="B601" s="24">
        <v>1811</v>
      </c>
      <c r="C601" s="24" t="s">
        <v>1890</v>
      </c>
      <c r="D601" s="24" t="s">
        <v>1891</v>
      </c>
      <c r="E601" s="93">
        <v>90</v>
      </c>
      <c r="F601" s="94">
        <v>4</v>
      </c>
      <c r="G601" s="94">
        <v>90</v>
      </c>
      <c r="H601" s="94">
        <v>4</v>
      </c>
      <c r="I601" s="94">
        <v>95</v>
      </c>
      <c r="J601" s="94">
        <v>4</v>
      </c>
      <c r="K601" s="94">
        <v>95</v>
      </c>
      <c r="L601" s="94">
        <v>2</v>
      </c>
      <c r="M601" s="94">
        <v>94</v>
      </c>
      <c r="N601" s="94">
        <v>2</v>
      </c>
      <c r="O601" s="94">
        <v>88</v>
      </c>
      <c r="P601" s="94">
        <v>2</v>
      </c>
      <c r="Q601">
        <v>96</v>
      </c>
      <c r="R601">
        <v>2</v>
      </c>
      <c r="S601">
        <v>82</v>
      </c>
      <c r="T601">
        <v>2</v>
      </c>
      <c r="U601">
        <v>79</v>
      </c>
      <c r="V601">
        <v>2</v>
      </c>
      <c r="W601">
        <v>96</v>
      </c>
      <c r="X601">
        <v>2</v>
      </c>
      <c r="Y601">
        <v>78</v>
      </c>
      <c r="Z601">
        <v>1</v>
      </c>
      <c r="AA601">
        <v>91</v>
      </c>
      <c r="AB601">
        <v>1</v>
      </c>
      <c r="AC601">
        <v>72</v>
      </c>
      <c r="AD601">
        <v>1</v>
      </c>
      <c r="AE601">
        <v>80</v>
      </c>
      <c r="AF601">
        <v>2</v>
      </c>
      <c r="AG601">
        <v>87</v>
      </c>
      <c r="AH601">
        <v>2</v>
      </c>
    </row>
    <row r="602" spans="1:34">
      <c r="A602" t="s">
        <v>1729</v>
      </c>
      <c r="B602" s="24">
        <v>1811</v>
      </c>
      <c r="C602" s="24" t="s">
        <v>1893</v>
      </c>
      <c r="D602" s="24" t="s">
        <v>1731</v>
      </c>
      <c r="E602" s="93">
        <v>90</v>
      </c>
      <c r="F602" s="94">
        <v>4</v>
      </c>
      <c r="G602" s="94">
        <v>90</v>
      </c>
      <c r="H602" s="94">
        <v>4</v>
      </c>
      <c r="I602" s="94">
        <v>95</v>
      </c>
      <c r="J602" s="94">
        <v>4</v>
      </c>
      <c r="K602" s="94">
        <v>95</v>
      </c>
      <c r="L602" s="94">
        <v>2</v>
      </c>
      <c r="M602" s="94">
        <v>96</v>
      </c>
      <c r="N602" s="94">
        <v>2</v>
      </c>
      <c r="O602" s="94">
        <v>88</v>
      </c>
      <c r="P602" s="94">
        <v>2</v>
      </c>
      <c r="Q602">
        <v>99</v>
      </c>
      <c r="R602">
        <v>2</v>
      </c>
      <c r="S602">
        <v>80</v>
      </c>
      <c r="T602">
        <v>2</v>
      </c>
      <c r="U602">
        <v>85</v>
      </c>
      <c r="V602">
        <v>2</v>
      </c>
      <c r="W602">
        <v>89</v>
      </c>
      <c r="X602">
        <v>2</v>
      </c>
      <c r="Y602">
        <v>83</v>
      </c>
      <c r="Z602">
        <v>1</v>
      </c>
      <c r="AA602">
        <v>91</v>
      </c>
      <c r="AB602">
        <v>1</v>
      </c>
      <c r="AC602">
        <v>80</v>
      </c>
      <c r="AD602">
        <v>1</v>
      </c>
      <c r="AE602">
        <v>87</v>
      </c>
      <c r="AF602">
        <v>2</v>
      </c>
      <c r="AG602">
        <v>82</v>
      </c>
      <c r="AH602">
        <v>2</v>
      </c>
    </row>
    <row r="603" spans="1:34">
      <c r="A603" t="s">
        <v>1894</v>
      </c>
      <c r="B603" s="24">
        <v>1811</v>
      </c>
      <c r="C603" s="24" t="s">
        <v>1895</v>
      </c>
      <c r="D603" s="24" t="s">
        <v>1896</v>
      </c>
      <c r="E603" s="93">
        <v>90</v>
      </c>
      <c r="F603" s="94">
        <v>4</v>
      </c>
      <c r="G603" s="94">
        <v>90</v>
      </c>
      <c r="H603" s="94">
        <v>4</v>
      </c>
      <c r="I603" s="94">
        <v>92</v>
      </c>
      <c r="J603" s="94">
        <v>4</v>
      </c>
      <c r="K603" s="94">
        <v>83</v>
      </c>
      <c r="L603" s="94">
        <v>2</v>
      </c>
      <c r="M603" s="94">
        <v>87</v>
      </c>
      <c r="N603" s="94">
        <v>2</v>
      </c>
      <c r="O603" s="94">
        <v>86</v>
      </c>
      <c r="P603" s="94">
        <v>2</v>
      </c>
      <c r="Q603">
        <v>86</v>
      </c>
      <c r="R603">
        <v>2</v>
      </c>
      <c r="S603">
        <v>80</v>
      </c>
      <c r="T603">
        <v>2</v>
      </c>
      <c r="U603">
        <v>78</v>
      </c>
      <c r="V603">
        <v>2</v>
      </c>
      <c r="W603">
        <v>90</v>
      </c>
      <c r="X603">
        <v>2</v>
      </c>
      <c r="Y603">
        <v>90</v>
      </c>
      <c r="Z603">
        <v>1</v>
      </c>
      <c r="AA603">
        <v>91</v>
      </c>
      <c r="AB603">
        <v>1</v>
      </c>
      <c r="AC603">
        <v>76</v>
      </c>
      <c r="AD603">
        <v>1</v>
      </c>
      <c r="AE603">
        <v>90</v>
      </c>
      <c r="AF603">
        <v>2</v>
      </c>
      <c r="AG603">
        <v>79</v>
      </c>
      <c r="AH603">
        <v>2</v>
      </c>
    </row>
    <row r="604" spans="1:34">
      <c r="A604" t="s">
        <v>1897</v>
      </c>
      <c r="B604" s="24">
        <v>1811</v>
      </c>
      <c r="C604" s="24" t="s">
        <v>1898</v>
      </c>
      <c r="D604" s="24" t="s">
        <v>1899</v>
      </c>
      <c r="E604" s="93">
        <v>80</v>
      </c>
      <c r="F604" s="94">
        <v>4</v>
      </c>
      <c r="G604" s="94">
        <v>80</v>
      </c>
      <c r="H604" s="94">
        <v>4</v>
      </c>
      <c r="I604" s="94">
        <v>92</v>
      </c>
      <c r="J604" s="94">
        <v>4</v>
      </c>
      <c r="K604" s="94">
        <v>84</v>
      </c>
      <c r="L604" s="94">
        <v>2</v>
      </c>
      <c r="M604" s="94">
        <v>85</v>
      </c>
      <c r="N604" s="94">
        <v>2</v>
      </c>
      <c r="O604" s="94">
        <v>86</v>
      </c>
      <c r="P604" s="94">
        <v>2</v>
      </c>
      <c r="Q604">
        <v>86</v>
      </c>
      <c r="R604">
        <v>2</v>
      </c>
      <c r="S604">
        <v>84</v>
      </c>
      <c r="T604">
        <v>2</v>
      </c>
      <c r="U604">
        <v>70</v>
      </c>
      <c r="V604">
        <v>2</v>
      </c>
      <c r="W604">
        <v>93</v>
      </c>
      <c r="X604">
        <v>2</v>
      </c>
      <c r="Y604">
        <v>84</v>
      </c>
      <c r="Z604">
        <v>1</v>
      </c>
      <c r="AA604">
        <v>91</v>
      </c>
      <c r="AB604">
        <v>1</v>
      </c>
      <c r="AC604">
        <v>73</v>
      </c>
      <c r="AD604">
        <v>1</v>
      </c>
      <c r="AE604">
        <v>83</v>
      </c>
      <c r="AF604">
        <v>2</v>
      </c>
      <c r="AG604">
        <v>85</v>
      </c>
      <c r="AH604">
        <v>2</v>
      </c>
    </row>
    <row r="605" spans="1:34">
      <c r="A605" t="s">
        <v>1900</v>
      </c>
      <c r="B605" s="24">
        <v>1811</v>
      </c>
      <c r="C605" s="24" t="s">
        <v>1901</v>
      </c>
      <c r="D605" s="24" t="s">
        <v>1902</v>
      </c>
      <c r="E605" s="93">
        <v>92</v>
      </c>
      <c r="F605" s="94">
        <v>4</v>
      </c>
      <c r="G605" s="94">
        <v>90</v>
      </c>
      <c r="H605" s="94">
        <v>4</v>
      </c>
      <c r="I605" s="94">
        <v>97</v>
      </c>
      <c r="J605" s="94">
        <v>4</v>
      </c>
      <c r="K605" s="94">
        <v>82</v>
      </c>
      <c r="L605" s="94">
        <v>2</v>
      </c>
      <c r="M605" s="94">
        <v>89</v>
      </c>
      <c r="N605" s="94">
        <v>2</v>
      </c>
      <c r="O605" s="94">
        <v>86</v>
      </c>
      <c r="P605" s="94">
        <v>2</v>
      </c>
      <c r="Q605">
        <v>88</v>
      </c>
      <c r="R605">
        <v>2</v>
      </c>
      <c r="S605">
        <v>82</v>
      </c>
      <c r="T605">
        <v>2</v>
      </c>
      <c r="U605">
        <v>82</v>
      </c>
      <c r="V605">
        <v>2</v>
      </c>
      <c r="W605">
        <v>84</v>
      </c>
      <c r="X605">
        <v>2</v>
      </c>
      <c r="Y605">
        <v>85</v>
      </c>
      <c r="Z605">
        <v>1</v>
      </c>
      <c r="AA605">
        <v>91</v>
      </c>
      <c r="AB605">
        <v>1</v>
      </c>
      <c r="AC605">
        <v>75</v>
      </c>
      <c r="AD605">
        <v>1</v>
      </c>
      <c r="AE605">
        <v>88</v>
      </c>
      <c r="AF605">
        <v>2</v>
      </c>
      <c r="AG605">
        <v>80</v>
      </c>
      <c r="AH605">
        <v>2</v>
      </c>
    </row>
    <row r="606" spans="1:34">
      <c r="A606" t="s">
        <v>1903</v>
      </c>
      <c r="B606" s="24">
        <v>1811</v>
      </c>
      <c r="C606" s="24" t="s">
        <v>1904</v>
      </c>
      <c r="D606" s="24" t="s">
        <v>1905</v>
      </c>
      <c r="E606" s="93">
        <v>82</v>
      </c>
      <c r="F606" s="94">
        <v>4</v>
      </c>
      <c r="G606" s="94">
        <v>90</v>
      </c>
      <c r="H606" s="94">
        <v>4</v>
      </c>
      <c r="I606" s="94">
        <v>90</v>
      </c>
      <c r="J606" s="94">
        <v>4</v>
      </c>
      <c r="K606" s="94">
        <v>80</v>
      </c>
      <c r="L606" s="94">
        <v>2</v>
      </c>
      <c r="M606" s="94">
        <v>86</v>
      </c>
      <c r="N606" s="94">
        <v>2</v>
      </c>
      <c r="O606" s="94">
        <v>85</v>
      </c>
      <c r="P606" s="94">
        <v>2</v>
      </c>
      <c r="Q606">
        <v>87</v>
      </c>
      <c r="R606">
        <v>2</v>
      </c>
      <c r="S606">
        <v>80</v>
      </c>
      <c r="T606">
        <v>2</v>
      </c>
      <c r="U606">
        <v>82</v>
      </c>
      <c r="V606">
        <v>2</v>
      </c>
      <c r="W606">
        <v>87</v>
      </c>
      <c r="X606">
        <v>2</v>
      </c>
      <c r="Y606">
        <v>84</v>
      </c>
      <c r="Z606">
        <v>1</v>
      </c>
      <c r="AA606">
        <v>91</v>
      </c>
      <c r="AB606">
        <v>1</v>
      </c>
      <c r="AC606">
        <v>76</v>
      </c>
      <c r="AD606">
        <v>1</v>
      </c>
      <c r="AE606">
        <v>89</v>
      </c>
      <c r="AF606">
        <v>2</v>
      </c>
      <c r="AG606">
        <v>86</v>
      </c>
      <c r="AH606">
        <v>2</v>
      </c>
    </row>
    <row r="607" spans="1:34">
      <c r="A607" t="s">
        <v>1906</v>
      </c>
      <c r="B607" s="24">
        <v>1811</v>
      </c>
      <c r="C607" s="24" t="s">
        <v>1907</v>
      </c>
      <c r="D607" s="24" t="s">
        <v>1908</v>
      </c>
      <c r="E607" s="93">
        <v>83</v>
      </c>
      <c r="F607" s="94">
        <v>4</v>
      </c>
      <c r="G607" s="94">
        <v>90</v>
      </c>
      <c r="H607" s="94">
        <v>4</v>
      </c>
      <c r="I607" s="94">
        <v>93</v>
      </c>
      <c r="J607" s="94">
        <v>4</v>
      </c>
      <c r="K607" s="94">
        <v>86</v>
      </c>
      <c r="L607" s="94">
        <v>2</v>
      </c>
      <c r="M607" s="94">
        <v>89</v>
      </c>
      <c r="N607" s="94">
        <v>2</v>
      </c>
      <c r="O607" s="94">
        <v>83</v>
      </c>
      <c r="P607" s="94">
        <v>2</v>
      </c>
      <c r="Q607">
        <v>89</v>
      </c>
      <c r="R607">
        <v>2</v>
      </c>
      <c r="S607">
        <v>90</v>
      </c>
      <c r="T607">
        <v>2</v>
      </c>
      <c r="U607">
        <v>79</v>
      </c>
      <c r="V607">
        <v>2</v>
      </c>
      <c r="W607">
        <v>94</v>
      </c>
      <c r="X607">
        <v>2</v>
      </c>
      <c r="Y607">
        <v>80</v>
      </c>
      <c r="Z607">
        <v>1</v>
      </c>
      <c r="AA607">
        <v>91</v>
      </c>
      <c r="AB607">
        <v>1</v>
      </c>
      <c r="AC607">
        <v>72</v>
      </c>
      <c r="AD607">
        <v>1</v>
      </c>
      <c r="AE607">
        <v>84</v>
      </c>
      <c r="AF607">
        <v>2</v>
      </c>
      <c r="AG607">
        <v>90</v>
      </c>
      <c r="AH607">
        <v>2</v>
      </c>
    </row>
    <row r="608" spans="1:34">
      <c r="A608" t="s">
        <v>1909</v>
      </c>
      <c r="B608" s="24">
        <v>1811</v>
      </c>
      <c r="C608" s="24" t="s">
        <v>1910</v>
      </c>
      <c r="D608" s="24" t="s">
        <v>1911</v>
      </c>
      <c r="E608" s="93">
        <v>93</v>
      </c>
      <c r="F608" s="94">
        <v>4</v>
      </c>
      <c r="G608" s="94">
        <v>90</v>
      </c>
      <c r="H608" s="94">
        <v>4</v>
      </c>
      <c r="I608" s="94">
        <v>93</v>
      </c>
      <c r="J608" s="94">
        <v>4</v>
      </c>
      <c r="K608" s="94">
        <v>83</v>
      </c>
      <c r="L608" s="94">
        <v>2</v>
      </c>
      <c r="M608" s="94">
        <v>87</v>
      </c>
      <c r="N608" s="94">
        <v>2</v>
      </c>
      <c r="O608" s="94">
        <v>88</v>
      </c>
      <c r="P608" s="94">
        <v>2</v>
      </c>
      <c r="Q608">
        <v>96</v>
      </c>
      <c r="R608">
        <v>2</v>
      </c>
      <c r="S608">
        <v>97</v>
      </c>
      <c r="T608">
        <v>2</v>
      </c>
      <c r="U608">
        <v>82</v>
      </c>
      <c r="V608">
        <v>2</v>
      </c>
      <c r="W608">
        <v>94</v>
      </c>
      <c r="X608">
        <v>2</v>
      </c>
      <c r="Y608">
        <v>82</v>
      </c>
      <c r="Z608">
        <v>1</v>
      </c>
      <c r="AA608">
        <v>91</v>
      </c>
      <c r="AB608">
        <v>1</v>
      </c>
      <c r="AC608">
        <v>73</v>
      </c>
      <c r="AD608">
        <v>1</v>
      </c>
      <c r="AE608">
        <v>90</v>
      </c>
      <c r="AF608">
        <v>2</v>
      </c>
      <c r="AG608">
        <v>85</v>
      </c>
      <c r="AH608">
        <v>2</v>
      </c>
    </row>
    <row r="609" spans="1:34">
      <c r="A609" t="s">
        <v>1912</v>
      </c>
      <c r="B609" s="24">
        <v>1811</v>
      </c>
      <c r="C609" s="24" t="s">
        <v>1913</v>
      </c>
      <c r="D609" s="24" t="s">
        <v>1914</v>
      </c>
      <c r="E609" s="93">
        <v>88</v>
      </c>
      <c r="F609" s="94">
        <v>4</v>
      </c>
      <c r="G609" s="94">
        <v>90</v>
      </c>
      <c r="H609" s="94">
        <v>4</v>
      </c>
      <c r="I609" s="94">
        <v>92</v>
      </c>
      <c r="J609" s="94">
        <v>4</v>
      </c>
      <c r="K609" s="94">
        <v>80</v>
      </c>
      <c r="L609" s="94">
        <v>2</v>
      </c>
      <c r="M609" s="94">
        <v>82</v>
      </c>
      <c r="N609" s="94">
        <v>2</v>
      </c>
      <c r="O609" s="94">
        <v>86</v>
      </c>
      <c r="P609" s="94">
        <v>2</v>
      </c>
      <c r="Q609">
        <v>96</v>
      </c>
      <c r="R609">
        <v>2</v>
      </c>
      <c r="S609">
        <v>80</v>
      </c>
      <c r="T609">
        <v>2</v>
      </c>
      <c r="U609">
        <v>70</v>
      </c>
      <c r="V609">
        <v>2</v>
      </c>
      <c r="W609">
        <v>95</v>
      </c>
      <c r="X609">
        <v>2</v>
      </c>
      <c r="Y609">
        <v>80</v>
      </c>
      <c r="Z609">
        <v>1</v>
      </c>
      <c r="AA609">
        <v>91</v>
      </c>
      <c r="AB609">
        <v>1</v>
      </c>
      <c r="AC609">
        <v>72</v>
      </c>
      <c r="AD609">
        <v>1</v>
      </c>
      <c r="AE609">
        <v>91</v>
      </c>
      <c r="AF609">
        <v>2</v>
      </c>
      <c r="AG609">
        <v>80</v>
      </c>
      <c r="AH609">
        <v>2</v>
      </c>
    </row>
    <row r="610" spans="1:34">
      <c r="A610" t="s">
        <v>1915</v>
      </c>
      <c r="B610" s="24">
        <v>1811</v>
      </c>
      <c r="C610" s="24" t="s">
        <v>1916</v>
      </c>
      <c r="D610" s="24" t="s">
        <v>1917</v>
      </c>
      <c r="E610" s="93">
        <v>90</v>
      </c>
      <c r="F610" s="94">
        <v>4</v>
      </c>
      <c r="G610" s="94">
        <v>98</v>
      </c>
      <c r="H610" s="94">
        <v>4</v>
      </c>
      <c r="I610" s="94">
        <v>87</v>
      </c>
      <c r="J610" s="94">
        <v>4</v>
      </c>
      <c r="K610" s="94">
        <v>86</v>
      </c>
      <c r="L610" s="94">
        <v>2</v>
      </c>
      <c r="M610" s="94">
        <v>98</v>
      </c>
      <c r="N610" s="94">
        <v>2</v>
      </c>
      <c r="O610" s="94">
        <v>87</v>
      </c>
      <c r="P610" s="94">
        <v>2</v>
      </c>
      <c r="Q610">
        <v>85</v>
      </c>
      <c r="R610">
        <v>2</v>
      </c>
      <c r="S610">
        <v>80</v>
      </c>
      <c r="T610">
        <v>2</v>
      </c>
      <c r="U610">
        <v>79</v>
      </c>
      <c r="V610">
        <v>2</v>
      </c>
      <c r="W610">
        <v>94</v>
      </c>
      <c r="X610">
        <v>2</v>
      </c>
      <c r="Y610">
        <v>81</v>
      </c>
      <c r="Z610">
        <v>1</v>
      </c>
      <c r="AA610">
        <v>91</v>
      </c>
      <c r="AB610">
        <v>1</v>
      </c>
      <c r="AC610">
        <v>72</v>
      </c>
      <c r="AD610">
        <v>1</v>
      </c>
      <c r="AE610">
        <v>80</v>
      </c>
      <c r="AF610">
        <v>2</v>
      </c>
      <c r="AG610">
        <v>86</v>
      </c>
      <c r="AH610">
        <v>2</v>
      </c>
    </row>
    <row r="611" spans="1:34">
      <c r="A611" t="s">
        <v>1918</v>
      </c>
      <c r="B611" s="24">
        <v>1811</v>
      </c>
      <c r="C611" s="24" t="s">
        <v>1919</v>
      </c>
      <c r="D611" s="24" t="s">
        <v>196</v>
      </c>
      <c r="E611" s="93">
        <v>90</v>
      </c>
      <c r="F611" s="94">
        <v>4</v>
      </c>
      <c r="G611" s="94">
        <v>98</v>
      </c>
      <c r="H611" s="94">
        <v>4</v>
      </c>
      <c r="I611" s="94">
        <v>95</v>
      </c>
      <c r="J611" s="94">
        <v>4</v>
      </c>
      <c r="K611" s="94">
        <v>94</v>
      </c>
      <c r="L611" s="94">
        <v>2</v>
      </c>
      <c r="M611" s="94">
        <v>88</v>
      </c>
      <c r="N611" s="94">
        <v>2</v>
      </c>
      <c r="O611" s="94">
        <v>89</v>
      </c>
      <c r="P611" s="94">
        <v>2</v>
      </c>
      <c r="Q611">
        <v>88</v>
      </c>
      <c r="R611">
        <v>2</v>
      </c>
      <c r="S611">
        <v>94</v>
      </c>
      <c r="T611">
        <v>2</v>
      </c>
      <c r="U611">
        <v>90</v>
      </c>
      <c r="V611">
        <v>2</v>
      </c>
      <c r="W611">
        <v>93</v>
      </c>
      <c r="X611">
        <v>2</v>
      </c>
      <c r="Y611">
        <v>80</v>
      </c>
      <c r="Z611">
        <v>1</v>
      </c>
      <c r="AA611">
        <v>91</v>
      </c>
      <c r="AB611">
        <v>1</v>
      </c>
      <c r="AC611">
        <v>68</v>
      </c>
      <c r="AD611">
        <v>1</v>
      </c>
      <c r="AE611">
        <v>90</v>
      </c>
      <c r="AF611">
        <v>2</v>
      </c>
      <c r="AG611">
        <v>90</v>
      </c>
      <c r="AH611">
        <v>2</v>
      </c>
    </row>
    <row r="612" spans="1:34">
      <c r="A612" t="s">
        <v>1920</v>
      </c>
      <c r="B612" s="24">
        <v>1811</v>
      </c>
      <c r="C612" s="24" t="s">
        <v>1921</v>
      </c>
      <c r="D612" s="24" t="s">
        <v>1922</v>
      </c>
      <c r="E612" s="93">
        <v>82</v>
      </c>
      <c r="F612" s="94">
        <v>4</v>
      </c>
      <c r="G612" s="94">
        <v>90</v>
      </c>
      <c r="H612" s="94">
        <v>4</v>
      </c>
      <c r="I612" s="94">
        <v>90</v>
      </c>
      <c r="J612" s="94">
        <v>4</v>
      </c>
      <c r="K612" s="94">
        <v>84</v>
      </c>
      <c r="L612" s="94">
        <v>2</v>
      </c>
      <c r="M612" s="94">
        <v>90</v>
      </c>
      <c r="N612" s="94">
        <v>2</v>
      </c>
      <c r="O612" s="94">
        <v>88</v>
      </c>
      <c r="P612" s="94">
        <v>2</v>
      </c>
      <c r="Q612">
        <v>88</v>
      </c>
      <c r="R612">
        <v>2</v>
      </c>
      <c r="S612">
        <v>66</v>
      </c>
      <c r="T612">
        <v>2</v>
      </c>
      <c r="U612">
        <v>85</v>
      </c>
      <c r="V612">
        <v>2</v>
      </c>
      <c r="W612">
        <v>82</v>
      </c>
      <c r="X612">
        <v>2</v>
      </c>
      <c r="Y612">
        <v>78</v>
      </c>
      <c r="Z612">
        <v>1</v>
      </c>
      <c r="AA612">
        <v>91</v>
      </c>
      <c r="AB612">
        <v>1</v>
      </c>
      <c r="AC612">
        <v>68</v>
      </c>
      <c r="AD612">
        <v>1</v>
      </c>
      <c r="AE612">
        <v>85</v>
      </c>
      <c r="AF612">
        <v>2</v>
      </c>
      <c r="AG612">
        <v>83</v>
      </c>
      <c r="AH612">
        <v>2</v>
      </c>
    </row>
    <row r="613" spans="1:34">
      <c r="B613" s="24">
        <v>1811</v>
      </c>
      <c r="C613" s="24" t="s">
        <v>3328</v>
      </c>
    </row>
    <row r="614" spans="1:34">
      <c r="A614" t="s">
        <v>1924</v>
      </c>
      <c r="B614" s="24">
        <v>1811</v>
      </c>
      <c r="C614" s="24" t="s">
        <v>1925</v>
      </c>
      <c r="D614" s="24" t="s">
        <v>1926</v>
      </c>
      <c r="E614" s="93">
        <v>94</v>
      </c>
      <c r="F614" s="94">
        <v>4</v>
      </c>
      <c r="G614" s="94">
        <v>95</v>
      </c>
      <c r="H614" s="94">
        <v>4</v>
      </c>
      <c r="I614" s="94">
        <v>93</v>
      </c>
      <c r="J614" s="94">
        <v>4</v>
      </c>
      <c r="K614" s="94">
        <v>92</v>
      </c>
      <c r="L614" s="94">
        <v>2</v>
      </c>
      <c r="M614" s="94">
        <v>94</v>
      </c>
      <c r="N614" s="94">
        <v>2</v>
      </c>
      <c r="O614" s="94">
        <v>89</v>
      </c>
      <c r="P614" s="94">
        <v>2</v>
      </c>
      <c r="Q614">
        <v>88</v>
      </c>
      <c r="R614">
        <v>2</v>
      </c>
      <c r="S614">
        <v>100</v>
      </c>
      <c r="T614">
        <v>2</v>
      </c>
      <c r="U614">
        <v>77</v>
      </c>
      <c r="V614">
        <v>2</v>
      </c>
      <c r="W614">
        <v>90</v>
      </c>
      <c r="X614">
        <v>2</v>
      </c>
      <c r="Y614">
        <v>77</v>
      </c>
      <c r="Z614">
        <v>1</v>
      </c>
      <c r="AA614">
        <v>91</v>
      </c>
      <c r="AB614">
        <v>1</v>
      </c>
      <c r="AC614">
        <v>60</v>
      </c>
      <c r="AD614">
        <v>1</v>
      </c>
      <c r="AE614">
        <v>90</v>
      </c>
      <c r="AF614">
        <v>2</v>
      </c>
      <c r="AG614">
        <v>80</v>
      </c>
      <c r="AH614">
        <v>2</v>
      </c>
    </row>
    <row r="615" spans="1:34">
      <c r="A615" t="s">
        <v>1927</v>
      </c>
      <c r="B615" s="24">
        <v>1811</v>
      </c>
      <c r="C615" s="24" t="s">
        <v>1928</v>
      </c>
      <c r="D615" s="24" t="s">
        <v>1929</v>
      </c>
      <c r="E615" s="93">
        <v>88</v>
      </c>
      <c r="F615" s="94">
        <v>4</v>
      </c>
      <c r="G615" s="94">
        <v>90</v>
      </c>
      <c r="H615" s="94">
        <v>4</v>
      </c>
      <c r="I615" s="94">
        <v>85</v>
      </c>
      <c r="J615" s="94">
        <v>4</v>
      </c>
      <c r="K615" s="94">
        <v>82</v>
      </c>
      <c r="L615" s="94">
        <v>2</v>
      </c>
      <c r="M615" s="94">
        <v>85</v>
      </c>
      <c r="N615" s="94">
        <v>2</v>
      </c>
      <c r="O615" s="94">
        <v>88</v>
      </c>
      <c r="P615" s="94">
        <v>2</v>
      </c>
      <c r="Q615">
        <v>95</v>
      </c>
      <c r="R615">
        <v>2</v>
      </c>
      <c r="S615">
        <v>86</v>
      </c>
      <c r="T615">
        <v>2</v>
      </c>
      <c r="U615">
        <v>80</v>
      </c>
      <c r="V615">
        <v>2</v>
      </c>
      <c r="W615">
        <v>91</v>
      </c>
      <c r="X615">
        <v>2</v>
      </c>
      <c r="Y615">
        <v>76</v>
      </c>
      <c r="Z615">
        <v>1</v>
      </c>
      <c r="AA615">
        <v>91</v>
      </c>
      <c r="AB615">
        <v>1</v>
      </c>
      <c r="AC615">
        <v>84</v>
      </c>
      <c r="AD615">
        <v>1</v>
      </c>
      <c r="AE615">
        <v>83</v>
      </c>
      <c r="AF615">
        <v>2</v>
      </c>
      <c r="AG615">
        <v>80</v>
      </c>
      <c r="AH615">
        <v>2</v>
      </c>
    </row>
    <row r="616" spans="1:34">
      <c r="A616" t="s">
        <v>1930</v>
      </c>
      <c r="B616" s="24">
        <v>1811</v>
      </c>
      <c r="C616" s="24" t="s">
        <v>1931</v>
      </c>
      <c r="D616" s="24" t="s">
        <v>1932</v>
      </c>
      <c r="E616" s="93">
        <v>92</v>
      </c>
      <c r="F616" s="94">
        <v>4</v>
      </c>
      <c r="G616" s="94">
        <v>90</v>
      </c>
      <c r="H616" s="94">
        <v>4</v>
      </c>
      <c r="I616" s="94">
        <v>90</v>
      </c>
      <c r="J616" s="94">
        <v>4</v>
      </c>
      <c r="K616" s="94">
        <v>83</v>
      </c>
      <c r="L616" s="94">
        <v>2</v>
      </c>
      <c r="M616" s="94">
        <v>88</v>
      </c>
      <c r="N616" s="94">
        <v>2</v>
      </c>
      <c r="O616" s="94">
        <v>86</v>
      </c>
      <c r="P616" s="94">
        <v>2</v>
      </c>
      <c r="Q616">
        <v>98</v>
      </c>
      <c r="R616">
        <v>2</v>
      </c>
      <c r="S616">
        <v>86</v>
      </c>
      <c r="T616">
        <v>2</v>
      </c>
      <c r="U616">
        <v>78</v>
      </c>
      <c r="V616">
        <v>2</v>
      </c>
      <c r="W616">
        <v>90</v>
      </c>
      <c r="X616">
        <v>2</v>
      </c>
      <c r="Y616">
        <v>77</v>
      </c>
      <c r="Z616">
        <v>1</v>
      </c>
      <c r="AA616">
        <v>91</v>
      </c>
      <c r="AB616">
        <v>1</v>
      </c>
      <c r="AC616">
        <v>68</v>
      </c>
      <c r="AD616">
        <v>1</v>
      </c>
      <c r="AE616">
        <v>87</v>
      </c>
      <c r="AF616">
        <v>2</v>
      </c>
      <c r="AG616">
        <v>82</v>
      </c>
      <c r="AH616">
        <v>2</v>
      </c>
    </row>
    <row r="617" spans="1:34">
      <c r="A617" t="s">
        <v>1933</v>
      </c>
      <c r="B617" s="24">
        <v>1811</v>
      </c>
      <c r="C617" s="24" t="s">
        <v>1934</v>
      </c>
      <c r="D617" s="24" t="s">
        <v>1935</v>
      </c>
      <c r="E617" s="93">
        <v>82</v>
      </c>
      <c r="F617" s="94">
        <v>4</v>
      </c>
      <c r="G617" s="94">
        <v>95</v>
      </c>
      <c r="H617" s="94">
        <v>4</v>
      </c>
      <c r="I617" s="94">
        <v>90</v>
      </c>
      <c r="J617" s="94">
        <v>4</v>
      </c>
      <c r="K617" s="94">
        <v>94</v>
      </c>
      <c r="L617" s="94">
        <v>2</v>
      </c>
      <c r="M617" s="94">
        <v>99</v>
      </c>
      <c r="N617" s="94">
        <v>2</v>
      </c>
      <c r="O617" s="94">
        <v>86</v>
      </c>
      <c r="P617" s="94">
        <v>2</v>
      </c>
      <c r="Q617">
        <v>85</v>
      </c>
      <c r="R617">
        <v>2</v>
      </c>
      <c r="S617">
        <v>80</v>
      </c>
      <c r="T617">
        <v>2</v>
      </c>
      <c r="U617">
        <v>88</v>
      </c>
      <c r="V617">
        <v>2</v>
      </c>
      <c r="W617">
        <v>96</v>
      </c>
      <c r="X617">
        <v>2</v>
      </c>
      <c r="Y617">
        <v>76</v>
      </c>
      <c r="Z617">
        <v>1</v>
      </c>
      <c r="AA617">
        <v>91</v>
      </c>
      <c r="AB617">
        <v>1</v>
      </c>
      <c r="AC617">
        <v>70</v>
      </c>
      <c r="AD617">
        <v>1</v>
      </c>
      <c r="AE617">
        <v>83</v>
      </c>
      <c r="AF617">
        <v>2</v>
      </c>
      <c r="AG617">
        <v>82</v>
      </c>
      <c r="AH617">
        <v>2</v>
      </c>
    </row>
    <row r="618" spans="1:34">
      <c r="A618" t="s">
        <v>1936</v>
      </c>
      <c r="B618" s="24">
        <v>1811</v>
      </c>
      <c r="C618" s="24" t="s">
        <v>1937</v>
      </c>
      <c r="D618" s="24" t="s">
        <v>62</v>
      </c>
      <c r="E618" s="93">
        <v>97</v>
      </c>
      <c r="F618" s="94">
        <v>4</v>
      </c>
      <c r="G618" s="94">
        <v>90</v>
      </c>
      <c r="H618" s="94">
        <v>4</v>
      </c>
      <c r="I618" s="94">
        <v>90</v>
      </c>
      <c r="J618" s="94">
        <v>4</v>
      </c>
      <c r="K618" s="94">
        <v>84</v>
      </c>
      <c r="L618" s="94">
        <v>2</v>
      </c>
      <c r="M618" s="94">
        <v>93</v>
      </c>
      <c r="N618" s="94">
        <v>2</v>
      </c>
      <c r="O618" s="94">
        <v>88</v>
      </c>
      <c r="P618" s="94">
        <v>2</v>
      </c>
      <c r="Q618">
        <v>99</v>
      </c>
      <c r="R618">
        <v>2</v>
      </c>
      <c r="S618">
        <v>84</v>
      </c>
      <c r="T618">
        <v>2</v>
      </c>
      <c r="U618">
        <v>88</v>
      </c>
      <c r="V618">
        <v>2</v>
      </c>
      <c r="W618">
        <v>93</v>
      </c>
      <c r="X618">
        <v>2</v>
      </c>
      <c r="Y618">
        <v>84</v>
      </c>
      <c r="Z618">
        <v>1</v>
      </c>
      <c r="AA618">
        <v>91</v>
      </c>
      <c r="AB618">
        <v>1</v>
      </c>
      <c r="AC618">
        <v>78</v>
      </c>
      <c r="AD618">
        <v>1</v>
      </c>
      <c r="AE618">
        <v>92</v>
      </c>
      <c r="AF618">
        <v>2</v>
      </c>
      <c r="AG618">
        <v>83</v>
      </c>
      <c r="AH618">
        <v>2</v>
      </c>
    </row>
    <row r="619" spans="1:34">
      <c r="A619" t="s">
        <v>1938</v>
      </c>
      <c r="B619" s="24">
        <v>1812</v>
      </c>
      <c r="C619" s="24" t="s">
        <v>1939</v>
      </c>
      <c r="D619" s="24" t="s">
        <v>1940</v>
      </c>
      <c r="E619" s="93">
        <v>92</v>
      </c>
      <c r="F619" s="94">
        <v>4</v>
      </c>
      <c r="G619" s="94">
        <v>95</v>
      </c>
      <c r="H619" s="94">
        <v>4</v>
      </c>
      <c r="I619" s="94">
        <v>95</v>
      </c>
      <c r="J619" s="94">
        <v>4</v>
      </c>
      <c r="K619" s="94">
        <v>95</v>
      </c>
      <c r="L619" s="94">
        <v>2</v>
      </c>
      <c r="M619" s="94">
        <v>95</v>
      </c>
      <c r="N619" s="94">
        <v>2</v>
      </c>
      <c r="O619" s="94">
        <v>86</v>
      </c>
      <c r="P619" s="94">
        <v>2</v>
      </c>
      <c r="Q619">
        <v>92</v>
      </c>
      <c r="R619">
        <v>2</v>
      </c>
      <c r="S619">
        <v>86</v>
      </c>
      <c r="T619">
        <v>2</v>
      </c>
      <c r="U619">
        <v>82</v>
      </c>
      <c r="V619">
        <v>2</v>
      </c>
      <c r="W619">
        <v>91</v>
      </c>
      <c r="X619">
        <v>2</v>
      </c>
      <c r="Y619">
        <v>82</v>
      </c>
      <c r="Z619">
        <v>1</v>
      </c>
      <c r="AA619">
        <v>92</v>
      </c>
      <c r="AB619">
        <v>1</v>
      </c>
      <c r="AC619">
        <v>70</v>
      </c>
      <c r="AD619">
        <v>1</v>
      </c>
      <c r="AE619">
        <v>82</v>
      </c>
      <c r="AF619">
        <v>2</v>
      </c>
      <c r="AG619">
        <v>87</v>
      </c>
      <c r="AH619">
        <v>2</v>
      </c>
    </row>
    <row r="620" spans="1:34">
      <c r="A620" t="s">
        <v>1941</v>
      </c>
      <c r="B620" s="24">
        <v>1812</v>
      </c>
      <c r="C620" s="24" t="s">
        <v>1942</v>
      </c>
      <c r="D620" s="24" t="s">
        <v>1943</v>
      </c>
      <c r="E620" s="93">
        <v>98</v>
      </c>
      <c r="F620" s="94">
        <v>4</v>
      </c>
      <c r="G620" s="94">
        <v>90</v>
      </c>
      <c r="H620" s="94">
        <v>4</v>
      </c>
      <c r="I620" s="94">
        <v>85</v>
      </c>
      <c r="J620" s="94">
        <v>4</v>
      </c>
      <c r="K620" s="94">
        <v>92</v>
      </c>
      <c r="L620" s="94">
        <v>2</v>
      </c>
      <c r="M620" s="94">
        <v>95</v>
      </c>
      <c r="N620" s="94">
        <v>2</v>
      </c>
      <c r="O620" s="94">
        <v>87</v>
      </c>
      <c r="P620" s="94">
        <v>2</v>
      </c>
      <c r="Q620">
        <v>92</v>
      </c>
      <c r="R620">
        <v>2</v>
      </c>
      <c r="S620">
        <v>92</v>
      </c>
      <c r="T620">
        <v>2</v>
      </c>
      <c r="U620">
        <v>79</v>
      </c>
      <c r="V620">
        <v>2</v>
      </c>
      <c r="W620">
        <v>89</v>
      </c>
      <c r="X620">
        <v>2</v>
      </c>
      <c r="Y620">
        <v>83</v>
      </c>
      <c r="Z620">
        <v>1</v>
      </c>
      <c r="AA620">
        <v>92</v>
      </c>
      <c r="AB620">
        <v>1</v>
      </c>
      <c r="AC620">
        <v>81</v>
      </c>
      <c r="AD620">
        <v>1</v>
      </c>
      <c r="AE620">
        <v>84</v>
      </c>
      <c r="AF620">
        <v>2</v>
      </c>
      <c r="AG620">
        <v>82</v>
      </c>
      <c r="AH620">
        <v>2</v>
      </c>
    </row>
    <row r="621" spans="1:34">
      <c r="A621" t="s">
        <v>1944</v>
      </c>
      <c r="B621" s="24">
        <v>1812</v>
      </c>
      <c r="C621" s="24" t="s">
        <v>1945</v>
      </c>
      <c r="D621" s="24" t="s">
        <v>1946</v>
      </c>
      <c r="E621" s="93">
        <v>93</v>
      </c>
      <c r="F621" s="94">
        <v>4</v>
      </c>
      <c r="G621" s="94">
        <v>82</v>
      </c>
      <c r="H621" s="94">
        <v>4</v>
      </c>
      <c r="I621" s="94">
        <v>90</v>
      </c>
      <c r="J621" s="94">
        <v>4</v>
      </c>
      <c r="K621" s="94">
        <v>90</v>
      </c>
      <c r="L621" s="94">
        <v>2</v>
      </c>
      <c r="M621" s="94">
        <v>95</v>
      </c>
      <c r="N621" s="94">
        <v>2</v>
      </c>
      <c r="O621" s="94">
        <v>86</v>
      </c>
      <c r="P621" s="94">
        <v>2</v>
      </c>
      <c r="Q621">
        <v>94</v>
      </c>
      <c r="R621">
        <v>2</v>
      </c>
      <c r="S621">
        <v>86</v>
      </c>
      <c r="T621">
        <v>2</v>
      </c>
      <c r="U621">
        <v>82</v>
      </c>
      <c r="V621">
        <v>2</v>
      </c>
      <c r="W621">
        <v>90</v>
      </c>
      <c r="X621">
        <v>2</v>
      </c>
      <c r="Y621">
        <v>75</v>
      </c>
      <c r="Z621">
        <v>1</v>
      </c>
      <c r="AA621">
        <v>92</v>
      </c>
      <c r="AB621">
        <v>1</v>
      </c>
      <c r="AC621">
        <v>86</v>
      </c>
      <c r="AD621">
        <v>1</v>
      </c>
      <c r="AE621">
        <v>88</v>
      </c>
      <c r="AF621">
        <v>2</v>
      </c>
      <c r="AG621">
        <v>89</v>
      </c>
      <c r="AH621">
        <v>2</v>
      </c>
    </row>
    <row r="622" spans="1:34">
      <c r="A622" t="s">
        <v>1947</v>
      </c>
      <c r="B622" s="24">
        <v>1812</v>
      </c>
      <c r="C622" s="24" t="s">
        <v>1948</v>
      </c>
      <c r="D622" s="24" t="s">
        <v>1949</v>
      </c>
      <c r="E622" s="93">
        <v>78</v>
      </c>
      <c r="F622" s="94">
        <v>4</v>
      </c>
      <c r="G622" s="94">
        <v>86</v>
      </c>
      <c r="H622" s="94">
        <v>4</v>
      </c>
      <c r="I622" s="94">
        <v>91</v>
      </c>
      <c r="J622" s="94">
        <v>4</v>
      </c>
      <c r="K622" s="94">
        <v>80</v>
      </c>
      <c r="L622" s="94">
        <v>2</v>
      </c>
      <c r="M622" s="94">
        <v>95</v>
      </c>
      <c r="N622" s="94">
        <v>2</v>
      </c>
      <c r="O622" s="94">
        <v>85</v>
      </c>
      <c r="P622" s="94">
        <v>2</v>
      </c>
      <c r="Q622">
        <v>90</v>
      </c>
      <c r="R622">
        <v>2</v>
      </c>
      <c r="S622">
        <v>93</v>
      </c>
      <c r="T622">
        <v>2</v>
      </c>
      <c r="U622">
        <v>72</v>
      </c>
      <c r="V622">
        <v>2</v>
      </c>
      <c r="W622">
        <v>94</v>
      </c>
      <c r="X622">
        <v>2</v>
      </c>
      <c r="Y622">
        <v>80</v>
      </c>
      <c r="Z622">
        <v>1</v>
      </c>
      <c r="AA622">
        <v>92</v>
      </c>
      <c r="AB622">
        <v>1</v>
      </c>
      <c r="AC622">
        <v>80</v>
      </c>
      <c r="AD622">
        <v>1</v>
      </c>
      <c r="AE622">
        <v>50</v>
      </c>
      <c r="AF622">
        <v>1</v>
      </c>
      <c r="AG622">
        <v>87</v>
      </c>
      <c r="AH622">
        <v>2</v>
      </c>
    </row>
    <row r="623" spans="1:34">
      <c r="A623" t="s">
        <v>1950</v>
      </c>
      <c r="B623" s="24">
        <v>1812</v>
      </c>
      <c r="C623" s="24" t="s">
        <v>1951</v>
      </c>
      <c r="D623" s="24" t="s">
        <v>1952</v>
      </c>
      <c r="E623" s="93">
        <v>80</v>
      </c>
      <c r="F623" s="94">
        <v>4</v>
      </c>
      <c r="G623" s="94">
        <v>81</v>
      </c>
      <c r="H623" s="94">
        <v>4</v>
      </c>
      <c r="I623" s="94">
        <v>91</v>
      </c>
      <c r="J623" s="94">
        <v>4</v>
      </c>
      <c r="K623" s="94">
        <v>82</v>
      </c>
      <c r="L623" s="94">
        <v>2</v>
      </c>
      <c r="M623" s="94">
        <v>95</v>
      </c>
      <c r="N623" s="94">
        <v>2</v>
      </c>
      <c r="O623" s="94">
        <v>84</v>
      </c>
      <c r="P623" s="94">
        <v>2</v>
      </c>
      <c r="Q623">
        <v>86</v>
      </c>
      <c r="R623">
        <v>2</v>
      </c>
      <c r="S623">
        <v>90</v>
      </c>
      <c r="T623">
        <v>2</v>
      </c>
      <c r="U623">
        <v>70</v>
      </c>
      <c r="V623">
        <v>2</v>
      </c>
      <c r="W623">
        <v>83</v>
      </c>
      <c r="X623">
        <v>2</v>
      </c>
      <c r="Y623">
        <v>85</v>
      </c>
      <c r="Z623">
        <v>1</v>
      </c>
      <c r="AA623">
        <v>92</v>
      </c>
      <c r="AB623">
        <v>1</v>
      </c>
      <c r="AC623">
        <v>80</v>
      </c>
      <c r="AD623">
        <v>1</v>
      </c>
      <c r="AE623">
        <v>86</v>
      </c>
      <c r="AF623">
        <v>2</v>
      </c>
      <c r="AG623">
        <v>88</v>
      </c>
      <c r="AH623">
        <v>2</v>
      </c>
    </row>
    <row r="624" spans="1:34">
      <c r="A624" t="s">
        <v>1953</v>
      </c>
      <c r="B624" s="24">
        <v>1812</v>
      </c>
      <c r="C624" s="24" t="s">
        <v>1954</v>
      </c>
      <c r="D624" s="24" t="s">
        <v>1955</v>
      </c>
      <c r="E624" s="93">
        <v>90</v>
      </c>
      <c r="F624" s="94">
        <v>4</v>
      </c>
      <c r="G624" s="94">
        <v>83</v>
      </c>
      <c r="H624" s="94">
        <v>4</v>
      </c>
      <c r="I624" s="94">
        <v>85</v>
      </c>
      <c r="J624" s="94">
        <v>4</v>
      </c>
      <c r="K624" s="94">
        <v>85</v>
      </c>
      <c r="L624" s="94">
        <v>2</v>
      </c>
      <c r="M624" s="94">
        <v>95</v>
      </c>
      <c r="N624" s="94">
        <v>2</v>
      </c>
      <c r="O624" s="94">
        <v>85</v>
      </c>
      <c r="P624" s="94">
        <v>2</v>
      </c>
      <c r="Q624">
        <v>80</v>
      </c>
      <c r="R624">
        <v>2</v>
      </c>
      <c r="S624">
        <v>92</v>
      </c>
      <c r="T624">
        <v>2</v>
      </c>
      <c r="U624">
        <v>72</v>
      </c>
      <c r="V624">
        <v>2</v>
      </c>
      <c r="W624">
        <v>90</v>
      </c>
      <c r="X624">
        <v>2</v>
      </c>
      <c r="Y624">
        <v>83</v>
      </c>
      <c r="Z624">
        <v>1</v>
      </c>
      <c r="AA624">
        <v>92</v>
      </c>
      <c r="AB624">
        <v>1</v>
      </c>
      <c r="AC624">
        <v>75</v>
      </c>
      <c r="AD624">
        <v>1</v>
      </c>
      <c r="AE624">
        <v>87</v>
      </c>
      <c r="AF624">
        <v>2</v>
      </c>
      <c r="AG624">
        <v>89</v>
      </c>
      <c r="AH624">
        <v>2</v>
      </c>
    </row>
    <row r="625" spans="1:34">
      <c r="A625" t="s">
        <v>1956</v>
      </c>
      <c r="B625" s="24">
        <v>1812</v>
      </c>
      <c r="C625" s="24" t="s">
        <v>1957</v>
      </c>
      <c r="D625" s="24" t="s">
        <v>1958</v>
      </c>
      <c r="E625" s="93">
        <v>76</v>
      </c>
      <c r="F625" s="94">
        <v>4</v>
      </c>
      <c r="G625" s="94">
        <v>78</v>
      </c>
      <c r="H625" s="94">
        <v>4</v>
      </c>
      <c r="I625" s="94">
        <v>81</v>
      </c>
      <c r="J625" s="94">
        <v>4</v>
      </c>
      <c r="K625" s="94">
        <v>85</v>
      </c>
      <c r="L625" s="94">
        <v>2</v>
      </c>
      <c r="M625" s="94">
        <v>95</v>
      </c>
      <c r="N625" s="94">
        <v>2</v>
      </c>
      <c r="O625" s="94">
        <v>87</v>
      </c>
      <c r="P625" s="94">
        <v>2</v>
      </c>
      <c r="Q625">
        <v>85</v>
      </c>
      <c r="R625">
        <v>2</v>
      </c>
      <c r="S625">
        <v>80</v>
      </c>
      <c r="T625">
        <v>2</v>
      </c>
      <c r="U625">
        <v>71</v>
      </c>
      <c r="V625">
        <v>2</v>
      </c>
      <c r="W625">
        <v>84</v>
      </c>
      <c r="X625">
        <v>2</v>
      </c>
      <c r="Y625">
        <v>80</v>
      </c>
      <c r="Z625">
        <v>1</v>
      </c>
      <c r="AA625">
        <v>92</v>
      </c>
      <c r="AB625">
        <v>1</v>
      </c>
      <c r="AC625">
        <v>76</v>
      </c>
      <c r="AD625">
        <v>1</v>
      </c>
      <c r="AE625">
        <v>50</v>
      </c>
      <c r="AF625">
        <v>1</v>
      </c>
      <c r="AG625">
        <v>90</v>
      </c>
      <c r="AH625">
        <v>2</v>
      </c>
    </row>
    <row r="626" spans="1:34">
      <c r="A626" t="s">
        <v>1959</v>
      </c>
      <c r="B626" s="24">
        <v>1812</v>
      </c>
      <c r="C626" s="24" t="s">
        <v>1960</v>
      </c>
      <c r="D626" s="24" t="s">
        <v>165</v>
      </c>
      <c r="E626" s="93">
        <v>92</v>
      </c>
      <c r="F626" s="94">
        <v>4</v>
      </c>
      <c r="G626" s="94">
        <v>91</v>
      </c>
      <c r="H626" s="94">
        <v>4</v>
      </c>
      <c r="I626" s="94">
        <v>95</v>
      </c>
      <c r="J626" s="94">
        <v>4</v>
      </c>
      <c r="K626" s="94">
        <v>95</v>
      </c>
      <c r="L626" s="94">
        <v>2</v>
      </c>
      <c r="M626" s="94">
        <v>95</v>
      </c>
      <c r="N626" s="94">
        <v>2</v>
      </c>
      <c r="O626" s="94">
        <v>88</v>
      </c>
      <c r="P626" s="94">
        <v>2</v>
      </c>
      <c r="Q626">
        <v>93</v>
      </c>
      <c r="R626">
        <v>2</v>
      </c>
      <c r="S626">
        <v>92</v>
      </c>
      <c r="T626">
        <v>2</v>
      </c>
      <c r="U626">
        <v>85</v>
      </c>
      <c r="V626">
        <v>2</v>
      </c>
      <c r="W626">
        <v>92</v>
      </c>
      <c r="X626">
        <v>2</v>
      </c>
      <c r="Y626">
        <v>84</v>
      </c>
      <c r="Z626">
        <v>1</v>
      </c>
      <c r="AA626">
        <v>92</v>
      </c>
      <c r="AB626">
        <v>1</v>
      </c>
      <c r="AC626">
        <v>75</v>
      </c>
      <c r="AD626">
        <v>1</v>
      </c>
      <c r="AE626">
        <v>85</v>
      </c>
      <c r="AF626">
        <v>2</v>
      </c>
      <c r="AG626">
        <v>90</v>
      </c>
      <c r="AH626">
        <v>2</v>
      </c>
    </row>
    <row r="627" spans="1:34">
      <c r="A627" t="s">
        <v>1741</v>
      </c>
      <c r="B627" s="24">
        <v>1812</v>
      </c>
      <c r="C627" s="24" t="s">
        <v>1962</v>
      </c>
      <c r="D627" s="24" t="s">
        <v>1743</v>
      </c>
      <c r="E627" s="93">
        <v>87</v>
      </c>
      <c r="F627" s="94">
        <v>4</v>
      </c>
      <c r="G627" s="94">
        <v>90</v>
      </c>
      <c r="H627" s="94">
        <v>4</v>
      </c>
      <c r="I627" s="94">
        <v>90</v>
      </c>
      <c r="J627" s="94">
        <v>4</v>
      </c>
      <c r="K627" s="94">
        <v>80</v>
      </c>
      <c r="L627" s="94">
        <v>2</v>
      </c>
      <c r="M627" s="94">
        <v>95</v>
      </c>
      <c r="N627" s="94">
        <v>2</v>
      </c>
      <c r="O627" s="94">
        <v>84</v>
      </c>
      <c r="P627" s="94">
        <v>2</v>
      </c>
      <c r="Q627">
        <v>94</v>
      </c>
      <c r="R627">
        <v>2</v>
      </c>
      <c r="S627">
        <v>97</v>
      </c>
      <c r="T627">
        <v>2</v>
      </c>
      <c r="U627">
        <v>82</v>
      </c>
      <c r="V627">
        <v>2</v>
      </c>
      <c r="W627">
        <v>90</v>
      </c>
      <c r="X627">
        <v>2</v>
      </c>
      <c r="Y627">
        <v>75</v>
      </c>
      <c r="Z627">
        <v>1</v>
      </c>
      <c r="AA627">
        <v>92</v>
      </c>
      <c r="AB627">
        <v>1</v>
      </c>
      <c r="AC627">
        <v>78</v>
      </c>
      <c r="AD627">
        <v>1</v>
      </c>
      <c r="AE627">
        <v>50</v>
      </c>
      <c r="AF627">
        <v>1</v>
      </c>
      <c r="AG627">
        <v>90</v>
      </c>
      <c r="AH627">
        <v>2</v>
      </c>
    </row>
    <row r="628" spans="1:34">
      <c r="A628" t="s">
        <v>1963</v>
      </c>
      <c r="B628" s="24">
        <v>1812</v>
      </c>
      <c r="C628" s="24" t="s">
        <v>1964</v>
      </c>
      <c r="D628" s="24" t="s">
        <v>1965</v>
      </c>
      <c r="E628" s="93">
        <v>68</v>
      </c>
      <c r="F628" s="94">
        <v>4</v>
      </c>
      <c r="G628" s="94">
        <v>89</v>
      </c>
      <c r="H628" s="94">
        <v>4</v>
      </c>
      <c r="I628" s="94">
        <v>85</v>
      </c>
      <c r="J628" s="94">
        <v>4</v>
      </c>
      <c r="K628" s="94">
        <v>88</v>
      </c>
      <c r="L628" s="94">
        <v>2</v>
      </c>
      <c r="M628" s="94">
        <v>95</v>
      </c>
      <c r="N628" s="94">
        <v>2</v>
      </c>
      <c r="O628" s="94">
        <v>83</v>
      </c>
      <c r="P628" s="94">
        <v>2</v>
      </c>
      <c r="Q628">
        <v>83</v>
      </c>
      <c r="R628">
        <v>2</v>
      </c>
      <c r="S628">
        <v>81</v>
      </c>
      <c r="T628">
        <v>2</v>
      </c>
      <c r="U628">
        <v>78</v>
      </c>
      <c r="V628">
        <v>2</v>
      </c>
      <c r="W628">
        <v>80</v>
      </c>
      <c r="X628">
        <v>2</v>
      </c>
      <c r="Y628">
        <v>86</v>
      </c>
      <c r="Z628">
        <v>1</v>
      </c>
      <c r="AA628">
        <v>92</v>
      </c>
      <c r="AB628">
        <v>1</v>
      </c>
      <c r="AC628">
        <v>83</v>
      </c>
      <c r="AD628">
        <v>1</v>
      </c>
      <c r="AE628">
        <v>50</v>
      </c>
      <c r="AF628">
        <v>1</v>
      </c>
      <c r="AG628">
        <v>86</v>
      </c>
      <c r="AH628">
        <v>2</v>
      </c>
    </row>
    <row r="629" spans="1:34">
      <c r="A629" t="s">
        <v>1966</v>
      </c>
      <c r="B629" s="24">
        <v>1812</v>
      </c>
      <c r="C629" s="24" t="s">
        <v>1967</v>
      </c>
      <c r="D629" s="24" t="s">
        <v>1968</v>
      </c>
      <c r="E629" s="93">
        <v>70</v>
      </c>
      <c r="F629" s="94">
        <v>4</v>
      </c>
      <c r="G629" s="94">
        <v>83</v>
      </c>
      <c r="H629" s="94">
        <v>4</v>
      </c>
      <c r="I629" s="94">
        <v>85</v>
      </c>
      <c r="J629" s="94">
        <v>4</v>
      </c>
      <c r="K629" s="94">
        <v>80</v>
      </c>
      <c r="L629" s="94">
        <v>2</v>
      </c>
      <c r="M629" s="94">
        <v>95</v>
      </c>
      <c r="N629" s="94">
        <v>2</v>
      </c>
      <c r="O629" s="94">
        <v>84</v>
      </c>
      <c r="P629" s="94">
        <v>2</v>
      </c>
      <c r="Q629">
        <v>89</v>
      </c>
      <c r="R629">
        <v>2</v>
      </c>
      <c r="S629">
        <v>80</v>
      </c>
      <c r="T629">
        <v>2</v>
      </c>
      <c r="U629">
        <v>70</v>
      </c>
      <c r="V629">
        <v>2</v>
      </c>
      <c r="W629">
        <v>96</v>
      </c>
      <c r="X629">
        <v>2</v>
      </c>
      <c r="Y629">
        <v>80</v>
      </c>
      <c r="Z629">
        <v>1</v>
      </c>
      <c r="AA629">
        <v>92</v>
      </c>
      <c r="AB629">
        <v>1</v>
      </c>
      <c r="AC629">
        <v>70</v>
      </c>
      <c r="AD629">
        <v>1</v>
      </c>
      <c r="AE629">
        <v>50</v>
      </c>
      <c r="AF629">
        <v>1</v>
      </c>
      <c r="AG629">
        <v>86</v>
      </c>
      <c r="AH629">
        <v>2</v>
      </c>
    </row>
    <row r="630" spans="1:34">
      <c r="A630" t="s">
        <v>1969</v>
      </c>
      <c r="B630" s="24">
        <v>1812</v>
      </c>
      <c r="C630" s="24" t="s">
        <v>1970</v>
      </c>
      <c r="D630" s="24" t="s">
        <v>1971</v>
      </c>
      <c r="E630" s="93">
        <v>92</v>
      </c>
      <c r="F630" s="94">
        <v>4</v>
      </c>
      <c r="G630" s="94">
        <v>90</v>
      </c>
      <c r="H630" s="94">
        <v>4</v>
      </c>
      <c r="I630" s="94">
        <v>90</v>
      </c>
      <c r="J630" s="94">
        <v>4</v>
      </c>
      <c r="K630" s="94">
        <v>88</v>
      </c>
      <c r="L630" s="94">
        <v>2</v>
      </c>
      <c r="M630" s="94">
        <v>90</v>
      </c>
      <c r="N630" s="94">
        <v>2</v>
      </c>
      <c r="O630" s="94">
        <v>86</v>
      </c>
      <c r="P630" s="94">
        <v>2</v>
      </c>
      <c r="Q630">
        <v>95</v>
      </c>
      <c r="R630">
        <v>2</v>
      </c>
      <c r="S630">
        <v>84</v>
      </c>
      <c r="T630">
        <v>2</v>
      </c>
      <c r="U630">
        <v>83</v>
      </c>
      <c r="V630">
        <v>2</v>
      </c>
      <c r="W630">
        <v>90</v>
      </c>
      <c r="X630">
        <v>2</v>
      </c>
      <c r="Y630">
        <v>81</v>
      </c>
      <c r="Z630">
        <v>1</v>
      </c>
      <c r="AA630">
        <v>92</v>
      </c>
      <c r="AB630">
        <v>1</v>
      </c>
      <c r="AC630">
        <v>90</v>
      </c>
      <c r="AD630">
        <v>1</v>
      </c>
      <c r="AE630">
        <v>90</v>
      </c>
      <c r="AF630">
        <v>2</v>
      </c>
      <c r="AG630">
        <v>85</v>
      </c>
      <c r="AH630">
        <v>2</v>
      </c>
    </row>
    <row r="631" spans="1:34">
      <c r="A631" t="s">
        <v>1972</v>
      </c>
      <c r="B631" s="24">
        <v>1812</v>
      </c>
      <c r="C631" s="24" t="s">
        <v>1973</v>
      </c>
      <c r="D631" s="24" t="s">
        <v>1974</v>
      </c>
      <c r="E631" s="93">
        <v>82</v>
      </c>
      <c r="F631" s="94">
        <v>4</v>
      </c>
      <c r="G631" s="94">
        <v>88</v>
      </c>
      <c r="H631" s="94">
        <v>4</v>
      </c>
      <c r="I631" s="94">
        <v>85</v>
      </c>
      <c r="J631" s="94">
        <v>4</v>
      </c>
      <c r="K631" s="94">
        <v>95</v>
      </c>
      <c r="L631" s="94">
        <v>2</v>
      </c>
      <c r="M631" s="94">
        <v>90</v>
      </c>
      <c r="N631" s="94">
        <v>2</v>
      </c>
      <c r="O631" s="94">
        <v>84</v>
      </c>
      <c r="P631" s="94">
        <v>2</v>
      </c>
      <c r="Q631">
        <v>80</v>
      </c>
      <c r="R631">
        <v>2</v>
      </c>
      <c r="S631">
        <v>80</v>
      </c>
      <c r="T631">
        <v>2</v>
      </c>
      <c r="U631">
        <v>75</v>
      </c>
      <c r="V631">
        <v>2</v>
      </c>
      <c r="W631">
        <v>87</v>
      </c>
      <c r="X631">
        <v>2</v>
      </c>
      <c r="Y631">
        <v>82</v>
      </c>
      <c r="Z631">
        <v>1</v>
      </c>
      <c r="AA631">
        <v>92</v>
      </c>
      <c r="AB631">
        <v>1</v>
      </c>
      <c r="AC631">
        <v>72</v>
      </c>
      <c r="AD631">
        <v>1</v>
      </c>
      <c r="AE631">
        <v>50</v>
      </c>
      <c r="AF631">
        <v>1</v>
      </c>
      <c r="AG631">
        <v>88</v>
      </c>
      <c r="AH631">
        <v>2</v>
      </c>
    </row>
    <row r="632" spans="1:34">
      <c r="A632" t="s">
        <v>1975</v>
      </c>
      <c r="B632" s="24">
        <v>1812</v>
      </c>
      <c r="C632" s="24" t="s">
        <v>1976</v>
      </c>
      <c r="D632" s="24" t="s">
        <v>1977</v>
      </c>
      <c r="E632" s="93">
        <v>90</v>
      </c>
      <c r="F632" s="94">
        <v>4</v>
      </c>
      <c r="G632" s="94">
        <v>82</v>
      </c>
      <c r="H632" s="94">
        <v>4</v>
      </c>
      <c r="I632" s="94">
        <v>90</v>
      </c>
      <c r="J632" s="94">
        <v>4</v>
      </c>
      <c r="K632" s="94">
        <v>80</v>
      </c>
      <c r="L632" s="94">
        <v>2</v>
      </c>
      <c r="M632" s="94">
        <v>90</v>
      </c>
      <c r="N632" s="94">
        <v>2</v>
      </c>
      <c r="O632" s="94">
        <v>85</v>
      </c>
      <c r="P632" s="94">
        <v>2</v>
      </c>
      <c r="Q632">
        <v>92</v>
      </c>
      <c r="R632">
        <v>2</v>
      </c>
      <c r="S632">
        <v>86</v>
      </c>
      <c r="T632">
        <v>2</v>
      </c>
      <c r="U632">
        <v>71</v>
      </c>
      <c r="V632">
        <v>2</v>
      </c>
      <c r="W632">
        <v>100</v>
      </c>
      <c r="X632">
        <v>2</v>
      </c>
      <c r="Y632">
        <v>87</v>
      </c>
      <c r="Z632">
        <v>1</v>
      </c>
      <c r="AA632">
        <v>92</v>
      </c>
      <c r="AB632">
        <v>1</v>
      </c>
      <c r="AC632">
        <v>73</v>
      </c>
      <c r="AD632">
        <v>1</v>
      </c>
      <c r="AE632">
        <v>84</v>
      </c>
      <c r="AF632">
        <v>2</v>
      </c>
      <c r="AG632">
        <v>87</v>
      </c>
      <c r="AH632">
        <v>2</v>
      </c>
    </row>
    <row r="633" spans="1:34">
      <c r="A633" t="s">
        <v>1978</v>
      </c>
      <c r="B633" s="24">
        <v>1812</v>
      </c>
      <c r="C633" s="24" t="s">
        <v>1979</v>
      </c>
      <c r="D633" s="24" t="s">
        <v>1980</v>
      </c>
      <c r="E633" s="93">
        <v>90</v>
      </c>
      <c r="F633" s="94">
        <v>4</v>
      </c>
      <c r="G633" s="94">
        <v>86</v>
      </c>
      <c r="H633" s="94">
        <v>4</v>
      </c>
      <c r="I633" s="94">
        <v>88</v>
      </c>
      <c r="J633" s="94">
        <v>4</v>
      </c>
      <c r="K633" s="94">
        <v>80</v>
      </c>
      <c r="L633" s="94">
        <v>2</v>
      </c>
      <c r="M633" s="94">
        <v>90</v>
      </c>
      <c r="N633" s="94">
        <v>2</v>
      </c>
      <c r="O633" s="94">
        <v>86</v>
      </c>
      <c r="P633" s="94">
        <v>2</v>
      </c>
      <c r="Q633">
        <v>98</v>
      </c>
      <c r="R633">
        <v>2</v>
      </c>
      <c r="S633">
        <v>84</v>
      </c>
      <c r="T633">
        <v>2</v>
      </c>
      <c r="U633">
        <v>78</v>
      </c>
      <c r="V633">
        <v>2</v>
      </c>
      <c r="W633">
        <v>94</v>
      </c>
      <c r="X633">
        <v>2</v>
      </c>
      <c r="Y633">
        <v>82</v>
      </c>
      <c r="Z633">
        <v>1</v>
      </c>
      <c r="AA633">
        <v>92</v>
      </c>
      <c r="AB633">
        <v>1</v>
      </c>
      <c r="AC633">
        <v>64</v>
      </c>
      <c r="AD633">
        <v>1</v>
      </c>
      <c r="AE633">
        <v>85</v>
      </c>
      <c r="AF633">
        <v>2</v>
      </c>
      <c r="AG633">
        <v>83</v>
      </c>
      <c r="AH633">
        <v>2</v>
      </c>
    </row>
    <row r="634" spans="1:34">
      <c r="A634" t="s">
        <v>1981</v>
      </c>
      <c r="B634" s="24">
        <v>1812</v>
      </c>
      <c r="C634" s="24" t="s">
        <v>1982</v>
      </c>
      <c r="D634" s="24" t="s">
        <v>1983</v>
      </c>
      <c r="E634" s="93">
        <v>87</v>
      </c>
      <c r="F634" s="94">
        <v>4</v>
      </c>
      <c r="G634" s="94">
        <v>83</v>
      </c>
      <c r="H634" s="94">
        <v>4</v>
      </c>
      <c r="I634" s="94">
        <v>85</v>
      </c>
      <c r="J634" s="94">
        <v>4</v>
      </c>
      <c r="K634" s="94">
        <v>80</v>
      </c>
      <c r="L634" s="94">
        <v>2</v>
      </c>
      <c r="M634" s="94">
        <v>90</v>
      </c>
      <c r="N634" s="94">
        <v>2</v>
      </c>
      <c r="O634" s="94">
        <v>86</v>
      </c>
      <c r="P634" s="94">
        <v>2</v>
      </c>
      <c r="Q634">
        <v>87</v>
      </c>
      <c r="R634">
        <v>2</v>
      </c>
      <c r="S634">
        <v>80</v>
      </c>
      <c r="T634">
        <v>2</v>
      </c>
      <c r="U634">
        <v>75</v>
      </c>
      <c r="V634">
        <v>2</v>
      </c>
      <c r="W634">
        <v>92</v>
      </c>
      <c r="X634">
        <v>2</v>
      </c>
      <c r="Y634">
        <v>78</v>
      </c>
      <c r="Z634">
        <v>1</v>
      </c>
      <c r="AA634">
        <v>92</v>
      </c>
      <c r="AB634">
        <v>1</v>
      </c>
      <c r="AC634">
        <v>75</v>
      </c>
      <c r="AD634">
        <v>1</v>
      </c>
      <c r="AE634">
        <v>88</v>
      </c>
      <c r="AF634">
        <v>2</v>
      </c>
      <c r="AG634">
        <v>86</v>
      </c>
      <c r="AH634">
        <v>2</v>
      </c>
    </row>
    <row r="635" spans="1:34">
      <c r="A635" t="s">
        <v>1668</v>
      </c>
      <c r="B635" s="24">
        <v>1812</v>
      </c>
      <c r="C635" s="24" t="s">
        <v>1985</v>
      </c>
      <c r="D635" s="24" t="s">
        <v>1670</v>
      </c>
      <c r="E635" s="93">
        <v>92</v>
      </c>
      <c r="F635" s="94">
        <v>4</v>
      </c>
      <c r="G635" s="94">
        <v>90</v>
      </c>
      <c r="H635" s="94">
        <v>4</v>
      </c>
      <c r="I635" s="94">
        <v>90</v>
      </c>
      <c r="J635" s="94">
        <v>4</v>
      </c>
      <c r="K635" s="94">
        <v>82</v>
      </c>
      <c r="L635" s="94">
        <v>2</v>
      </c>
      <c r="M635" s="94">
        <v>90</v>
      </c>
      <c r="N635" s="94">
        <v>2</v>
      </c>
      <c r="O635" s="94">
        <v>90</v>
      </c>
      <c r="P635" s="94">
        <v>2</v>
      </c>
      <c r="Q635">
        <v>89</v>
      </c>
      <c r="R635">
        <v>2</v>
      </c>
      <c r="S635">
        <v>93</v>
      </c>
      <c r="T635">
        <v>2</v>
      </c>
      <c r="U635">
        <v>82</v>
      </c>
      <c r="V635">
        <v>2</v>
      </c>
      <c r="W635">
        <v>80</v>
      </c>
      <c r="X635">
        <v>2</v>
      </c>
      <c r="Y635">
        <v>75</v>
      </c>
      <c r="Z635">
        <v>1</v>
      </c>
      <c r="AA635">
        <v>92</v>
      </c>
      <c r="AB635">
        <v>1</v>
      </c>
      <c r="AC635">
        <v>68</v>
      </c>
      <c r="AD635">
        <v>1</v>
      </c>
      <c r="AE635">
        <v>86</v>
      </c>
      <c r="AF635">
        <v>2</v>
      </c>
      <c r="AG635">
        <v>89</v>
      </c>
      <c r="AH635">
        <v>2</v>
      </c>
    </row>
    <row r="636" spans="1:34">
      <c r="A636" t="s">
        <v>1986</v>
      </c>
      <c r="B636" s="24">
        <v>1812</v>
      </c>
      <c r="C636" s="24" t="s">
        <v>1987</v>
      </c>
      <c r="D636" s="24" t="s">
        <v>1988</v>
      </c>
      <c r="E636" s="93">
        <v>72</v>
      </c>
      <c r="F636" s="94">
        <v>4</v>
      </c>
      <c r="G636" s="94">
        <v>90</v>
      </c>
      <c r="H636" s="94">
        <v>4</v>
      </c>
      <c r="I636" s="94">
        <v>85</v>
      </c>
      <c r="J636" s="94">
        <v>4</v>
      </c>
      <c r="K636" s="94">
        <v>75</v>
      </c>
      <c r="L636" s="94">
        <v>2</v>
      </c>
      <c r="M636" s="94">
        <v>90</v>
      </c>
      <c r="N636" s="94">
        <v>2</v>
      </c>
      <c r="O636" s="94">
        <v>84</v>
      </c>
      <c r="P636" s="94">
        <v>2</v>
      </c>
      <c r="Q636">
        <v>97</v>
      </c>
      <c r="R636">
        <v>2</v>
      </c>
      <c r="S636">
        <v>92</v>
      </c>
      <c r="T636">
        <v>2</v>
      </c>
      <c r="U636">
        <v>78</v>
      </c>
      <c r="V636">
        <v>2</v>
      </c>
      <c r="W636">
        <v>83</v>
      </c>
      <c r="X636">
        <v>2</v>
      </c>
      <c r="Y636">
        <v>75</v>
      </c>
      <c r="Z636">
        <v>1</v>
      </c>
      <c r="AA636">
        <v>92</v>
      </c>
      <c r="AB636">
        <v>1</v>
      </c>
      <c r="AC636">
        <v>75</v>
      </c>
      <c r="AD636">
        <v>1</v>
      </c>
      <c r="AE636">
        <v>50</v>
      </c>
      <c r="AF636">
        <v>1</v>
      </c>
      <c r="AG636">
        <v>87</v>
      </c>
      <c r="AH636">
        <v>2</v>
      </c>
    </row>
    <row r="637" spans="1:34">
      <c r="A637" t="s">
        <v>1989</v>
      </c>
      <c r="B637" s="24">
        <v>1812</v>
      </c>
      <c r="C637" s="24" t="s">
        <v>1990</v>
      </c>
      <c r="D637" s="24" t="s">
        <v>1991</v>
      </c>
      <c r="E637" s="93">
        <v>90</v>
      </c>
      <c r="F637" s="94">
        <v>4</v>
      </c>
      <c r="G637" s="94">
        <v>87</v>
      </c>
      <c r="H637" s="94">
        <v>4</v>
      </c>
      <c r="I637" s="94">
        <v>85</v>
      </c>
      <c r="J637" s="94">
        <v>4</v>
      </c>
      <c r="K637" s="94">
        <v>85</v>
      </c>
      <c r="L637" s="94">
        <v>2</v>
      </c>
      <c r="M637" s="94">
        <v>90</v>
      </c>
      <c r="N637" s="94">
        <v>2</v>
      </c>
      <c r="O637" s="94">
        <v>86</v>
      </c>
      <c r="P637" s="94">
        <v>2</v>
      </c>
      <c r="Q637">
        <v>92</v>
      </c>
      <c r="R637">
        <v>2</v>
      </c>
      <c r="S637">
        <v>80</v>
      </c>
      <c r="T637">
        <v>2</v>
      </c>
      <c r="U637">
        <v>70</v>
      </c>
      <c r="V637">
        <v>2</v>
      </c>
      <c r="W637">
        <v>91</v>
      </c>
      <c r="X637">
        <v>2</v>
      </c>
      <c r="Y637">
        <v>79</v>
      </c>
      <c r="Z637">
        <v>1</v>
      </c>
      <c r="AA637">
        <v>92</v>
      </c>
      <c r="AB637">
        <v>1</v>
      </c>
      <c r="AC637">
        <v>74</v>
      </c>
      <c r="AD637">
        <v>1</v>
      </c>
      <c r="AE637">
        <v>84</v>
      </c>
      <c r="AF637">
        <v>2</v>
      </c>
      <c r="AG637">
        <v>88</v>
      </c>
      <c r="AH637">
        <v>2</v>
      </c>
    </row>
    <row r="638" spans="1:34">
      <c r="A638" t="s">
        <v>1992</v>
      </c>
      <c r="B638" s="24">
        <v>1812</v>
      </c>
      <c r="C638" s="24" t="s">
        <v>1993</v>
      </c>
      <c r="D638" s="24" t="s">
        <v>1994</v>
      </c>
      <c r="E638" s="93">
        <v>60</v>
      </c>
      <c r="F638" s="94">
        <v>4</v>
      </c>
      <c r="G638" s="94">
        <v>83</v>
      </c>
      <c r="H638" s="94">
        <v>4</v>
      </c>
      <c r="I638" s="94">
        <v>82</v>
      </c>
      <c r="J638" s="94">
        <v>4</v>
      </c>
      <c r="K638" s="94">
        <v>82</v>
      </c>
      <c r="L638" s="94">
        <v>2</v>
      </c>
      <c r="M638" s="94">
        <v>90</v>
      </c>
      <c r="N638" s="94">
        <v>2</v>
      </c>
      <c r="O638" s="94">
        <v>85</v>
      </c>
      <c r="P638" s="94">
        <v>2</v>
      </c>
      <c r="Q638">
        <v>85</v>
      </c>
      <c r="R638">
        <v>2</v>
      </c>
      <c r="S638">
        <v>88</v>
      </c>
      <c r="T638">
        <v>2</v>
      </c>
      <c r="U638">
        <v>78</v>
      </c>
      <c r="V638">
        <v>2</v>
      </c>
      <c r="W638">
        <v>82</v>
      </c>
      <c r="X638">
        <v>2</v>
      </c>
      <c r="Y638">
        <v>86</v>
      </c>
      <c r="Z638">
        <v>1</v>
      </c>
      <c r="AA638">
        <v>92</v>
      </c>
      <c r="AB638">
        <v>1</v>
      </c>
      <c r="AC638">
        <v>62</v>
      </c>
      <c r="AD638">
        <v>1</v>
      </c>
      <c r="AE638">
        <v>50</v>
      </c>
      <c r="AF638">
        <v>1</v>
      </c>
      <c r="AG638">
        <v>89</v>
      </c>
      <c r="AH638">
        <v>2</v>
      </c>
    </row>
    <row r="639" spans="1:34">
      <c r="A639" t="s">
        <v>1995</v>
      </c>
      <c r="B639" s="24">
        <v>1812</v>
      </c>
      <c r="C639" s="24" t="s">
        <v>1996</v>
      </c>
      <c r="D639" s="24" t="s">
        <v>187</v>
      </c>
      <c r="E639" s="93">
        <v>91</v>
      </c>
      <c r="F639" s="94">
        <v>4</v>
      </c>
      <c r="G639" s="94">
        <v>86</v>
      </c>
      <c r="H639" s="94">
        <v>4</v>
      </c>
      <c r="I639" s="94">
        <v>90</v>
      </c>
      <c r="J639" s="94">
        <v>4</v>
      </c>
      <c r="K639" s="94">
        <v>89</v>
      </c>
      <c r="L639" s="94">
        <v>2</v>
      </c>
      <c r="M639" s="94">
        <v>90</v>
      </c>
      <c r="N639" s="94">
        <v>2</v>
      </c>
      <c r="O639" s="94">
        <v>86</v>
      </c>
      <c r="P639" s="94">
        <v>2</v>
      </c>
      <c r="Q639">
        <v>92</v>
      </c>
      <c r="R639">
        <v>2</v>
      </c>
      <c r="S639">
        <v>100</v>
      </c>
      <c r="T639">
        <v>2</v>
      </c>
      <c r="U639">
        <v>90</v>
      </c>
      <c r="V639">
        <v>2</v>
      </c>
      <c r="W639">
        <v>94</v>
      </c>
      <c r="X639">
        <v>2</v>
      </c>
      <c r="Y639">
        <v>78</v>
      </c>
      <c r="Z639">
        <v>1</v>
      </c>
      <c r="AA639">
        <v>92</v>
      </c>
      <c r="AB639">
        <v>1</v>
      </c>
      <c r="AC639">
        <v>68</v>
      </c>
      <c r="AD639">
        <v>1</v>
      </c>
      <c r="AE639">
        <v>88</v>
      </c>
      <c r="AF639">
        <v>2</v>
      </c>
      <c r="AG639">
        <v>90</v>
      </c>
      <c r="AH639">
        <v>2</v>
      </c>
    </row>
    <row r="640" spans="1:34">
      <c r="A640" t="s">
        <v>1997</v>
      </c>
      <c r="B640" s="24">
        <v>1812</v>
      </c>
      <c r="C640" s="24" t="s">
        <v>1998</v>
      </c>
      <c r="D640" s="24" t="s">
        <v>1999</v>
      </c>
      <c r="E640" s="93">
        <v>83</v>
      </c>
      <c r="F640" s="94">
        <v>4</v>
      </c>
      <c r="G640" s="94">
        <v>90</v>
      </c>
      <c r="H640" s="94">
        <v>4</v>
      </c>
      <c r="I640" s="94">
        <v>90</v>
      </c>
      <c r="J640" s="94">
        <v>4</v>
      </c>
      <c r="K640" s="94">
        <v>85</v>
      </c>
      <c r="L640" s="94">
        <v>2</v>
      </c>
      <c r="M640" s="94">
        <v>90</v>
      </c>
      <c r="N640" s="94">
        <v>2</v>
      </c>
      <c r="O640" s="94">
        <v>83</v>
      </c>
      <c r="P640" s="94">
        <v>2</v>
      </c>
      <c r="Q640">
        <v>94</v>
      </c>
      <c r="R640">
        <v>2</v>
      </c>
      <c r="S640">
        <v>99</v>
      </c>
      <c r="T640">
        <v>2</v>
      </c>
      <c r="U640">
        <v>82</v>
      </c>
      <c r="V640">
        <v>2</v>
      </c>
      <c r="W640">
        <v>83</v>
      </c>
      <c r="X640">
        <v>2</v>
      </c>
      <c r="Y640">
        <v>75</v>
      </c>
      <c r="Z640">
        <v>1</v>
      </c>
      <c r="AA640">
        <v>92</v>
      </c>
      <c r="AB640">
        <v>1</v>
      </c>
      <c r="AC640">
        <v>70</v>
      </c>
      <c r="AD640">
        <v>1</v>
      </c>
      <c r="AE640">
        <v>87</v>
      </c>
      <c r="AF640">
        <v>2</v>
      </c>
      <c r="AG640">
        <v>90</v>
      </c>
      <c r="AH640">
        <v>2</v>
      </c>
    </row>
    <row r="641" spans="1:34">
      <c r="A641" t="s">
        <v>2000</v>
      </c>
      <c r="B641" s="24">
        <v>1812</v>
      </c>
      <c r="C641" s="24" t="s">
        <v>2001</v>
      </c>
      <c r="D641" s="24" t="s">
        <v>2002</v>
      </c>
      <c r="E641" s="93">
        <v>74</v>
      </c>
      <c r="F641" s="94">
        <v>4</v>
      </c>
      <c r="G641" s="94">
        <v>83</v>
      </c>
      <c r="H641" s="94">
        <v>4</v>
      </c>
      <c r="I641" s="94">
        <v>88</v>
      </c>
      <c r="J641" s="94">
        <v>4</v>
      </c>
      <c r="K641" s="94">
        <v>80</v>
      </c>
      <c r="L641" s="94">
        <v>2</v>
      </c>
      <c r="M641" s="94">
        <v>90</v>
      </c>
      <c r="N641" s="94">
        <v>2</v>
      </c>
      <c r="O641" s="94">
        <v>87</v>
      </c>
      <c r="P641" s="94">
        <v>2</v>
      </c>
      <c r="Q641">
        <v>83</v>
      </c>
      <c r="R641">
        <v>2</v>
      </c>
      <c r="S641">
        <v>94</v>
      </c>
      <c r="T641">
        <v>2</v>
      </c>
      <c r="U641">
        <v>78</v>
      </c>
      <c r="V641">
        <v>2</v>
      </c>
      <c r="W641">
        <v>83</v>
      </c>
      <c r="X641">
        <v>2</v>
      </c>
      <c r="Y641">
        <v>80</v>
      </c>
      <c r="Z641">
        <v>1</v>
      </c>
      <c r="AA641">
        <v>92</v>
      </c>
      <c r="AB641">
        <v>1</v>
      </c>
      <c r="AC641">
        <v>70</v>
      </c>
      <c r="AD641">
        <v>1</v>
      </c>
      <c r="AE641">
        <v>50</v>
      </c>
      <c r="AF641">
        <v>1</v>
      </c>
      <c r="AG641">
        <v>82</v>
      </c>
      <c r="AH641">
        <v>2</v>
      </c>
    </row>
    <row r="642" spans="1:34">
      <c r="A642" t="s">
        <v>2003</v>
      </c>
      <c r="B642" s="24">
        <v>1812</v>
      </c>
      <c r="C642" s="24" t="s">
        <v>2004</v>
      </c>
      <c r="D642" s="24" t="s">
        <v>2005</v>
      </c>
      <c r="E642" s="93">
        <v>72</v>
      </c>
      <c r="F642" s="94">
        <v>4</v>
      </c>
      <c r="G642" s="94">
        <v>76</v>
      </c>
      <c r="H642" s="94">
        <v>4</v>
      </c>
      <c r="I642" s="94">
        <v>85</v>
      </c>
      <c r="J642" s="94">
        <v>4</v>
      </c>
      <c r="K642" s="94">
        <v>80</v>
      </c>
      <c r="L642" s="94">
        <v>2</v>
      </c>
      <c r="M642" s="94">
        <v>90</v>
      </c>
      <c r="N642" s="94">
        <v>2</v>
      </c>
      <c r="O642" s="94">
        <v>81</v>
      </c>
      <c r="P642" s="94">
        <v>2</v>
      </c>
      <c r="Q642">
        <v>88</v>
      </c>
      <c r="R642">
        <v>2</v>
      </c>
      <c r="S642">
        <v>88</v>
      </c>
      <c r="T642">
        <v>2</v>
      </c>
      <c r="U642">
        <v>88</v>
      </c>
      <c r="V642">
        <v>2</v>
      </c>
      <c r="W642">
        <v>82</v>
      </c>
      <c r="X642">
        <v>2</v>
      </c>
      <c r="Y642">
        <v>73</v>
      </c>
      <c r="Z642">
        <v>1</v>
      </c>
      <c r="AA642">
        <v>92</v>
      </c>
      <c r="AB642">
        <v>1</v>
      </c>
      <c r="AC642">
        <v>76</v>
      </c>
      <c r="AD642">
        <v>1</v>
      </c>
      <c r="AE642">
        <v>82</v>
      </c>
      <c r="AF642">
        <v>2</v>
      </c>
      <c r="AG642">
        <v>88</v>
      </c>
      <c r="AH642">
        <v>2</v>
      </c>
    </row>
    <row r="643" spans="1:34">
      <c r="A643" t="s">
        <v>2006</v>
      </c>
      <c r="B643" s="24">
        <v>1812</v>
      </c>
      <c r="C643" s="24" t="s">
        <v>2007</v>
      </c>
      <c r="D643" s="24" t="s">
        <v>2008</v>
      </c>
      <c r="E643" s="93">
        <v>60</v>
      </c>
      <c r="F643" s="94">
        <v>4</v>
      </c>
      <c r="G643" s="94">
        <v>86</v>
      </c>
      <c r="H643" s="94">
        <v>4</v>
      </c>
      <c r="I643" s="94">
        <v>82</v>
      </c>
      <c r="J643" s="94">
        <v>4</v>
      </c>
      <c r="K643" s="94">
        <v>85</v>
      </c>
      <c r="L643" s="94">
        <v>2</v>
      </c>
      <c r="M643" s="94">
        <v>90</v>
      </c>
      <c r="N643" s="94">
        <v>2</v>
      </c>
      <c r="O643" s="94">
        <v>87</v>
      </c>
      <c r="P643" s="94">
        <v>2</v>
      </c>
      <c r="Q643">
        <v>85</v>
      </c>
      <c r="R643">
        <v>2</v>
      </c>
      <c r="S643">
        <v>80</v>
      </c>
      <c r="T643">
        <v>2</v>
      </c>
      <c r="U643">
        <v>78</v>
      </c>
      <c r="V643">
        <v>2</v>
      </c>
      <c r="W643">
        <v>80</v>
      </c>
      <c r="X643">
        <v>2</v>
      </c>
      <c r="Y643">
        <v>75</v>
      </c>
      <c r="Z643">
        <v>1</v>
      </c>
      <c r="AA643">
        <v>92</v>
      </c>
      <c r="AB643">
        <v>1</v>
      </c>
      <c r="AC643">
        <v>73</v>
      </c>
      <c r="AD643">
        <v>1</v>
      </c>
      <c r="AE643">
        <v>50</v>
      </c>
      <c r="AF643">
        <v>1</v>
      </c>
      <c r="AG643">
        <v>87</v>
      </c>
      <c r="AH643">
        <v>2</v>
      </c>
    </row>
    <row r="644" spans="1:34">
      <c r="A644" t="s">
        <v>2009</v>
      </c>
      <c r="B644" s="24">
        <v>1812</v>
      </c>
      <c r="C644" s="24" t="s">
        <v>2010</v>
      </c>
      <c r="D644" s="24" t="s">
        <v>2011</v>
      </c>
      <c r="E644" s="93">
        <v>88</v>
      </c>
      <c r="F644" s="94">
        <v>4</v>
      </c>
      <c r="G644" s="94">
        <v>89</v>
      </c>
      <c r="H644" s="94">
        <v>4</v>
      </c>
      <c r="I644" s="94">
        <v>90</v>
      </c>
      <c r="J644" s="94">
        <v>4</v>
      </c>
      <c r="K644" s="94">
        <v>90</v>
      </c>
      <c r="L644" s="94">
        <v>2</v>
      </c>
      <c r="M644" s="94">
        <v>90</v>
      </c>
      <c r="N644" s="94">
        <v>2</v>
      </c>
      <c r="O644" s="94">
        <v>86</v>
      </c>
      <c r="P644" s="94">
        <v>2</v>
      </c>
      <c r="Q644">
        <v>96</v>
      </c>
      <c r="R644">
        <v>2</v>
      </c>
      <c r="S644">
        <v>83</v>
      </c>
      <c r="T644">
        <v>2</v>
      </c>
      <c r="U644">
        <v>76</v>
      </c>
      <c r="V644">
        <v>2</v>
      </c>
      <c r="W644">
        <v>87</v>
      </c>
      <c r="X644">
        <v>2</v>
      </c>
      <c r="Y644">
        <v>76</v>
      </c>
      <c r="Z644">
        <v>1</v>
      </c>
      <c r="AA644">
        <v>92</v>
      </c>
      <c r="AB644">
        <v>1</v>
      </c>
      <c r="AC644">
        <v>67</v>
      </c>
      <c r="AD644">
        <v>1</v>
      </c>
      <c r="AE644">
        <v>84</v>
      </c>
      <c r="AF644">
        <v>2</v>
      </c>
      <c r="AG644">
        <v>82</v>
      </c>
      <c r="AH644">
        <v>2</v>
      </c>
    </row>
    <row r="645" spans="1:34">
      <c r="A645" t="s">
        <v>2012</v>
      </c>
      <c r="B645" s="24">
        <v>1812</v>
      </c>
      <c r="C645" s="24" t="s">
        <v>2013</v>
      </c>
      <c r="D645" s="24" t="s">
        <v>2014</v>
      </c>
      <c r="E645" s="93">
        <v>90</v>
      </c>
      <c r="F645" s="94">
        <v>4</v>
      </c>
      <c r="G645" s="94">
        <v>90</v>
      </c>
      <c r="H645" s="94">
        <v>4</v>
      </c>
      <c r="I645" s="94">
        <v>95</v>
      </c>
      <c r="J645" s="94">
        <v>4</v>
      </c>
      <c r="K645" s="94">
        <v>92</v>
      </c>
      <c r="L645" s="94">
        <v>2</v>
      </c>
      <c r="M645" s="94">
        <v>90</v>
      </c>
      <c r="N645" s="94">
        <v>2</v>
      </c>
      <c r="O645" s="94">
        <v>90</v>
      </c>
      <c r="P645" s="94">
        <v>2</v>
      </c>
      <c r="Q645">
        <v>80</v>
      </c>
      <c r="R645">
        <v>2</v>
      </c>
      <c r="S645">
        <v>80</v>
      </c>
      <c r="T645">
        <v>2</v>
      </c>
      <c r="U645">
        <v>72</v>
      </c>
      <c r="V645">
        <v>2</v>
      </c>
      <c r="W645">
        <v>83</v>
      </c>
      <c r="X645">
        <v>2</v>
      </c>
      <c r="Y645">
        <v>80</v>
      </c>
      <c r="Z645">
        <v>1</v>
      </c>
      <c r="AA645">
        <v>92</v>
      </c>
      <c r="AB645">
        <v>1</v>
      </c>
      <c r="AC645">
        <v>76</v>
      </c>
      <c r="AD645">
        <v>1</v>
      </c>
      <c r="AE645">
        <v>88</v>
      </c>
      <c r="AF645">
        <v>2</v>
      </c>
      <c r="AG645">
        <v>79</v>
      </c>
      <c r="AH645">
        <v>2</v>
      </c>
    </row>
    <row r="646" spans="1:34">
      <c r="A646" t="s">
        <v>2015</v>
      </c>
      <c r="B646" s="24">
        <v>1812</v>
      </c>
      <c r="C646" s="24" t="s">
        <v>2016</v>
      </c>
      <c r="D646" s="24" t="s">
        <v>2017</v>
      </c>
      <c r="E646" s="93">
        <v>60</v>
      </c>
      <c r="F646" s="94">
        <v>4</v>
      </c>
      <c r="G646" s="94">
        <v>82</v>
      </c>
      <c r="H646" s="94">
        <v>4</v>
      </c>
      <c r="I646" s="94">
        <v>82</v>
      </c>
      <c r="J646" s="94">
        <v>4</v>
      </c>
      <c r="K646" s="94">
        <v>95</v>
      </c>
      <c r="L646" s="94">
        <v>2</v>
      </c>
      <c r="M646" s="94">
        <v>88</v>
      </c>
      <c r="N646" s="94">
        <v>2</v>
      </c>
      <c r="O646" s="94">
        <v>79</v>
      </c>
      <c r="P646" s="94">
        <v>2</v>
      </c>
      <c r="Q646">
        <v>80</v>
      </c>
      <c r="R646">
        <v>2</v>
      </c>
      <c r="S646">
        <v>84</v>
      </c>
      <c r="T646">
        <v>2</v>
      </c>
      <c r="U646">
        <v>78</v>
      </c>
      <c r="V646">
        <v>2</v>
      </c>
      <c r="W646">
        <v>82</v>
      </c>
      <c r="X646">
        <v>2</v>
      </c>
      <c r="Y646">
        <v>75</v>
      </c>
      <c r="Z646">
        <v>1</v>
      </c>
      <c r="AA646">
        <v>92</v>
      </c>
      <c r="AB646">
        <v>1</v>
      </c>
      <c r="AC646">
        <v>70</v>
      </c>
      <c r="AD646">
        <v>1</v>
      </c>
      <c r="AE646">
        <v>50</v>
      </c>
      <c r="AF646">
        <v>1</v>
      </c>
      <c r="AG646">
        <v>85</v>
      </c>
      <c r="AH646">
        <v>2</v>
      </c>
    </row>
    <row r="647" spans="1:34">
      <c r="A647" t="s">
        <v>2018</v>
      </c>
      <c r="B647" s="24">
        <v>1812</v>
      </c>
      <c r="C647" s="24" t="s">
        <v>2019</v>
      </c>
      <c r="D647" s="24" t="s">
        <v>2020</v>
      </c>
      <c r="E647" s="93">
        <v>90</v>
      </c>
      <c r="F647" s="94">
        <v>4</v>
      </c>
      <c r="G647" s="94">
        <v>93</v>
      </c>
      <c r="H647" s="94">
        <v>4</v>
      </c>
      <c r="I647" s="94">
        <v>85</v>
      </c>
      <c r="J647" s="94">
        <v>4</v>
      </c>
      <c r="K647" s="94">
        <v>85</v>
      </c>
      <c r="L647" s="94">
        <v>2</v>
      </c>
      <c r="M647" s="94">
        <v>88</v>
      </c>
      <c r="N647" s="94">
        <v>2</v>
      </c>
      <c r="O647" s="94">
        <v>85</v>
      </c>
      <c r="P647" s="94">
        <v>2</v>
      </c>
      <c r="Q647">
        <v>86</v>
      </c>
      <c r="R647">
        <v>2</v>
      </c>
      <c r="S647">
        <v>92</v>
      </c>
      <c r="T647">
        <v>2</v>
      </c>
      <c r="U647">
        <v>71</v>
      </c>
      <c r="V647">
        <v>2</v>
      </c>
      <c r="W647">
        <v>82</v>
      </c>
      <c r="X647">
        <v>2</v>
      </c>
      <c r="Y647">
        <v>81</v>
      </c>
      <c r="Z647">
        <v>1</v>
      </c>
      <c r="AA647">
        <v>92</v>
      </c>
      <c r="AB647">
        <v>1</v>
      </c>
      <c r="AC647">
        <v>75</v>
      </c>
      <c r="AD647">
        <v>1</v>
      </c>
      <c r="AE647">
        <v>50</v>
      </c>
      <c r="AF647">
        <v>1</v>
      </c>
      <c r="AG647">
        <v>80</v>
      </c>
      <c r="AH647">
        <v>2</v>
      </c>
    </row>
    <row r="648" spans="1:34">
      <c r="A648" t="s">
        <v>2021</v>
      </c>
      <c r="B648" s="24">
        <v>1812</v>
      </c>
      <c r="C648" s="24" t="s">
        <v>2022</v>
      </c>
      <c r="D648" s="24" t="s">
        <v>2023</v>
      </c>
      <c r="E648" s="93">
        <v>88</v>
      </c>
      <c r="F648" s="94">
        <v>4</v>
      </c>
      <c r="G648" s="94">
        <v>84</v>
      </c>
      <c r="H648" s="94">
        <v>4</v>
      </c>
      <c r="I648" s="94">
        <v>90</v>
      </c>
      <c r="J648" s="94">
        <v>4</v>
      </c>
      <c r="K648" s="94">
        <v>80</v>
      </c>
      <c r="L648" s="94">
        <v>2</v>
      </c>
      <c r="M648" s="94">
        <v>88</v>
      </c>
      <c r="N648" s="94">
        <v>2</v>
      </c>
      <c r="O648" s="94">
        <v>86</v>
      </c>
      <c r="P648" s="94">
        <v>2</v>
      </c>
      <c r="Q648">
        <v>100</v>
      </c>
      <c r="R648">
        <v>2</v>
      </c>
      <c r="S648">
        <v>93</v>
      </c>
      <c r="T648">
        <v>2</v>
      </c>
      <c r="U648">
        <v>70</v>
      </c>
      <c r="V648">
        <v>2</v>
      </c>
      <c r="W648">
        <v>80</v>
      </c>
      <c r="X648">
        <v>2</v>
      </c>
      <c r="Y648">
        <v>77</v>
      </c>
      <c r="Z648">
        <v>1</v>
      </c>
      <c r="AA648">
        <v>92</v>
      </c>
      <c r="AB648">
        <v>1</v>
      </c>
      <c r="AC648">
        <v>63</v>
      </c>
      <c r="AD648">
        <v>1</v>
      </c>
      <c r="AE648">
        <v>86</v>
      </c>
      <c r="AF648">
        <v>2</v>
      </c>
      <c r="AG648">
        <v>86</v>
      </c>
      <c r="AH648">
        <v>2</v>
      </c>
    </row>
    <row r="649" spans="1:34">
      <c r="A649" t="s">
        <v>2024</v>
      </c>
      <c r="B649" s="24">
        <v>1812</v>
      </c>
      <c r="C649" s="24" t="s">
        <v>2025</v>
      </c>
      <c r="D649" s="24" t="s">
        <v>2026</v>
      </c>
      <c r="E649" s="93">
        <v>98</v>
      </c>
      <c r="F649" s="94">
        <v>4</v>
      </c>
      <c r="G649" s="94">
        <v>89</v>
      </c>
      <c r="H649" s="94">
        <v>4</v>
      </c>
      <c r="I649" s="94">
        <v>92</v>
      </c>
      <c r="J649" s="94">
        <v>4</v>
      </c>
      <c r="K649" s="94">
        <v>86</v>
      </c>
      <c r="L649" s="94">
        <v>2</v>
      </c>
      <c r="M649" s="94">
        <v>88</v>
      </c>
      <c r="N649" s="94">
        <v>2</v>
      </c>
      <c r="O649" s="94">
        <v>87</v>
      </c>
      <c r="P649" s="94">
        <v>2</v>
      </c>
      <c r="Q649">
        <v>99</v>
      </c>
      <c r="R649">
        <v>2</v>
      </c>
      <c r="S649">
        <v>88</v>
      </c>
      <c r="T649">
        <v>2</v>
      </c>
      <c r="U649">
        <v>78</v>
      </c>
      <c r="V649">
        <v>2</v>
      </c>
      <c r="W649">
        <v>94</v>
      </c>
      <c r="X649">
        <v>2</v>
      </c>
      <c r="Y649">
        <v>78</v>
      </c>
      <c r="Z649">
        <v>1</v>
      </c>
      <c r="AA649">
        <v>92</v>
      </c>
      <c r="AB649">
        <v>1</v>
      </c>
      <c r="AC649">
        <v>80</v>
      </c>
      <c r="AD649">
        <v>1</v>
      </c>
      <c r="AE649">
        <v>85</v>
      </c>
      <c r="AF649">
        <v>2</v>
      </c>
      <c r="AG649">
        <v>90</v>
      </c>
      <c r="AH649">
        <v>2</v>
      </c>
    </row>
    <row r="650" spans="1:34">
      <c r="A650" t="s">
        <v>1763</v>
      </c>
      <c r="B650" s="24">
        <v>1812</v>
      </c>
      <c r="C650" s="24" t="s">
        <v>2028</v>
      </c>
      <c r="D650" s="24" t="s">
        <v>1765</v>
      </c>
      <c r="E650" s="93">
        <v>90</v>
      </c>
      <c r="F650" s="94">
        <v>4</v>
      </c>
      <c r="G650" s="94">
        <v>90</v>
      </c>
      <c r="H650" s="94">
        <v>4</v>
      </c>
      <c r="I650" s="94">
        <v>90</v>
      </c>
      <c r="J650" s="94">
        <v>4</v>
      </c>
      <c r="K650" s="94">
        <v>86</v>
      </c>
      <c r="L650" s="94">
        <v>2</v>
      </c>
      <c r="M650" s="94">
        <v>88</v>
      </c>
      <c r="N650" s="94">
        <v>2</v>
      </c>
      <c r="O650" s="94">
        <v>84</v>
      </c>
      <c r="P650" s="94">
        <v>2</v>
      </c>
      <c r="Q650">
        <v>99</v>
      </c>
      <c r="R650">
        <v>2</v>
      </c>
      <c r="S650">
        <v>88</v>
      </c>
      <c r="T650">
        <v>2</v>
      </c>
      <c r="U650">
        <v>77</v>
      </c>
      <c r="V650">
        <v>2</v>
      </c>
      <c r="W650">
        <v>89</v>
      </c>
      <c r="X650">
        <v>2</v>
      </c>
      <c r="Y650">
        <v>74</v>
      </c>
      <c r="Z650">
        <v>1</v>
      </c>
      <c r="AA650">
        <v>92</v>
      </c>
      <c r="AB650">
        <v>1</v>
      </c>
      <c r="AC650">
        <v>81</v>
      </c>
      <c r="AD650">
        <v>1</v>
      </c>
      <c r="AE650">
        <v>82</v>
      </c>
      <c r="AF650">
        <v>2</v>
      </c>
      <c r="AG650">
        <v>85</v>
      </c>
      <c r="AH650">
        <v>2</v>
      </c>
    </row>
    <row r="651" spans="1:34">
      <c r="A651" t="s">
        <v>2029</v>
      </c>
      <c r="B651" s="24">
        <v>1812</v>
      </c>
      <c r="C651" s="24" t="s">
        <v>2030</v>
      </c>
      <c r="D651" s="24" t="s">
        <v>2031</v>
      </c>
      <c r="E651" s="93">
        <v>88</v>
      </c>
      <c r="F651" s="94">
        <v>4</v>
      </c>
      <c r="G651" s="94">
        <v>83</v>
      </c>
      <c r="H651" s="94">
        <v>4</v>
      </c>
      <c r="I651" s="94">
        <v>90</v>
      </c>
      <c r="J651" s="94">
        <v>4</v>
      </c>
      <c r="K651" s="94">
        <v>80</v>
      </c>
      <c r="L651" s="94">
        <v>2</v>
      </c>
      <c r="M651" s="94">
        <v>88</v>
      </c>
      <c r="N651" s="94">
        <v>2</v>
      </c>
      <c r="O651" s="94">
        <v>85</v>
      </c>
      <c r="P651" s="94">
        <v>2</v>
      </c>
      <c r="Q651">
        <v>80</v>
      </c>
      <c r="R651">
        <v>2</v>
      </c>
      <c r="S651">
        <v>88</v>
      </c>
      <c r="T651">
        <v>2</v>
      </c>
      <c r="U651">
        <v>70</v>
      </c>
      <c r="V651">
        <v>2</v>
      </c>
      <c r="W651">
        <v>94</v>
      </c>
      <c r="X651">
        <v>2</v>
      </c>
      <c r="Y651">
        <v>75</v>
      </c>
      <c r="Z651">
        <v>1</v>
      </c>
      <c r="AA651">
        <v>92</v>
      </c>
      <c r="AB651">
        <v>1</v>
      </c>
      <c r="AC651">
        <v>81</v>
      </c>
      <c r="AD651">
        <v>1</v>
      </c>
      <c r="AE651">
        <v>84</v>
      </c>
      <c r="AF651">
        <v>2</v>
      </c>
      <c r="AG651">
        <v>80</v>
      </c>
      <c r="AH651">
        <v>2</v>
      </c>
    </row>
    <row r="652" spans="1:34">
      <c r="A652" t="s">
        <v>2032</v>
      </c>
      <c r="B652" s="24">
        <v>1812</v>
      </c>
      <c r="C652" s="24" t="s">
        <v>2033</v>
      </c>
      <c r="D652" s="24" t="s">
        <v>2034</v>
      </c>
      <c r="E652" s="93">
        <v>83</v>
      </c>
      <c r="F652" s="94">
        <v>4</v>
      </c>
      <c r="G652" s="94">
        <v>88</v>
      </c>
      <c r="H652" s="94">
        <v>4</v>
      </c>
      <c r="I652" s="94">
        <v>90</v>
      </c>
      <c r="J652" s="94">
        <v>4</v>
      </c>
      <c r="K652" s="94">
        <v>80</v>
      </c>
      <c r="L652" s="94">
        <v>2</v>
      </c>
      <c r="M652" s="94">
        <v>88</v>
      </c>
      <c r="N652" s="94">
        <v>2</v>
      </c>
      <c r="O652" s="94">
        <v>86</v>
      </c>
      <c r="P652" s="94">
        <v>2</v>
      </c>
      <c r="Q652">
        <v>80</v>
      </c>
      <c r="R652">
        <v>2</v>
      </c>
      <c r="S652">
        <v>93</v>
      </c>
      <c r="T652">
        <v>2</v>
      </c>
      <c r="U652">
        <v>75</v>
      </c>
      <c r="V652">
        <v>2</v>
      </c>
      <c r="W652">
        <v>100</v>
      </c>
      <c r="X652">
        <v>2</v>
      </c>
      <c r="Y652">
        <v>82</v>
      </c>
      <c r="Z652">
        <v>1</v>
      </c>
      <c r="AA652">
        <v>92</v>
      </c>
      <c r="AB652">
        <v>1</v>
      </c>
      <c r="AC652">
        <v>71</v>
      </c>
      <c r="AD652">
        <v>1</v>
      </c>
      <c r="AE652">
        <v>50</v>
      </c>
      <c r="AF652">
        <v>1</v>
      </c>
      <c r="AG652">
        <v>87</v>
      </c>
      <c r="AH652">
        <v>2</v>
      </c>
    </row>
    <row r="653" spans="1:34">
      <c r="A653" t="s">
        <v>2035</v>
      </c>
      <c r="B653" s="24">
        <v>1812</v>
      </c>
      <c r="C653" s="24" t="s">
        <v>2036</v>
      </c>
      <c r="D653" s="24" t="s">
        <v>2037</v>
      </c>
      <c r="E653" s="93">
        <v>87</v>
      </c>
      <c r="F653" s="94">
        <v>4</v>
      </c>
      <c r="G653" s="94">
        <v>90</v>
      </c>
      <c r="H653" s="94">
        <v>4</v>
      </c>
      <c r="I653" s="94">
        <v>90</v>
      </c>
      <c r="J653" s="94">
        <v>4</v>
      </c>
      <c r="K653" s="94">
        <v>85</v>
      </c>
      <c r="L653" s="94">
        <v>2</v>
      </c>
      <c r="M653" s="94">
        <v>88</v>
      </c>
      <c r="N653" s="94">
        <v>2</v>
      </c>
      <c r="O653" s="94">
        <v>84</v>
      </c>
      <c r="P653" s="94">
        <v>2</v>
      </c>
      <c r="Q653">
        <v>80</v>
      </c>
      <c r="R653">
        <v>2</v>
      </c>
      <c r="S653">
        <v>80</v>
      </c>
      <c r="T653">
        <v>2</v>
      </c>
      <c r="U653">
        <v>70</v>
      </c>
      <c r="V653">
        <v>2</v>
      </c>
      <c r="W653">
        <v>83</v>
      </c>
      <c r="X653">
        <v>2</v>
      </c>
      <c r="Y653">
        <v>80</v>
      </c>
      <c r="Z653">
        <v>1</v>
      </c>
      <c r="AA653">
        <v>92</v>
      </c>
      <c r="AB653">
        <v>1</v>
      </c>
      <c r="AC653">
        <v>70</v>
      </c>
      <c r="AD653">
        <v>1</v>
      </c>
      <c r="AE653">
        <v>50</v>
      </c>
      <c r="AF653">
        <v>1</v>
      </c>
      <c r="AG653">
        <v>88</v>
      </c>
      <c r="AH653">
        <v>2</v>
      </c>
    </row>
    <row r="654" spans="1:34">
      <c r="A654" t="s">
        <v>2038</v>
      </c>
      <c r="B654" s="24">
        <v>1812</v>
      </c>
      <c r="C654" s="24" t="s">
        <v>2039</v>
      </c>
      <c r="D654" s="24" t="s">
        <v>2040</v>
      </c>
      <c r="E654" s="93">
        <v>90</v>
      </c>
      <c r="F654" s="94">
        <v>4</v>
      </c>
      <c r="G654" s="94">
        <v>96</v>
      </c>
      <c r="H654" s="94">
        <v>4</v>
      </c>
      <c r="I654" s="94">
        <v>88</v>
      </c>
      <c r="J654" s="94">
        <v>4</v>
      </c>
      <c r="K654" s="94">
        <v>90</v>
      </c>
      <c r="L654" s="94">
        <v>2</v>
      </c>
      <c r="M654" s="94">
        <v>88</v>
      </c>
      <c r="N654" s="94">
        <v>2</v>
      </c>
      <c r="O654" s="94">
        <v>84</v>
      </c>
      <c r="P654" s="94">
        <v>2</v>
      </c>
      <c r="Q654">
        <v>87</v>
      </c>
      <c r="R654">
        <v>2</v>
      </c>
      <c r="S654">
        <v>93</v>
      </c>
      <c r="T654">
        <v>2</v>
      </c>
      <c r="U654">
        <v>73</v>
      </c>
      <c r="V654">
        <v>2</v>
      </c>
      <c r="W654">
        <v>89</v>
      </c>
      <c r="X654">
        <v>2</v>
      </c>
      <c r="Y654">
        <v>76</v>
      </c>
      <c r="Z654">
        <v>1</v>
      </c>
      <c r="AA654">
        <v>92</v>
      </c>
      <c r="AB654">
        <v>1</v>
      </c>
      <c r="AC654">
        <v>80</v>
      </c>
      <c r="AD654">
        <v>1</v>
      </c>
      <c r="AE654">
        <v>88</v>
      </c>
      <c r="AF654">
        <v>2</v>
      </c>
      <c r="AG654">
        <v>89</v>
      </c>
      <c r="AH654">
        <v>2</v>
      </c>
    </row>
    <row r="655" spans="1:34">
      <c r="A655" t="s">
        <v>2041</v>
      </c>
      <c r="B655" s="24">
        <v>1812</v>
      </c>
      <c r="C655" s="24" t="s">
        <v>2042</v>
      </c>
      <c r="D655" s="24" t="s">
        <v>2043</v>
      </c>
      <c r="E655" s="93">
        <v>81</v>
      </c>
      <c r="F655" s="94">
        <v>4</v>
      </c>
      <c r="G655" s="94">
        <v>90</v>
      </c>
      <c r="H655" s="94">
        <v>4</v>
      </c>
      <c r="I655" s="94">
        <v>85</v>
      </c>
      <c r="J655" s="94">
        <v>4</v>
      </c>
      <c r="K655" s="94">
        <v>92</v>
      </c>
      <c r="L655" s="94">
        <v>2</v>
      </c>
      <c r="M655" s="94">
        <v>88</v>
      </c>
      <c r="N655" s="94">
        <v>2</v>
      </c>
      <c r="O655" s="94">
        <v>86</v>
      </c>
      <c r="P655" s="94">
        <v>2</v>
      </c>
      <c r="Q655">
        <v>94</v>
      </c>
      <c r="R655">
        <v>2</v>
      </c>
      <c r="S655">
        <v>83</v>
      </c>
      <c r="T655">
        <v>2</v>
      </c>
      <c r="U655">
        <v>77</v>
      </c>
      <c r="V655">
        <v>2</v>
      </c>
      <c r="W655">
        <v>94</v>
      </c>
      <c r="X655">
        <v>2</v>
      </c>
      <c r="Y655">
        <v>70</v>
      </c>
      <c r="Z655">
        <v>1</v>
      </c>
      <c r="AA655">
        <v>92</v>
      </c>
      <c r="AB655">
        <v>1</v>
      </c>
      <c r="AC655">
        <v>85</v>
      </c>
      <c r="AD655">
        <v>1</v>
      </c>
      <c r="AE655">
        <v>89</v>
      </c>
      <c r="AF655">
        <v>2</v>
      </c>
      <c r="AG655">
        <v>90</v>
      </c>
      <c r="AH655">
        <v>2</v>
      </c>
    </row>
    <row r="656" spans="1:34">
      <c r="A656" t="s">
        <v>2044</v>
      </c>
      <c r="B656" s="24">
        <v>1812</v>
      </c>
      <c r="C656" s="24" t="s">
        <v>2045</v>
      </c>
      <c r="D656" s="24" t="s">
        <v>2046</v>
      </c>
      <c r="E656" s="93">
        <v>98</v>
      </c>
      <c r="F656" s="94">
        <v>4</v>
      </c>
      <c r="G656" s="94">
        <v>86</v>
      </c>
      <c r="H656" s="94">
        <v>4</v>
      </c>
      <c r="I656" s="94">
        <v>92</v>
      </c>
      <c r="J656" s="94">
        <v>4</v>
      </c>
      <c r="K656" s="94">
        <v>85</v>
      </c>
      <c r="L656" s="94">
        <v>2</v>
      </c>
      <c r="M656" s="94">
        <v>88</v>
      </c>
      <c r="N656" s="94">
        <v>2</v>
      </c>
      <c r="O656" s="94">
        <v>85</v>
      </c>
      <c r="P656" s="94">
        <v>2</v>
      </c>
      <c r="Q656">
        <v>99</v>
      </c>
      <c r="R656">
        <v>2</v>
      </c>
      <c r="S656">
        <v>82</v>
      </c>
      <c r="T656">
        <v>2</v>
      </c>
      <c r="U656">
        <v>81</v>
      </c>
      <c r="V656">
        <v>2</v>
      </c>
      <c r="W656">
        <v>90</v>
      </c>
      <c r="X656">
        <v>2</v>
      </c>
      <c r="Y656">
        <v>74</v>
      </c>
      <c r="Z656">
        <v>1</v>
      </c>
      <c r="AA656">
        <v>92</v>
      </c>
      <c r="AB656">
        <v>1</v>
      </c>
      <c r="AC656">
        <v>70</v>
      </c>
      <c r="AD656">
        <v>1</v>
      </c>
      <c r="AE656">
        <v>84</v>
      </c>
      <c r="AF656">
        <v>2</v>
      </c>
      <c r="AG656">
        <v>90</v>
      </c>
      <c r="AH656">
        <v>2</v>
      </c>
    </row>
    <row r="657" spans="1:34">
      <c r="A657" t="s">
        <v>2047</v>
      </c>
      <c r="B657" s="24">
        <v>1812</v>
      </c>
      <c r="C657" s="24" t="s">
        <v>2048</v>
      </c>
      <c r="D657" s="24" t="s">
        <v>2049</v>
      </c>
      <c r="E657" s="93">
        <v>98</v>
      </c>
      <c r="F657" s="94">
        <v>4</v>
      </c>
      <c r="G657" s="94">
        <v>87</v>
      </c>
      <c r="H657" s="94">
        <v>4</v>
      </c>
      <c r="I657" s="94">
        <v>92</v>
      </c>
      <c r="J657" s="94">
        <v>4</v>
      </c>
      <c r="K657" s="94">
        <v>83</v>
      </c>
      <c r="L657" s="94">
        <v>2</v>
      </c>
      <c r="M657" s="94">
        <v>88</v>
      </c>
      <c r="N657" s="94">
        <v>2</v>
      </c>
      <c r="O657" s="94">
        <v>86</v>
      </c>
      <c r="P657" s="94">
        <v>2</v>
      </c>
      <c r="Q657">
        <v>99</v>
      </c>
      <c r="R657">
        <v>2</v>
      </c>
      <c r="S657">
        <v>92</v>
      </c>
      <c r="T657">
        <v>2</v>
      </c>
      <c r="U657">
        <v>90</v>
      </c>
      <c r="V657">
        <v>2</v>
      </c>
      <c r="W657">
        <v>97</v>
      </c>
      <c r="X657">
        <v>2</v>
      </c>
      <c r="Y657">
        <v>73</v>
      </c>
      <c r="Z657">
        <v>1</v>
      </c>
      <c r="AA657">
        <v>92</v>
      </c>
      <c r="AB657">
        <v>1</v>
      </c>
      <c r="AC657">
        <v>64</v>
      </c>
      <c r="AD657">
        <v>1</v>
      </c>
      <c r="AE657">
        <v>86</v>
      </c>
      <c r="AF657">
        <v>2</v>
      </c>
      <c r="AG657">
        <v>82</v>
      </c>
      <c r="AH657">
        <v>2</v>
      </c>
    </row>
    <row r="658" spans="1:34">
      <c r="A658" t="s">
        <v>2050</v>
      </c>
      <c r="B658" s="24">
        <v>1812</v>
      </c>
      <c r="C658" s="24" t="s">
        <v>2051</v>
      </c>
      <c r="D658" s="24" t="s">
        <v>2052</v>
      </c>
      <c r="E658" s="93">
        <v>86</v>
      </c>
      <c r="F658" s="94">
        <v>4</v>
      </c>
      <c r="G658" s="94">
        <v>80</v>
      </c>
      <c r="H658" s="94">
        <v>4</v>
      </c>
      <c r="I658" s="94">
        <v>85</v>
      </c>
      <c r="J658" s="94">
        <v>4</v>
      </c>
      <c r="K658" s="94">
        <v>80</v>
      </c>
      <c r="L658" s="94">
        <v>2</v>
      </c>
      <c r="M658" s="94">
        <v>88</v>
      </c>
      <c r="N658" s="94">
        <v>2</v>
      </c>
      <c r="O658" s="94">
        <v>84</v>
      </c>
      <c r="P658" s="94">
        <v>2</v>
      </c>
      <c r="Q658">
        <v>86</v>
      </c>
      <c r="R658">
        <v>2</v>
      </c>
      <c r="S658">
        <v>88</v>
      </c>
      <c r="T658">
        <v>2</v>
      </c>
      <c r="U658">
        <v>83</v>
      </c>
      <c r="V658">
        <v>2</v>
      </c>
      <c r="W658">
        <v>94</v>
      </c>
      <c r="X658">
        <v>2</v>
      </c>
      <c r="Y658">
        <v>72</v>
      </c>
      <c r="Z658">
        <v>1</v>
      </c>
      <c r="AA658">
        <v>92</v>
      </c>
      <c r="AB658">
        <v>1</v>
      </c>
      <c r="AC658">
        <v>89</v>
      </c>
      <c r="AD658">
        <v>1</v>
      </c>
      <c r="AE658">
        <v>88</v>
      </c>
      <c r="AF658">
        <v>2</v>
      </c>
      <c r="AG658">
        <v>86</v>
      </c>
      <c r="AH658">
        <v>2</v>
      </c>
    </row>
    <row r="659" spans="1:34">
      <c r="A659" t="s">
        <v>2053</v>
      </c>
      <c r="B659" s="24">
        <v>1812</v>
      </c>
      <c r="C659" s="24" t="s">
        <v>2054</v>
      </c>
      <c r="D659" s="24" t="s">
        <v>2055</v>
      </c>
      <c r="E659" s="93">
        <v>83</v>
      </c>
      <c r="F659" s="94">
        <v>4</v>
      </c>
      <c r="G659" s="94">
        <v>80</v>
      </c>
      <c r="H659" s="94">
        <v>4</v>
      </c>
      <c r="I659" s="94">
        <v>90</v>
      </c>
      <c r="J659" s="94">
        <v>4</v>
      </c>
      <c r="K659" s="94">
        <v>80</v>
      </c>
      <c r="L659" s="94">
        <v>2</v>
      </c>
      <c r="M659" s="94">
        <v>88</v>
      </c>
      <c r="N659" s="94">
        <v>2</v>
      </c>
      <c r="O659" s="94">
        <v>86</v>
      </c>
      <c r="P659" s="94">
        <v>2</v>
      </c>
      <c r="Q659">
        <v>88</v>
      </c>
      <c r="R659">
        <v>2</v>
      </c>
      <c r="S659">
        <v>85</v>
      </c>
      <c r="T659">
        <v>2</v>
      </c>
      <c r="U659">
        <v>79</v>
      </c>
      <c r="V659">
        <v>2</v>
      </c>
      <c r="W659">
        <v>87</v>
      </c>
      <c r="X659">
        <v>2</v>
      </c>
      <c r="Y659">
        <v>70</v>
      </c>
      <c r="Z659">
        <v>1</v>
      </c>
      <c r="AA659">
        <v>92</v>
      </c>
      <c r="AB659">
        <v>1</v>
      </c>
      <c r="AC659">
        <v>70</v>
      </c>
      <c r="AD659">
        <v>1</v>
      </c>
      <c r="AE659">
        <v>85</v>
      </c>
      <c r="AF659">
        <v>2</v>
      </c>
      <c r="AG659">
        <v>87</v>
      </c>
      <c r="AH659">
        <v>2</v>
      </c>
    </row>
    <row r="660" spans="1:34">
      <c r="A660" t="s">
        <v>2056</v>
      </c>
      <c r="B660" s="24">
        <v>1812</v>
      </c>
      <c r="C660" s="24" t="s">
        <v>2057</v>
      </c>
      <c r="D660" s="24" t="s">
        <v>2058</v>
      </c>
      <c r="E660" s="93">
        <v>87</v>
      </c>
      <c r="F660" s="94">
        <v>4</v>
      </c>
      <c r="G660" s="94">
        <v>80</v>
      </c>
      <c r="H660" s="94">
        <v>4</v>
      </c>
      <c r="I660" s="94">
        <v>90</v>
      </c>
      <c r="J660" s="94">
        <v>4</v>
      </c>
      <c r="K660" s="94">
        <v>88</v>
      </c>
      <c r="L660" s="94">
        <v>2</v>
      </c>
      <c r="M660" s="94">
        <v>88</v>
      </c>
      <c r="N660" s="94">
        <v>2</v>
      </c>
      <c r="O660" s="94">
        <v>87</v>
      </c>
      <c r="P660" s="94">
        <v>2</v>
      </c>
      <c r="Q660">
        <v>86</v>
      </c>
      <c r="R660">
        <v>2</v>
      </c>
      <c r="S660">
        <v>85</v>
      </c>
      <c r="T660">
        <v>2</v>
      </c>
      <c r="U660">
        <v>73</v>
      </c>
      <c r="V660">
        <v>2</v>
      </c>
      <c r="W660">
        <v>99</v>
      </c>
      <c r="X660">
        <v>2</v>
      </c>
      <c r="Y660">
        <v>72</v>
      </c>
      <c r="Z660">
        <v>1</v>
      </c>
      <c r="AA660">
        <v>92</v>
      </c>
      <c r="AB660">
        <v>1</v>
      </c>
      <c r="AC660">
        <v>75</v>
      </c>
      <c r="AD660">
        <v>1</v>
      </c>
      <c r="AE660">
        <v>50</v>
      </c>
      <c r="AF660">
        <v>1</v>
      </c>
      <c r="AG660">
        <v>82</v>
      </c>
      <c r="AH660">
        <v>2</v>
      </c>
    </row>
    <row r="661" spans="1:34">
      <c r="A661" t="s">
        <v>2059</v>
      </c>
      <c r="B661" s="24">
        <v>1812</v>
      </c>
      <c r="C661" s="24" t="s">
        <v>2060</v>
      </c>
      <c r="D661" s="24" t="s">
        <v>2061</v>
      </c>
      <c r="E661" s="93">
        <v>95</v>
      </c>
      <c r="F661" s="94">
        <v>4</v>
      </c>
      <c r="G661" s="94">
        <v>82</v>
      </c>
      <c r="H661" s="94">
        <v>4</v>
      </c>
      <c r="I661" s="94">
        <v>90</v>
      </c>
      <c r="J661" s="94">
        <v>4</v>
      </c>
      <c r="K661" s="94">
        <v>82</v>
      </c>
      <c r="L661" s="94">
        <v>2</v>
      </c>
      <c r="M661" s="94">
        <v>88</v>
      </c>
      <c r="N661" s="94">
        <v>2</v>
      </c>
      <c r="O661" s="94">
        <v>86</v>
      </c>
      <c r="P661" s="94">
        <v>2</v>
      </c>
      <c r="Q661">
        <v>99</v>
      </c>
      <c r="R661">
        <v>2</v>
      </c>
      <c r="S661">
        <v>93</v>
      </c>
      <c r="T661">
        <v>2</v>
      </c>
      <c r="U661">
        <v>85</v>
      </c>
      <c r="V661">
        <v>2</v>
      </c>
      <c r="W661">
        <v>86</v>
      </c>
      <c r="X661">
        <v>2</v>
      </c>
      <c r="Y661">
        <v>73</v>
      </c>
      <c r="Z661">
        <v>1</v>
      </c>
      <c r="AA661">
        <v>92</v>
      </c>
      <c r="AB661">
        <v>1</v>
      </c>
      <c r="AC661">
        <v>63</v>
      </c>
      <c r="AD661">
        <v>1</v>
      </c>
      <c r="AE661">
        <v>89</v>
      </c>
      <c r="AF661">
        <v>2</v>
      </c>
      <c r="AG661">
        <v>87</v>
      </c>
      <c r="AH661">
        <v>2</v>
      </c>
    </row>
    <row r="662" spans="1:34">
      <c r="A662" t="s">
        <v>2062</v>
      </c>
      <c r="B662" s="24">
        <v>1812</v>
      </c>
      <c r="C662" s="24" t="s">
        <v>2063</v>
      </c>
      <c r="D662" s="24" t="s">
        <v>2064</v>
      </c>
      <c r="E662" s="93">
        <v>88</v>
      </c>
      <c r="F662" s="94">
        <v>4</v>
      </c>
      <c r="G662" s="94">
        <v>80</v>
      </c>
      <c r="H662" s="94">
        <v>4</v>
      </c>
      <c r="I662" s="94">
        <v>85</v>
      </c>
      <c r="J662" s="94">
        <v>4</v>
      </c>
      <c r="K662" s="94">
        <v>80</v>
      </c>
      <c r="L662" s="94">
        <v>2</v>
      </c>
      <c r="M662" s="94">
        <v>88</v>
      </c>
      <c r="N662" s="94">
        <v>2</v>
      </c>
      <c r="O662" s="94">
        <v>85</v>
      </c>
      <c r="P662" s="94">
        <v>2</v>
      </c>
      <c r="Q662">
        <v>85</v>
      </c>
      <c r="R662">
        <v>2</v>
      </c>
      <c r="S662">
        <v>82</v>
      </c>
      <c r="T662">
        <v>2</v>
      </c>
      <c r="U662">
        <v>70</v>
      </c>
      <c r="V662">
        <v>2</v>
      </c>
      <c r="W662">
        <v>80</v>
      </c>
      <c r="X662">
        <v>2</v>
      </c>
      <c r="Y662">
        <v>70</v>
      </c>
      <c r="Z662">
        <v>1</v>
      </c>
      <c r="AA662">
        <v>92</v>
      </c>
      <c r="AB662">
        <v>1</v>
      </c>
      <c r="AC662">
        <v>76</v>
      </c>
      <c r="AD662">
        <v>1</v>
      </c>
      <c r="AE662">
        <v>88</v>
      </c>
      <c r="AF662">
        <v>2</v>
      </c>
      <c r="AG662">
        <v>85</v>
      </c>
      <c r="AH662">
        <v>2</v>
      </c>
    </row>
    <row r="663" spans="1:34">
      <c r="A663" t="s">
        <v>2065</v>
      </c>
      <c r="B663" s="24">
        <v>1812</v>
      </c>
      <c r="C663" s="24" t="s">
        <v>2066</v>
      </c>
      <c r="D663" s="24" t="s">
        <v>2067</v>
      </c>
      <c r="E663" s="93">
        <v>95</v>
      </c>
      <c r="F663" s="94">
        <v>4</v>
      </c>
      <c r="G663" s="94">
        <v>83</v>
      </c>
      <c r="H663" s="94">
        <v>4</v>
      </c>
      <c r="I663" s="94">
        <v>95</v>
      </c>
      <c r="J663" s="94">
        <v>4</v>
      </c>
      <c r="K663" s="94">
        <v>85</v>
      </c>
      <c r="L663" s="94">
        <v>2</v>
      </c>
      <c r="M663" s="94">
        <v>85</v>
      </c>
      <c r="N663" s="94">
        <v>2</v>
      </c>
      <c r="O663" s="94">
        <v>88</v>
      </c>
      <c r="P663" s="94">
        <v>2</v>
      </c>
      <c r="Q663">
        <v>91</v>
      </c>
      <c r="R663">
        <v>2</v>
      </c>
      <c r="S663">
        <v>84</v>
      </c>
      <c r="T663">
        <v>2</v>
      </c>
      <c r="U663">
        <v>72</v>
      </c>
      <c r="V663">
        <v>2</v>
      </c>
      <c r="W663">
        <v>97</v>
      </c>
      <c r="X663">
        <v>2</v>
      </c>
      <c r="Y663">
        <v>74</v>
      </c>
      <c r="Z663">
        <v>1</v>
      </c>
      <c r="AA663">
        <v>92</v>
      </c>
      <c r="AB663">
        <v>1</v>
      </c>
      <c r="AC663">
        <v>68</v>
      </c>
      <c r="AD663">
        <v>1</v>
      </c>
      <c r="AE663">
        <v>87</v>
      </c>
      <c r="AF663">
        <v>2</v>
      </c>
      <c r="AG663">
        <v>80</v>
      </c>
      <c r="AH663">
        <v>2</v>
      </c>
    </row>
    <row r="664" spans="1:34">
      <c r="A664" t="s">
        <v>2068</v>
      </c>
      <c r="B664" s="24">
        <v>1812</v>
      </c>
      <c r="C664" s="24" t="s">
        <v>2069</v>
      </c>
      <c r="D664" s="24" t="s">
        <v>2070</v>
      </c>
      <c r="E664" s="93">
        <v>88</v>
      </c>
      <c r="F664" s="94">
        <v>4</v>
      </c>
      <c r="G664" s="94">
        <v>91</v>
      </c>
      <c r="H664" s="94">
        <v>4</v>
      </c>
      <c r="I664" s="94">
        <v>83</v>
      </c>
      <c r="J664" s="94">
        <v>4</v>
      </c>
      <c r="K664" s="94">
        <v>85</v>
      </c>
      <c r="L664" s="94">
        <v>2</v>
      </c>
      <c r="M664" s="94">
        <v>85</v>
      </c>
      <c r="N664" s="94">
        <v>2</v>
      </c>
      <c r="O664" s="94">
        <v>90</v>
      </c>
      <c r="P664" s="94">
        <v>2</v>
      </c>
      <c r="Q664">
        <v>87</v>
      </c>
      <c r="R664">
        <v>2</v>
      </c>
      <c r="S664">
        <v>80</v>
      </c>
      <c r="T664">
        <v>2</v>
      </c>
      <c r="U664">
        <v>70</v>
      </c>
      <c r="V664">
        <v>2</v>
      </c>
      <c r="W664">
        <v>84</v>
      </c>
      <c r="X664">
        <v>2</v>
      </c>
      <c r="Y664">
        <v>81</v>
      </c>
      <c r="Z664">
        <v>1</v>
      </c>
      <c r="AA664">
        <v>92</v>
      </c>
      <c r="AB664">
        <v>1</v>
      </c>
      <c r="AC664">
        <v>64</v>
      </c>
      <c r="AD664">
        <v>1</v>
      </c>
      <c r="AE664">
        <v>85</v>
      </c>
      <c r="AF664">
        <v>2</v>
      </c>
      <c r="AG664">
        <v>86</v>
      </c>
      <c r="AH664">
        <v>2</v>
      </c>
    </row>
    <row r="665" spans="1:34">
      <c r="A665" t="s">
        <v>2071</v>
      </c>
      <c r="B665" s="24">
        <v>1812</v>
      </c>
      <c r="C665" s="24" t="s">
        <v>2072</v>
      </c>
      <c r="D665" s="24" t="s">
        <v>110</v>
      </c>
      <c r="E665" s="93">
        <v>94</v>
      </c>
      <c r="F665" s="94">
        <v>4</v>
      </c>
      <c r="G665" s="94">
        <v>95</v>
      </c>
      <c r="H665" s="94">
        <v>4</v>
      </c>
      <c r="I665" s="94">
        <v>95</v>
      </c>
      <c r="J665" s="94">
        <v>4</v>
      </c>
      <c r="K665" s="94">
        <v>92</v>
      </c>
      <c r="L665" s="94">
        <v>2</v>
      </c>
      <c r="M665" s="94">
        <v>85</v>
      </c>
      <c r="N665" s="94">
        <v>2</v>
      </c>
      <c r="O665" s="94">
        <v>88</v>
      </c>
      <c r="P665" s="94">
        <v>2</v>
      </c>
      <c r="Q665">
        <v>91</v>
      </c>
      <c r="R665">
        <v>2</v>
      </c>
      <c r="S665">
        <v>97</v>
      </c>
      <c r="T665">
        <v>2</v>
      </c>
      <c r="U665">
        <v>77</v>
      </c>
      <c r="V665">
        <v>2</v>
      </c>
      <c r="W665">
        <v>86</v>
      </c>
      <c r="X665">
        <v>2</v>
      </c>
      <c r="Y665">
        <v>75</v>
      </c>
      <c r="Z665">
        <v>1</v>
      </c>
      <c r="AA665">
        <v>92</v>
      </c>
      <c r="AB665">
        <v>1</v>
      </c>
      <c r="AC665">
        <v>66</v>
      </c>
      <c r="AD665">
        <v>1</v>
      </c>
      <c r="AE665">
        <v>84</v>
      </c>
      <c r="AF665">
        <v>2</v>
      </c>
      <c r="AG665">
        <v>90</v>
      </c>
      <c r="AH665">
        <v>2</v>
      </c>
    </row>
    <row r="666" spans="1:34">
      <c r="A666" t="s">
        <v>2073</v>
      </c>
      <c r="B666" s="24">
        <v>1812</v>
      </c>
      <c r="C666" s="24" t="s">
        <v>2074</v>
      </c>
      <c r="D666" s="24" t="s">
        <v>2075</v>
      </c>
      <c r="E666" s="93">
        <v>75</v>
      </c>
      <c r="F666" s="94">
        <v>4</v>
      </c>
      <c r="G666" s="94">
        <v>93</v>
      </c>
      <c r="H666" s="94">
        <v>4</v>
      </c>
      <c r="I666" s="94">
        <v>83</v>
      </c>
      <c r="J666" s="94">
        <v>4</v>
      </c>
      <c r="K666" s="94">
        <v>93</v>
      </c>
      <c r="L666" s="94">
        <v>2</v>
      </c>
      <c r="M666" s="94">
        <v>85</v>
      </c>
      <c r="N666" s="94">
        <v>2</v>
      </c>
      <c r="O666" s="94">
        <v>87</v>
      </c>
      <c r="P666" s="94">
        <v>2</v>
      </c>
      <c r="Q666">
        <v>99</v>
      </c>
      <c r="R666">
        <v>2</v>
      </c>
      <c r="S666">
        <v>82</v>
      </c>
      <c r="T666">
        <v>2</v>
      </c>
      <c r="U666">
        <v>81</v>
      </c>
      <c r="V666">
        <v>2</v>
      </c>
      <c r="W666">
        <v>90</v>
      </c>
      <c r="X666">
        <v>2</v>
      </c>
      <c r="Y666">
        <v>78</v>
      </c>
      <c r="Z666">
        <v>1</v>
      </c>
      <c r="AA666">
        <v>92</v>
      </c>
      <c r="AB666">
        <v>1</v>
      </c>
      <c r="AC666">
        <v>75</v>
      </c>
      <c r="AD666">
        <v>1</v>
      </c>
      <c r="AE666">
        <v>82</v>
      </c>
      <c r="AF666">
        <v>2</v>
      </c>
      <c r="AG666">
        <v>85</v>
      </c>
      <c r="AH666">
        <v>2</v>
      </c>
    </row>
    <row r="667" spans="1:34">
      <c r="A667" t="s">
        <v>2076</v>
      </c>
      <c r="B667" s="24">
        <v>1812</v>
      </c>
      <c r="C667" s="24" t="s">
        <v>2077</v>
      </c>
      <c r="D667" s="24" t="s">
        <v>2078</v>
      </c>
      <c r="E667" s="93">
        <v>76</v>
      </c>
      <c r="F667" s="94">
        <v>4</v>
      </c>
      <c r="G667" s="94">
        <v>89</v>
      </c>
      <c r="H667" s="94">
        <v>4</v>
      </c>
      <c r="I667" s="94">
        <v>85</v>
      </c>
      <c r="J667" s="94">
        <v>4</v>
      </c>
      <c r="K667" s="94">
        <v>85</v>
      </c>
      <c r="L667" s="94">
        <v>2</v>
      </c>
      <c r="M667" s="94">
        <v>85</v>
      </c>
      <c r="N667" s="94">
        <v>2</v>
      </c>
      <c r="O667" s="94">
        <v>84</v>
      </c>
      <c r="P667" s="94">
        <v>2</v>
      </c>
      <c r="Q667">
        <v>80</v>
      </c>
      <c r="R667">
        <v>2</v>
      </c>
      <c r="S667">
        <v>80</v>
      </c>
      <c r="T667">
        <v>2</v>
      </c>
      <c r="U667">
        <v>70</v>
      </c>
      <c r="V667">
        <v>2</v>
      </c>
      <c r="W667">
        <v>80</v>
      </c>
      <c r="X667">
        <v>2</v>
      </c>
      <c r="Y667">
        <v>80</v>
      </c>
      <c r="Z667">
        <v>1</v>
      </c>
      <c r="AA667">
        <v>92</v>
      </c>
      <c r="AB667">
        <v>1</v>
      </c>
      <c r="AC667">
        <v>75</v>
      </c>
      <c r="AD667">
        <v>1</v>
      </c>
      <c r="AE667">
        <v>50</v>
      </c>
      <c r="AF667">
        <v>1</v>
      </c>
      <c r="AG667">
        <v>80</v>
      </c>
      <c r="AH667">
        <v>2</v>
      </c>
    </row>
    <row r="668" spans="1:34">
      <c r="A668" t="s">
        <v>2079</v>
      </c>
      <c r="B668" s="24">
        <v>1812</v>
      </c>
      <c r="C668" s="24" t="s">
        <v>2080</v>
      </c>
      <c r="D668" s="24" t="s">
        <v>2081</v>
      </c>
      <c r="E668" s="93">
        <v>80</v>
      </c>
      <c r="F668" s="94">
        <v>4</v>
      </c>
      <c r="G668" s="94">
        <v>88</v>
      </c>
      <c r="H668" s="94">
        <v>4</v>
      </c>
      <c r="I668" s="94">
        <v>90</v>
      </c>
      <c r="J668" s="94">
        <v>4</v>
      </c>
      <c r="K668" s="94">
        <v>85</v>
      </c>
      <c r="L668" s="94">
        <v>2</v>
      </c>
      <c r="M668" s="94">
        <v>85</v>
      </c>
      <c r="N668" s="94">
        <v>2</v>
      </c>
      <c r="O668" s="94">
        <v>84</v>
      </c>
      <c r="P668" s="94">
        <v>2</v>
      </c>
      <c r="Q668">
        <v>80</v>
      </c>
      <c r="R668">
        <v>2</v>
      </c>
      <c r="S668">
        <v>80</v>
      </c>
      <c r="T668">
        <v>2</v>
      </c>
      <c r="U668">
        <v>70</v>
      </c>
      <c r="V668">
        <v>2</v>
      </c>
      <c r="W668">
        <v>82</v>
      </c>
      <c r="X668">
        <v>2</v>
      </c>
      <c r="Y668">
        <v>76</v>
      </c>
      <c r="Z668">
        <v>1</v>
      </c>
      <c r="AA668">
        <v>92</v>
      </c>
      <c r="AB668">
        <v>1</v>
      </c>
      <c r="AC668">
        <v>76</v>
      </c>
      <c r="AD668">
        <v>1</v>
      </c>
      <c r="AE668">
        <v>50</v>
      </c>
      <c r="AF668">
        <v>1</v>
      </c>
      <c r="AG668">
        <v>80</v>
      </c>
      <c r="AH668">
        <v>2</v>
      </c>
    </row>
    <row r="669" spans="1:34">
      <c r="A669" t="s">
        <v>2082</v>
      </c>
      <c r="B669" s="24">
        <v>1812</v>
      </c>
      <c r="C669" s="24" t="s">
        <v>2083</v>
      </c>
      <c r="D669" s="24" t="s">
        <v>2084</v>
      </c>
      <c r="E669" s="93">
        <v>91</v>
      </c>
      <c r="F669" s="94">
        <v>4</v>
      </c>
      <c r="G669" s="94">
        <v>88</v>
      </c>
      <c r="H669" s="94">
        <v>4</v>
      </c>
      <c r="I669" s="94">
        <v>90</v>
      </c>
      <c r="J669" s="94">
        <v>4</v>
      </c>
      <c r="K669" s="94">
        <v>83</v>
      </c>
      <c r="L669" s="94">
        <v>2</v>
      </c>
      <c r="M669" s="94">
        <v>85</v>
      </c>
      <c r="N669" s="94">
        <v>2</v>
      </c>
      <c r="O669" s="94">
        <v>86</v>
      </c>
      <c r="P669" s="94">
        <v>2</v>
      </c>
      <c r="Q669">
        <v>93</v>
      </c>
      <c r="R669">
        <v>2</v>
      </c>
      <c r="S669">
        <v>80</v>
      </c>
      <c r="T669">
        <v>2</v>
      </c>
      <c r="U669">
        <v>76</v>
      </c>
      <c r="V669">
        <v>2</v>
      </c>
      <c r="W669">
        <v>83</v>
      </c>
      <c r="X669">
        <v>2</v>
      </c>
      <c r="Y669">
        <v>80</v>
      </c>
      <c r="Z669">
        <v>1</v>
      </c>
      <c r="AA669">
        <v>92</v>
      </c>
      <c r="AB669">
        <v>1</v>
      </c>
      <c r="AC669">
        <v>80</v>
      </c>
      <c r="AD669">
        <v>1</v>
      </c>
      <c r="AE669">
        <v>89</v>
      </c>
      <c r="AF669">
        <v>2</v>
      </c>
      <c r="AG669">
        <v>87</v>
      </c>
      <c r="AH669">
        <v>2</v>
      </c>
    </row>
    <row r="670" spans="1:34">
      <c r="A670" t="s">
        <v>2085</v>
      </c>
      <c r="B670" s="24">
        <v>1812</v>
      </c>
      <c r="C670" s="24" t="s">
        <v>2086</v>
      </c>
      <c r="D670" s="24" t="s">
        <v>2087</v>
      </c>
      <c r="E670" s="93">
        <v>95</v>
      </c>
      <c r="F670" s="94">
        <v>4</v>
      </c>
      <c r="G670" s="94">
        <v>96</v>
      </c>
      <c r="H670" s="94">
        <v>4</v>
      </c>
      <c r="I670" s="94">
        <v>95</v>
      </c>
      <c r="J670" s="94">
        <v>4</v>
      </c>
      <c r="K670" s="94">
        <v>88</v>
      </c>
      <c r="L670" s="94">
        <v>2</v>
      </c>
      <c r="M670" s="94">
        <v>85</v>
      </c>
      <c r="N670" s="94">
        <v>2</v>
      </c>
      <c r="O670" s="94">
        <v>85</v>
      </c>
      <c r="P670" s="94">
        <v>2</v>
      </c>
      <c r="Q670">
        <v>99</v>
      </c>
      <c r="R670">
        <v>2</v>
      </c>
      <c r="S670">
        <v>92</v>
      </c>
      <c r="T670">
        <v>2</v>
      </c>
      <c r="U670">
        <v>80</v>
      </c>
      <c r="V670">
        <v>2</v>
      </c>
      <c r="W670">
        <v>96</v>
      </c>
      <c r="X670">
        <v>2</v>
      </c>
      <c r="Y670">
        <v>84</v>
      </c>
      <c r="Z670">
        <v>1</v>
      </c>
      <c r="AA670">
        <v>92</v>
      </c>
      <c r="AB670">
        <v>1</v>
      </c>
      <c r="AC670">
        <v>80</v>
      </c>
      <c r="AD670">
        <v>1</v>
      </c>
      <c r="AE670">
        <v>86</v>
      </c>
      <c r="AF670">
        <v>2</v>
      </c>
      <c r="AG670">
        <v>88</v>
      </c>
      <c r="AH670">
        <v>2</v>
      </c>
    </row>
    <row r="671" spans="1:34">
      <c r="A671" t="s">
        <v>2088</v>
      </c>
      <c r="B671" s="24">
        <v>1812</v>
      </c>
      <c r="C671" s="24" t="s">
        <v>2089</v>
      </c>
      <c r="D671" s="24" t="s">
        <v>2090</v>
      </c>
      <c r="E671" s="93">
        <v>97</v>
      </c>
      <c r="F671" s="94">
        <v>4</v>
      </c>
      <c r="G671" s="94">
        <v>90</v>
      </c>
      <c r="H671" s="94">
        <v>4</v>
      </c>
      <c r="I671" s="94">
        <v>95</v>
      </c>
      <c r="J671" s="94">
        <v>4</v>
      </c>
      <c r="K671" s="94">
        <v>85</v>
      </c>
      <c r="L671" s="94">
        <v>2</v>
      </c>
      <c r="M671" s="94">
        <v>85</v>
      </c>
      <c r="N671" s="94">
        <v>2</v>
      </c>
      <c r="O671" s="94">
        <v>82</v>
      </c>
      <c r="P671" s="94">
        <v>2</v>
      </c>
      <c r="Q671">
        <v>100</v>
      </c>
      <c r="R671">
        <v>2</v>
      </c>
      <c r="S671">
        <v>98</v>
      </c>
      <c r="T671">
        <v>2</v>
      </c>
      <c r="U671">
        <v>83</v>
      </c>
      <c r="V671">
        <v>2</v>
      </c>
      <c r="W671">
        <v>99</v>
      </c>
      <c r="X671">
        <v>2</v>
      </c>
      <c r="Y671">
        <v>85</v>
      </c>
      <c r="Z671">
        <v>1</v>
      </c>
      <c r="AA671">
        <v>92</v>
      </c>
      <c r="AB671">
        <v>1</v>
      </c>
      <c r="AC671">
        <v>80</v>
      </c>
      <c r="AD671">
        <v>1</v>
      </c>
      <c r="AE671">
        <v>89</v>
      </c>
      <c r="AF671">
        <v>2</v>
      </c>
      <c r="AG671">
        <v>89</v>
      </c>
      <c r="AH671">
        <v>2</v>
      </c>
    </row>
    <row r="672" spans="1:34">
      <c r="A672" t="s">
        <v>2091</v>
      </c>
      <c r="B672" s="24">
        <v>1812</v>
      </c>
      <c r="C672" s="24" t="s">
        <v>2092</v>
      </c>
      <c r="D672" s="24" t="s">
        <v>2093</v>
      </c>
      <c r="E672" s="93">
        <v>95</v>
      </c>
      <c r="F672" s="94">
        <v>4</v>
      </c>
      <c r="G672" s="94">
        <v>92</v>
      </c>
      <c r="H672" s="94">
        <v>4</v>
      </c>
      <c r="I672" s="94">
        <v>95</v>
      </c>
      <c r="J672" s="94">
        <v>4</v>
      </c>
      <c r="K672" s="94">
        <v>90</v>
      </c>
      <c r="L672" s="94">
        <v>2</v>
      </c>
      <c r="M672" s="94">
        <v>85</v>
      </c>
      <c r="N672" s="94">
        <v>2</v>
      </c>
      <c r="O672" s="94">
        <v>92</v>
      </c>
      <c r="P672" s="94">
        <v>2</v>
      </c>
      <c r="Q672">
        <v>99</v>
      </c>
      <c r="R672">
        <v>2</v>
      </c>
      <c r="S672">
        <v>100</v>
      </c>
      <c r="T672">
        <v>2</v>
      </c>
      <c r="U672">
        <v>86</v>
      </c>
      <c r="V672">
        <v>2</v>
      </c>
      <c r="W672">
        <v>99</v>
      </c>
      <c r="X672">
        <v>2</v>
      </c>
      <c r="Y672">
        <v>84</v>
      </c>
      <c r="Z672">
        <v>1</v>
      </c>
      <c r="AA672">
        <v>92</v>
      </c>
      <c r="AB672">
        <v>1</v>
      </c>
      <c r="AC672">
        <v>78</v>
      </c>
      <c r="AD672">
        <v>1</v>
      </c>
      <c r="AE672">
        <v>90</v>
      </c>
      <c r="AF672">
        <v>2</v>
      </c>
      <c r="AG672">
        <v>90</v>
      </c>
      <c r="AH672">
        <v>2</v>
      </c>
    </row>
    <row r="673" spans="1:34">
      <c r="A673" t="s">
        <v>2094</v>
      </c>
      <c r="B673" s="24">
        <v>1812</v>
      </c>
      <c r="C673" s="24" t="s">
        <v>2095</v>
      </c>
      <c r="D673" s="24" t="s">
        <v>2096</v>
      </c>
      <c r="E673" s="93">
        <v>85</v>
      </c>
      <c r="F673" s="94">
        <v>4</v>
      </c>
      <c r="G673" s="94">
        <v>90</v>
      </c>
      <c r="H673" s="94">
        <v>4</v>
      </c>
      <c r="I673" s="94">
        <v>85</v>
      </c>
      <c r="J673" s="94">
        <v>4</v>
      </c>
      <c r="K673" s="94">
        <v>87</v>
      </c>
      <c r="L673" s="94">
        <v>2</v>
      </c>
      <c r="M673" s="94">
        <v>80</v>
      </c>
      <c r="N673" s="94">
        <v>2</v>
      </c>
      <c r="O673" s="94">
        <v>87</v>
      </c>
      <c r="P673" s="94">
        <v>2</v>
      </c>
      <c r="Q673">
        <v>82</v>
      </c>
      <c r="R673">
        <v>2</v>
      </c>
      <c r="S673">
        <v>81</v>
      </c>
      <c r="T673">
        <v>2</v>
      </c>
      <c r="U673">
        <v>73</v>
      </c>
      <c r="V673">
        <v>2</v>
      </c>
      <c r="W673">
        <v>84</v>
      </c>
      <c r="X673">
        <v>2</v>
      </c>
      <c r="Y673">
        <v>80</v>
      </c>
      <c r="Z673">
        <v>1</v>
      </c>
      <c r="AA673">
        <v>92</v>
      </c>
      <c r="AB673">
        <v>1</v>
      </c>
      <c r="AC673">
        <v>78</v>
      </c>
      <c r="AD673">
        <v>1</v>
      </c>
      <c r="AE673">
        <v>89</v>
      </c>
      <c r="AF673">
        <v>2</v>
      </c>
      <c r="AG673">
        <v>89</v>
      </c>
      <c r="AH673">
        <v>2</v>
      </c>
    </row>
    <row r="674" spans="1:34">
      <c r="A674" t="s">
        <v>2097</v>
      </c>
      <c r="B674" s="24">
        <v>1812</v>
      </c>
      <c r="C674" s="24" t="s">
        <v>2098</v>
      </c>
      <c r="D674" s="24" t="s">
        <v>2099</v>
      </c>
      <c r="E674" s="93">
        <v>90</v>
      </c>
      <c r="F674" s="94">
        <v>4</v>
      </c>
      <c r="G674" s="94">
        <v>84</v>
      </c>
      <c r="H674" s="94">
        <v>4</v>
      </c>
      <c r="I674" s="94">
        <v>85</v>
      </c>
      <c r="J674" s="94">
        <v>4</v>
      </c>
      <c r="K674" s="94">
        <v>85</v>
      </c>
      <c r="L674" s="94">
        <v>2</v>
      </c>
      <c r="M674" s="94">
        <v>80</v>
      </c>
      <c r="N674" s="94">
        <v>2</v>
      </c>
      <c r="O674" s="94">
        <v>86</v>
      </c>
      <c r="P674" s="94">
        <v>2</v>
      </c>
      <c r="Q674">
        <v>99</v>
      </c>
      <c r="R674">
        <v>2</v>
      </c>
      <c r="S674">
        <v>81</v>
      </c>
      <c r="T674">
        <v>2</v>
      </c>
      <c r="U674">
        <v>80</v>
      </c>
      <c r="V674">
        <v>2</v>
      </c>
      <c r="W674">
        <v>86</v>
      </c>
      <c r="X674">
        <v>2</v>
      </c>
      <c r="Y674">
        <v>81</v>
      </c>
      <c r="Z674">
        <v>1</v>
      </c>
      <c r="AA674">
        <v>92</v>
      </c>
      <c r="AB674">
        <v>1</v>
      </c>
      <c r="AC674">
        <v>74</v>
      </c>
      <c r="AD674">
        <v>1</v>
      </c>
      <c r="AE674">
        <v>91</v>
      </c>
      <c r="AF674">
        <v>2</v>
      </c>
      <c r="AG674">
        <v>90</v>
      </c>
      <c r="AH674">
        <v>2</v>
      </c>
    </row>
    <row r="675" spans="1:34">
      <c r="A675" t="s">
        <v>3196</v>
      </c>
      <c r="B675" s="24">
        <v>1812</v>
      </c>
      <c r="C675" s="24" t="s">
        <v>3232</v>
      </c>
      <c r="D675" s="24" t="s">
        <v>3197</v>
      </c>
      <c r="E675" s="93">
        <v>88</v>
      </c>
      <c r="F675" s="94">
        <v>4</v>
      </c>
      <c r="G675" s="94">
        <v>80</v>
      </c>
      <c r="H675" s="94">
        <v>4</v>
      </c>
      <c r="I675" s="94">
        <v>90</v>
      </c>
      <c r="J675" s="94">
        <v>4</v>
      </c>
      <c r="K675" s="94">
        <v>83</v>
      </c>
      <c r="L675" s="94">
        <v>2</v>
      </c>
      <c r="M675" s="94">
        <v>80</v>
      </c>
      <c r="N675" s="94">
        <v>2</v>
      </c>
      <c r="O675" s="94">
        <v>85</v>
      </c>
      <c r="P675" s="94">
        <v>2</v>
      </c>
      <c r="Q675">
        <v>85</v>
      </c>
      <c r="R675">
        <v>2</v>
      </c>
      <c r="S675">
        <v>92</v>
      </c>
      <c r="T675">
        <v>2</v>
      </c>
      <c r="U675">
        <v>85</v>
      </c>
      <c r="V675">
        <v>2</v>
      </c>
      <c r="W675">
        <v>87</v>
      </c>
      <c r="X675">
        <v>2</v>
      </c>
      <c r="Y675">
        <v>85</v>
      </c>
      <c r="Z675">
        <v>1</v>
      </c>
      <c r="AA675">
        <v>92</v>
      </c>
      <c r="AB675">
        <v>1</v>
      </c>
      <c r="AC675">
        <v>72</v>
      </c>
      <c r="AD675">
        <v>1</v>
      </c>
      <c r="AE675">
        <v>89</v>
      </c>
      <c r="AF675">
        <v>2</v>
      </c>
      <c r="AG675">
        <v>98</v>
      </c>
      <c r="AH675">
        <v>2</v>
      </c>
    </row>
    <row r="676" spans="1:34">
      <c r="A676" t="s">
        <v>1633</v>
      </c>
      <c r="B676" s="24">
        <v>1813</v>
      </c>
      <c r="C676" s="24" t="s">
        <v>2101</v>
      </c>
      <c r="D676" s="24" t="s">
        <v>1635</v>
      </c>
      <c r="E676" s="93">
        <v>96</v>
      </c>
      <c r="F676" s="94">
        <v>4</v>
      </c>
      <c r="G676" s="94">
        <v>90</v>
      </c>
      <c r="H676" s="94">
        <v>4</v>
      </c>
      <c r="I676" s="94">
        <v>95</v>
      </c>
      <c r="J676" s="94">
        <v>4</v>
      </c>
      <c r="K676" s="94">
        <v>92</v>
      </c>
      <c r="L676" s="94">
        <v>2</v>
      </c>
      <c r="M676" s="94">
        <v>90</v>
      </c>
      <c r="N676" s="94">
        <v>2</v>
      </c>
      <c r="O676" s="94">
        <v>84</v>
      </c>
      <c r="P676" s="94">
        <v>2</v>
      </c>
      <c r="Q676">
        <v>98</v>
      </c>
      <c r="R676">
        <v>2</v>
      </c>
      <c r="S676">
        <v>80</v>
      </c>
      <c r="T676">
        <v>2</v>
      </c>
      <c r="U676">
        <v>82</v>
      </c>
      <c r="V676">
        <v>2</v>
      </c>
      <c r="W676">
        <v>96</v>
      </c>
      <c r="X676">
        <v>2</v>
      </c>
      <c r="Y676">
        <v>78</v>
      </c>
      <c r="Z676">
        <v>1</v>
      </c>
      <c r="AA676">
        <v>93</v>
      </c>
      <c r="AB676">
        <v>1</v>
      </c>
      <c r="AC676">
        <v>80</v>
      </c>
      <c r="AD676">
        <v>1</v>
      </c>
      <c r="AE676">
        <v>88</v>
      </c>
      <c r="AF676">
        <v>2</v>
      </c>
      <c r="AG676">
        <v>96</v>
      </c>
      <c r="AH676">
        <v>2</v>
      </c>
    </row>
    <row r="677" spans="1:34">
      <c r="A677" t="s">
        <v>2102</v>
      </c>
      <c r="B677" s="24">
        <v>1813</v>
      </c>
      <c r="C677" s="24" t="s">
        <v>2103</v>
      </c>
      <c r="D677" s="24" t="s">
        <v>2104</v>
      </c>
      <c r="E677" s="93">
        <v>91</v>
      </c>
      <c r="F677" s="94">
        <v>4</v>
      </c>
      <c r="G677" s="94">
        <v>88</v>
      </c>
      <c r="H677" s="94">
        <v>4</v>
      </c>
      <c r="I677" s="94">
        <v>95</v>
      </c>
      <c r="J677" s="94">
        <v>4</v>
      </c>
      <c r="K677" s="94">
        <v>91</v>
      </c>
      <c r="L677" s="94">
        <v>2</v>
      </c>
      <c r="M677" s="94">
        <v>90</v>
      </c>
      <c r="N677" s="94">
        <v>2</v>
      </c>
      <c r="O677" s="94">
        <v>86</v>
      </c>
      <c r="P677" s="94">
        <v>2</v>
      </c>
      <c r="Q677">
        <v>98</v>
      </c>
      <c r="R677">
        <v>2</v>
      </c>
      <c r="S677">
        <v>86</v>
      </c>
      <c r="T677">
        <v>2</v>
      </c>
      <c r="U677">
        <v>83</v>
      </c>
      <c r="V677">
        <v>2</v>
      </c>
      <c r="W677">
        <v>94</v>
      </c>
      <c r="X677">
        <v>2</v>
      </c>
      <c r="Y677">
        <v>80</v>
      </c>
      <c r="Z677">
        <v>1</v>
      </c>
      <c r="AA677">
        <v>93</v>
      </c>
      <c r="AB677">
        <v>1</v>
      </c>
      <c r="AC677">
        <v>65</v>
      </c>
      <c r="AD677">
        <v>1</v>
      </c>
      <c r="AE677">
        <v>87</v>
      </c>
      <c r="AF677">
        <v>2</v>
      </c>
      <c r="AG677">
        <v>88</v>
      </c>
      <c r="AH677">
        <v>2</v>
      </c>
    </row>
    <row r="678" spans="1:34">
      <c r="A678" t="s">
        <v>2105</v>
      </c>
      <c r="B678" s="24">
        <v>1813</v>
      </c>
      <c r="C678" s="24" t="s">
        <v>2106</v>
      </c>
      <c r="D678" s="24" t="s">
        <v>2107</v>
      </c>
      <c r="E678" s="93">
        <v>85</v>
      </c>
      <c r="F678" s="94">
        <v>4</v>
      </c>
      <c r="G678" s="94">
        <v>88</v>
      </c>
      <c r="H678" s="94">
        <v>4</v>
      </c>
      <c r="I678" s="94">
        <v>95</v>
      </c>
      <c r="J678" s="94">
        <v>4</v>
      </c>
      <c r="K678" s="94">
        <v>88</v>
      </c>
      <c r="L678" s="94">
        <v>2</v>
      </c>
      <c r="M678" s="94">
        <v>88</v>
      </c>
      <c r="N678" s="94">
        <v>2</v>
      </c>
      <c r="O678" s="94">
        <v>85</v>
      </c>
      <c r="P678" s="94">
        <v>2</v>
      </c>
      <c r="Q678">
        <v>85</v>
      </c>
      <c r="R678">
        <v>2</v>
      </c>
      <c r="S678">
        <v>80</v>
      </c>
      <c r="T678">
        <v>2</v>
      </c>
      <c r="U678">
        <v>88</v>
      </c>
      <c r="V678">
        <v>2</v>
      </c>
      <c r="W678">
        <v>95</v>
      </c>
      <c r="X678">
        <v>2</v>
      </c>
      <c r="Y678">
        <v>79</v>
      </c>
      <c r="Z678">
        <v>1</v>
      </c>
      <c r="AA678">
        <v>93</v>
      </c>
      <c r="AB678">
        <v>1</v>
      </c>
      <c r="AC678">
        <v>75</v>
      </c>
      <c r="AD678">
        <v>1</v>
      </c>
      <c r="AE678">
        <v>85</v>
      </c>
      <c r="AF678">
        <v>2</v>
      </c>
      <c r="AG678">
        <v>85</v>
      </c>
      <c r="AH678">
        <v>2</v>
      </c>
    </row>
    <row r="679" spans="1:34">
      <c r="A679" t="s">
        <v>2108</v>
      </c>
      <c r="B679" s="24">
        <v>1813</v>
      </c>
      <c r="C679" s="24" t="s">
        <v>2109</v>
      </c>
      <c r="D679" s="24" t="s">
        <v>2110</v>
      </c>
      <c r="E679" s="93">
        <v>95</v>
      </c>
      <c r="F679" s="94">
        <v>4</v>
      </c>
      <c r="G679" s="94">
        <v>88</v>
      </c>
      <c r="H679" s="94">
        <v>4</v>
      </c>
      <c r="I679" s="94">
        <v>95</v>
      </c>
      <c r="J679" s="94">
        <v>4</v>
      </c>
      <c r="K679" s="94">
        <v>90</v>
      </c>
      <c r="L679" s="94">
        <v>2</v>
      </c>
      <c r="M679" s="94">
        <v>90</v>
      </c>
      <c r="N679" s="94">
        <v>2</v>
      </c>
      <c r="O679" s="94">
        <v>84</v>
      </c>
      <c r="P679" s="94">
        <v>2</v>
      </c>
      <c r="Q679">
        <v>86</v>
      </c>
      <c r="R679">
        <v>2</v>
      </c>
      <c r="S679">
        <v>90</v>
      </c>
      <c r="T679">
        <v>2</v>
      </c>
      <c r="U679">
        <v>82</v>
      </c>
      <c r="V679">
        <v>2</v>
      </c>
      <c r="W679">
        <v>99</v>
      </c>
      <c r="X679">
        <v>2</v>
      </c>
      <c r="Y679">
        <v>78</v>
      </c>
      <c r="Z679">
        <v>1</v>
      </c>
      <c r="AA679">
        <v>93</v>
      </c>
      <c r="AB679">
        <v>1</v>
      </c>
      <c r="AC679">
        <v>78</v>
      </c>
      <c r="AD679">
        <v>1</v>
      </c>
      <c r="AE679">
        <v>89</v>
      </c>
      <c r="AF679">
        <v>2</v>
      </c>
      <c r="AG679">
        <v>86</v>
      </c>
      <c r="AH679">
        <v>2</v>
      </c>
    </row>
    <row r="680" spans="1:34">
      <c r="A680" t="s">
        <v>2111</v>
      </c>
      <c r="B680" s="24">
        <v>1813</v>
      </c>
      <c r="C680" s="24" t="s">
        <v>2112</v>
      </c>
      <c r="D680" s="24" t="s">
        <v>2113</v>
      </c>
      <c r="E680" s="93">
        <v>62</v>
      </c>
      <c r="F680" s="94">
        <v>4</v>
      </c>
      <c r="G680" s="94">
        <v>85</v>
      </c>
      <c r="H680" s="94">
        <v>4</v>
      </c>
      <c r="I680" s="94">
        <v>85</v>
      </c>
      <c r="J680" s="94">
        <v>4</v>
      </c>
      <c r="K680" s="94">
        <v>82</v>
      </c>
      <c r="L680" s="94">
        <v>2</v>
      </c>
      <c r="M680" s="94">
        <v>80</v>
      </c>
      <c r="N680" s="94">
        <v>2</v>
      </c>
      <c r="O680" s="94">
        <v>85</v>
      </c>
      <c r="P680" s="94">
        <v>2</v>
      </c>
      <c r="Q680">
        <v>86</v>
      </c>
      <c r="R680">
        <v>2</v>
      </c>
      <c r="S680">
        <v>80</v>
      </c>
      <c r="T680">
        <v>2</v>
      </c>
      <c r="U680">
        <v>86</v>
      </c>
      <c r="V680">
        <v>2</v>
      </c>
      <c r="W680">
        <v>92</v>
      </c>
      <c r="X680">
        <v>2</v>
      </c>
      <c r="Y680">
        <v>82</v>
      </c>
      <c r="Z680">
        <v>1</v>
      </c>
      <c r="AA680">
        <v>93</v>
      </c>
      <c r="AB680">
        <v>1</v>
      </c>
      <c r="AC680">
        <v>71</v>
      </c>
      <c r="AD680">
        <v>1</v>
      </c>
      <c r="AE680">
        <v>84</v>
      </c>
      <c r="AF680">
        <v>2</v>
      </c>
      <c r="AG680">
        <v>87</v>
      </c>
      <c r="AH680">
        <v>2</v>
      </c>
    </row>
    <row r="681" spans="1:34">
      <c r="A681" t="s">
        <v>2114</v>
      </c>
      <c r="B681" s="24">
        <v>1813</v>
      </c>
      <c r="C681" s="24" t="s">
        <v>2115</v>
      </c>
      <c r="D681" s="24" t="s">
        <v>2116</v>
      </c>
      <c r="E681" s="93">
        <v>86</v>
      </c>
      <c r="F681" s="94">
        <v>4</v>
      </c>
      <c r="G681" s="94">
        <v>85</v>
      </c>
      <c r="H681" s="94">
        <v>4</v>
      </c>
      <c r="I681" s="94">
        <v>85</v>
      </c>
      <c r="J681" s="94">
        <v>4</v>
      </c>
      <c r="K681" s="94">
        <v>88</v>
      </c>
      <c r="L681" s="94">
        <v>2</v>
      </c>
      <c r="M681" s="94">
        <v>88</v>
      </c>
      <c r="N681" s="94">
        <v>2</v>
      </c>
      <c r="O681" s="94">
        <v>86</v>
      </c>
      <c r="P681" s="94">
        <v>2</v>
      </c>
      <c r="Q681">
        <v>84</v>
      </c>
      <c r="R681">
        <v>2</v>
      </c>
      <c r="S681">
        <v>90</v>
      </c>
      <c r="T681">
        <v>2</v>
      </c>
      <c r="U681">
        <v>72</v>
      </c>
      <c r="V681">
        <v>2</v>
      </c>
      <c r="W681">
        <v>92</v>
      </c>
      <c r="X681">
        <v>2</v>
      </c>
      <c r="Y681">
        <v>82</v>
      </c>
      <c r="Z681">
        <v>1</v>
      </c>
      <c r="AA681">
        <v>93</v>
      </c>
      <c r="AB681">
        <v>1</v>
      </c>
      <c r="AC681">
        <v>78</v>
      </c>
      <c r="AD681">
        <v>1</v>
      </c>
      <c r="AE681">
        <v>86</v>
      </c>
      <c r="AF681">
        <v>2</v>
      </c>
      <c r="AG681">
        <v>88</v>
      </c>
      <c r="AH681">
        <v>2</v>
      </c>
    </row>
    <row r="682" spans="1:34">
      <c r="A682" t="s">
        <v>2117</v>
      </c>
      <c r="B682" s="24">
        <v>1813</v>
      </c>
      <c r="C682" s="24" t="s">
        <v>2118</v>
      </c>
      <c r="D682" s="24" t="s">
        <v>2119</v>
      </c>
      <c r="E682" s="93">
        <v>93</v>
      </c>
      <c r="F682" s="94">
        <v>4</v>
      </c>
      <c r="G682" s="94">
        <v>85</v>
      </c>
      <c r="H682" s="94">
        <v>4</v>
      </c>
      <c r="I682" s="94">
        <v>88</v>
      </c>
      <c r="J682" s="94">
        <v>4</v>
      </c>
      <c r="K682" s="94">
        <v>92</v>
      </c>
      <c r="L682" s="94">
        <v>2</v>
      </c>
      <c r="M682" s="94">
        <v>90</v>
      </c>
      <c r="N682" s="94">
        <v>2</v>
      </c>
      <c r="O682" s="94">
        <v>85</v>
      </c>
      <c r="P682" s="94">
        <v>2</v>
      </c>
      <c r="Q682">
        <v>90</v>
      </c>
      <c r="R682">
        <v>2</v>
      </c>
      <c r="S682">
        <v>84</v>
      </c>
      <c r="T682">
        <v>2</v>
      </c>
      <c r="U682">
        <v>77</v>
      </c>
      <c r="V682">
        <v>2</v>
      </c>
      <c r="W682">
        <v>92</v>
      </c>
      <c r="X682">
        <v>2</v>
      </c>
      <c r="Y682">
        <v>85</v>
      </c>
      <c r="Z682">
        <v>1</v>
      </c>
      <c r="AA682">
        <v>93</v>
      </c>
      <c r="AB682">
        <v>1</v>
      </c>
      <c r="AC682">
        <v>73</v>
      </c>
      <c r="AD682">
        <v>1</v>
      </c>
      <c r="AE682">
        <v>84</v>
      </c>
      <c r="AF682">
        <v>2</v>
      </c>
      <c r="AG682">
        <v>88</v>
      </c>
      <c r="AH682">
        <v>2</v>
      </c>
    </row>
    <row r="683" spans="1:34">
      <c r="A683" t="s">
        <v>2120</v>
      </c>
      <c r="B683" s="24">
        <v>1813</v>
      </c>
      <c r="C683" s="24" t="s">
        <v>2121</v>
      </c>
      <c r="D683" s="24" t="s">
        <v>2122</v>
      </c>
      <c r="E683" s="93">
        <v>82</v>
      </c>
      <c r="F683" s="94">
        <v>4</v>
      </c>
      <c r="G683" s="94">
        <v>86</v>
      </c>
      <c r="H683" s="94">
        <v>4</v>
      </c>
      <c r="I683" s="94">
        <v>88</v>
      </c>
      <c r="J683" s="94">
        <v>4</v>
      </c>
      <c r="K683" s="94">
        <v>90</v>
      </c>
      <c r="L683" s="94">
        <v>2</v>
      </c>
      <c r="M683" s="94">
        <v>90</v>
      </c>
      <c r="N683" s="94">
        <v>2</v>
      </c>
      <c r="O683" s="94">
        <v>86</v>
      </c>
      <c r="P683" s="94">
        <v>2</v>
      </c>
      <c r="Q683">
        <v>89</v>
      </c>
      <c r="R683">
        <v>2</v>
      </c>
      <c r="S683">
        <v>90</v>
      </c>
      <c r="T683">
        <v>2</v>
      </c>
      <c r="U683">
        <v>76</v>
      </c>
      <c r="V683">
        <v>2</v>
      </c>
      <c r="W683">
        <v>98</v>
      </c>
      <c r="X683">
        <v>2</v>
      </c>
      <c r="Y683">
        <v>84</v>
      </c>
      <c r="Z683">
        <v>1</v>
      </c>
      <c r="AA683">
        <v>93</v>
      </c>
      <c r="AB683">
        <v>1</v>
      </c>
      <c r="AC683">
        <v>75</v>
      </c>
      <c r="AD683">
        <v>1</v>
      </c>
      <c r="AE683">
        <v>82</v>
      </c>
      <c r="AF683">
        <v>2</v>
      </c>
      <c r="AG683">
        <v>82</v>
      </c>
      <c r="AH683">
        <v>2</v>
      </c>
    </row>
    <row r="684" spans="1:34">
      <c r="A684" t="s">
        <v>2123</v>
      </c>
      <c r="B684" s="24">
        <v>1813</v>
      </c>
      <c r="C684" s="24" t="s">
        <v>2124</v>
      </c>
      <c r="D684" s="24" t="s">
        <v>2125</v>
      </c>
      <c r="E684" s="93">
        <v>98</v>
      </c>
      <c r="F684" s="94">
        <v>4</v>
      </c>
      <c r="G684" s="94">
        <v>90</v>
      </c>
      <c r="H684" s="94">
        <v>4</v>
      </c>
      <c r="I684" s="94">
        <v>88</v>
      </c>
      <c r="J684" s="94">
        <v>4</v>
      </c>
      <c r="K684" s="94">
        <v>88</v>
      </c>
      <c r="L684" s="94">
        <v>2</v>
      </c>
      <c r="M684" s="94">
        <v>85</v>
      </c>
      <c r="N684" s="94">
        <v>2</v>
      </c>
      <c r="O684" s="94">
        <v>90</v>
      </c>
      <c r="P684" s="94">
        <v>2</v>
      </c>
      <c r="Q684">
        <v>89</v>
      </c>
      <c r="R684">
        <v>2</v>
      </c>
      <c r="S684">
        <v>80</v>
      </c>
      <c r="T684">
        <v>2</v>
      </c>
      <c r="U684">
        <v>70</v>
      </c>
      <c r="V684">
        <v>2</v>
      </c>
      <c r="W684">
        <v>82</v>
      </c>
      <c r="X684">
        <v>2</v>
      </c>
      <c r="Y684">
        <v>88</v>
      </c>
      <c r="Z684">
        <v>1</v>
      </c>
      <c r="AA684">
        <v>93</v>
      </c>
      <c r="AB684">
        <v>1</v>
      </c>
      <c r="AC684">
        <v>80</v>
      </c>
      <c r="AD684">
        <v>1</v>
      </c>
      <c r="AE684">
        <v>86</v>
      </c>
      <c r="AF684">
        <v>2</v>
      </c>
      <c r="AG684">
        <v>83</v>
      </c>
      <c r="AH684">
        <v>2</v>
      </c>
    </row>
    <row r="685" spans="1:34">
      <c r="A685" t="s">
        <v>2126</v>
      </c>
      <c r="B685" s="24">
        <v>1813</v>
      </c>
      <c r="C685" s="24" t="s">
        <v>2127</v>
      </c>
      <c r="D685" s="24" t="s">
        <v>2128</v>
      </c>
      <c r="E685" s="93">
        <v>80</v>
      </c>
      <c r="F685" s="94">
        <v>4</v>
      </c>
      <c r="G685" s="94">
        <v>88</v>
      </c>
      <c r="H685" s="94">
        <v>4</v>
      </c>
      <c r="I685" s="94">
        <v>85</v>
      </c>
      <c r="J685" s="94">
        <v>4</v>
      </c>
      <c r="K685" s="94">
        <v>84</v>
      </c>
      <c r="L685" s="94">
        <v>2</v>
      </c>
      <c r="M685" s="94">
        <v>80</v>
      </c>
      <c r="N685" s="94">
        <v>2</v>
      </c>
      <c r="O685" s="94">
        <v>84</v>
      </c>
      <c r="P685" s="94">
        <v>2</v>
      </c>
      <c r="Q685">
        <v>96</v>
      </c>
      <c r="R685">
        <v>2</v>
      </c>
      <c r="S685">
        <v>90</v>
      </c>
      <c r="T685">
        <v>2</v>
      </c>
      <c r="U685">
        <v>70</v>
      </c>
      <c r="V685">
        <v>2</v>
      </c>
      <c r="W685">
        <v>85</v>
      </c>
      <c r="X685">
        <v>2</v>
      </c>
      <c r="Y685">
        <v>86</v>
      </c>
      <c r="Z685">
        <v>1</v>
      </c>
      <c r="AA685">
        <v>93</v>
      </c>
      <c r="AB685">
        <v>1</v>
      </c>
      <c r="AC685">
        <v>80</v>
      </c>
      <c r="AD685">
        <v>1</v>
      </c>
      <c r="AE685">
        <v>84</v>
      </c>
      <c r="AF685">
        <v>2</v>
      </c>
      <c r="AG685">
        <v>89</v>
      </c>
      <c r="AH685">
        <v>2</v>
      </c>
    </row>
    <row r="686" spans="1:34">
      <c r="A686" t="s">
        <v>2129</v>
      </c>
      <c r="B686" s="24">
        <v>1813</v>
      </c>
      <c r="C686" s="24" t="s">
        <v>2130</v>
      </c>
      <c r="D686" s="24" t="s">
        <v>207</v>
      </c>
      <c r="E686" s="93">
        <v>95</v>
      </c>
      <c r="F686" s="94">
        <v>4</v>
      </c>
      <c r="G686" s="94">
        <v>95</v>
      </c>
      <c r="H686" s="94">
        <v>4</v>
      </c>
      <c r="I686" s="94">
        <v>90</v>
      </c>
      <c r="J686" s="94">
        <v>4</v>
      </c>
      <c r="K686" s="94">
        <v>94</v>
      </c>
      <c r="L686" s="94">
        <v>2</v>
      </c>
      <c r="M686" s="94">
        <v>95</v>
      </c>
      <c r="N686" s="94">
        <v>2</v>
      </c>
      <c r="O686" s="94">
        <v>90</v>
      </c>
      <c r="P686" s="94">
        <v>2</v>
      </c>
      <c r="Q686">
        <v>98</v>
      </c>
      <c r="R686">
        <v>2</v>
      </c>
      <c r="S686">
        <v>92</v>
      </c>
      <c r="T686">
        <v>2</v>
      </c>
      <c r="U686">
        <v>88</v>
      </c>
      <c r="V686">
        <v>2</v>
      </c>
      <c r="W686">
        <v>100</v>
      </c>
      <c r="X686">
        <v>2</v>
      </c>
      <c r="Y686">
        <v>82</v>
      </c>
      <c r="Z686">
        <v>1</v>
      </c>
      <c r="AA686">
        <v>93</v>
      </c>
      <c r="AB686">
        <v>1</v>
      </c>
      <c r="AC686">
        <v>80</v>
      </c>
      <c r="AD686">
        <v>1</v>
      </c>
      <c r="AE686">
        <v>89</v>
      </c>
      <c r="AF686">
        <v>2</v>
      </c>
      <c r="AG686">
        <v>89</v>
      </c>
      <c r="AH686">
        <v>2</v>
      </c>
    </row>
    <row r="687" spans="1:34">
      <c r="A687" t="s">
        <v>2131</v>
      </c>
      <c r="B687" s="24">
        <v>1813</v>
      </c>
      <c r="C687" s="24" t="s">
        <v>2132</v>
      </c>
      <c r="D687" s="24" t="s">
        <v>2133</v>
      </c>
      <c r="E687" s="93">
        <v>75</v>
      </c>
      <c r="F687" s="94">
        <v>4</v>
      </c>
      <c r="G687" s="94">
        <v>92</v>
      </c>
      <c r="H687" s="94">
        <v>4</v>
      </c>
      <c r="I687" s="94">
        <v>85</v>
      </c>
      <c r="J687" s="94">
        <v>4</v>
      </c>
      <c r="K687" s="94">
        <v>90</v>
      </c>
      <c r="L687" s="94">
        <v>2</v>
      </c>
      <c r="M687" s="94">
        <v>88</v>
      </c>
      <c r="N687" s="94">
        <v>2</v>
      </c>
      <c r="O687" s="94">
        <v>84</v>
      </c>
      <c r="P687" s="94">
        <v>2</v>
      </c>
      <c r="Q687">
        <v>85</v>
      </c>
      <c r="R687">
        <v>2</v>
      </c>
      <c r="S687">
        <v>80</v>
      </c>
      <c r="T687">
        <v>2</v>
      </c>
      <c r="U687">
        <v>81</v>
      </c>
      <c r="V687">
        <v>2</v>
      </c>
      <c r="W687">
        <v>83</v>
      </c>
      <c r="X687">
        <v>2</v>
      </c>
      <c r="Y687">
        <v>87</v>
      </c>
      <c r="Z687">
        <v>1</v>
      </c>
      <c r="AA687">
        <v>93</v>
      </c>
      <c r="AB687">
        <v>1</v>
      </c>
      <c r="AC687">
        <v>73</v>
      </c>
      <c r="AD687">
        <v>1</v>
      </c>
      <c r="AE687">
        <v>86</v>
      </c>
      <c r="AF687">
        <v>2</v>
      </c>
      <c r="AG687">
        <v>90</v>
      </c>
      <c r="AH687">
        <v>2</v>
      </c>
    </row>
    <row r="688" spans="1:34">
      <c r="A688" t="s">
        <v>2134</v>
      </c>
      <c r="B688" s="24">
        <v>1813</v>
      </c>
      <c r="C688" s="24" t="s">
        <v>2135</v>
      </c>
      <c r="D688" s="24" t="s">
        <v>2136</v>
      </c>
      <c r="E688" s="93">
        <v>73</v>
      </c>
      <c r="F688" s="94">
        <v>4</v>
      </c>
      <c r="G688" s="94">
        <v>92</v>
      </c>
      <c r="H688" s="94">
        <v>4</v>
      </c>
      <c r="I688" s="94">
        <v>88</v>
      </c>
      <c r="J688" s="94">
        <v>4</v>
      </c>
      <c r="K688" s="94">
        <v>95</v>
      </c>
      <c r="L688" s="94">
        <v>2</v>
      </c>
      <c r="M688" s="94">
        <v>95</v>
      </c>
      <c r="N688" s="94">
        <v>2</v>
      </c>
      <c r="O688" s="94">
        <v>86</v>
      </c>
      <c r="P688" s="94">
        <v>2</v>
      </c>
      <c r="Q688">
        <v>94</v>
      </c>
      <c r="R688">
        <v>2</v>
      </c>
      <c r="S688">
        <v>87</v>
      </c>
      <c r="T688">
        <v>2</v>
      </c>
      <c r="U688">
        <v>71</v>
      </c>
      <c r="V688">
        <v>2</v>
      </c>
      <c r="W688">
        <v>95</v>
      </c>
      <c r="X688">
        <v>2</v>
      </c>
      <c r="Y688">
        <v>82</v>
      </c>
      <c r="Z688">
        <v>1</v>
      </c>
      <c r="AA688">
        <v>93</v>
      </c>
      <c r="AB688">
        <v>1</v>
      </c>
      <c r="AC688">
        <v>80</v>
      </c>
      <c r="AD688">
        <v>1</v>
      </c>
      <c r="AE688">
        <v>87</v>
      </c>
      <c r="AF688">
        <v>2</v>
      </c>
      <c r="AG688">
        <v>98</v>
      </c>
      <c r="AH688">
        <v>2</v>
      </c>
    </row>
    <row r="689" spans="1:34">
      <c r="A689" t="s">
        <v>2137</v>
      </c>
      <c r="B689" s="24">
        <v>1813</v>
      </c>
      <c r="C689" s="24" t="s">
        <v>2138</v>
      </c>
      <c r="D689" s="24" t="s">
        <v>2139</v>
      </c>
      <c r="E689" s="93">
        <v>90</v>
      </c>
      <c r="F689" s="94">
        <v>4</v>
      </c>
      <c r="G689" s="94">
        <v>92</v>
      </c>
      <c r="H689" s="94">
        <v>4</v>
      </c>
      <c r="I689" s="94">
        <v>90</v>
      </c>
      <c r="J689" s="94">
        <v>4</v>
      </c>
      <c r="K689" s="94">
        <v>89</v>
      </c>
      <c r="L689" s="94">
        <v>2</v>
      </c>
      <c r="M689" s="94">
        <v>90</v>
      </c>
      <c r="N689" s="94">
        <v>2</v>
      </c>
      <c r="O689" s="94">
        <v>88</v>
      </c>
      <c r="P689" s="94">
        <v>2</v>
      </c>
      <c r="Q689">
        <v>82</v>
      </c>
      <c r="R689">
        <v>2</v>
      </c>
      <c r="S689">
        <v>82</v>
      </c>
      <c r="T689">
        <v>2</v>
      </c>
      <c r="U689">
        <v>77</v>
      </c>
      <c r="V689">
        <v>2</v>
      </c>
      <c r="W689">
        <v>91</v>
      </c>
      <c r="X689">
        <v>2</v>
      </c>
      <c r="Y689">
        <v>84</v>
      </c>
      <c r="Z689">
        <v>1</v>
      </c>
      <c r="AA689">
        <v>93</v>
      </c>
      <c r="AB689">
        <v>1</v>
      </c>
      <c r="AC689">
        <v>75</v>
      </c>
      <c r="AD689">
        <v>1</v>
      </c>
      <c r="AE689">
        <v>50</v>
      </c>
      <c r="AF689">
        <v>1</v>
      </c>
      <c r="AG689">
        <v>96</v>
      </c>
      <c r="AH689">
        <v>2</v>
      </c>
    </row>
    <row r="690" spans="1:34">
      <c r="A690" t="s">
        <v>2140</v>
      </c>
      <c r="B690" s="24">
        <v>1813</v>
      </c>
      <c r="C690" s="24" t="s">
        <v>2141</v>
      </c>
      <c r="D690" s="24" t="s">
        <v>2142</v>
      </c>
      <c r="E690" s="93">
        <v>88</v>
      </c>
      <c r="F690" s="94">
        <v>4</v>
      </c>
      <c r="G690" s="94">
        <v>88</v>
      </c>
      <c r="H690" s="94">
        <v>4</v>
      </c>
      <c r="I690" s="94">
        <v>88</v>
      </c>
      <c r="J690" s="94">
        <v>4</v>
      </c>
      <c r="K690" s="94">
        <v>93</v>
      </c>
      <c r="L690" s="94">
        <v>2</v>
      </c>
      <c r="M690" s="94">
        <v>88</v>
      </c>
      <c r="N690" s="94">
        <v>2</v>
      </c>
      <c r="O690" s="94">
        <v>84</v>
      </c>
      <c r="P690" s="94">
        <v>2</v>
      </c>
      <c r="Q690">
        <v>94</v>
      </c>
      <c r="R690">
        <v>2</v>
      </c>
      <c r="S690">
        <v>80</v>
      </c>
      <c r="T690">
        <v>2</v>
      </c>
      <c r="U690">
        <v>70</v>
      </c>
      <c r="V690">
        <v>2</v>
      </c>
      <c r="W690">
        <v>89</v>
      </c>
      <c r="X690">
        <v>2</v>
      </c>
      <c r="Y690">
        <v>80</v>
      </c>
      <c r="Z690">
        <v>1</v>
      </c>
      <c r="AA690">
        <v>93</v>
      </c>
      <c r="AB690">
        <v>1</v>
      </c>
      <c r="AC690">
        <v>70</v>
      </c>
      <c r="AD690">
        <v>1</v>
      </c>
      <c r="AE690">
        <v>87</v>
      </c>
      <c r="AF690">
        <v>2</v>
      </c>
      <c r="AG690">
        <v>88</v>
      </c>
      <c r="AH690">
        <v>2</v>
      </c>
    </row>
    <row r="691" spans="1:34">
      <c r="A691" t="s">
        <v>2143</v>
      </c>
      <c r="B691" s="24">
        <v>1813</v>
      </c>
      <c r="C691" s="24" t="s">
        <v>2144</v>
      </c>
      <c r="D691" s="24" t="s">
        <v>2145</v>
      </c>
      <c r="E691" s="93">
        <v>81</v>
      </c>
      <c r="F691" s="94">
        <v>4</v>
      </c>
      <c r="G691" s="94">
        <v>88</v>
      </c>
      <c r="H691" s="94">
        <v>4</v>
      </c>
      <c r="I691" s="94">
        <v>90</v>
      </c>
      <c r="J691" s="94">
        <v>4</v>
      </c>
      <c r="K691" s="94">
        <v>87</v>
      </c>
      <c r="L691" s="94">
        <v>2</v>
      </c>
      <c r="M691" s="94">
        <v>85</v>
      </c>
      <c r="N691" s="94">
        <v>2</v>
      </c>
      <c r="O691" s="94">
        <v>82</v>
      </c>
      <c r="P691" s="94">
        <v>2</v>
      </c>
      <c r="Q691">
        <v>84</v>
      </c>
      <c r="R691">
        <v>2</v>
      </c>
      <c r="S691">
        <v>80</v>
      </c>
      <c r="T691">
        <v>2</v>
      </c>
      <c r="U691">
        <v>71</v>
      </c>
      <c r="V691">
        <v>2</v>
      </c>
      <c r="W691">
        <v>83</v>
      </c>
      <c r="X691">
        <v>2</v>
      </c>
      <c r="Y691">
        <v>80</v>
      </c>
      <c r="Z691">
        <v>1</v>
      </c>
      <c r="AA691">
        <v>93</v>
      </c>
      <c r="AB691">
        <v>1</v>
      </c>
      <c r="AC691">
        <v>73</v>
      </c>
      <c r="AD691">
        <v>1</v>
      </c>
      <c r="AE691">
        <v>85</v>
      </c>
      <c r="AF691">
        <v>2</v>
      </c>
      <c r="AG691">
        <v>85</v>
      </c>
      <c r="AH691">
        <v>2</v>
      </c>
    </row>
    <row r="692" spans="1:34">
      <c r="A692" t="s">
        <v>2146</v>
      </c>
      <c r="B692" s="24">
        <v>1813</v>
      </c>
      <c r="C692" s="24" t="s">
        <v>2147</v>
      </c>
      <c r="D692" s="24" t="s">
        <v>2148</v>
      </c>
      <c r="E692" s="93">
        <v>90</v>
      </c>
      <c r="F692" s="94">
        <v>4</v>
      </c>
      <c r="G692" s="94">
        <v>85</v>
      </c>
      <c r="H692" s="94">
        <v>4</v>
      </c>
      <c r="I692" s="94">
        <v>82</v>
      </c>
      <c r="J692" s="94">
        <v>4</v>
      </c>
      <c r="K692" s="94">
        <v>90</v>
      </c>
      <c r="L692" s="94">
        <v>2</v>
      </c>
      <c r="M692" s="94">
        <v>80</v>
      </c>
      <c r="N692" s="94">
        <v>2</v>
      </c>
      <c r="O692" s="94">
        <v>83</v>
      </c>
      <c r="P692" s="94">
        <v>2</v>
      </c>
      <c r="Q692">
        <v>91</v>
      </c>
      <c r="R692">
        <v>2</v>
      </c>
      <c r="S692">
        <v>86</v>
      </c>
      <c r="T692">
        <v>2</v>
      </c>
      <c r="U692">
        <v>80</v>
      </c>
      <c r="V692">
        <v>2</v>
      </c>
      <c r="W692">
        <v>91</v>
      </c>
      <c r="X692">
        <v>2</v>
      </c>
      <c r="Y692">
        <v>80</v>
      </c>
      <c r="Z692">
        <v>1</v>
      </c>
      <c r="AA692">
        <v>93</v>
      </c>
      <c r="AB692">
        <v>1</v>
      </c>
      <c r="AC692">
        <v>70</v>
      </c>
      <c r="AD692">
        <v>1</v>
      </c>
      <c r="AE692">
        <v>90</v>
      </c>
      <c r="AF692">
        <v>2</v>
      </c>
      <c r="AG692">
        <v>86</v>
      </c>
      <c r="AH692">
        <v>2</v>
      </c>
    </row>
    <row r="693" spans="1:34">
      <c r="A693" t="s">
        <v>2149</v>
      </c>
      <c r="B693" s="24">
        <v>1813</v>
      </c>
      <c r="C693" s="24" t="s">
        <v>2150</v>
      </c>
      <c r="D693" s="24" t="s">
        <v>2151</v>
      </c>
      <c r="E693" s="93">
        <v>85</v>
      </c>
      <c r="F693" s="94">
        <v>4</v>
      </c>
      <c r="G693" s="94">
        <v>85</v>
      </c>
      <c r="H693" s="94">
        <v>4</v>
      </c>
      <c r="I693" s="94">
        <v>90</v>
      </c>
      <c r="J693" s="94">
        <v>4</v>
      </c>
      <c r="K693" s="94">
        <v>84</v>
      </c>
      <c r="L693" s="94">
        <v>2</v>
      </c>
      <c r="M693" s="94">
        <v>80</v>
      </c>
      <c r="N693" s="94">
        <v>2</v>
      </c>
      <c r="O693" s="94">
        <v>84</v>
      </c>
      <c r="P693" s="94">
        <v>2</v>
      </c>
      <c r="Q693">
        <v>98</v>
      </c>
      <c r="R693">
        <v>2</v>
      </c>
      <c r="S693">
        <v>82</v>
      </c>
      <c r="T693">
        <v>2</v>
      </c>
      <c r="U693">
        <v>78</v>
      </c>
      <c r="V693">
        <v>2</v>
      </c>
      <c r="W693">
        <v>90</v>
      </c>
      <c r="X693">
        <v>2</v>
      </c>
      <c r="Y693">
        <v>81</v>
      </c>
      <c r="Z693">
        <v>1</v>
      </c>
      <c r="AA693">
        <v>93</v>
      </c>
      <c r="AB693">
        <v>1</v>
      </c>
      <c r="AC693">
        <v>80</v>
      </c>
      <c r="AD693">
        <v>1</v>
      </c>
      <c r="AE693">
        <v>90</v>
      </c>
      <c r="AF693">
        <v>2</v>
      </c>
      <c r="AG693">
        <v>87</v>
      </c>
      <c r="AH693">
        <v>2</v>
      </c>
    </row>
    <row r="694" spans="1:34">
      <c r="A694" t="s">
        <v>2152</v>
      </c>
      <c r="B694" s="24">
        <v>1813</v>
      </c>
      <c r="C694" s="24" t="s">
        <v>2153</v>
      </c>
      <c r="D694" s="24" t="s">
        <v>2154</v>
      </c>
      <c r="E694" s="93">
        <v>92</v>
      </c>
      <c r="F694" s="94">
        <v>4</v>
      </c>
      <c r="G694" s="94">
        <v>95</v>
      </c>
      <c r="H694" s="94">
        <v>4</v>
      </c>
      <c r="I694" s="94">
        <v>95</v>
      </c>
      <c r="J694" s="94">
        <v>4</v>
      </c>
      <c r="K694" s="94">
        <v>95</v>
      </c>
      <c r="L694" s="94">
        <v>2</v>
      </c>
      <c r="M694" s="94">
        <v>95</v>
      </c>
      <c r="N694" s="94">
        <v>2</v>
      </c>
      <c r="O694" s="94">
        <v>88</v>
      </c>
      <c r="P694" s="94">
        <v>2</v>
      </c>
      <c r="Q694">
        <v>83</v>
      </c>
      <c r="R694">
        <v>2</v>
      </c>
      <c r="S694">
        <v>72</v>
      </c>
      <c r="T694">
        <v>2</v>
      </c>
      <c r="U694">
        <v>77</v>
      </c>
      <c r="V694">
        <v>2</v>
      </c>
      <c r="W694">
        <v>98</v>
      </c>
      <c r="X694">
        <v>2</v>
      </c>
      <c r="Y694">
        <v>78</v>
      </c>
      <c r="Z694">
        <v>1</v>
      </c>
      <c r="AA694">
        <v>93</v>
      </c>
      <c r="AB694">
        <v>1</v>
      </c>
      <c r="AC694">
        <v>70</v>
      </c>
      <c r="AD694">
        <v>1</v>
      </c>
      <c r="AE694">
        <v>89</v>
      </c>
      <c r="AF694">
        <v>2</v>
      </c>
      <c r="AG694">
        <v>88</v>
      </c>
      <c r="AH694">
        <v>2</v>
      </c>
    </row>
    <row r="695" spans="1:34">
      <c r="A695" t="s">
        <v>1715</v>
      </c>
      <c r="B695" s="24">
        <v>1813</v>
      </c>
      <c r="C695" s="24" t="s">
        <v>2156</v>
      </c>
      <c r="D695" s="24" t="s">
        <v>1717</v>
      </c>
      <c r="E695" s="93">
        <v>96</v>
      </c>
      <c r="F695" s="94">
        <v>4</v>
      </c>
      <c r="G695" s="94">
        <v>92</v>
      </c>
      <c r="H695" s="94">
        <v>4</v>
      </c>
      <c r="I695" s="94">
        <v>90</v>
      </c>
      <c r="J695" s="94">
        <v>4</v>
      </c>
      <c r="K695" s="94">
        <v>90</v>
      </c>
      <c r="L695" s="94">
        <v>2</v>
      </c>
      <c r="M695" s="94">
        <v>90</v>
      </c>
      <c r="N695" s="94">
        <v>2</v>
      </c>
      <c r="O695" s="94">
        <v>86</v>
      </c>
      <c r="P695" s="94">
        <v>2</v>
      </c>
      <c r="Q695">
        <v>80</v>
      </c>
      <c r="R695">
        <v>2</v>
      </c>
      <c r="S695">
        <v>84</v>
      </c>
      <c r="T695">
        <v>2</v>
      </c>
      <c r="U695">
        <v>83</v>
      </c>
      <c r="V695">
        <v>2</v>
      </c>
      <c r="W695">
        <v>90</v>
      </c>
      <c r="X695">
        <v>2</v>
      </c>
      <c r="Y695">
        <v>81</v>
      </c>
      <c r="Z695">
        <v>1</v>
      </c>
      <c r="AA695">
        <v>93</v>
      </c>
      <c r="AB695">
        <v>1</v>
      </c>
      <c r="AC695">
        <v>80</v>
      </c>
      <c r="AD695">
        <v>1</v>
      </c>
      <c r="AE695">
        <v>50</v>
      </c>
      <c r="AF695">
        <v>1</v>
      </c>
      <c r="AG695">
        <v>88</v>
      </c>
      <c r="AH695">
        <v>2</v>
      </c>
    </row>
    <row r="696" spans="1:34">
      <c r="A696" t="s">
        <v>2157</v>
      </c>
      <c r="B696" s="24">
        <v>1813</v>
      </c>
      <c r="C696" s="24" t="s">
        <v>2158</v>
      </c>
      <c r="D696" s="24" t="s">
        <v>2159</v>
      </c>
      <c r="E696" s="93">
        <v>80</v>
      </c>
      <c r="F696" s="94">
        <v>4</v>
      </c>
      <c r="G696" s="94">
        <v>86</v>
      </c>
      <c r="H696" s="94">
        <v>4</v>
      </c>
      <c r="I696" s="94">
        <v>86</v>
      </c>
      <c r="J696" s="94">
        <v>4</v>
      </c>
      <c r="K696" s="94">
        <v>83</v>
      </c>
      <c r="L696" s="94">
        <v>2</v>
      </c>
      <c r="M696" s="94">
        <v>80</v>
      </c>
      <c r="N696" s="94">
        <v>2</v>
      </c>
      <c r="O696" s="94">
        <v>86</v>
      </c>
      <c r="P696" s="94">
        <v>2</v>
      </c>
      <c r="Q696">
        <v>83</v>
      </c>
      <c r="R696">
        <v>2</v>
      </c>
      <c r="S696">
        <v>80</v>
      </c>
      <c r="T696">
        <v>2</v>
      </c>
      <c r="U696">
        <v>70</v>
      </c>
      <c r="V696">
        <v>2</v>
      </c>
      <c r="W696">
        <v>83</v>
      </c>
      <c r="X696">
        <v>2</v>
      </c>
      <c r="Y696">
        <v>82</v>
      </c>
      <c r="Z696">
        <v>1</v>
      </c>
      <c r="AA696">
        <v>93</v>
      </c>
      <c r="AB696">
        <v>1</v>
      </c>
      <c r="AC696">
        <v>85</v>
      </c>
      <c r="AD696">
        <v>1</v>
      </c>
      <c r="AE696">
        <v>87</v>
      </c>
      <c r="AF696">
        <v>2</v>
      </c>
      <c r="AG696">
        <v>82</v>
      </c>
      <c r="AH696">
        <v>2</v>
      </c>
    </row>
    <row r="697" spans="1:34">
      <c r="A697">
        <v>20183003</v>
      </c>
      <c r="B697" s="24">
        <v>1813</v>
      </c>
      <c r="C697" s="24" t="s">
        <v>2160</v>
      </c>
      <c r="D697" s="24" t="s">
        <v>2161</v>
      </c>
      <c r="E697" s="93">
        <v>70</v>
      </c>
      <c r="F697" s="94">
        <v>4</v>
      </c>
      <c r="G697" s="94">
        <v>85</v>
      </c>
      <c r="H697" s="94">
        <v>4</v>
      </c>
      <c r="I697" s="94">
        <v>83</v>
      </c>
      <c r="J697" s="94">
        <v>4</v>
      </c>
      <c r="K697" s="94">
        <v>84</v>
      </c>
      <c r="L697" s="94">
        <v>2</v>
      </c>
      <c r="M697" s="94">
        <v>85</v>
      </c>
      <c r="N697" s="94">
        <v>2</v>
      </c>
      <c r="O697" s="94">
        <v>83</v>
      </c>
      <c r="P697" s="94">
        <v>2</v>
      </c>
      <c r="Q697">
        <v>98</v>
      </c>
      <c r="R697">
        <v>2</v>
      </c>
      <c r="S697">
        <v>89</v>
      </c>
      <c r="T697">
        <v>2</v>
      </c>
      <c r="U697">
        <v>83</v>
      </c>
      <c r="V697">
        <v>2</v>
      </c>
      <c r="W697">
        <v>86</v>
      </c>
      <c r="X697">
        <v>2</v>
      </c>
      <c r="Y697">
        <v>80</v>
      </c>
      <c r="Z697">
        <v>1</v>
      </c>
      <c r="AA697">
        <v>93</v>
      </c>
      <c r="AB697">
        <v>1</v>
      </c>
      <c r="AC697">
        <v>81</v>
      </c>
      <c r="AD697">
        <v>1</v>
      </c>
      <c r="AE697">
        <v>50</v>
      </c>
      <c r="AF697">
        <v>1</v>
      </c>
      <c r="AG697">
        <v>83</v>
      </c>
      <c r="AH697">
        <v>2</v>
      </c>
    </row>
    <row r="698" spans="1:34">
      <c r="A698" t="s">
        <v>2162</v>
      </c>
      <c r="B698" s="24">
        <v>1813</v>
      </c>
      <c r="C698" s="24" t="s">
        <v>2163</v>
      </c>
      <c r="D698" s="24" t="s">
        <v>123</v>
      </c>
      <c r="E698" s="93">
        <v>96</v>
      </c>
      <c r="F698" s="94">
        <v>4</v>
      </c>
      <c r="G698" s="94">
        <v>92</v>
      </c>
      <c r="H698" s="94">
        <v>4</v>
      </c>
      <c r="I698" s="94">
        <v>95</v>
      </c>
      <c r="J698" s="94">
        <v>4</v>
      </c>
      <c r="K698" s="94">
        <v>91</v>
      </c>
      <c r="L698" s="94">
        <v>2</v>
      </c>
      <c r="M698" s="94">
        <v>95</v>
      </c>
      <c r="N698" s="94">
        <v>2</v>
      </c>
      <c r="O698" s="94">
        <v>84</v>
      </c>
      <c r="P698" s="94">
        <v>2</v>
      </c>
      <c r="Q698">
        <v>89</v>
      </c>
      <c r="R698">
        <v>2</v>
      </c>
      <c r="S698">
        <v>80</v>
      </c>
      <c r="T698">
        <v>2</v>
      </c>
      <c r="U698">
        <v>80</v>
      </c>
      <c r="V698">
        <v>2</v>
      </c>
      <c r="W698">
        <v>92</v>
      </c>
      <c r="X698">
        <v>2</v>
      </c>
      <c r="Y698">
        <v>78</v>
      </c>
      <c r="Z698">
        <v>1</v>
      </c>
      <c r="AA698">
        <v>93</v>
      </c>
      <c r="AB698">
        <v>1</v>
      </c>
      <c r="AC698">
        <v>80</v>
      </c>
      <c r="AD698">
        <v>1</v>
      </c>
      <c r="AE698">
        <v>89</v>
      </c>
      <c r="AF698">
        <v>2</v>
      </c>
      <c r="AG698">
        <v>89</v>
      </c>
      <c r="AH698">
        <v>2</v>
      </c>
    </row>
    <row r="699" spans="1:34">
      <c r="A699" t="s">
        <v>2164</v>
      </c>
      <c r="B699" s="24">
        <v>1813</v>
      </c>
      <c r="C699" s="24" t="s">
        <v>2165</v>
      </c>
      <c r="D699" s="24" t="s">
        <v>2166</v>
      </c>
      <c r="E699" s="93">
        <v>80</v>
      </c>
      <c r="F699" s="94">
        <v>4</v>
      </c>
      <c r="G699" s="94">
        <v>88</v>
      </c>
      <c r="H699" s="94">
        <v>4</v>
      </c>
      <c r="I699" s="94">
        <v>90</v>
      </c>
      <c r="J699" s="94">
        <v>4</v>
      </c>
      <c r="K699" s="94">
        <v>90</v>
      </c>
      <c r="L699" s="94">
        <v>2</v>
      </c>
      <c r="M699" s="94">
        <v>90</v>
      </c>
      <c r="N699" s="94">
        <v>2</v>
      </c>
      <c r="O699" s="94">
        <v>85</v>
      </c>
      <c r="P699" s="94">
        <v>2</v>
      </c>
      <c r="Q699">
        <v>83</v>
      </c>
      <c r="R699">
        <v>2</v>
      </c>
      <c r="S699">
        <v>83</v>
      </c>
      <c r="T699">
        <v>2</v>
      </c>
      <c r="U699">
        <v>76</v>
      </c>
      <c r="V699">
        <v>2</v>
      </c>
      <c r="W699">
        <v>90</v>
      </c>
      <c r="X699">
        <v>2</v>
      </c>
      <c r="Y699">
        <v>79</v>
      </c>
      <c r="Z699">
        <v>1</v>
      </c>
      <c r="AA699">
        <v>93</v>
      </c>
      <c r="AB699">
        <v>1</v>
      </c>
      <c r="AC699">
        <v>80</v>
      </c>
      <c r="AD699">
        <v>1</v>
      </c>
      <c r="AE699">
        <v>86</v>
      </c>
      <c r="AF699">
        <v>2</v>
      </c>
      <c r="AG699">
        <v>89</v>
      </c>
      <c r="AH699">
        <v>2</v>
      </c>
    </row>
    <row r="700" spans="1:34">
      <c r="A700" t="s">
        <v>2167</v>
      </c>
      <c r="B700" s="24">
        <v>1813</v>
      </c>
      <c r="C700" s="24" t="s">
        <v>2168</v>
      </c>
      <c r="D700" s="24" t="s">
        <v>2169</v>
      </c>
      <c r="E700" s="93">
        <v>85</v>
      </c>
      <c r="F700" s="94">
        <v>4</v>
      </c>
      <c r="G700" s="94">
        <v>86</v>
      </c>
      <c r="H700" s="94">
        <v>4</v>
      </c>
      <c r="I700" s="94">
        <v>90</v>
      </c>
      <c r="J700" s="94">
        <v>4</v>
      </c>
      <c r="K700" s="94">
        <v>88</v>
      </c>
      <c r="L700" s="94">
        <v>2</v>
      </c>
      <c r="M700" s="94">
        <v>90</v>
      </c>
      <c r="N700" s="94">
        <v>2</v>
      </c>
      <c r="O700" s="94">
        <v>86</v>
      </c>
      <c r="P700" s="94">
        <v>2</v>
      </c>
      <c r="Q700">
        <v>89</v>
      </c>
      <c r="R700">
        <v>2</v>
      </c>
      <c r="S700">
        <v>98</v>
      </c>
      <c r="T700">
        <v>2</v>
      </c>
      <c r="U700">
        <v>88</v>
      </c>
      <c r="V700">
        <v>2</v>
      </c>
      <c r="W700">
        <v>87</v>
      </c>
      <c r="X700">
        <v>2</v>
      </c>
      <c r="Y700">
        <v>76</v>
      </c>
      <c r="Z700">
        <v>1</v>
      </c>
      <c r="AA700">
        <v>93</v>
      </c>
      <c r="AB700">
        <v>1</v>
      </c>
      <c r="AC700">
        <v>60</v>
      </c>
      <c r="AD700">
        <v>1</v>
      </c>
      <c r="AE700">
        <v>89</v>
      </c>
      <c r="AF700">
        <v>2</v>
      </c>
      <c r="AG700">
        <v>90</v>
      </c>
      <c r="AH700">
        <v>2</v>
      </c>
    </row>
    <row r="701" spans="1:34">
      <c r="A701" t="s">
        <v>2170</v>
      </c>
      <c r="B701" s="24">
        <v>1813</v>
      </c>
      <c r="C701" s="24" t="s">
        <v>2171</v>
      </c>
      <c r="D701" s="24" t="s">
        <v>2172</v>
      </c>
      <c r="E701" s="93">
        <v>92</v>
      </c>
      <c r="F701" s="94">
        <v>4</v>
      </c>
      <c r="G701" s="94">
        <v>92</v>
      </c>
      <c r="H701" s="94">
        <v>4</v>
      </c>
      <c r="I701" s="94">
        <v>95</v>
      </c>
      <c r="J701" s="94">
        <v>4</v>
      </c>
      <c r="K701" s="94">
        <v>88</v>
      </c>
      <c r="L701" s="94">
        <v>2</v>
      </c>
      <c r="M701" s="94">
        <v>90</v>
      </c>
      <c r="N701" s="94">
        <v>2</v>
      </c>
      <c r="O701" s="94">
        <v>82</v>
      </c>
      <c r="P701" s="94">
        <v>2</v>
      </c>
      <c r="Q701">
        <v>81</v>
      </c>
      <c r="R701">
        <v>2</v>
      </c>
      <c r="S701">
        <v>82</v>
      </c>
      <c r="T701">
        <v>2</v>
      </c>
      <c r="U701">
        <v>77</v>
      </c>
      <c r="V701">
        <v>2</v>
      </c>
      <c r="W701">
        <v>85</v>
      </c>
      <c r="X701">
        <v>2</v>
      </c>
      <c r="Y701">
        <v>75</v>
      </c>
      <c r="Z701">
        <v>1</v>
      </c>
      <c r="AA701">
        <v>93</v>
      </c>
      <c r="AB701">
        <v>1</v>
      </c>
      <c r="AC701">
        <v>78</v>
      </c>
      <c r="AD701">
        <v>1</v>
      </c>
      <c r="AE701">
        <v>90</v>
      </c>
      <c r="AF701">
        <v>2</v>
      </c>
      <c r="AG701">
        <v>93</v>
      </c>
      <c r="AH701">
        <v>2</v>
      </c>
    </row>
    <row r="702" spans="1:34">
      <c r="A702" t="s">
        <v>2173</v>
      </c>
      <c r="B702" s="24">
        <v>1813</v>
      </c>
      <c r="C702" s="24" t="s">
        <v>2174</v>
      </c>
      <c r="D702" s="24" t="s">
        <v>2175</v>
      </c>
      <c r="E702" s="93">
        <v>70</v>
      </c>
      <c r="F702" s="94">
        <v>4</v>
      </c>
      <c r="G702" s="94">
        <v>88</v>
      </c>
      <c r="H702" s="94">
        <v>4</v>
      </c>
      <c r="I702" s="94">
        <v>88</v>
      </c>
      <c r="J702" s="94">
        <v>4</v>
      </c>
      <c r="K702" s="94">
        <v>85</v>
      </c>
      <c r="L702" s="94">
        <v>2</v>
      </c>
      <c r="M702" s="94">
        <v>85</v>
      </c>
      <c r="N702" s="94">
        <v>2</v>
      </c>
      <c r="O702" s="94">
        <v>84</v>
      </c>
      <c r="P702" s="94">
        <v>2</v>
      </c>
      <c r="Q702">
        <v>75</v>
      </c>
      <c r="R702">
        <v>2</v>
      </c>
      <c r="S702">
        <v>84</v>
      </c>
      <c r="T702">
        <v>2</v>
      </c>
      <c r="U702">
        <v>70</v>
      </c>
      <c r="V702">
        <v>2</v>
      </c>
      <c r="W702">
        <v>87</v>
      </c>
      <c r="X702">
        <v>2</v>
      </c>
      <c r="Y702">
        <v>74</v>
      </c>
      <c r="Z702">
        <v>1</v>
      </c>
      <c r="AA702">
        <v>93</v>
      </c>
      <c r="AB702">
        <v>1</v>
      </c>
      <c r="AC702">
        <v>78</v>
      </c>
      <c r="AD702">
        <v>1</v>
      </c>
      <c r="AE702">
        <v>89</v>
      </c>
      <c r="AF702">
        <v>2</v>
      </c>
      <c r="AG702">
        <v>93</v>
      </c>
      <c r="AH702">
        <v>2</v>
      </c>
    </row>
    <row r="703" spans="1:34">
      <c r="A703" t="s">
        <v>2176</v>
      </c>
      <c r="B703" s="24">
        <v>1813</v>
      </c>
      <c r="C703" s="24" t="s">
        <v>2177</v>
      </c>
      <c r="D703" s="24" t="s">
        <v>2178</v>
      </c>
      <c r="E703" s="93">
        <v>82</v>
      </c>
      <c r="F703" s="94">
        <v>4</v>
      </c>
      <c r="G703" s="94">
        <v>88</v>
      </c>
      <c r="H703" s="94">
        <v>4</v>
      </c>
      <c r="I703" s="94">
        <v>88</v>
      </c>
      <c r="J703" s="94">
        <v>4</v>
      </c>
      <c r="K703" s="94">
        <v>85</v>
      </c>
      <c r="L703" s="94">
        <v>2</v>
      </c>
      <c r="M703" s="94">
        <v>80</v>
      </c>
      <c r="N703" s="94">
        <v>2</v>
      </c>
      <c r="O703" s="94">
        <v>86</v>
      </c>
      <c r="P703" s="94">
        <v>2</v>
      </c>
      <c r="Q703">
        <v>83</v>
      </c>
      <c r="R703">
        <v>2</v>
      </c>
      <c r="S703">
        <v>80</v>
      </c>
      <c r="T703">
        <v>2</v>
      </c>
      <c r="U703">
        <v>70</v>
      </c>
      <c r="V703">
        <v>2</v>
      </c>
      <c r="W703">
        <v>94</v>
      </c>
      <c r="X703">
        <v>2</v>
      </c>
      <c r="Y703">
        <v>75</v>
      </c>
      <c r="Z703">
        <v>1</v>
      </c>
      <c r="AA703">
        <v>93</v>
      </c>
      <c r="AB703">
        <v>1</v>
      </c>
      <c r="AC703">
        <v>78</v>
      </c>
      <c r="AD703">
        <v>1</v>
      </c>
      <c r="AE703">
        <v>91</v>
      </c>
      <c r="AF703">
        <v>2</v>
      </c>
      <c r="AG703">
        <v>89</v>
      </c>
      <c r="AH703">
        <v>2</v>
      </c>
    </row>
    <row r="704" spans="1:34">
      <c r="A704" t="s">
        <v>2179</v>
      </c>
      <c r="B704" s="24">
        <v>1813</v>
      </c>
      <c r="C704" s="24" t="s">
        <v>2180</v>
      </c>
      <c r="D704" s="24" t="s">
        <v>2181</v>
      </c>
      <c r="E704" s="93">
        <v>85</v>
      </c>
      <c r="F704" s="94">
        <v>4</v>
      </c>
      <c r="G704" s="94">
        <v>90</v>
      </c>
      <c r="H704" s="94">
        <v>4</v>
      </c>
      <c r="I704" s="94">
        <v>90</v>
      </c>
      <c r="J704" s="94">
        <v>4</v>
      </c>
      <c r="K704" s="94">
        <v>95</v>
      </c>
      <c r="L704" s="94">
        <v>2</v>
      </c>
      <c r="M704" s="94">
        <v>95</v>
      </c>
      <c r="N704" s="94">
        <v>2</v>
      </c>
      <c r="O704" s="94">
        <v>90</v>
      </c>
      <c r="P704" s="94">
        <v>2</v>
      </c>
      <c r="Q704">
        <v>75</v>
      </c>
      <c r="R704">
        <v>2</v>
      </c>
      <c r="S704">
        <v>84</v>
      </c>
      <c r="T704">
        <v>2</v>
      </c>
      <c r="U704">
        <v>70</v>
      </c>
      <c r="V704">
        <v>2</v>
      </c>
      <c r="W704">
        <v>84</v>
      </c>
      <c r="X704">
        <v>2</v>
      </c>
      <c r="Y704">
        <v>74</v>
      </c>
      <c r="Z704">
        <v>1</v>
      </c>
      <c r="AA704">
        <v>93</v>
      </c>
      <c r="AB704">
        <v>1</v>
      </c>
      <c r="AC704">
        <v>70</v>
      </c>
      <c r="AD704">
        <v>1</v>
      </c>
      <c r="AE704">
        <v>89</v>
      </c>
      <c r="AF704">
        <v>2</v>
      </c>
      <c r="AG704">
        <v>90</v>
      </c>
      <c r="AH704">
        <v>2</v>
      </c>
    </row>
    <row r="705" spans="1:34">
      <c r="A705" t="s">
        <v>2182</v>
      </c>
      <c r="B705" s="24">
        <v>1813</v>
      </c>
      <c r="C705" s="24" t="s">
        <v>2183</v>
      </c>
      <c r="D705" s="24" t="s">
        <v>2184</v>
      </c>
      <c r="E705" s="93">
        <v>95</v>
      </c>
      <c r="F705" s="94">
        <v>4</v>
      </c>
      <c r="G705" s="94">
        <v>90</v>
      </c>
      <c r="H705" s="94">
        <v>4</v>
      </c>
      <c r="I705" s="94">
        <v>95</v>
      </c>
      <c r="J705" s="94">
        <v>4</v>
      </c>
      <c r="K705" s="94">
        <v>89</v>
      </c>
      <c r="L705" s="94">
        <v>2</v>
      </c>
      <c r="M705" s="94">
        <v>90</v>
      </c>
      <c r="N705" s="94">
        <v>2</v>
      </c>
      <c r="O705" s="94">
        <v>84</v>
      </c>
      <c r="P705" s="94">
        <v>2</v>
      </c>
      <c r="Q705">
        <v>89</v>
      </c>
      <c r="R705">
        <v>2</v>
      </c>
      <c r="S705">
        <v>82</v>
      </c>
      <c r="T705">
        <v>2</v>
      </c>
      <c r="U705">
        <v>78</v>
      </c>
      <c r="V705">
        <v>2</v>
      </c>
      <c r="W705">
        <v>98</v>
      </c>
      <c r="X705">
        <v>2</v>
      </c>
      <c r="Y705">
        <v>76</v>
      </c>
      <c r="Z705">
        <v>1</v>
      </c>
      <c r="AA705">
        <v>93</v>
      </c>
      <c r="AB705">
        <v>1</v>
      </c>
      <c r="AC705">
        <v>68</v>
      </c>
      <c r="AD705">
        <v>1</v>
      </c>
      <c r="AE705">
        <v>88</v>
      </c>
      <c r="AF705">
        <v>2</v>
      </c>
      <c r="AG705">
        <v>90</v>
      </c>
      <c r="AH705">
        <v>2</v>
      </c>
    </row>
    <row r="706" spans="1:34">
      <c r="A706" t="s">
        <v>2185</v>
      </c>
      <c r="B706" s="24">
        <v>1813</v>
      </c>
      <c r="C706" s="24" t="s">
        <v>2186</v>
      </c>
      <c r="D706" s="24" t="s">
        <v>138</v>
      </c>
      <c r="E706" s="93">
        <v>90</v>
      </c>
      <c r="F706" s="94">
        <v>4</v>
      </c>
      <c r="G706" s="94">
        <v>92</v>
      </c>
      <c r="H706" s="94">
        <v>4</v>
      </c>
      <c r="I706" s="94">
        <v>90</v>
      </c>
      <c r="J706" s="94">
        <v>4</v>
      </c>
      <c r="K706" s="94">
        <v>89</v>
      </c>
      <c r="L706" s="94">
        <v>2</v>
      </c>
      <c r="M706" s="94">
        <v>85</v>
      </c>
      <c r="N706" s="94">
        <v>2</v>
      </c>
      <c r="O706" s="94">
        <v>86</v>
      </c>
      <c r="P706" s="94">
        <v>2</v>
      </c>
      <c r="Q706">
        <v>98</v>
      </c>
      <c r="R706">
        <v>2</v>
      </c>
      <c r="S706">
        <v>80</v>
      </c>
      <c r="T706">
        <v>2</v>
      </c>
      <c r="U706">
        <v>78</v>
      </c>
      <c r="V706">
        <v>2</v>
      </c>
      <c r="W706">
        <v>91</v>
      </c>
      <c r="X706">
        <v>2</v>
      </c>
      <c r="Y706">
        <v>65</v>
      </c>
      <c r="Z706">
        <v>1</v>
      </c>
      <c r="AA706">
        <v>93</v>
      </c>
      <c r="AB706">
        <v>1</v>
      </c>
      <c r="AC706">
        <v>72</v>
      </c>
      <c r="AD706">
        <v>1</v>
      </c>
      <c r="AE706">
        <v>85</v>
      </c>
      <c r="AF706">
        <v>2</v>
      </c>
      <c r="AG706">
        <v>82</v>
      </c>
      <c r="AH706">
        <v>2</v>
      </c>
    </row>
    <row r="707" spans="1:34">
      <c r="A707" t="s">
        <v>2187</v>
      </c>
      <c r="B707" s="24">
        <v>1813</v>
      </c>
      <c r="C707" s="24" t="s">
        <v>2188</v>
      </c>
      <c r="D707" s="24" t="s">
        <v>2189</v>
      </c>
      <c r="E707" s="93">
        <v>91</v>
      </c>
      <c r="F707" s="94">
        <v>4</v>
      </c>
      <c r="G707" s="94">
        <v>88</v>
      </c>
      <c r="H707" s="94">
        <v>4</v>
      </c>
      <c r="I707" s="94">
        <v>88</v>
      </c>
      <c r="J707" s="94">
        <v>4</v>
      </c>
      <c r="K707" s="94">
        <v>83</v>
      </c>
      <c r="L707" s="94">
        <v>2</v>
      </c>
      <c r="M707" s="94">
        <v>80</v>
      </c>
      <c r="N707" s="94">
        <v>2</v>
      </c>
      <c r="O707" s="94">
        <v>82</v>
      </c>
      <c r="P707" s="94">
        <v>2</v>
      </c>
      <c r="Q707">
        <v>86</v>
      </c>
      <c r="R707">
        <v>2</v>
      </c>
      <c r="S707">
        <v>80</v>
      </c>
      <c r="T707">
        <v>2</v>
      </c>
      <c r="U707">
        <v>70</v>
      </c>
      <c r="V707">
        <v>2</v>
      </c>
      <c r="W707">
        <v>85</v>
      </c>
      <c r="X707">
        <v>2</v>
      </c>
      <c r="Y707">
        <v>78</v>
      </c>
      <c r="Z707">
        <v>1</v>
      </c>
      <c r="AA707">
        <v>93</v>
      </c>
      <c r="AB707">
        <v>1</v>
      </c>
      <c r="AC707">
        <v>80</v>
      </c>
      <c r="AD707">
        <v>1</v>
      </c>
      <c r="AE707">
        <v>90</v>
      </c>
      <c r="AF707">
        <v>2</v>
      </c>
      <c r="AG707">
        <v>86</v>
      </c>
      <c r="AH707">
        <v>2</v>
      </c>
    </row>
    <row r="708" spans="1:34">
      <c r="A708" t="s">
        <v>2190</v>
      </c>
      <c r="B708" s="24">
        <v>1813</v>
      </c>
      <c r="C708" s="24" t="s">
        <v>2191</v>
      </c>
      <c r="D708" s="24" t="s">
        <v>2192</v>
      </c>
      <c r="E708" s="93">
        <v>86</v>
      </c>
      <c r="F708" s="94">
        <v>4</v>
      </c>
      <c r="G708" s="94">
        <v>90</v>
      </c>
      <c r="H708" s="94">
        <v>4</v>
      </c>
      <c r="I708" s="94">
        <v>88</v>
      </c>
      <c r="J708" s="94">
        <v>4</v>
      </c>
      <c r="K708" s="94">
        <v>86</v>
      </c>
      <c r="L708" s="94">
        <v>2</v>
      </c>
      <c r="M708" s="94">
        <v>88</v>
      </c>
      <c r="N708" s="94">
        <v>2</v>
      </c>
      <c r="O708" s="94">
        <v>90</v>
      </c>
      <c r="P708" s="94">
        <v>2</v>
      </c>
      <c r="Q708">
        <v>88</v>
      </c>
      <c r="R708">
        <v>2</v>
      </c>
      <c r="S708">
        <v>80</v>
      </c>
      <c r="T708">
        <v>2</v>
      </c>
      <c r="U708">
        <v>70</v>
      </c>
      <c r="V708">
        <v>2</v>
      </c>
      <c r="W708">
        <v>91</v>
      </c>
      <c r="X708">
        <v>2</v>
      </c>
      <c r="Y708">
        <v>73</v>
      </c>
      <c r="Z708">
        <v>1</v>
      </c>
      <c r="AA708">
        <v>93</v>
      </c>
      <c r="AB708">
        <v>1</v>
      </c>
      <c r="AC708">
        <v>78</v>
      </c>
      <c r="AD708">
        <v>1</v>
      </c>
      <c r="AE708">
        <v>87</v>
      </c>
      <c r="AF708">
        <v>2</v>
      </c>
      <c r="AG708">
        <v>87</v>
      </c>
      <c r="AH708">
        <v>2</v>
      </c>
    </row>
    <row r="709" spans="1:34">
      <c r="A709" t="s">
        <v>2193</v>
      </c>
      <c r="B709" s="24">
        <v>1813</v>
      </c>
      <c r="C709" s="24" t="s">
        <v>2194</v>
      </c>
      <c r="D709" s="24" t="s">
        <v>2195</v>
      </c>
      <c r="E709" s="93">
        <v>90</v>
      </c>
      <c r="F709" s="94">
        <v>4</v>
      </c>
      <c r="G709" s="94">
        <v>88</v>
      </c>
      <c r="H709" s="94">
        <v>4</v>
      </c>
      <c r="I709" s="94">
        <v>88</v>
      </c>
      <c r="J709" s="94">
        <v>4</v>
      </c>
      <c r="K709" s="94">
        <v>91</v>
      </c>
      <c r="L709" s="94">
        <v>2</v>
      </c>
      <c r="M709" s="94">
        <v>95</v>
      </c>
      <c r="N709" s="94">
        <v>2</v>
      </c>
      <c r="O709" s="94">
        <v>90</v>
      </c>
      <c r="P709" s="94">
        <v>2</v>
      </c>
      <c r="Q709">
        <v>88</v>
      </c>
      <c r="R709">
        <v>2</v>
      </c>
      <c r="S709">
        <v>80</v>
      </c>
      <c r="T709">
        <v>2</v>
      </c>
      <c r="U709">
        <v>81</v>
      </c>
      <c r="V709">
        <v>2</v>
      </c>
      <c r="W709">
        <v>83</v>
      </c>
      <c r="X709">
        <v>2</v>
      </c>
      <c r="Y709">
        <v>60</v>
      </c>
      <c r="Z709">
        <v>1</v>
      </c>
      <c r="AA709">
        <v>93</v>
      </c>
      <c r="AB709">
        <v>1</v>
      </c>
      <c r="AC709">
        <v>88</v>
      </c>
      <c r="AD709">
        <v>1</v>
      </c>
      <c r="AE709">
        <v>50</v>
      </c>
      <c r="AF709">
        <v>1</v>
      </c>
      <c r="AG709">
        <v>82</v>
      </c>
      <c r="AH709">
        <v>2</v>
      </c>
    </row>
    <row r="710" spans="1:34">
      <c r="A710" t="s">
        <v>2196</v>
      </c>
      <c r="B710" s="24">
        <v>1813</v>
      </c>
      <c r="C710" s="24" t="s">
        <v>2197</v>
      </c>
      <c r="D710" s="24" t="s">
        <v>2198</v>
      </c>
      <c r="E710" s="93">
        <v>84</v>
      </c>
      <c r="F710" s="94">
        <v>4</v>
      </c>
      <c r="G710" s="94">
        <v>92</v>
      </c>
      <c r="H710" s="94">
        <v>4</v>
      </c>
      <c r="I710" s="94">
        <v>90</v>
      </c>
      <c r="J710" s="94">
        <v>4</v>
      </c>
      <c r="K710" s="94">
        <v>94</v>
      </c>
      <c r="L710" s="94">
        <v>2</v>
      </c>
      <c r="M710" s="94">
        <v>95</v>
      </c>
      <c r="N710" s="94">
        <v>2</v>
      </c>
      <c r="O710" s="94">
        <v>86</v>
      </c>
      <c r="P710" s="94">
        <v>2</v>
      </c>
      <c r="Q710">
        <v>98</v>
      </c>
      <c r="R710">
        <v>2</v>
      </c>
      <c r="S710">
        <v>90</v>
      </c>
      <c r="T710">
        <v>2</v>
      </c>
      <c r="U710">
        <v>81</v>
      </c>
      <c r="V710">
        <v>2</v>
      </c>
      <c r="W710">
        <v>97</v>
      </c>
      <c r="X710">
        <v>2</v>
      </c>
      <c r="Y710">
        <v>68</v>
      </c>
      <c r="Z710">
        <v>1</v>
      </c>
      <c r="AA710">
        <v>93</v>
      </c>
      <c r="AB710">
        <v>1</v>
      </c>
      <c r="AC710">
        <v>86</v>
      </c>
      <c r="AD710">
        <v>1</v>
      </c>
      <c r="AE710">
        <v>92</v>
      </c>
      <c r="AF710">
        <v>2</v>
      </c>
      <c r="AG710">
        <v>90</v>
      </c>
      <c r="AH710">
        <v>2</v>
      </c>
    </row>
    <row r="711" spans="1:34">
      <c r="A711" t="s">
        <v>2199</v>
      </c>
      <c r="B711" s="24">
        <v>1813</v>
      </c>
      <c r="C711" s="24" t="s">
        <v>2200</v>
      </c>
      <c r="D711" s="24" t="s">
        <v>2201</v>
      </c>
      <c r="E711" s="93">
        <v>85</v>
      </c>
      <c r="F711" s="94">
        <v>4</v>
      </c>
      <c r="G711" s="94">
        <v>90</v>
      </c>
      <c r="H711" s="94">
        <v>4</v>
      </c>
      <c r="I711" s="94">
        <v>95</v>
      </c>
      <c r="J711" s="94">
        <v>4</v>
      </c>
      <c r="K711" s="94">
        <v>85</v>
      </c>
      <c r="L711" s="94">
        <v>2</v>
      </c>
      <c r="M711" s="94">
        <v>88</v>
      </c>
      <c r="N711" s="94">
        <v>2</v>
      </c>
      <c r="O711" s="94">
        <v>84</v>
      </c>
      <c r="P711" s="94">
        <v>2</v>
      </c>
      <c r="Q711">
        <v>88</v>
      </c>
      <c r="R711">
        <v>2</v>
      </c>
      <c r="S711">
        <v>84</v>
      </c>
      <c r="T711">
        <v>2</v>
      </c>
      <c r="U711">
        <v>71</v>
      </c>
      <c r="V711">
        <v>2</v>
      </c>
      <c r="W711">
        <v>91</v>
      </c>
      <c r="X711">
        <v>2</v>
      </c>
      <c r="Y711">
        <v>88</v>
      </c>
      <c r="Z711">
        <v>1</v>
      </c>
      <c r="AA711">
        <v>93</v>
      </c>
      <c r="AB711">
        <v>1</v>
      </c>
      <c r="AC711">
        <v>76</v>
      </c>
      <c r="AD711">
        <v>1</v>
      </c>
      <c r="AE711">
        <v>87</v>
      </c>
      <c r="AF711">
        <v>2</v>
      </c>
      <c r="AG711">
        <v>93</v>
      </c>
      <c r="AH711">
        <v>2</v>
      </c>
    </row>
    <row r="712" spans="1:34">
      <c r="A712" t="s">
        <v>2202</v>
      </c>
      <c r="B712" s="24">
        <v>1813</v>
      </c>
      <c r="C712" s="24" t="s">
        <v>2203</v>
      </c>
      <c r="D712" s="24" t="s">
        <v>107</v>
      </c>
      <c r="E712" s="93">
        <v>84</v>
      </c>
      <c r="F712" s="94">
        <v>4</v>
      </c>
      <c r="G712" s="94">
        <v>88</v>
      </c>
      <c r="H712" s="94">
        <v>4</v>
      </c>
      <c r="I712" s="94">
        <v>90</v>
      </c>
      <c r="J712" s="94">
        <v>4</v>
      </c>
      <c r="K712" s="94">
        <v>84</v>
      </c>
      <c r="L712" s="94">
        <v>2</v>
      </c>
      <c r="M712" s="94">
        <v>95</v>
      </c>
      <c r="N712" s="94">
        <v>2</v>
      </c>
      <c r="O712" s="94">
        <v>88</v>
      </c>
      <c r="P712" s="94">
        <v>2</v>
      </c>
      <c r="Q712">
        <v>83</v>
      </c>
      <c r="R712">
        <v>2</v>
      </c>
      <c r="S712">
        <v>80</v>
      </c>
      <c r="T712">
        <v>2</v>
      </c>
      <c r="U712">
        <v>70</v>
      </c>
      <c r="V712">
        <v>2</v>
      </c>
      <c r="W712">
        <v>84</v>
      </c>
      <c r="X712">
        <v>2</v>
      </c>
      <c r="Y712">
        <v>80</v>
      </c>
      <c r="Z712">
        <v>1</v>
      </c>
      <c r="AA712">
        <v>93</v>
      </c>
      <c r="AB712">
        <v>1</v>
      </c>
      <c r="AC712">
        <v>68</v>
      </c>
      <c r="AD712">
        <v>1</v>
      </c>
      <c r="AE712">
        <v>86</v>
      </c>
      <c r="AF712">
        <v>2</v>
      </c>
      <c r="AG712">
        <v>93</v>
      </c>
      <c r="AH712">
        <v>2</v>
      </c>
    </row>
    <row r="713" spans="1:34">
      <c r="A713" t="s">
        <v>2204</v>
      </c>
      <c r="B713" s="24">
        <v>1813</v>
      </c>
      <c r="C713" s="24" t="s">
        <v>2205</v>
      </c>
      <c r="D713" s="24" t="s">
        <v>2206</v>
      </c>
      <c r="E713" s="93">
        <v>80</v>
      </c>
      <c r="F713" s="94">
        <v>4</v>
      </c>
      <c r="G713" s="94">
        <v>90</v>
      </c>
      <c r="H713" s="94">
        <v>4</v>
      </c>
      <c r="I713" s="94">
        <v>88</v>
      </c>
      <c r="J713" s="94">
        <v>4</v>
      </c>
      <c r="K713" s="94">
        <v>86</v>
      </c>
      <c r="L713" s="94">
        <v>2</v>
      </c>
      <c r="M713" s="94">
        <v>88</v>
      </c>
      <c r="N713" s="94">
        <v>2</v>
      </c>
      <c r="O713" s="94">
        <v>84</v>
      </c>
      <c r="P713" s="94">
        <v>2</v>
      </c>
      <c r="Q713">
        <v>90</v>
      </c>
      <c r="R713">
        <v>2</v>
      </c>
      <c r="S713">
        <v>86</v>
      </c>
      <c r="T713">
        <v>2</v>
      </c>
      <c r="U713">
        <v>70</v>
      </c>
      <c r="V713">
        <v>2</v>
      </c>
      <c r="W713">
        <v>95</v>
      </c>
      <c r="X713">
        <v>2</v>
      </c>
      <c r="Y713">
        <v>81</v>
      </c>
      <c r="Z713">
        <v>1</v>
      </c>
      <c r="AA713">
        <v>93</v>
      </c>
      <c r="AB713">
        <v>1</v>
      </c>
      <c r="AC713">
        <v>71</v>
      </c>
      <c r="AD713">
        <v>1</v>
      </c>
      <c r="AE713">
        <v>84</v>
      </c>
      <c r="AF713">
        <v>2</v>
      </c>
      <c r="AG713">
        <v>89</v>
      </c>
      <c r="AH713">
        <v>2</v>
      </c>
    </row>
    <row r="714" spans="1:34">
      <c r="A714" t="s">
        <v>2207</v>
      </c>
      <c r="B714" s="24">
        <v>1813</v>
      </c>
      <c r="C714" s="24" t="s">
        <v>2208</v>
      </c>
      <c r="D714" s="24" t="s">
        <v>2209</v>
      </c>
      <c r="E714" s="93">
        <v>80</v>
      </c>
      <c r="F714" s="94">
        <v>4</v>
      </c>
      <c r="G714" s="94">
        <v>95</v>
      </c>
      <c r="H714" s="94">
        <v>4</v>
      </c>
      <c r="I714" s="94">
        <v>86</v>
      </c>
      <c r="J714" s="94">
        <v>4</v>
      </c>
      <c r="K714" s="94">
        <v>94</v>
      </c>
      <c r="L714" s="94">
        <v>2</v>
      </c>
      <c r="M714" s="94">
        <v>95</v>
      </c>
      <c r="N714" s="94">
        <v>2</v>
      </c>
      <c r="O714" s="94">
        <v>86</v>
      </c>
      <c r="P714" s="94">
        <v>2</v>
      </c>
      <c r="Q714">
        <v>75</v>
      </c>
      <c r="R714">
        <v>2</v>
      </c>
      <c r="S714">
        <v>80</v>
      </c>
      <c r="T714">
        <v>2</v>
      </c>
      <c r="U714">
        <v>79</v>
      </c>
      <c r="V714">
        <v>2</v>
      </c>
      <c r="W714">
        <v>90</v>
      </c>
      <c r="X714">
        <v>2</v>
      </c>
      <c r="Y714">
        <v>82</v>
      </c>
      <c r="Z714">
        <v>1</v>
      </c>
      <c r="AA714">
        <v>93</v>
      </c>
      <c r="AB714">
        <v>1</v>
      </c>
      <c r="AC714">
        <v>78</v>
      </c>
      <c r="AD714">
        <v>1</v>
      </c>
      <c r="AE714">
        <v>50</v>
      </c>
      <c r="AF714">
        <v>1</v>
      </c>
      <c r="AG714">
        <v>88</v>
      </c>
      <c r="AH714">
        <v>2</v>
      </c>
    </row>
    <row r="715" spans="1:34">
      <c r="A715" t="s">
        <v>2210</v>
      </c>
      <c r="B715" s="24">
        <v>1813</v>
      </c>
      <c r="C715" s="24" t="s">
        <v>2211</v>
      </c>
      <c r="D715" s="24" t="s">
        <v>2212</v>
      </c>
      <c r="E715" s="93">
        <v>90</v>
      </c>
      <c r="F715" s="94">
        <v>4</v>
      </c>
      <c r="G715" s="94">
        <v>90</v>
      </c>
      <c r="H715" s="94">
        <v>4</v>
      </c>
      <c r="I715" s="94">
        <v>85</v>
      </c>
      <c r="J715" s="94">
        <v>4</v>
      </c>
      <c r="K715" s="94">
        <v>82</v>
      </c>
      <c r="L715" s="94">
        <v>2</v>
      </c>
      <c r="M715" s="94">
        <v>85</v>
      </c>
      <c r="N715" s="94">
        <v>2</v>
      </c>
      <c r="O715" s="94">
        <v>82</v>
      </c>
      <c r="P715" s="94">
        <v>2</v>
      </c>
      <c r="Q715">
        <v>87</v>
      </c>
      <c r="R715">
        <v>2</v>
      </c>
      <c r="S715">
        <v>80</v>
      </c>
      <c r="T715">
        <v>2</v>
      </c>
      <c r="U715">
        <v>79</v>
      </c>
      <c r="V715">
        <v>2</v>
      </c>
      <c r="W715">
        <v>90</v>
      </c>
      <c r="X715">
        <v>2</v>
      </c>
      <c r="Y715">
        <v>80</v>
      </c>
      <c r="Z715">
        <v>1</v>
      </c>
      <c r="AA715">
        <v>93</v>
      </c>
      <c r="AB715">
        <v>1</v>
      </c>
      <c r="AC715">
        <v>60</v>
      </c>
      <c r="AD715">
        <v>1</v>
      </c>
      <c r="AE715">
        <v>91</v>
      </c>
      <c r="AF715">
        <v>2</v>
      </c>
      <c r="AG715">
        <v>89</v>
      </c>
      <c r="AH715">
        <v>2</v>
      </c>
    </row>
    <row r="716" spans="1:34">
      <c r="A716" t="s">
        <v>2213</v>
      </c>
      <c r="B716" s="24">
        <v>1813</v>
      </c>
      <c r="C716" s="24" t="s">
        <v>2214</v>
      </c>
      <c r="D716" s="24" t="s">
        <v>2215</v>
      </c>
      <c r="E716" s="93">
        <v>85</v>
      </c>
      <c r="F716" s="94">
        <v>4</v>
      </c>
      <c r="G716" s="94">
        <v>90</v>
      </c>
      <c r="H716" s="94">
        <v>4</v>
      </c>
      <c r="I716" s="94">
        <v>95</v>
      </c>
      <c r="J716" s="94">
        <v>4</v>
      </c>
      <c r="K716" s="94">
        <v>87</v>
      </c>
      <c r="L716" s="94">
        <v>2</v>
      </c>
      <c r="M716" s="94">
        <v>80</v>
      </c>
      <c r="N716" s="94">
        <v>2</v>
      </c>
      <c r="O716" s="94">
        <v>81</v>
      </c>
      <c r="P716" s="94">
        <v>2</v>
      </c>
      <c r="Q716">
        <v>88</v>
      </c>
      <c r="R716">
        <v>2</v>
      </c>
      <c r="S716">
        <v>86</v>
      </c>
      <c r="T716">
        <v>2</v>
      </c>
      <c r="U716">
        <v>70</v>
      </c>
      <c r="V716">
        <v>2</v>
      </c>
      <c r="W716">
        <v>84</v>
      </c>
      <c r="X716">
        <v>2</v>
      </c>
      <c r="Y716">
        <v>80</v>
      </c>
      <c r="Z716">
        <v>1</v>
      </c>
      <c r="AA716">
        <v>93</v>
      </c>
      <c r="AB716">
        <v>1</v>
      </c>
      <c r="AC716">
        <v>70</v>
      </c>
      <c r="AD716">
        <v>1</v>
      </c>
      <c r="AE716">
        <v>90</v>
      </c>
      <c r="AF716">
        <v>2</v>
      </c>
      <c r="AG716">
        <v>90</v>
      </c>
      <c r="AH716">
        <v>2</v>
      </c>
    </row>
    <row r="717" spans="1:34">
      <c r="A717" t="s">
        <v>2216</v>
      </c>
      <c r="B717" s="24">
        <v>1813</v>
      </c>
      <c r="C717" s="24" t="s">
        <v>2217</v>
      </c>
      <c r="D717" s="24" t="s">
        <v>2218</v>
      </c>
      <c r="E717" s="93">
        <v>92</v>
      </c>
      <c r="F717" s="94">
        <v>4</v>
      </c>
      <c r="G717" s="94">
        <v>91</v>
      </c>
      <c r="H717" s="94">
        <v>4</v>
      </c>
      <c r="I717" s="94">
        <v>85</v>
      </c>
      <c r="J717" s="94">
        <v>4</v>
      </c>
      <c r="K717" s="94">
        <v>86</v>
      </c>
      <c r="L717" s="94">
        <v>2</v>
      </c>
      <c r="M717" s="94">
        <v>88</v>
      </c>
      <c r="N717" s="94">
        <v>2</v>
      </c>
      <c r="O717" s="94">
        <v>91</v>
      </c>
      <c r="P717" s="94">
        <v>2</v>
      </c>
      <c r="Q717">
        <v>95</v>
      </c>
      <c r="R717">
        <v>2</v>
      </c>
      <c r="S717">
        <v>84</v>
      </c>
      <c r="T717">
        <v>2</v>
      </c>
      <c r="U717">
        <v>73</v>
      </c>
      <c r="V717">
        <v>2</v>
      </c>
      <c r="W717">
        <v>98</v>
      </c>
      <c r="X717">
        <v>2</v>
      </c>
      <c r="Y717">
        <v>65</v>
      </c>
      <c r="Z717">
        <v>1</v>
      </c>
      <c r="AA717">
        <v>93</v>
      </c>
      <c r="AB717">
        <v>1</v>
      </c>
      <c r="AC717">
        <v>76</v>
      </c>
      <c r="AD717">
        <v>1</v>
      </c>
      <c r="AE717">
        <v>86</v>
      </c>
      <c r="AF717">
        <v>2</v>
      </c>
      <c r="AG717">
        <v>89</v>
      </c>
      <c r="AH717">
        <v>2</v>
      </c>
    </row>
    <row r="718" spans="1:34">
      <c r="A718" t="s">
        <v>2219</v>
      </c>
      <c r="B718" s="24">
        <v>1813</v>
      </c>
      <c r="C718" s="24" t="s">
        <v>2220</v>
      </c>
      <c r="D718" s="24" t="s">
        <v>2221</v>
      </c>
      <c r="E718" s="93">
        <v>88</v>
      </c>
      <c r="F718" s="94">
        <v>4</v>
      </c>
      <c r="G718" s="94">
        <v>89</v>
      </c>
      <c r="H718" s="94">
        <v>4</v>
      </c>
      <c r="I718" s="94">
        <v>90</v>
      </c>
      <c r="J718" s="94">
        <v>4</v>
      </c>
      <c r="K718" s="94">
        <v>89</v>
      </c>
      <c r="L718" s="94">
        <v>2</v>
      </c>
      <c r="M718" s="94">
        <v>88</v>
      </c>
      <c r="N718" s="94">
        <v>2</v>
      </c>
      <c r="O718" s="94">
        <v>84</v>
      </c>
      <c r="P718" s="94">
        <v>2</v>
      </c>
      <c r="Q718">
        <v>82</v>
      </c>
      <c r="R718">
        <v>2</v>
      </c>
      <c r="S718">
        <v>80</v>
      </c>
      <c r="T718">
        <v>2</v>
      </c>
      <c r="U718">
        <v>71</v>
      </c>
      <c r="V718">
        <v>2</v>
      </c>
      <c r="W718">
        <v>90</v>
      </c>
      <c r="X718">
        <v>2</v>
      </c>
      <c r="Y718">
        <v>78</v>
      </c>
      <c r="Z718">
        <v>1</v>
      </c>
      <c r="AA718">
        <v>93</v>
      </c>
      <c r="AB718">
        <v>1</v>
      </c>
      <c r="AC718">
        <v>78</v>
      </c>
      <c r="AD718">
        <v>1</v>
      </c>
      <c r="AE718">
        <v>87</v>
      </c>
      <c r="AF718">
        <v>2</v>
      </c>
      <c r="AG718">
        <v>90</v>
      </c>
      <c r="AH718">
        <v>2</v>
      </c>
    </row>
    <row r="719" spans="1:34">
      <c r="A719" t="s">
        <v>2222</v>
      </c>
      <c r="B719" s="24">
        <v>1813</v>
      </c>
      <c r="C719" s="24" t="s">
        <v>2223</v>
      </c>
      <c r="D719" s="24" t="s">
        <v>2224</v>
      </c>
      <c r="E719" s="93">
        <v>91</v>
      </c>
      <c r="F719" s="94">
        <v>4</v>
      </c>
      <c r="G719" s="94">
        <v>86</v>
      </c>
      <c r="H719" s="94">
        <v>4</v>
      </c>
      <c r="I719" s="94">
        <v>90</v>
      </c>
      <c r="J719" s="94">
        <v>4</v>
      </c>
      <c r="K719" s="94">
        <v>82</v>
      </c>
      <c r="L719" s="94">
        <v>2</v>
      </c>
      <c r="M719" s="94">
        <v>85</v>
      </c>
      <c r="N719" s="94">
        <v>2</v>
      </c>
      <c r="O719" s="94">
        <v>86</v>
      </c>
      <c r="P719" s="94">
        <v>2</v>
      </c>
      <c r="Q719">
        <v>98</v>
      </c>
      <c r="R719">
        <v>2</v>
      </c>
      <c r="S719">
        <v>88</v>
      </c>
      <c r="T719">
        <v>2</v>
      </c>
      <c r="U719">
        <v>88</v>
      </c>
      <c r="V719">
        <v>2</v>
      </c>
      <c r="W719">
        <v>83</v>
      </c>
      <c r="X719">
        <v>2</v>
      </c>
      <c r="Y719">
        <v>81</v>
      </c>
      <c r="Z719">
        <v>1</v>
      </c>
      <c r="AA719">
        <v>93</v>
      </c>
      <c r="AB719">
        <v>1</v>
      </c>
      <c r="AC719">
        <v>80</v>
      </c>
      <c r="AD719">
        <v>1</v>
      </c>
      <c r="AE719">
        <v>88</v>
      </c>
      <c r="AF719">
        <v>2</v>
      </c>
      <c r="AG719">
        <v>90</v>
      </c>
      <c r="AH719">
        <v>2</v>
      </c>
    </row>
    <row r="720" spans="1:34">
      <c r="A720" t="s">
        <v>2225</v>
      </c>
      <c r="B720" s="24">
        <v>1813</v>
      </c>
      <c r="C720" s="24" t="s">
        <v>2226</v>
      </c>
      <c r="D720" s="24" t="s">
        <v>2227</v>
      </c>
      <c r="E720" s="93">
        <v>80</v>
      </c>
      <c r="F720" s="94">
        <v>4</v>
      </c>
      <c r="G720" s="94">
        <v>85</v>
      </c>
      <c r="H720" s="94">
        <v>4</v>
      </c>
      <c r="I720" s="94">
        <v>90</v>
      </c>
      <c r="J720" s="94">
        <v>4</v>
      </c>
      <c r="K720" s="94">
        <v>81</v>
      </c>
      <c r="L720" s="94">
        <v>2</v>
      </c>
      <c r="M720" s="94">
        <v>80</v>
      </c>
      <c r="N720" s="94">
        <v>2</v>
      </c>
      <c r="O720" s="94">
        <v>85</v>
      </c>
      <c r="P720" s="94">
        <v>2</v>
      </c>
      <c r="Q720">
        <v>87</v>
      </c>
      <c r="R720">
        <v>2</v>
      </c>
      <c r="S720">
        <v>86</v>
      </c>
      <c r="T720">
        <v>2</v>
      </c>
      <c r="U720">
        <v>70</v>
      </c>
      <c r="V720">
        <v>2</v>
      </c>
      <c r="W720">
        <v>82</v>
      </c>
      <c r="X720">
        <v>2</v>
      </c>
      <c r="Y720">
        <v>73</v>
      </c>
      <c r="Z720">
        <v>1</v>
      </c>
      <c r="AA720">
        <v>93</v>
      </c>
      <c r="AB720">
        <v>1</v>
      </c>
      <c r="AC720">
        <v>70</v>
      </c>
      <c r="AD720">
        <v>1</v>
      </c>
      <c r="AE720">
        <v>86</v>
      </c>
      <c r="AF720">
        <v>2</v>
      </c>
      <c r="AG720">
        <v>93</v>
      </c>
      <c r="AH720">
        <v>2</v>
      </c>
    </row>
    <row r="721" spans="1:34">
      <c r="A721" t="s">
        <v>2228</v>
      </c>
      <c r="B721" s="24">
        <v>1813</v>
      </c>
      <c r="C721" s="24" t="s">
        <v>2229</v>
      </c>
      <c r="D721" s="24" t="s">
        <v>2230</v>
      </c>
      <c r="E721" s="93">
        <v>85</v>
      </c>
      <c r="F721" s="94">
        <v>4</v>
      </c>
      <c r="G721" s="94">
        <v>90</v>
      </c>
      <c r="H721" s="94">
        <v>4</v>
      </c>
      <c r="I721" s="94">
        <v>95</v>
      </c>
      <c r="J721" s="94">
        <v>4</v>
      </c>
      <c r="K721" s="94">
        <v>87</v>
      </c>
      <c r="L721" s="94">
        <v>2</v>
      </c>
      <c r="M721" s="94">
        <v>88</v>
      </c>
      <c r="N721" s="94">
        <v>2</v>
      </c>
      <c r="O721" s="94">
        <v>88</v>
      </c>
      <c r="P721" s="94">
        <v>2</v>
      </c>
      <c r="Q721">
        <v>91</v>
      </c>
      <c r="R721">
        <v>2</v>
      </c>
      <c r="S721">
        <v>92</v>
      </c>
      <c r="T721">
        <v>2</v>
      </c>
      <c r="U721">
        <v>70</v>
      </c>
      <c r="V721">
        <v>2</v>
      </c>
      <c r="W721">
        <v>84</v>
      </c>
      <c r="X721">
        <v>2</v>
      </c>
      <c r="Y721">
        <v>82</v>
      </c>
      <c r="Z721">
        <v>1</v>
      </c>
      <c r="AA721">
        <v>93</v>
      </c>
      <c r="AB721">
        <v>1</v>
      </c>
      <c r="AC721">
        <v>76</v>
      </c>
      <c r="AD721">
        <v>1</v>
      </c>
      <c r="AE721">
        <v>83</v>
      </c>
      <c r="AF721">
        <v>2</v>
      </c>
      <c r="AG721">
        <v>93</v>
      </c>
      <c r="AH721">
        <v>2</v>
      </c>
    </row>
    <row r="722" spans="1:34">
      <c r="A722" t="s">
        <v>2231</v>
      </c>
      <c r="B722" s="24">
        <v>1813</v>
      </c>
      <c r="C722" s="24" t="s">
        <v>2232</v>
      </c>
      <c r="D722" s="24" t="s">
        <v>2233</v>
      </c>
      <c r="E722" s="93">
        <v>85</v>
      </c>
      <c r="F722" s="94">
        <v>4</v>
      </c>
      <c r="G722" s="94">
        <v>89</v>
      </c>
      <c r="H722" s="94">
        <v>4</v>
      </c>
      <c r="I722" s="94">
        <v>95</v>
      </c>
      <c r="J722" s="94">
        <v>4</v>
      </c>
      <c r="K722" s="94">
        <v>90</v>
      </c>
      <c r="L722" s="94">
        <v>2</v>
      </c>
      <c r="M722" s="94">
        <v>90</v>
      </c>
      <c r="N722" s="94">
        <v>2</v>
      </c>
      <c r="O722" s="94">
        <v>87</v>
      </c>
      <c r="P722" s="94">
        <v>2</v>
      </c>
      <c r="Q722">
        <v>88</v>
      </c>
      <c r="R722">
        <v>2</v>
      </c>
      <c r="S722">
        <v>82</v>
      </c>
      <c r="T722">
        <v>2</v>
      </c>
      <c r="U722">
        <v>78</v>
      </c>
      <c r="V722">
        <v>2</v>
      </c>
      <c r="W722">
        <v>92</v>
      </c>
      <c r="X722">
        <v>2</v>
      </c>
      <c r="Y722">
        <v>76</v>
      </c>
      <c r="Z722">
        <v>1</v>
      </c>
      <c r="AA722">
        <v>93</v>
      </c>
      <c r="AB722">
        <v>1</v>
      </c>
      <c r="AC722">
        <v>68</v>
      </c>
      <c r="AD722">
        <v>1</v>
      </c>
      <c r="AE722">
        <v>91</v>
      </c>
      <c r="AF722">
        <v>2</v>
      </c>
      <c r="AG722">
        <v>89</v>
      </c>
      <c r="AH722">
        <v>2</v>
      </c>
    </row>
    <row r="723" spans="1:34">
      <c r="A723" t="s">
        <v>1598</v>
      </c>
      <c r="B723" s="24">
        <v>1813</v>
      </c>
      <c r="C723" s="24" t="s">
        <v>2235</v>
      </c>
      <c r="D723" s="24" t="s">
        <v>1600</v>
      </c>
      <c r="E723" s="93">
        <v>88</v>
      </c>
      <c r="F723" s="94">
        <v>4</v>
      </c>
      <c r="G723" s="94">
        <v>90</v>
      </c>
      <c r="H723" s="94">
        <v>4</v>
      </c>
      <c r="I723" s="94">
        <v>95</v>
      </c>
      <c r="J723" s="94">
        <v>4</v>
      </c>
      <c r="K723" s="94">
        <v>90</v>
      </c>
      <c r="L723" s="94">
        <v>2</v>
      </c>
      <c r="M723" s="94">
        <v>90</v>
      </c>
      <c r="N723" s="94">
        <v>2</v>
      </c>
      <c r="O723" s="94">
        <v>88</v>
      </c>
      <c r="P723" s="94">
        <v>2</v>
      </c>
      <c r="Q723">
        <v>92</v>
      </c>
      <c r="R723">
        <v>2</v>
      </c>
      <c r="S723">
        <v>80</v>
      </c>
      <c r="T723">
        <v>2</v>
      </c>
      <c r="U723">
        <v>70</v>
      </c>
      <c r="V723">
        <v>2</v>
      </c>
      <c r="W723">
        <v>93</v>
      </c>
      <c r="X723">
        <v>2</v>
      </c>
      <c r="Y723">
        <v>83</v>
      </c>
      <c r="Z723">
        <v>1</v>
      </c>
      <c r="AA723">
        <v>93</v>
      </c>
      <c r="AB723">
        <v>1</v>
      </c>
      <c r="AC723">
        <v>86</v>
      </c>
      <c r="AD723">
        <v>1</v>
      </c>
      <c r="AE723">
        <v>84</v>
      </c>
      <c r="AF723">
        <v>2</v>
      </c>
      <c r="AG723">
        <v>90</v>
      </c>
      <c r="AH723">
        <v>2</v>
      </c>
    </row>
    <row r="724" spans="1:34">
      <c r="A724" t="s">
        <v>2236</v>
      </c>
      <c r="B724" s="24">
        <v>1813</v>
      </c>
      <c r="C724" s="24" t="s">
        <v>2237</v>
      </c>
      <c r="D724" s="24" t="s">
        <v>2238</v>
      </c>
      <c r="E724" s="93">
        <v>91</v>
      </c>
      <c r="F724" s="94">
        <v>4</v>
      </c>
      <c r="G724" s="94">
        <v>95</v>
      </c>
      <c r="H724" s="94">
        <v>4</v>
      </c>
      <c r="I724" s="94">
        <v>95</v>
      </c>
      <c r="J724" s="94">
        <v>4</v>
      </c>
      <c r="K724" s="94">
        <v>92</v>
      </c>
      <c r="L724" s="94">
        <v>2</v>
      </c>
      <c r="M724" s="94">
        <v>95</v>
      </c>
      <c r="N724" s="94">
        <v>2</v>
      </c>
      <c r="O724" s="94">
        <v>84</v>
      </c>
      <c r="P724" s="94">
        <v>2</v>
      </c>
      <c r="Q724">
        <v>86</v>
      </c>
      <c r="R724">
        <v>2</v>
      </c>
      <c r="S724">
        <v>90</v>
      </c>
      <c r="T724">
        <v>2</v>
      </c>
      <c r="U724">
        <v>85</v>
      </c>
      <c r="V724">
        <v>2</v>
      </c>
      <c r="W724">
        <v>98</v>
      </c>
      <c r="X724">
        <v>2</v>
      </c>
      <c r="Y724">
        <v>65</v>
      </c>
      <c r="Z724">
        <v>1</v>
      </c>
      <c r="AA724">
        <v>93</v>
      </c>
      <c r="AB724">
        <v>1</v>
      </c>
      <c r="AC724">
        <v>82</v>
      </c>
      <c r="AD724">
        <v>1</v>
      </c>
      <c r="AE724">
        <v>50</v>
      </c>
      <c r="AF724">
        <v>1</v>
      </c>
      <c r="AG724">
        <v>93</v>
      </c>
      <c r="AH724">
        <v>2</v>
      </c>
    </row>
    <row r="725" spans="1:34">
      <c r="A725" t="s">
        <v>2239</v>
      </c>
      <c r="B725" s="24">
        <v>1813</v>
      </c>
      <c r="C725" s="24" t="s">
        <v>2240</v>
      </c>
      <c r="D725" s="24" t="s">
        <v>2241</v>
      </c>
      <c r="E725" s="93">
        <v>86</v>
      </c>
      <c r="F725" s="94">
        <v>4</v>
      </c>
      <c r="G725" s="94">
        <v>89</v>
      </c>
      <c r="H725" s="94">
        <v>4</v>
      </c>
      <c r="I725" s="94">
        <v>90</v>
      </c>
      <c r="J725" s="94">
        <v>4</v>
      </c>
      <c r="K725" s="94">
        <v>85</v>
      </c>
      <c r="L725" s="94">
        <v>2</v>
      </c>
      <c r="M725" s="94">
        <v>88</v>
      </c>
      <c r="N725" s="94">
        <v>2</v>
      </c>
      <c r="O725" s="94">
        <v>86</v>
      </c>
      <c r="P725" s="94">
        <v>2</v>
      </c>
      <c r="Q725">
        <v>96</v>
      </c>
      <c r="R725">
        <v>2</v>
      </c>
      <c r="S725">
        <v>84</v>
      </c>
      <c r="T725">
        <v>2</v>
      </c>
      <c r="U725">
        <v>86</v>
      </c>
      <c r="V725">
        <v>2</v>
      </c>
      <c r="W725">
        <v>89</v>
      </c>
      <c r="X725">
        <v>2</v>
      </c>
      <c r="Y725">
        <v>70</v>
      </c>
      <c r="Z725">
        <v>1</v>
      </c>
      <c r="AA725">
        <v>93</v>
      </c>
      <c r="AB725">
        <v>1</v>
      </c>
      <c r="AC725">
        <v>76</v>
      </c>
      <c r="AD725">
        <v>1</v>
      </c>
      <c r="AE725">
        <v>86</v>
      </c>
      <c r="AF725">
        <v>2</v>
      </c>
      <c r="AG725">
        <v>93</v>
      </c>
      <c r="AH725">
        <v>2</v>
      </c>
    </row>
    <row r="726" spans="1:34">
      <c r="A726" t="s">
        <v>2242</v>
      </c>
      <c r="B726" s="24">
        <v>1813</v>
      </c>
      <c r="C726" s="24" t="s">
        <v>2243</v>
      </c>
      <c r="D726" s="24" t="s">
        <v>2244</v>
      </c>
      <c r="E726" s="93">
        <v>92</v>
      </c>
      <c r="F726" s="94">
        <v>4</v>
      </c>
      <c r="G726" s="94">
        <v>89</v>
      </c>
      <c r="H726" s="94">
        <v>4</v>
      </c>
      <c r="I726" s="94">
        <v>90</v>
      </c>
      <c r="J726" s="94">
        <v>4</v>
      </c>
      <c r="K726" s="94">
        <v>89</v>
      </c>
      <c r="L726" s="94">
        <v>2</v>
      </c>
      <c r="M726" s="94">
        <v>88</v>
      </c>
      <c r="N726" s="94">
        <v>2</v>
      </c>
      <c r="O726" s="94">
        <v>90</v>
      </c>
      <c r="P726" s="94">
        <v>2</v>
      </c>
      <c r="Q726">
        <v>88</v>
      </c>
      <c r="R726">
        <v>2</v>
      </c>
      <c r="S726">
        <v>84</v>
      </c>
      <c r="T726">
        <v>2</v>
      </c>
      <c r="U726">
        <v>76</v>
      </c>
      <c r="V726">
        <v>2</v>
      </c>
      <c r="W726">
        <v>82</v>
      </c>
      <c r="X726">
        <v>2</v>
      </c>
      <c r="Y726">
        <v>76</v>
      </c>
      <c r="Z726">
        <v>1</v>
      </c>
      <c r="AA726">
        <v>93</v>
      </c>
      <c r="AB726">
        <v>1</v>
      </c>
      <c r="AC726">
        <v>82</v>
      </c>
      <c r="AD726">
        <v>1</v>
      </c>
      <c r="AE726">
        <v>88</v>
      </c>
      <c r="AF726">
        <v>2</v>
      </c>
      <c r="AG726">
        <v>89</v>
      </c>
      <c r="AH726">
        <v>2</v>
      </c>
    </row>
    <row r="727" spans="1:34">
      <c r="A727" t="s">
        <v>2245</v>
      </c>
      <c r="B727" s="24">
        <v>1813</v>
      </c>
      <c r="C727" s="24" t="s">
        <v>2246</v>
      </c>
      <c r="D727" s="24" t="s">
        <v>2247</v>
      </c>
      <c r="E727" s="93">
        <v>65</v>
      </c>
      <c r="F727" s="94">
        <v>4</v>
      </c>
      <c r="G727" s="94">
        <v>85</v>
      </c>
      <c r="H727" s="94">
        <v>4</v>
      </c>
      <c r="I727" s="94">
        <v>88</v>
      </c>
      <c r="J727" s="94">
        <v>4</v>
      </c>
      <c r="K727" s="94">
        <v>85</v>
      </c>
      <c r="L727" s="94">
        <v>2</v>
      </c>
      <c r="M727" s="94">
        <v>80</v>
      </c>
      <c r="N727" s="94">
        <v>2</v>
      </c>
      <c r="O727" s="94">
        <v>84</v>
      </c>
      <c r="P727" s="94">
        <v>2</v>
      </c>
      <c r="Q727">
        <v>91</v>
      </c>
      <c r="R727">
        <v>2</v>
      </c>
      <c r="S727">
        <v>84</v>
      </c>
      <c r="T727">
        <v>2</v>
      </c>
      <c r="U727">
        <v>78</v>
      </c>
      <c r="V727">
        <v>2</v>
      </c>
      <c r="W727">
        <v>85</v>
      </c>
      <c r="X727">
        <v>2</v>
      </c>
      <c r="Y727">
        <v>70</v>
      </c>
      <c r="Z727">
        <v>1</v>
      </c>
      <c r="AA727">
        <v>93</v>
      </c>
      <c r="AB727">
        <v>1</v>
      </c>
      <c r="AC727">
        <v>76</v>
      </c>
      <c r="AD727">
        <v>1</v>
      </c>
      <c r="AE727">
        <v>82</v>
      </c>
      <c r="AF727">
        <v>2</v>
      </c>
      <c r="AG727">
        <v>90</v>
      </c>
      <c r="AH727">
        <v>2</v>
      </c>
    </row>
    <row r="728" spans="1:34">
      <c r="A728" t="s">
        <v>2248</v>
      </c>
      <c r="B728" s="24">
        <v>1813</v>
      </c>
      <c r="C728" s="24" t="s">
        <v>2249</v>
      </c>
      <c r="D728" s="24" t="s">
        <v>2250</v>
      </c>
      <c r="E728" s="93">
        <v>82</v>
      </c>
      <c r="F728" s="94">
        <v>4</v>
      </c>
      <c r="G728" s="94">
        <v>85</v>
      </c>
      <c r="H728" s="94">
        <v>4</v>
      </c>
      <c r="I728" s="94">
        <v>88</v>
      </c>
      <c r="J728" s="94">
        <v>4</v>
      </c>
      <c r="K728" s="94">
        <v>84</v>
      </c>
      <c r="L728" s="94">
        <v>2</v>
      </c>
      <c r="M728" s="94">
        <v>80</v>
      </c>
      <c r="N728" s="94">
        <v>2</v>
      </c>
      <c r="O728" s="94">
        <v>93</v>
      </c>
      <c r="P728" s="94">
        <v>2</v>
      </c>
      <c r="Q728">
        <v>80</v>
      </c>
      <c r="R728">
        <v>2</v>
      </c>
      <c r="S728">
        <v>70</v>
      </c>
      <c r="T728">
        <v>2</v>
      </c>
      <c r="U728">
        <v>70</v>
      </c>
      <c r="V728">
        <v>2</v>
      </c>
      <c r="W728">
        <v>80</v>
      </c>
      <c r="X728">
        <v>2</v>
      </c>
      <c r="Y728">
        <v>68</v>
      </c>
      <c r="Z728">
        <v>1</v>
      </c>
      <c r="AA728">
        <v>93</v>
      </c>
      <c r="AB728">
        <v>1</v>
      </c>
      <c r="AC728">
        <v>85</v>
      </c>
      <c r="AD728">
        <v>1</v>
      </c>
      <c r="AE728">
        <v>50</v>
      </c>
      <c r="AF728">
        <v>1</v>
      </c>
      <c r="AG728">
        <v>85</v>
      </c>
      <c r="AH728">
        <v>2</v>
      </c>
    </row>
    <row r="729" spans="1:34">
      <c r="A729" t="s">
        <v>2251</v>
      </c>
      <c r="B729" s="24">
        <v>1813</v>
      </c>
      <c r="C729" s="24" t="s">
        <v>2252</v>
      </c>
      <c r="D729" s="24" t="s">
        <v>2253</v>
      </c>
      <c r="E729" s="93">
        <v>82</v>
      </c>
      <c r="F729" s="94">
        <v>4</v>
      </c>
      <c r="G729" s="94">
        <v>89</v>
      </c>
      <c r="H729" s="94">
        <v>4</v>
      </c>
      <c r="I729" s="94">
        <v>95</v>
      </c>
      <c r="J729" s="94">
        <v>4</v>
      </c>
      <c r="K729" s="94">
        <v>83</v>
      </c>
      <c r="L729" s="94">
        <v>2</v>
      </c>
      <c r="M729" s="94">
        <v>80</v>
      </c>
      <c r="N729" s="94">
        <v>2</v>
      </c>
      <c r="O729" s="94">
        <v>84</v>
      </c>
      <c r="P729" s="94">
        <v>2</v>
      </c>
      <c r="Q729">
        <v>91</v>
      </c>
      <c r="R729">
        <v>2</v>
      </c>
      <c r="S729">
        <v>80</v>
      </c>
      <c r="T729">
        <v>2</v>
      </c>
      <c r="U729">
        <v>70</v>
      </c>
      <c r="V729">
        <v>2</v>
      </c>
      <c r="W729">
        <v>90</v>
      </c>
      <c r="X729">
        <v>2</v>
      </c>
      <c r="Y729">
        <v>70</v>
      </c>
      <c r="Z729">
        <v>1</v>
      </c>
      <c r="AA729">
        <v>93</v>
      </c>
      <c r="AB729">
        <v>1</v>
      </c>
      <c r="AC729">
        <v>86</v>
      </c>
      <c r="AD729">
        <v>1</v>
      </c>
      <c r="AE729">
        <v>88</v>
      </c>
      <c r="AF729">
        <v>2</v>
      </c>
      <c r="AG729">
        <v>80</v>
      </c>
      <c r="AH729">
        <v>2</v>
      </c>
    </row>
    <row r="730" spans="1:34">
      <c r="A730" t="s">
        <v>2254</v>
      </c>
      <c r="B730" s="24">
        <v>1813</v>
      </c>
      <c r="C730" s="24" t="s">
        <v>2255</v>
      </c>
      <c r="D730" s="24" t="s">
        <v>2256</v>
      </c>
      <c r="E730" s="93">
        <v>88</v>
      </c>
      <c r="F730" s="94">
        <v>4</v>
      </c>
      <c r="G730" s="94">
        <v>90</v>
      </c>
      <c r="H730" s="94">
        <v>4</v>
      </c>
      <c r="I730" s="94">
        <v>90</v>
      </c>
      <c r="J730" s="94">
        <v>4</v>
      </c>
      <c r="K730" s="94">
        <v>93</v>
      </c>
      <c r="L730" s="94">
        <v>2</v>
      </c>
      <c r="M730" s="94">
        <v>90</v>
      </c>
      <c r="N730" s="94">
        <v>2</v>
      </c>
      <c r="O730" s="94">
        <v>86</v>
      </c>
      <c r="P730" s="94">
        <v>2</v>
      </c>
      <c r="Q730">
        <v>87</v>
      </c>
      <c r="R730">
        <v>2</v>
      </c>
      <c r="S730">
        <v>82</v>
      </c>
      <c r="T730">
        <v>2</v>
      </c>
      <c r="U730">
        <v>81</v>
      </c>
      <c r="V730">
        <v>2</v>
      </c>
      <c r="W730">
        <v>86</v>
      </c>
      <c r="X730">
        <v>2</v>
      </c>
      <c r="Y730">
        <v>60</v>
      </c>
      <c r="Z730">
        <v>1</v>
      </c>
      <c r="AA730">
        <v>93</v>
      </c>
      <c r="AB730">
        <v>1</v>
      </c>
      <c r="AC730">
        <v>86</v>
      </c>
      <c r="AD730">
        <v>1</v>
      </c>
      <c r="AE730">
        <v>82</v>
      </c>
      <c r="AF730">
        <v>2</v>
      </c>
      <c r="AG730">
        <v>87</v>
      </c>
      <c r="AH730">
        <v>2</v>
      </c>
    </row>
    <row r="731" spans="1:34">
      <c r="A731" t="s">
        <v>2257</v>
      </c>
      <c r="B731" s="24">
        <v>1813</v>
      </c>
      <c r="C731" s="24" t="s">
        <v>2258</v>
      </c>
      <c r="D731" s="24" t="s">
        <v>2259</v>
      </c>
      <c r="E731" s="93">
        <v>82</v>
      </c>
      <c r="F731" s="94">
        <v>4</v>
      </c>
      <c r="G731" s="94">
        <v>86</v>
      </c>
      <c r="H731" s="94">
        <v>4</v>
      </c>
      <c r="I731" s="94">
        <v>95</v>
      </c>
      <c r="J731" s="94">
        <v>4</v>
      </c>
      <c r="K731" s="94">
        <v>89</v>
      </c>
      <c r="L731" s="94">
        <v>2</v>
      </c>
      <c r="M731" s="94">
        <v>90</v>
      </c>
      <c r="N731" s="94">
        <v>2</v>
      </c>
      <c r="O731" s="94">
        <v>82</v>
      </c>
      <c r="P731" s="94">
        <v>2</v>
      </c>
      <c r="Q731">
        <v>98</v>
      </c>
      <c r="R731">
        <v>2</v>
      </c>
      <c r="S731">
        <v>82</v>
      </c>
      <c r="T731">
        <v>2</v>
      </c>
      <c r="U731">
        <v>85</v>
      </c>
      <c r="V731">
        <v>2</v>
      </c>
      <c r="W731">
        <v>95</v>
      </c>
      <c r="X731">
        <v>2</v>
      </c>
      <c r="Y731">
        <v>60</v>
      </c>
      <c r="Z731">
        <v>1</v>
      </c>
      <c r="AA731">
        <v>93</v>
      </c>
      <c r="AB731">
        <v>1</v>
      </c>
      <c r="AC731">
        <v>80</v>
      </c>
      <c r="AD731">
        <v>1</v>
      </c>
      <c r="AE731">
        <v>91</v>
      </c>
      <c r="AF731">
        <v>2</v>
      </c>
      <c r="AG731">
        <v>88</v>
      </c>
      <c r="AH731">
        <v>2</v>
      </c>
    </row>
    <row r="732" spans="1:34">
      <c r="A732">
        <v>20183004</v>
      </c>
      <c r="B732" s="24">
        <v>1813</v>
      </c>
      <c r="C732" s="24" t="s">
        <v>3230</v>
      </c>
      <c r="D732" s="24" t="s">
        <v>3231</v>
      </c>
      <c r="E732" s="93">
        <v>89</v>
      </c>
      <c r="F732" s="94">
        <v>4</v>
      </c>
      <c r="G732" s="94">
        <v>91</v>
      </c>
      <c r="H732" s="94">
        <v>4</v>
      </c>
      <c r="I732" s="94">
        <v>90</v>
      </c>
      <c r="J732" s="94">
        <v>4</v>
      </c>
      <c r="K732" s="94">
        <v>95</v>
      </c>
      <c r="L732" s="94">
        <v>2</v>
      </c>
      <c r="M732" s="94">
        <v>90</v>
      </c>
      <c r="N732" s="94">
        <v>2</v>
      </c>
      <c r="O732" s="94">
        <v>85</v>
      </c>
      <c r="P732" s="94">
        <v>2</v>
      </c>
      <c r="Q732">
        <v>80</v>
      </c>
      <c r="R732">
        <v>2</v>
      </c>
      <c r="S732">
        <v>90</v>
      </c>
      <c r="T732">
        <v>2</v>
      </c>
      <c r="U732">
        <v>78</v>
      </c>
      <c r="V732">
        <v>2</v>
      </c>
      <c r="W732">
        <v>95</v>
      </c>
      <c r="X732">
        <v>2</v>
      </c>
      <c r="Y732">
        <v>75</v>
      </c>
      <c r="Z732">
        <v>1</v>
      </c>
      <c r="AA732">
        <v>93</v>
      </c>
      <c r="AB732">
        <v>1</v>
      </c>
      <c r="AC732">
        <v>80</v>
      </c>
      <c r="AD732">
        <v>1</v>
      </c>
      <c r="AE732">
        <v>85</v>
      </c>
      <c r="AF732">
        <v>2</v>
      </c>
      <c r="AG732">
        <v>89</v>
      </c>
      <c r="AH732">
        <v>2</v>
      </c>
    </row>
    <row r="733" spans="1:34">
      <c r="A733" t="s">
        <v>2260</v>
      </c>
      <c r="B733" s="24">
        <v>1814</v>
      </c>
      <c r="C733" s="24" t="s">
        <v>2261</v>
      </c>
      <c r="D733" s="24" t="s">
        <v>2262</v>
      </c>
      <c r="E733" s="93">
        <v>95</v>
      </c>
      <c r="F733" s="94">
        <v>4</v>
      </c>
      <c r="G733" s="94">
        <v>92</v>
      </c>
      <c r="H733" s="94">
        <v>4</v>
      </c>
      <c r="I733" s="94">
        <v>96</v>
      </c>
      <c r="J733" s="94">
        <v>4</v>
      </c>
      <c r="K733" s="94">
        <v>87</v>
      </c>
      <c r="L733" s="94">
        <v>2</v>
      </c>
      <c r="M733" s="94">
        <v>90</v>
      </c>
      <c r="N733" s="94">
        <v>2</v>
      </c>
      <c r="O733" s="94">
        <v>86</v>
      </c>
      <c r="P733" s="94">
        <v>2</v>
      </c>
      <c r="Q733">
        <v>98</v>
      </c>
      <c r="R733">
        <v>2</v>
      </c>
      <c r="S733">
        <v>80</v>
      </c>
      <c r="T733">
        <v>2</v>
      </c>
      <c r="U733">
        <v>88</v>
      </c>
      <c r="V733">
        <v>2</v>
      </c>
      <c r="W733">
        <v>98</v>
      </c>
      <c r="X733">
        <v>2</v>
      </c>
      <c r="Y733">
        <v>81</v>
      </c>
      <c r="Z733">
        <v>1</v>
      </c>
      <c r="AA733">
        <v>92</v>
      </c>
      <c r="AB733">
        <v>1</v>
      </c>
      <c r="AC733">
        <v>85</v>
      </c>
      <c r="AD733">
        <v>1</v>
      </c>
      <c r="AE733">
        <v>88</v>
      </c>
      <c r="AF733">
        <v>2</v>
      </c>
      <c r="AG733">
        <v>90</v>
      </c>
      <c r="AH733">
        <v>2</v>
      </c>
    </row>
    <row r="734" spans="1:34">
      <c r="A734" t="s">
        <v>2266</v>
      </c>
      <c r="B734" s="24">
        <v>1814</v>
      </c>
      <c r="C734" s="24" t="s">
        <v>2264</v>
      </c>
      <c r="D734" s="24" t="s">
        <v>2268</v>
      </c>
      <c r="E734" s="93">
        <v>80</v>
      </c>
      <c r="F734" s="94">
        <v>4</v>
      </c>
      <c r="G734" s="94">
        <v>88</v>
      </c>
      <c r="H734" s="94">
        <v>4</v>
      </c>
      <c r="I734" s="94">
        <v>81</v>
      </c>
      <c r="J734" s="94">
        <v>4</v>
      </c>
      <c r="K734" s="94">
        <v>85</v>
      </c>
      <c r="L734" s="94">
        <v>2</v>
      </c>
      <c r="M734" s="94">
        <v>85</v>
      </c>
      <c r="N734" s="94">
        <v>2</v>
      </c>
      <c r="O734" s="94">
        <v>86</v>
      </c>
      <c r="P734" s="94">
        <v>2</v>
      </c>
      <c r="Q734">
        <v>91</v>
      </c>
      <c r="R734">
        <v>2</v>
      </c>
      <c r="S734">
        <v>81</v>
      </c>
      <c r="T734">
        <v>2</v>
      </c>
      <c r="U734">
        <v>76</v>
      </c>
      <c r="V734">
        <v>2</v>
      </c>
      <c r="W734">
        <v>83</v>
      </c>
      <c r="X734">
        <v>2</v>
      </c>
      <c r="Y734">
        <v>77</v>
      </c>
      <c r="Z734">
        <v>1</v>
      </c>
      <c r="AA734">
        <v>92</v>
      </c>
      <c r="AB734">
        <v>1</v>
      </c>
      <c r="AC734">
        <v>75</v>
      </c>
      <c r="AD734">
        <v>1</v>
      </c>
      <c r="AE734">
        <v>92</v>
      </c>
      <c r="AF734">
        <v>2</v>
      </c>
      <c r="AG734">
        <v>89</v>
      </c>
      <c r="AH734">
        <v>2</v>
      </c>
    </row>
    <row r="735" spans="1:34">
      <c r="A735" t="s">
        <v>2269</v>
      </c>
      <c r="B735" s="24">
        <v>1814</v>
      </c>
      <c r="C735" s="24" t="s">
        <v>2267</v>
      </c>
      <c r="D735" s="24" t="s">
        <v>2271</v>
      </c>
      <c r="E735" s="93">
        <v>83</v>
      </c>
      <c r="F735" s="94">
        <v>4</v>
      </c>
      <c r="G735" s="94">
        <v>86</v>
      </c>
      <c r="H735" s="94">
        <v>4</v>
      </c>
      <c r="I735" s="94">
        <v>79</v>
      </c>
      <c r="J735" s="94">
        <v>4</v>
      </c>
      <c r="K735" s="94">
        <v>88</v>
      </c>
      <c r="L735" s="94">
        <v>2</v>
      </c>
      <c r="M735" s="94">
        <v>85</v>
      </c>
      <c r="N735" s="94">
        <v>2</v>
      </c>
      <c r="O735" s="94">
        <v>84</v>
      </c>
      <c r="P735" s="94">
        <v>2</v>
      </c>
      <c r="Q735">
        <v>80</v>
      </c>
      <c r="R735">
        <v>2</v>
      </c>
      <c r="S735">
        <v>82</v>
      </c>
      <c r="T735">
        <v>2</v>
      </c>
      <c r="U735">
        <v>85</v>
      </c>
      <c r="V735">
        <v>2</v>
      </c>
      <c r="W735">
        <v>89</v>
      </c>
      <c r="X735">
        <v>2</v>
      </c>
      <c r="Y735">
        <v>80</v>
      </c>
      <c r="Z735">
        <v>1</v>
      </c>
      <c r="AA735">
        <v>92</v>
      </c>
      <c r="AB735">
        <v>1</v>
      </c>
      <c r="AC735">
        <v>76</v>
      </c>
      <c r="AD735">
        <v>1</v>
      </c>
      <c r="AE735">
        <v>89</v>
      </c>
      <c r="AF735">
        <v>2</v>
      </c>
      <c r="AG735">
        <v>90</v>
      </c>
      <c r="AH735">
        <v>2</v>
      </c>
    </row>
    <row r="736" spans="1:34">
      <c r="A736" t="s">
        <v>2272</v>
      </c>
      <c r="B736" s="24">
        <v>1814</v>
      </c>
      <c r="C736" s="24" t="s">
        <v>2270</v>
      </c>
      <c r="D736" s="24" t="s">
        <v>2274</v>
      </c>
      <c r="E736" s="93">
        <v>90</v>
      </c>
      <c r="F736" s="94">
        <v>4</v>
      </c>
      <c r="G736" s="94">
        <v>93</v>
      </c>
      <c r="H736" s="94">
        <v>4</v>
      </c>
      <c r="I736" s="94">
        <v>94</v>
      </c>
      <c r="J736" s="94">
        <v>4</v>
      </c>
      <c r="K736" s="94">
        <v>94</v>
      </c>
      <c r="L736" s="94">
        <v>2</v>
      </c>
      <c r="M736" s="94">
        <v>95</v>
      </c>
      <c r="N736" s="94">
        <v>2</v>
      </c>
      <c r="O736" s="94">
        <v>85</v>
      </c>
      <c r="P736" s="94">
        <v>2</v>
      </c>
      <c r="Q736">
        <v>89</v>
      </c>
      <c r="R736">
        <v>2</v>
      </c>
      <c r="S736">
        <v>83</v>
      </c>
      <c r="T736">
        <v>2</v>
      </c>
      <c r="U736">
        <v>75</v>
      </c>
      <c r="V736">
        <v>2</v>
      </c>
      <c r="W736">
        <v>99</v>
      </c>
      <c r="X736">
        <v>2</v>
      </c>
      <c r="Y736">
        <v>76</v>
      </c>
      <c r="Z736">
        <v>1</v>
      </c>
      <c r="AA736">
        <v>92</v>
      </c>
      <c r="AB736">
        <v>1</v>
      </c>
      <c r="AC736">
        <v>75</v>
      </c>
      <c r="AD736">
        <v>1</v>
      </c>
      <c r="AE736">
        <v>93</v>
      </c>
      <c r="AF736">
        <v>2</v>
      </c>
      <c r="AG736">
        <v>90</v>
      </c>
      <c r="AH736">
        <v>2</v>
      </c>
    </row>
    <row r="737" spans="1:34">
      <c r="A737" t="s">
        <v>2275</v>
      </c>
      <c r="B737" s="24">
        <v>1814</v>
      </c>
      <c r="C737" s="24" t="s">
        <v>2273</v>
      </c>
      <c r="D737" s="24" t="s">
        <v>2277</v>
      </c>
      <c r="E737" s="93">
        <v>75</v>
      </c>
      <c r="F737" s="94">
        <v>4</v>
      </c>
      <c r="G737" s="94">
        <v>89</v>
      </c>
      <c r="H737" s="94">
        <v>4</v>
      </c>
      <c r="I737" s="94">
        <v>81</v>
      </c>
      <c r="J737" s="94">
        <v>4</v>
      </c>
      <c r="K737" s="94">
        <v>84</v>
      </c>
      <c r="L737" s="94">
        <v>2</v>
      </c>
      <c r="M737" s="94">
        <v>85</v>
      </c>
      <c r="N737" s="94">
        <v>2</v>
      </c>
      <c r="O737" s="94">
        <v>86</v>
      </c>
      <c r="P737" s="94">
        <v>2</v>
      </c>
      <c r="Q737">
        <v>92</v>
      </c>
      <c r="R737">
        <v>2</v>
      </c>
      <c r="S737">
        <v>84</v>
      </c>
      <c r="T737">
        <v>2</v>
      </c>
      <c r="U737">
        <v>77</v>
      </c>
      <c r="V737">
        <v>2</v>
      </c>
      <c r="W737">
        <v>85</v>
      </c>
      <c r="X737">
        <v>2</v>
      </c>
      <c r="Y737">
        <v>79</v>
      </c>
      <c r="Z737">
        <v>1</v>
      </c>
      <c r="AA737">
        <v>92</v>
      </c>
      <c r="AB737">
        <v>1</v>
      </c>
      <c r="AC737">
        <v>78</v>
      </c>
      <c r="AD737">
        <v>1</v>
      </c>
      <c r="AE737">
        <v>89</v>
      </c>
      <c r="AF737">
        <v>2</v>
      </c>
      <c r="AG737">
        <v>82</v>
      </c>
      <c r="AH737">
        <v>2</v>
      </c>
    </row>
    <row r="738" spans="1:34">
      <c r="A738" t="s">
        <v>2278</v>
      </c>
      <c r="B738" s="24">
        <v>1814</v>
      </c>
      <c r="C738" s="24" t="s">
        <v>2276</v>
      </c>
      <c r="D738" s="24" t="s">
        <v>2280</v>
      </c>
      <c r="E738" s="93">
        <v>90</v>
      </c>
      <c r="F738" s="94">
        <v>4</v>
      </c>
      <c r="G738" s="94">
        <v>92</v>
      </c>
      <c r="H738" s="94">
        <v>4</v>
      </c>
      <c r="I738" s="94">
        <v>86</v>
      </c>
      <c r="J738" s="94">
        <v>4</v>
      </c>
      <c r="K738" s="94">
        <v>90</v>
      </c>
      <c r="L738" s="94">
        <v>2</v>
      </c>
      <c r="M738" s="94">
        <v>85</v>
      </c>
      <c r="N738" s="94">
        <v>2</v>
      </c>
      <c r="O738" s="94">
        <v>83</v>
      </c>
      <c r="P738" s="94">
        <v>2</v>
      </c>
      <c r="Q738">
        <v>98</v>
      </c>
      <c r="R738">
        <v>2</v>
      </c>
      <c r="S738">
        <v>85</v>
      </c>
      <c r="T738">
        <v>2</v>
      </c>
      <c r="U738">
        <v>78</v>
      </c>
      <c r="V738">
        <v>2</v>
      </c>
      <c r="W738">
        <v>96</v>
      </c>
      <c r="X738">
        <v>2</v>
      </c>
      <c r="Y738">
        <v>78</v>
      </c>
      <c r="Z738">
        <v>1</v>
      </c>
      <c r="AA738">
        <v>92</v>
      </c>
      <c r="AB738">
        <v>1</v>
      </c>
      <c r="AC738">
        <v>78</v>
      </c>
      <c r="AD738">
        <v>1</v>
      </c>
      <c r="AE738">
        <v>90</v>
      </c>
      <c r="AF738">
        <v>2</v>
      </c>
      <c r="AG738">
        <v>86</v>
      </c>
      <c r="AH738">
        <v>2</v>
      </c>
    </row>
    <row r="739" spans="1:34">
      <c r="A739">
        <v>20183005</v>
      </c>
      <c r="B739" s="24">
        <v>1814</v>
      </c>
      <c r="C739" s="24" t="s">
        <v>2279</v>
      </c>
      <c r="D739" s="24" t="s">
        <v>3240</v>
      </c>
      <c r="E739" s="93">
        <v>85</v>
      </c>
      <c r="F739" s="94">
        <v>4</v>
      </c>
      <c r="G739" s="94">
        <v>85</v>
      </c>
      <c r="H739" s="94">
        <v>4</v>
      </c>
      <c r="I739" s="94">
        <v>81</v>
      </c>
      <c r="J739" s="94">
        <v>4</v>
      </c>
      <c r="K739" s="94">
        <v>81</v>
      </c>
      <c r="L739" s="94">
        <v>2</v>
      </c>
      <c r="M739" s="94">
        <v>80</v>
      </c>
      <c r="N739" s="94">
        <v>2</v>
      </c>
      <c r="O739" s="94">
        <v>87</v>
      </c>
      <c r="P739" s="94">
        <v>2</v>
      </c>
      <c r="Q739">
        <v>98</v>
      </c>
      <c r="R739">
        <v>2</v>
      </c>
      <c r="S739">
        <v>80</v>
      </c>
      <c r="T739">
        <v>2</v>
      </c>
      <c r="U739">
        <v>70</v>
      </c>
      <c r="V739">
        <v>2</v>
      </c>
      <c r="W739">
        <v>82</v>
      </c>
      <c r="X739">
        <v>2</v>
      </c>
      <c r="Y739">
        <v>80</v>
      </c>
      <c r="Z739">
        <v>1</v>
      </c>
      <c r="AA739">
        <v>92</v>
      </c>
      <c r="AB739">
        <v>1</v>
      </c>
      <c r="AC739">
        <v>75</v>
      </c>
      <c r="AD739">
        <v>1</v>
      </c>
      <c r="AE739">
        <v>88</v>
      </c>
      <c r="AF739">
        <v>2</v>
      </c>
      <c r="AG739">
        <v>87</v>
      </c>
      <c r="AH739">
        <v>2</v>
      </c>
    </row>
    <row r="740" spans="1:34">
      <c r="A740" t="s">
        <v>2281</v>
      </c>
      <c r="B740" s="24">
        <v>1814</v>
      </c>
      <c r="C740" s="24" t="s">
        <v>2282</v>
      </c>
      <c r="D740" s="24" t="s">
        <v>2283</v>
      </c>
      <c r="E740" s="93">
        <v>98</v>
      </c>
      <c r="F740" s="94">
        <v>4</v>
      </c>
      <c r="G740" s="94">
        <v>89</v>
      </c>
      <c r="H740" s="94">
        <v>4</v>
      </c>
      <c r="I740" s="94">
        <v>89</v>
      </c>
      <c r="J740" s="94">
        <v>4</v>
      </c>
      <c r="K740" s="94">
        <v>89</v>
      </c>
      <c r="L740" s="94">
        <v>2</v>
      </c>
      <c r="M740" s="94">
        <v>90</v>
      </c>
      <c r="N740" s="94">
        <v>2</v>
      </c>
      <c r="O740" s="94">
        <v>85</v>
      </c>
      <c r="P740" s="94">
        <v>2</v>
      </c>
      <c r="Q740">
        <v>96</v>
      </c>
      <c r="R740">
        <v>2</v>
      </c>
      <c r="S740">
        <v>81</v>
      </c>
      <c r="T740">
        <v>2</v>
      </c>
      <c r="U740">
        <v>85</v>
      </c>
      <c r="V740">
        <v>2</v>
      </c>
      <c r="W740">
        <v>94</v>
      </c>
      <c r="X740">
        <v>2</v>
      </c>
      <c r="Y740">
        <v>80</v>
      </c>
      <c r="Z740">
        <v>1</v>
      </c>
      <c r="AA740">
        <v>92</v>
      </c>
      <c r="AB740">
        <v>1</v>
      </c>
      <c r="AC740">
        <v>75</v>
      </c>
      <c r="AD740">
        <v>1</v>
      </c>
      <c r="AE740">
        <v>90</v>
      </c>
      <c r="AF740">
        <v>2</v>
      </c>
      <c r="AG740">
        <v>82</v>
      </c>
      <c r="AH740">
        <v>2</v>
      </c>
    </row>
    <row r="741" spans="1:34">
      <c r="A741" t="s">
        <v>2284</v>
      </c>
      <c r="B741" s="24">
        <v>1814</v>
      </c>
      <c r="C741" s="24" t="s">
        <v>2285</v>
      </c>
      <c r="D741" s="24" t="s">
        <v>2286</v>
      </c>
      <c r="E741" s="93">
        <v>95</v>
      </c>
      <c r="F741" s="94">
        <v>4</v>
      </c>
      <c r="G741" s="94">
        <v>90</v>
      </c>
      <c r="H741" s="94">
        <v>4</v>
      </c>
      <c r="I741" s="94">
        <v>85</v>
      </c>
      <c r="J741" s="94">
        <v>4</v>
      </c>
      <c r="K741" s="94">
        <v>95</v>
      </c>
      <c r="L741" s="94">
        <v>2</v>
      </c>
      <c r="M741" s="94">
        <v>95</v>
      </c>
      <c r="N741" s="94">
        <v>2</v>
      </c>
      <c r="O741" s="94">
        <v>86</v>
      </c>
      <c r="P741" s="94">
        <v>2</v>
      </c>
      <c r="Q741">
        <v>79</v>
      </c>
      <c r="R741">
        <v>2</v>
      </c>
      <c r="S741">
        <v>82</v>
      </c>
      <c r="T741">
        <v>2</v>
      </c>
      <c r="U741">
        <v>76</v>
      </c>
      <c r="V741">
        <v>2</v>
      </c>
      <c r="W741">
        <v>93</v>
      </c>
      <c r="X741">
        <v>2</v>
      </c>
      <c r="Y741">
        <v>78</v>
      </c>
      <c r="Z741">
        <v>1</v>
      </c>
      <c r="AA741">
        <v>92</v>
      </c>
      <c r="AB741">
        <v>1</v>
      </c>
      <c r="AC741">
        <v>85</v>
      </c>
      <c r="AD741">
        <v>1</v>
      </c>
      <c r="AE741">
        <v>92</v>
      </c>
      <c r="AF741">
        <v>2</v>
      </c>
      <c r="AG741">
        <v>90</v>
      </c>
      <c r="AH741">
        <v>2</v>
      </c>
    </row>
    <row r="742" spans="1:34">
      <c r="B742" s="24">
        <v>1814</v>
      </c>
      <c r="C742" s="24" t="s">
        <v>3329</v>
      </c>
    </row>
    <row r="743" spans="1:34">
      <c r="A743" t="s">
        <v>2289</v>
      </c>
      <c r="B743" s="24">
        <v>1814</v>
      </c>
      <c r="C743" s="24" t="s">
        <v>2290</v>
      </c>
      <c r="D743" s="24" t="s">
        <v>2291</v>
      </c>
      <c r="E743" s="93">
        <v>80</v>
      </c>
      <c r="F743" s="94">
        <v>4</v>
      </c>
      <c r="G743" s="94">
        <v>92</v>
      </c>
      <c r="H743" s="94">
        <v>4</v>
      </c>
      <c r="I743" s="94">
        <v>81</v>
      </c>
      <c r="J743" s="94">
        <v>4</v>
      </c>
      <c r="K743" s="94">
        <v>95</v>
      </c>
      <c r="L743" s="94">
        <v>2</v>
      </c>
      <c r="M743" s="94">
        <v>90</v>
      </c>
      <c r="N743" s="94">
        <v>2</v>
      </c>
      <c r="O743" s="94">
        <v>84</v>
      </c>
      <c r="P743" s="94">
        <v>2</v>
      </c>
      <c r="Q743">
        <v>75</v>
      </c>
      <c r="R743">
        <v>2</v>
      </c>
      <c r="S743">
        <v>80</v>
      </c>
      <c r="T743">
        <v>2</v>
      </c>
      <c r="U743">
        <v>73</v>
      </c>
      <c r="V743">
        <v>2</v>
      </c>
      <c r="W743">
        <v>82</v>
      </c>
      <c r="X743">
        <v>2</v>
      </c>
      <c r="Y743">
        <v>81</v>
      </c>
      <c r="Z743">
        <v>1</v>
      </c>
      <c r="AA743">
        <v>92</v>
      </c>
      <c r="AB743">
        <v>1</v>
      </c>
      <c r="AC743">
        <v>75</v>
      </c>
      <c r="AD743">
        <v>1</v>
      </c>
      <c r="AE743">
        <v>89</v>
      </c>
      <c r="AF743">
        <v>2</v>
      </c>
      <c r="AG743">
        <v>80</v>
      </c>
      <c r="AH743">
        <v>2</v>
      </c>
    </row>
    <row r="744" spans="1:34">
      <c r="A744" t="s">
        <v>1646</v>
      </c>
      <c r="B744" s="24">
        <v>1814</v>
      </c>
      <c r="C744" s="24" t="s">
        <v>2293</v>
      </c>
      <c r="D744" s="24" t="s">
        <v>1648</v>
      </c>
      <c r="E744" s="93">
        <v>89</v>
      </c>
      <c r="F744" s="94">
        <v>4</v>
      </c>
      <c r="G744" s="94">
        <v>95</v>
      </c>
      <c r="H744" s="94">
        <v>4</v>
      </c>
      <c r="I744" s="94">
        <v>92</v>
      </c>
      <c r="J744" s="94">
        <v>4</v>
      </c>
      <c r="K744" s="94">
        <v>95</v>
      </c>
      <c r="L744" s="94">
        <v>2</v>
      </c>
      <c r="M744" s="94">
        <v>95</v>
      </c>
      <c r="N744" s="94">
        <v>2</v>
      </c>
      <c r="O744" s="94">
        <v>88</v>
      </c>
      <c r="P744" s="94">
        <v>2</v>
      </c>
      <c r="Q744">
        <v>87</v>
      </c>
      <c r="R744">
        <v>2</v>
      </c>
      <c r="S744">
        <v>81</v>
      </c>
      <c r="T744">
        <v>2</v>
      </c>
      <c r="U744">
        <v>85</v>
      </c>
      <c r="V744">
        <v>2</v>
      </c>
      <c r="W744">
        <v>92</v>
      </c>
      <c r="X744">
        <v>2</v>
      </c>
      <c r="Y744">
        <v>76</v>
      </c>
      <c r="Z744">
        <v>1</v>
      </c>
      <c r="AA744">
        <v>92</v>
      </c>
      <c r="AB744">
        <v>1</v>
      </c>
      <c r="AC744">
        <v>86</v>
      </c>
      <c r="AD744">
        <v>1</v>
      </c>
      <c r="AE744">
        <v>90</v>
      </c>
      <c r="AF744">
        <v>2</v>
      </c>
      <c r="AG744">
        <v>87</v>
      </c>
      <c r="AH744">
        <v>2</v>
      </c>
    </row>
    <row r="745" spans="1:34">
      <c r="A745" t="s">
        <v>2292</v>
      </c>
      <c r="B745" s="24">
        <v>1814</v>
      </c>
      <c r="C745" s="24" t="s">
        <v>2296</v>
      </c>
      <c r="D745" s="24" t="s">
        <v>2294</v>
      </c>
      <c r="E745" s="93">
        <v>78</v>
      </c>
      <c r="F745" s="94">
        <v>4</v>
      </c>
      <c r="G745" s="94">
        <v>88</v>
      </c>
      <c r="H745" s="94">
        <v>4</v>
      </c>
      <c r="I745" s="94">
        <v>89</v>
      </c>
      <c r="J745" s="94">
        <v>4</v>
      </c>
      <c r="K745" s="94">
        <v>86</v>
      </c>
      <c r="L745" s="94">
        <v>2</v>
      </c>
      <c r="M745" s="94">
        <v>88</v>
      </c>
      <c r="N745" s="94">
        <v>2</v>
      </c>
      <c r="O745" s="94">
        <v>86</v>
      </c>
      <c r="P745" s="94">
        <v>2</v>
      </c>
      <c r="Q745">
        <v>98</v>
      </c>
      <c r="R745">
        <v>2</v>
      </c>
      <c r="S745">
        <v>82</v>
      </c>
      <c r="T745">
        <v>2</v>
      </c>
      <c r="U745">
        <v>78</v>
      </c>
      <c r="V745">
        <v>2</v>
      </c>
      <c r="W745">
        <v>83</v>
      </c>
      <c r="X745">
        <v>2</v>
      </c>
      <c r="Y745">
        <v>74</v>
      </c>
      <c r="Z745">
        <v>1</v>
      </c>
      <c r="AA745">
        <v>92</v>
      </c>
      <c r="AB745">
        <v>1</v>
      </c>
      <c r="AC745">
        <v>80</v>
      </c>
      <c r="AD745">
        <v>1</v>
      </c>
      <c r="AE745">
        <v>92</v>
      </c>
      <c r="AF745">
        <v>2</v>
      </c>
      <c r="AG745">
        <v>88</v>
      </c>
      <c r="AH745">
        <v>2</v>
      </c>
    </row>
    <row r="746" spans="1:34">
      <c r="A746" t="s">
        <v>1539</v>
      </c>
      <c r="B746" s="24">
        <v>1814</v>
      </c>
      <c r="C746" s="24" t="s">
        <v>2298</v>
      </c>
      <c r="D746" s="24" t="s">
        <v>1541</v>
      </c>
      <c r="E746" s="93">
        <v>99</v>
      </c>
      <c r="F746" s="94">
        <v>4</v>
      </c>
      <c r="G746" s="94">
        <v>92</v>
      </c>
      <c r="H746" s="94">
        <v>4</v>
      </c>
      <c r="I746" s="94">
        <v>95</v>
      </c>
      <c r="J746" s="94">
        <v>4</v>
      </c>
      <c r="K746" s="94">
        <v>93</v>
      </c>
      <c r="L746" s="94">
        <v>2</v>
      </c>
      <c r="M746" s="94">
        <v>95</v>
      </c>
      <c r="N746" s="94">
        <v>2</v>
      </c>
      <c r="O746" s="94">
        <v>85</v>
      </c>
      <c r="P746" s="94">
        <v>2</v>
      </c>
      <c r="Q746">
        <v>96</v>
      </c>
      <c r="R746">
        <v>2</v>
      </c>
      <c r="S746">
        <v>83</v>
      </c>
      <c r="T746">
        <v>2</v>
      </c>
      <c r="U746">
        <v>85</v>
      </c>
      <c r="V746">
        <v>2</v>
      </c>
      <c r="W746">
        <v>92</v>
      </c>
      <c r="X746">
        <v>2</v>
      </c>
      <c r="Y746">
        <v>82</v>
      </c>
      <c r="Z746">
        <v>1</v>
      </c>
      <c r="AA746">
        <v>92</v>
      </c>
      <c r="AB746">
        <v>1</v>
      </c>
      <c r="AC746">
        <v>76</v>
      </c>
      <c r="AD746">
        <v>1</v>
      </c>
      <c r="AE746">
        <v>93</v>
      </c>
      <c r="AF746">
        <v>2</v>
      </c>
      <c r="AG746">
        <v>89</v>
      </c>
      <c r="AH746">
        <v>2</v>
      </c>
    </row>
    <row r="747" spans="1:34">
      <c r="A747" t="s">
        <v>2299</v>
      </c>
      <c r="B747" s="24">
        <v>1814</v>
      </c>
      <c r="C747" s="24" t="s">
        <v>2300</v>
      </c>
      <c r="D747" s="24" t="s">
        <v>2301</v>
      </c>
      <c r="E747" s="93">
        <v>95</v>
      </c>
      <c r="F747" s="94">
        <v>4</v>
      </c>
      <c r="G747" s="94">
        <v>90</v>
      </c>
      <c r="H747" s="94">
        <v>4</v>
      </c>
      <c r="I747" s="94">
        <v>88</v>
      </c>
      <c r="J747" s="94">
        <v>4</v>
      </c>
      <c r="K747" s="94">
        <v>88</v>
      </c>
      <c r="L747" s="94">
        <v>2</v>
      </c>
      <c r="M747" s="94">
        <v>95</v>
      </c>
      <c r="N747" s="94">
        <v>2</v>
      </c>
      <c r="O747" s="94">
        <v>89</v>
      </c>
      <c r="P747" s="94">
        <v>2</v>
      </c>
      <c r="Q747">
        <v>87</v>
      </c>
      <c r="R747">
        <v>2</v>
      </c>
      <c r="S747">
        <v>84</v>
      </c>
      <c r="T747">
        <v>2</v>
      </c>
      <c r="U747">
        <v>76</v>
      </c>
      <c r="V747">
        <v>2</v>
      </c>
      <c r="W747">
        <v>99</v>
      </c>
      <c r="X747">
        <v>2</v>
      </c>
      <c r="Y747">
        <v>77</v>
      </c>
      <c r="Z747">
        <v>1</v>
      </c>
      <c r="AA747">
        <v>92</v>
      </c>
      <c r="AB747">
        <v>1</v>
      </c>
      <c r="AC747">
        <v>75</v>
      </c>
      <c r="AD747">
        <v>1</v>
      </c>
      <c r="AE747">
        <v>87</v>
      </c>
      <c r="AF747">
        <v>2</v>
      </c>
      <c r="AG747">
        <v>90</v>
      </c>
      <c r="AH747">
        <v>2</v>
      </c>
    </row>
    <row r="748" spans="1:34">
      <c r="A748" t="s">
        <v>2302</v>
      </c>
      <c r="B748" s="24">
        <v>1814</v>
      </c>
      <c r="C748" s="24" t="s">
        <v>2303</v>
      </c>
      <c r="D748" s="24" t="s">
        <v>2304</v>
      </c>
      <c r="E748" s="93">
        <v>88</v>
      </c>
      <c r="F748" s="94">
        <v>4</v>
      </c>
      <c r="G748" s="94">
        <v>89</v>
      </c>
      <c r="H748" s="94">
        <v>4</v>
      </c>
      <c r="I748" s="94">
        <v>73</v>
      </c>
      <c r="J748" s="94">
        <v>4</v>
      </c>
      <c r="K748" s="94">
        <v>90</v>
      </c>
      <c r="L748" s="94">
        <v>2</v>
      </c>
      <c r="M748" s="94">
        <v>95</v>
      </c>
      <c r="N748" s="94">
        <v>2</v>
      </c>
      <c r="O748" s="94">
        <v>90</v>
      </c>
      <c r="P748" s="94">
        <v>2</v>
      </c>
      <c r="Q748">
        <v>82</v>
      </c>
      <c r="R748">
        <v>2</v>
      </c>
      <c r="S748">
        <v>85</v>
      </c>
      <c r="T748">
        <v>2</v>
      </c>
      <c r="U748">
        <v>75</v>
      </c>
      <c r="V748">
        <v>2</v>
      </c>
      <c r="W748">
        <v>90</v>
      </c>
      <c r="X748">
        <v>2</v>
      </c>
      <c r="Y748">
        <v>76</v>
      </c>
      <c r="Z748">
        <v>1</v>
      </c>
      <c r="AA748">
        <v>92</v>
      </c>
      <c r="AB748">
        <v>1</v>
      </c>
      <c r="AC748">
        <v>75</v>
      </c>
      <c r="AD748">
        <v>1</v>
      </c>
      <c r="AE748">
        <v>88</v>
      </c>
      <c r="AF748">
        <v>2</v>
      </c>
      <c r="AG748">
        <v>89</v>
      </c>
      <c r="AH748">
        <v>2</v>
      </c>
    </row>
    <row r="749" spans="1:34">
      <c r="B749" s="24">
        <v>1814</v>
      </c>
      <c r="C749" s="24" t="s">
        <v>3330</v>
      </c>
      <c r="AH749">
        <v>2</v>
      </c>
    </row>
    <row r="750" spans="1:34">
      <c r="A750" t="s">
        <v>2307</v>
      </c>
      <c r="B750" s="24">
        <v>1814</v>
      </c>
      <c r="C750" s="24" t="s">
        <v>2308</v>
      </c>
      <c r="D750" s="24" t="s">
        <v>2309</v>
      </c>
      <c r="E750" s="93">
        <v>89</v>
      </c>
      <c r="F750" s="94">
        <v>4</v>
      </c>
      <c r="G750" s="94">
        <v>88</v>
      </c>
      <c r="H750" s="94">
        <v>4</v>
      </c>
      <c r="I750" s="94">
        <v>79</v>
      </c>
      <c r="J750" s="94">
        <v>4</v>
      </c>
      <c r="K750" s="94">
        <v>94</v>
      </c>
      <c r="L750" s="94">
        <v>2</v>
      </c>
      <c r="M750" s="94">
        <v>95</v>
      </c>
      <c r="N750" s="94">
        <v>2</v>
      </c>
      <c r="O750" s="94">
        <v>82</v>
      </c>
      <c r="P750" s="94">
        <v>2</v>
      </c>
      <c r="Q750">
        <v>82</v>
      </c>
      <c r="R750">
        <v>2</v>
      </c>
      <c r="S750">
        <v>80</v>
      </c>
      <c r="T750">
        <v>2</v>
      </c>
      <c r="U750">
        <v>82</v>
      </c>
      <c r="V750">
        <v>2</v>
      </c>
      <c r="W750">
        <v>90</v>
      </c>
      <c r="X750">
        <v>2</v>
      </c>
      <c r="Y750">
        <v>82</v>
      </c>
      <c r="Z750">
        <v>1</v>
      </c>
      <c r="AA750">
        <v>92</v>
      </c>
      <c r="AB750">
        <v>1</v>
      </c>
      <c r="AC750">
        <v>76</v>
      </c>
      <c r="AD750">
        <v>1</v>
      </c>
      <c r="AE750">
        <v>90</v>
      </c>
      <c r="AF750">
        <v>2</v>
      </c>
      <c r="AG750">
        <v>80</v>
      </c>
      <c r="AH750">
        <v>2</v>
      </c>
    </row>
    <row r="751" spans="1:34">
      <c r="A751" t="s">
        <v>2310</v>
      </c>
      <c r="B751" s="24">
        <v>1814</v>
      </c>
      <c r="C751" s="24" t="s">
        <v>2311</v>
      </c>
      <c r="D751" s="24" t="s">
        <v>2312</v>
      </c>
      <c r="E751" s="93">
        <v>88</v>
      </c>
      <c r="F751" s="94">
        <v>4</v>
      </c>
      <c r="G751" s="94">
        <v>88</v>
      </c>
      <c r="H751" s="94">
        <v>4</v>
      </c>
      <c r="I751" s="94">
        <v>90</v>
      </c>
      <c r="J751" s="94">
        <v>4</v>
      </c>
      <c r="K751" s="94">
        <v>89</v>
      </c>
      <c r="L751" s="94">
        <v>2</v>
      </c>
      <c r="M751" s="94">
        <v>95</v>
      </c>
      <c r="N751" s="94">
        <v>2</v>
      </c>
      <c r="O751" s="94">
        <v>84</v>
      </c>
      <c r="P751" s="94">
        <v>2</v>
      </c>
      <c r="Q751">
        <v>87</v>
      </c>
      <c r="R751">
        <v>2</v>
      </c>
      <c r="S751">
        <v>81</v>
      </c>
      <c r="T751">
        <v>2</v>
      </c>
      <c r="U751">
        <v>78</v>
      </c>
      <c r="V751">
        <v>2</v>
      </c>
      <c r="W751">
        <v>90</v>
      </c>
      <c r="X751">
        <v>2</v>
      </c>
      <c r="Y751">
        <v>81</v>
      </c>
      <c r="Z751">
        <v>1</v>
      </c>
      <c r="AA751">
        <v>92</v>
      </c>
      <c r="AB751">
        <v>1</v>
      </c>
      <c r="AC751">
        <v>72</v>
      </c>
      <c r="AD751">
        <v>1</v>
      </c>
      <c r="AE751">
        <v>91</v>
      </c>
      <c r="AF751">
        <v>2</v>
      </c>
      <c r="AG751">
        <v>87</v>
      </c>
      <c r="AH751">
        <v>2</v>
      </c>
    </row>
    <row r="752" spans="1:34">
      <c r="A752" t="s">
        <v>2316</v>
      </c>
      <c r="B752" s="24">
        <v>1814</v>
      </c>
      <c r="C752" s="24" t="s">
        <v>2314</v>
      </c>
      <c r="D752" s="24" t="s">
        <v>2318</v>
      </c>
      <c r="E752" s="93">
        <v>96</v>
      </c>
      <c r="F752" s="94">
        <v>4</v>
      </c>
      <c r="G752" s="94">
        <v>88</v>
      </c>
      <c r="H752" s="94">
        <v>4</v>
      </c>
      <c r="I752" s="94">
        <v>92</v>
      </c>
      <c r="J752" s="94">
        <v>4</v>
      </c>
      <c r="K752" s="94">
        <v>91</v>
      </c>
      <c r="L752" s="94">
        <v>2</v>
      </c>
      <c r="M752" s="94">
        <v>95</v>
      </c>
      <c r="N752" s="94">
        <v>2</v>
      </c>
      <c r="O752" s="94">
        <v>86</v>
      </c>
      <c r="P752" s="94">
        <v>2</v>
      </c>
      <c r="Q752">
        <v>98</v>
      </c>
      <c r="R752">
        <v>2</v>
      </c>
      <c r="S752">
        <v>82</v>
      </c>
      <c r="T752">
        <v>2</v>
      </c>
      <c r="U752">
        <v>88</v>
      </c>
      <c r="V752">
        <v>2</v>
      </c>
      <c r="W752">
        <v>96</v>
      </c>
      <c r="X752">
        <v>2</v>
      </c>
      <c r="Y752">
        <v>80</v>
      </c>
      <c r="Z752">
        <v>1</v>
      </c>
      <c r="AA752">
        <v>92</v>
      </c>
      <c r="AB752">
        <v>1</v>
      </c>
      <c r="AC752">
        <v>75</v>
      </c>
      <c r="AD752">
        <v>1</v>
      </c>
      <c r="AE752">
        <v>92</v>
      </c>
      <c r="AF752">
        <v>2</v>
      </c>
      <c r="AG752">
        <v>88</v>
      </c>
      <c r="AH752">
        <v>2</v>
      </c>
    </row>
    <row r="753" spans="1:34">
      <c r="A753" t="s">
        <v>2319</v>
      </c>
      <c r="B753" s="24">
        <v>1814</v>
      </c>
      <c r="C753" s="24" t="s">
        <v>2317</v>
      </c>
      <c r="D753" s="24" t="s">
        <v>2321</v>
      </c>
      <c r="E753" s="93">
        <v>92</v>
      </c>
      <c r="F753" s="94">
        <v>4</v>
      </c>
      <c r="G753" s="94">
        <v>88</v>
      </c>
      <c r="H753" s="94">
        <v>4</v>
      </c>
      <c r="I753" s="94">
        <v>89</v>
      </c>
      <c r="J753" s="94">
        <v>4</v>
      </c>
      <c r="K753" s="94">
        <v>90</v>
      </c>
      <c r="L753" s="94">
        <v>2</v>
      </c>
      <c r="M753" s="94">
        <v>95</v>
      </c>
      <c r="N753" s="94">
        <v>2</v>
      </c>
      <c r="O753" s="94">
        <v>85</v>
      </c>
      <c r="P753" s="94">
        <v>2</v>
      </c>
      <c r="Q753">
        <v>90</v>
      </c>
      <c r="R753">
        <v>2</v>
      </c>
      <c r="S753">
        <v>83</v>
      </c>
      <c r="T753">
        <v>2</v>
      </c>
      <c r="U753">
        <v>85</v>
      </c>
      <c r="V753">
        <v>2</v>
      </c>
      <c r="W753">
        <v>98</v>
      </c>
      <c r="X753">
        <v>2</v>
      </c>
      <c r="Y753">
        <v>81</v>
      </c>
      <c r="Z753">
        <v>1</v>
      </c>
      <c r="AA753">
        <v>92</v>
      </c>
      <c r="AB753">
        <v>1</v>
      </c>
      <c r="AC753">
        <v>70</v>
      </c>
      <c r="AD753">
        <v>1</v>
      </c>
      <c r="AE753">
        <v>88</v>
      </c>
      <c r="AF753">
        <v>2</v>
      </c>
      <c r="AG753">
        <v>89</v>
      </c>
      <c r="AH753">
        <v>2</v>
      </c>
    </row>
    <row r="754" spans="1:34">
      <c r="A754" t="s">
        <v>2322</v>
      </c>
      <c r="B754" s="24">
        <v>1814</v>
      </c>
      <c r="C754" s="24" t="s">
        <v>2320</v>
      </c>
      <c r="D754" s="24" t="s">
        <v>2324</v>
      </c>
      <c r="E754" s="93">
        <v>92</v>
      </c>
      <c r="F754" s="94">
        <v>4</v>
      </c>
      <c r="G754" s="94">
        <v>88</v>
      </c>
      <c r="H754" s="94">
        <v>4</v>
      </c>
      <c r="I754" s="94">
        <v>86</v>
      </c>
      <c r="J754" s="94">
        <v>4</v>
      </c>
      <c r="K754" s="94">
        <v>85</v>
      </c>
      <c r="L754" s="94">
        <v>2</v>
      </c>
      <c r="M754" s="94">
        <v>85</v>
      </c>
      <c r="N754" s="94">
        <v>2</v>
      </c>
      <c r="O754" s="94">
        <v>88</v>
      </c>
      <c r="P754" s="94">
        <v>2</v>
      </c>
      <c r="Q754">
        <v>92</v>
      </c>
      <c r="R754">
        <v>2</v>
      </c>
      <c r="S754">
        <v>84</v>
      </c>
      <c r="T754">
        <v>2</v>
      </c>
      <c r="U754">
        <v>75</v>
      </c>
      <c r="V754">
        <v>2</v>
      </c>
      <c r="W754">
        <v>89</v>
      </c>
      <c r="X754">
        <v>2</v>
      </c>
      <c r="Y754">
        <v>80</v>
      </c>
      <c r="Z754">
        <v>1</v>
      </c>
      <c r="AA754">
        <v>92</v>
      </c>
      <c r="AB754">
        <v>1</v>
      </c>
      <c r="AC754">
        <v>75</v>
      </c>
      <c r="AD754">
        <v>1</v>
      </c>
      <c r="AE754">
        <v>89</v>
      </c>
      <c r="AF754">
        <v>2</v>
      </c>
      <c r="AG754">
        <v>88</v>
      </c>
      <c r="AH754">
        <v>2</v>
      </c>
    </row>
    <row r="755" spans="1:34">
      <c r="A755" t="s">
        <v>2325</v>
      </c>
      <c r="B755" s="24">
        <v>1814</v>
      </c>
      <c r="C755" s="24" t="s">
        <v>2323</v>
      </c>
      <c r="D755" s="24" t="s">
        <v>2327</v>
      </c>
      <c r="E755" s="93">
        <v>93</v>
      </c>
      <c r="F755" s="94">
        <v>4</v>
      </c>
      <c r="G755" s="94">
        <v>88</v>
      </c>
      <c r="H755" s="94">
        <v>4</v>
      </c>
      <c r="I755" s="94">
        <v>86</v>
      </c>
      <c r="J755" s="94">
        <v>4</v>
      </c>
      <c r="K755" s="94">
        <v>92</v>
      </c>
      <c r="L755" s="94">
        <v>2</v>
      </c>
      <c r="M755" s="94">
        <v>90</v>
      </c>
      <c r="N755" s="94">
        <v>2</v>
      </c>
      <c r="O755" s="94">
        <v>85</v>
      </c>
      <c r="P755" s="94">
        <v>2</v>
      </c>
      <c r="Q755">
        <v>96</v>
      </c>
      <c r="R755">
        <v>2</v>
      </c>
      <c r="S755">
        <v>85</v>
      </c>
      <c r="T755">
        <v>2</v>
      </c>
      <c r="U755">
        <v>79</v>
      </c>
      <c r="V755">
        <v>2</v>
      </c>
      <c r="W755">
        <v>89</v>
      </c>
      <c r="X755">
        <v>2</v>
      </c>
      <c r="Y755">
        <v>77</v>
      </c>
      <c r="Z755">
        <v>1</v>
      </c>
      <c r="AA755">
        <v>92</v>
      </c>
      <c r="AB755">
        <v>1</v>
      </c>
      <c r="AC755">
        <v>78</v>
      </c>
      <c r="AD755">
        <v>1</v>
      </c>
      <c r="AE755">
        <v>93</v>
      </c>
      <c r="AF755">
        <v>2</v>
      </c>
      <c r="AG755">
        <v>89</v>
      </c>
      <c r="AH755">
        <v>2</v>
      </c>
    </row>
    <row r="756" spans="1:34">
      <c r="A756" t="s">
        <v>2330</v>
      </c>
      <c r="B756" s="24">
        <v>1814</v>
      </c>
      <c r="C756" s="24" t="s">
        <v>2326</v>
      </c>
      <c r="D756" s="24" t="s">
        <v>2332</v>
      </c>
      <c r="E756" s="93">
        <v>65</v>
      </c>
      <c r="F756" s="94">
        <v>4</v>
      </c>
      <c r="G756" s="94">
        <v>85</v>
      </c>
      <c r="H756" s="94">
        <v>4</v>
      </c>
      <c r="I756" s="94">
        <v>84</v>
      </c>
      <c r="J756" s="94">
        <v>4</v>
      </c>
      <c r="K756" s="94">
        <v>88</v>
      </c>
      <c r="L756" s="94">
        <v>2</v>
      </c>
      <c r="M756" s="94">
        <v>85</v>
      </c>
      <c r="N756" s="94">
        <v>2</v>
      </c>
      <c r="O756" s="94">
        <v>80</v>
      </c>
      <c r="P756" s="94">
        <v>2</v>
      </c>
      <c r="Q756">
        <v>89</v>
      </c>
      <c r="R756">
        <v>2</v>
      </c>
      <c r="S756">
        <v>80</v>
      </c>
      <c r="T756">
        <v>2</v>
      </c>
      <c r="U756">
        <v>82</v>
      </c>
      <c r="V756">
        <v>2</v>
      </c>
      <c r="W756">
        <v>92</v>
      </c>
      <c r="X756">
        <v>2</v>
      </c>
      <c r="Y756">
        <v>78</v>
      </c>
      <c r="Z756">
        <v>1</v>
      </c>
      <c r="AA756">
        <v>92</v>
      </c>
      <c r="AB756">
        <v>1</v>
      </c>
      <c r="AC756">
        <v>93</v>
      </c>
      <c r="AD756">
        <v>1</v>
      </c>
      <c r="AE756">
        <v>86</v>
      </c>
      <c r="AF756">
        <v>2</v>
      </c>
      <c r="AG756">
        <v>90</v>
      </c>
      <c r="AH756">
        <v>2</v>
      </c>
    </row>
    <row r="757" spans="1:34">
      <c r="A757" t="s">
        <v>2333</v>
      </c>
      <c r="B757" s="24">
        <v>1814</v>
      </c>
      <c r="C757" s="24" t="s">
        <v>2329</v>
      </c>
      <c r="D757" s="24" t="s">
        <v>2335</v>
      </c>
      <c r="E757" s="93">
        <v>99</v>
      </c>
      <c r="F757" s="94">
        <v>4</v>
      </c>
      <c r="G757" s="94">
        <v>92</v>
      </c>
      <c r="H757" s="94">
        <v>4</v>
      </c>
      <c r="I757" s="94">
        <v>88</v>
      </c>
      <c r="J757" s="94">
        <v>4</v>
      </c>
      <c r="K757" s="94">
        <v>89</v>
      </c>
      <c r="L757" s="94">
        <v>2</v>
      </c>
      <c r="M757" s="94">
        <v>90</v>
      </c>
      <c r="N757" s="94">
        <v>2</v>
      </c>
      <c r="O757" s="94">
        <v>86</v>
      </c>
      <c r="P757" s="94">
        <v>2</v>
      </c>
      <c r="Q757">
        <v>92</v>
      </c>
      <c r="R757">
        <v>2</v>
      </c>
      <c r="S757">
        <v>81</v>
      </c>
      <c r="T757">
        <v>2</v>
      </c>
      <c r="U757">
        <v>88</v>
      </c>
      <c r="V757">
        <v>2</v>
      </c>
      <c r="W757">
        <v>96</v>
      </c>
      <c r="X757">
        <v>2</v>
      </c>
      <c r="Y757">
        <v>81</v>
      </c>
      <c r="Z757">
        <v>1</v>
      </c>
      <c r="AA757">
        <v>92</v>
      </c>
      <c r="AB757">
        <v>1</v>
      </c>
      <c r="AC757">
        <v>80</v>
      </c>
      <c r="AD757">
        <v>1</v>
      </c>
      <c r="AE757">
        <v>89</v>
      </c>
      <c r="AF757">
        <v>2</v>
      </c>
      <c r="AG757">
        <v>98</v>
      </c>
      <c r="AH757">
        <v>2</v>
      </c>
    </row>
    <row r="758" spans="1:34">
      <c r="A758" t="s">
        <v>2336</v>
      </c>
      <c r="B758" s="24">
        <v>1814</v>
      </c>
      <c r="C758" s="24" t="s">
        <v>2331</v>
      </c>
      <c r="D758" s="24" t="s">
        <v>2338</v>
      </c>
      <c r="E758" s="93">
        <v>85</v>
      </c>
      <c r="F758" s="94">
        <v>4</v>
      </c>
      <c r="G758" s="94">
        <v>86</v>
      </c>
      <c r="H758" s="94">
        <v>4</v>
      </c>
      <c r="I758" s="94">
        <v>81</v>
      </c>
      <c r="J758" s="94">
        <v>4</v>
      </c>
      <c r="K758" s="94">
        <v>85</v>
      </c>
      <c r="L758" s="94">
        <v>2</v>
      </c>
      <c r="M758" s="94">
        <v>85</v>
      </c>
      <c r="N758" s="94">
        <v>2</v>
      </c>
      <c r="O758" s="94">
        <v>86</v>
      </c>
      <c r="P758" s="94">
        <v>2</v>
      </c>
      <c r="Q758">
        <v>82</v>
      </c>
      <c r="R758">
        <v>2</v>
      </c>
      <c r="S758">
        <v>82</v>
      </c>
      <c r="T758">
        <v>2</v>
      </c>
      <c r="U758">
        <v>80</v>
      </c>
      <c r="V758">
        <v>2</v>
      </c>
      <c r="W758">
        <v>87</v>
      </c>
      <c r="X758">
        <v>2</v>
      </c>
      <c r="Y758">
        <v>79</v>
      </c>
      <c r="Z758">
        <v>1</v>
      </c>
      <c r="AA758">
        <v>92</v>
      </c>
      <c r="AB758">
        <v>1</v>
      </c>
      <c r="AC758">
        <v>76</v>
      </c>
      <c r="AD758">
        <v>1</v>
      </c>
      <c r="AE758">
        <v>91</v>
      </c>
      <c r="AF758">
        <v>2</v>
      </c>
      <c r="AG758">
        <v>96</v>
      </c>
      <c r="AH758">
        <v>2</v>
      </c>
    </row>
    <row r="759" spans="1:34">
      <c r="A759" t="s">
        <v>2339</v>
      </c>
      <c r="B759" s="24">
        <v>1814</v>
      </c>
      <c r="C759" s="24" t="s">
        <v>2334</v>
      </c>
      <c r="D759" s="24" t="s">
        <v>2341</v>
      </c>
      <c r="E759" s="93">
        <v>90</v>
      </c>
      <c r="F759" s="94">
        <v>4</v>
      </c>
      <c r="G759" s="94">
        <v>88</v>
      </c>
      <c r="H759" s="94">
        <v>4</v>
      </c>
      <c r="I759" s="94">
        <v>88</v>
      </c>
      <c r="J759" s="94">
        <v>4</v>
      </c>
      <c r="K759" s="94">
        <v>84</v>
      </c>
      <c r="L759" s="94">
        <v>2</v>
      </c>
      <c r="M759" s="94">
        <v>88</v>
      </c>
      <c r="N759" s="94">
        <v>2</v>
      </c>
      <c r="O759" s="94">
        <v>87</v>
      </c>
      <c r="P759" s="94">
        <v>2</v>
      </c>
      <c r="Q759">
        <v>96</v>
      </c>
      <c r="R759">
        <v>2</v>
      </c>
      <c r="S759">
        <v>83</v>
      </c>
      <c r="T759">
        <v>2</v>
      </c>
      <c r="U759">
        <v>85</v>
      </c>
      <c r="V759">
        <v>2</v>
      </c>
      <c r="W759">
        <v>85</v>
      </c>
      <c r="X759">
        <v>2</v>
      </c>
      <c r="Y759">
        <v>78</v>
      </c>
      <c r="Z759">
        <v>1</v>
      </c>
      <c r="AA759">
        <v>92</v>
      </c>
      <c r="AB759">
        <v>1</v>
      </c>
      <c r="AC759">
        <v>78</v>
      </c>
      <c r="AD759">
        <v>1</v>
      </c>
      <c r="AE759">
        <v>89</v>
      </c>
      <c r="AF759">
        <v>2</v>
      </c>
      <c r="AG759">
        <v>88</v>
      </c>
      <c r="AH759">
        <v>2</v>
      </c>
    </row>
    <row r="760" spans="1:34">
      <c r="A760" t="s">
        <v>2342</v>
      </c>
      <c r="B760" s="24">
        <v>1814</v>
      </c>
      <c r="C760" s="24" t="s">
        <v>2337</v>
      </c>
      <c r="D760" s="24" t="s">
        <v>2344</v>
      </c>
      <c r="E760" s="93">
        <v>99</v>
      </c>
      <c r="F760" s="94">
        <v>4</v>
      </c>
      <c r="G760" s="94">
        <v>92</v>
      </c>
      <c r="H760" s="94">
        <v>4</v>
      </c>
      <c r="I760" s="94">
        <v>95</v>
      </c>
      <c r="J760" s="94">
        <v>4</v>
      </c>
      <c r="K760" s="94">
        <v>95</v>
      </c>
      <c r="L760" s="94">
        <v>2</v>
      </c>
      <c r="M760" s="94">
        <v>90</v>
      </c>
      <c r="N760" s="94">
        <v>2</v>
      </c>
      <c r="O760" s="94">
        <v>88</v>
      </c>
      <c r="P760" s="94">
        <v>2</v>
      </c>
      <c r="Q760">
        <v>97</v>
      </c>
      <c r="R760">
        <v>2</v>
      </c>
      <c r="S760">
        <v>84</v>
      </c>
      <c r="T760">
        <v>2</v>
      </c>
      <c r="U760">
        <v>83</v>
      </c>
      <c r="V760">
        <v>2</v>
      </c>
      <c r="W760">
        <v>96</v>
      </c>
      <c r="X760">
        <v>2</v>
      </c>
      <c r="Y760">
        <v>85</v>
      </c>
      <c r="Z760">
        <v>1</v>
      </c>
      <c r="AA760">
        <v>92</v>
      </c>
      <c r="AB760">
        <v>1</v>
      </c>
      <c r="AC760">
        <v>76</v>
      </c>
      <c r="AD760">
        <v>1</v>
      </c>
      <c r="AE760">
        <v>91</v>
      </c>
      <c r="AF760">
        <v>2</v>
      </c>
      <c r="AG760">
        <v>85</v>
      </c>
      <c r="AH760">
        <v>2</v>
      </c>
    </row>
    <row r="761" spans="1:34">
      <c r="A761" t="s">
        <v>2345</v>
      </c>
      <c r="B761" s="24">
        <v>1814</v>
      </c>
      <c r="C761" s="24" t="s">
        <v>2340</v>
      </c>
      <c r="D761" s="24" t="s">
        <v>2347</v>
      </c>
      <c r="E761" s="93">
        <v>93</v>
      </c>
      <c r="F761" s="94">
        <v>4</v>
      </c>
      <c r="G761" s="94">
        <v>92</v>
      </c>
      <c r="H761" s="94">
        <v>4</v>
      </c>
      <c r="I761" s="94">
        <v>88</v>
      </c>
      <c r="J761" s="94">
        <v>4</v>
      </c>
      <c r="K761" s="94">
        <v>86</v>
      </c>
      <c r="L761" s="94">
        <v>2</v>
      </c>
      <c r="M761" s="94">
        <v>88</v>
      </c>
      <c r="N761" s="94">
        <v>2</v>
      </c>
      <c r="O761" s="94">
        <v>84</v>
      </c>
      <c r="P761" s="94">
        <v>2</v>
      </c>
      <c r="Q761">
        <v>98</v>
      </c>
      <c r="R761">
        <v>2</v>
      </c>
      <c r="S761">
        <v>85</v>
      </c>
      <c r="T761">
        <v>2</v>
      </c>
      <c r="U761">
        <v>88</v>
      </c>
      <c r="V761">
        <v>2</v>
      </c>
      <c r="W761">
        <v>90</v>
      </c>
      <c r="X761">
        <v>2</v>
      </c>
      <c r="Y761">
        <v>81</v>
      </c>
      <c r="Z761">
        <v>1</v>
      </c>
      <c r="AA761">
        <v>92</v>
      </c>
      <c r="AB761">
        <v>1</v>
      </c>
      <c r="AC761">
        <v>75</v>
      </c>
      <c r="AD761">
        <v>1</v>
      </c>
      <c r="AE761">
        <v>92</v>
      </c>
      <c r="AF761">
        <v>2</v>
      </c>
      <c r="AG761">
        <v>86</v>
      </c>
      <c r="AH761">
        <v>2</v>
      </c>
    </row>
    <row r="762" spans="1:34">
      <c r="A762" t="s">
        <v>2348</v>
      </c>
      <c r="B762" s="24">
        <v>1814</v>
      </c>
      <c r="C762" s="24" t="s">
        <v>2343</v>
      </c>
      <c r="D762" s="24" t="s">
        <v>2350</v>
      </c>
      <c r="E762" s="93">
        <v>88</v>
      </c>
      <c r="F762" s="94">
        <v>4</v>
      </c>
      <c r="G762" s="94">
        <v>88</v>
      </c>
      <c r="H762" s="94">
        <v>4</v>
      </c>
      <c r="I762" s="94">
        <v>80</v>
      </c>
      <c r="J762" s="94">
        <v>4</v>
      </c>
      <c r="K762" s="94">
        <v>90</v>
      </c>
      <c r="L762" s="94">
        <v>2</v>
      </c>
      <c r="M762" s="94">
        <v>88</v>
      </c>
      <c r="N762" s="94">
        <v>2</v>
      </c>
      <c r="O762" s="94">
        <v>86</v>
      </c>
      <c r="P762" s="94">
        <v>2</v>
      </c>
      <c r="Q762">
        <v>80</v>
      </c>
      <c r="R762">
        <v>2</v>
      </c>
      <c r="S762">
        <v>80</v>
      </c>
      <c r="T762">
        <v>2</v>
      </c>
      <c r="U762">
        <v>75</v>
      </c>
      <c r="V762">
        <v>2</v>
      </c>
      <c r="W762">
        <v>100</v>
      </c>
      <c r="X762">
        <v>2</v>
      </c>
      <c r="Y762">
        <v>76</v>
      </c>
      <c r="Z762">
        <v>1</v>
      </c>
      <c r="AA762">
        <v>92</v>
      </c>
      <c r="AB762">
        <v>1</v>
      </c>
      <c r="AC762">
        <v>92</v>
      </c>
      <c r="AD762">
        <v>1</v>
      </c>
      <c r="AE762">
        <v>88</v>
      </c>
      <c r="AF762">
        <v>2</v>
      </c>
      <c r="AG762">
        <v>87</v>
      </c>
      <c r="AH762">
        <v>2</v>
      </c>
    </row>
    <row r="763" spans="1:34">
      <c r="A763" t="s">
        <v>2351</v>
      </c>
      <c r="B763" s="24">
        <v>1814</v>
      </c>
      <c r="C763" s="24" t="s">
        <v>2346</v>
      </c>
      <c r="D763" s="24" t="s">
        <v>2353</v>
      </c>
      <c r="E763" s="93">
        <v>87</v>
      </c>
      <c r="F763" s="94">
        <v>4</v>
      </c>
      <c r="G763" s="94">
        <v>92</v>
      </c>
      <c r="H763" s="94">
        <v>4</v>
      </c>
      <c r="I763" s="94">
        <v>90</v>
      </c>
      <c r="J763" s="94">
        <v>4</v>
      </c>
      <c r="K763" s="94">
        <v>90</v>
      </c>
      <c r="L763" s="94">
        <v>2</v>
      </c>
      <c r="M763" s="94">
        <v>90</v>
      </c>
      <c r="N763" s="94">
        <v>2</v>
      </c>
      <c r="O763" s="94">
        <v>85</v>
      </c>
      <c r="P763" s="94">
        <v>2</v>
      </c>
      <c r="Q763">
        <v>90</v>
      </c>
      <c r="R763">
        <v>2</v>
      </c>
      <c r="S763">
        <v>81</v>
      </c>
      <c r="T763">
        <v>2</v>
      </c>
      <c r="U763">
        <v>86</v>
      </c>
      <c r="V763">
        <v>2</v>
      </c>
      <c r="W763">
        <v>90</v>
      </c>
      <c r="X763">
        <v>2</v>
      </c>
      <c r="Y763">
        <v>77</v>
      </c>
      <c r="Z763">
        <v>1</v>
      </c>
      <c r="AA763">
        <v>92</v>
      </c>
      <c r="AB763">
        <v>1</v>
      </c>
      <c r="AC763">
        <v>70</v>
      </c>
      <c r="AD763">
        <v>1</v>
      </c>
      <c r="AE763">
        <v>85</v>
      </c>
      <c r="AF763">
        <v>2</v>
      </c>
      <c r="AG763">
        <v>88</v>
      </c>
      <c r="AH763">
        <v>2</v>
      </c>
    </row>
    <row r="764" spans="1:34">
      <c r="A764" t="s">
        <v>2357</v>
      </c>
      <c r="B764" s="24">
        <v>1814</v>
      </c>
      <c r="C764" s="24" t="s">
        <v>2349</v>
      </c>
      <c r="D764" s="24" t="s">
        <v>2359</v>
      </c>
      <c r="E764" s="93">
        <v>85</v>
      </c>
      <c r="F764" s="94">
        <v>4</v>
      </c>
      <c r="G764" s="94">
        <v>88</v>
      </c>
      <c r="H764" s="94">
        <v>4</v>
      </c>
      <c r="I764" s="94">
        <v>84</v>
      </c>
      <c r="J764" s="94">
        <v>4</v>
      </c>
      <c r="K764" s="94">
        <v>85</v>
      </c>
      <c r="L764" s="94">
        <v>2</v>
      </c>
      <c r="M764" s="94">
        <v>88</v>
      </c>
      <c r="N764" s="94">
        <v>2</v>
      </c>
      <c r="O764" s="94">
        <v>84</v>
      </c>
      <c r="P764" s="94">
        <v>2</v>
      </c>
      <c r="Q764">
        <v>83</v>
      </c>
      <c r="R764">
        <v>2</v>
      </c>
      <c r="S764">
        <v>82</v>
      </c>
      <c r="T764">
        <v>2</v>
      </c>
      <c r="U764">
        <v>77</v>
      </c>
      <c r="V764">
        <v>2</v>
      </c>
      <c r="W764">
        <v>91</v>
      </c>
      <c r="X764">
        <v>2</v>
      </c>
      <c r="Y764">
        <v>76</v>
      </c>
      <c r="Z764">
        <v>1</v>
      </c>
      <c r="AA764">
        <v>92</v>
      </c>
      <c r="AB764">
        <v>1</v>
      </c>
      <c r="AC764">
        <v>80</v>
      </c>
      <c r="AD764">
        <v>1</v>
      </c>
      <c r="AE764">
        <v>90</v>
      </c>
      <c r="AF764">
        <v>2</v>
      </c>
      <c r="AG764">
        <v>88</v>
      </c>
      <c r="AH764">
        <v>2</v>
      </c>
    </row>
    <row r="765" spans="1:34">
      <c r="A765" t="s">
        <v>2360</v>
      </c>
      <c r="B765" s="24">
        <v>1814</v>
      </c>
      <c r="C765" s="24" t="s">
        <v>2352</v>
      </c>
      <c r="D765" s="24" t="s">
        <v>2362</v>
      </c>
      <c r="E765" s="93">
        <v>82</v>
      </c>
      <c r="F765" s="94">
        <v>4</v>
      </c>
      <c r="G765" s="94">
        <v>85</v>
      </c>
      <c r="H765" s="94">
        <v>4</v>
      </c>
      <c r="I765" s="94">
        <v>84</v>
      </c>
      <c r="J765" s="94">
        <v>4</v>
      </c>
      <c r="K765" s="94">
        <v>90</v>
      </c>
      <c r="L765" s="94">
        <v>2</v>
      </c>
      <c r="M765" s="94">
        <v>95</v>
      </c>
      <c r="N765" s="94">
        <v>2</v>
      </c>
      <c r="O765" s="94">
        <v>88</v>
      </c>
      <c r="P765" s="94">
        <v>2</v>
      </c>
      <c r="Q765">
        <v>91</v>
      </c>
      <c r="R765">
        <v>2</v>
      </c>
      <c r="S765">
        <v>83</v>
      </c>
      <c r="T765">
        <v>2</v>
      </c>
      <c r="U765">
        <v>75</v>
      </c>
      <c r="V765">
        <v>2</v>
      </c>
      <c r="W765">
        <v>84</v>
      </c>
      <c r="X765">
        <v>2</v>
      </c>
      <c r="Y765">
        <v>83</v>
      </c>
      <c r="Z765">
        <v>1</v>
      </c>
      <c r="AA765">
        <v>92</v>
      </c>
      <c r="AB765">
        <v>1</v>
      </c>
      <c r="AC765">
        <v>70</v>
      </c>
      <c r="AD765">
        <v>1</v>
      </c>
      <c r="AE765">
        <v>87</v>
      </c>
      <c r="AF765">
        <v>2</v>
      </c>
      <c r="AG765">
        <v>86</v>
      </c>
      <c r="AH765">
        <v>2</v>
      </c>
    </row>
    <row r="766" spans="1:34">
      <c r="A766" t="s">
        <v>2363</v>
      </c>
      <c r="B766" s="24">
        <v>1814</v>
      </c>
      <c r="C766" s="24" t="s">
        <v>2355</v>
      </c>
      <c r="D766" s="24" t="s">
        <v>2365</v>
      </c>
      <c r="E766" s="93">
        <v>96</v>
      </c>
      <c r="F766" s="94">
        <v>4</v>
      </c>
      <c r="G766" s="94">
        <v>93</v>
      </c>
      <c r="H766" s="94">
        <v>4</v>
      </c>
      <c r="I766" s="94">
        <v>89</v>
      </c>
      <c r="J766" s="94">
        <v>4</v>
      </c>
      <c r="K766" s="94">
        <v>91</v>
      </c>
      <c r="L766" s="94">
        <v>2</v>
      </c>
      <c r="M766" s="94">
        <v>90</v>
      </c>
      <c r="N766" s="94">
        <v>2</v>
      </c>
      <c r="O766" s="94">
        <v>86</v>
      </c>
      <c r="P766" s="94">
        <v>2</v>
      </c>
      <c r="Q766">
        <v>91</v>
      </c>
      <c r="R766">
        <v>2</v>
      </c>
      <c r="S766">
        <v>84</v>
      </c>
      <c r="T766">
        <v>2</v>
      </c>
      <c r="U766">
        <v>70</v>
      </c>
      <c r="V766">
        <v>2</v>
      </c>
      <c r="W766">
        <v>91</v>
      </c>
      <c r="X766">
        <v>2</v>
      </c>
      <c r="Y766">
        <v>85</v>
      </c>
      <c r="Z766">
        <v>1</v>
      </c>
      <c r="AA766">
        <v>92</v>
      </c>
      <c r="AB766">
        <v>1</v>
      </c>
      <c r="AC766">
        <v>90</v>
      </c>
      <c r="AD766">
        <v>1</v>
      </c>
      <c r="AE766">
        <v>85</v>
      </c>
      <c r="AF766">
        <v>2</v>
      </c>
      <c r="AG766">
        <v>83</v>
      </c>
      <c r="AH766">
        <v>2</v>
      </c>
    </row>
    <row r="767" spans="1:34">
      <c r="A767" t="s">
        <v>2366</v>
      </c>
      <c r="B767" s="24">
        <v>1814</v>
      </c>
      <c r="C767" s="24" t="s">
        <v>2358</v>
      </c>
      <c r="D767" s="24" t="s">
        <v>2368</v>
      </c>
      <c r="E767" s="93">
        <v>82</v>
      </c>
      <c r="F767" s="94">
        <v>4</v>
      </c>
      <c r="G767" s="94">
        <v>88</v>
      </c>
      <c r="H767" s="94">
        <v>4</v>
      </c>
      <c r="I767" s="94">
        <v>89</v>
      </c>
      <c r="J767" s="94">
        <v>4</v>
      </c>
      <c r="K767" s="94">
        <v>92</v>
      </c>
      <c r="L767" s="94">
        <v>2</v>
      </c>
      <c r="M767" s="94">
        <v>90</v>
      </c>
      <c r="N767" s="94">
        <v>2</v>
      </c>
      <c r="O767" s="94">
        <v>84</v>
      </c>
      <c r="P767" s="94">
        <v>2</v>
      </c>
      <c r="Q767">
        <v>95</v>
      </c>
      <c r="R767">
        <v>2</v>
      </c>
      <c r="S767">
        <v>85</v>
      </c>
      <c r="T767">
        <v>2</v>
      </c>
      <c r="U767">
        <v>70</v>
      </c>
      <c r="V767">
        <v>2</v>
      </c>
      <c r="W767">
        <v>85</v>
      </c>
      <c r="X767">
        <v>2</v>
      </c>
      <c r="Y767">
        <v>70</v>
      </c>
      <c r="Z767">
        <v>1</v>
      </c>
      <c r="AA767">
        <v>92</v>
      </c>
      <c r="AB767">
        <v>1</v>
      </c>
      <c r="AC767">
        <v>82</v>
      </c>
      <c r="AD767">
        <v>1</v>
      </c>
      <c r="AE767">
        <v>92</v>
      </c>
      <c r="AF767">
        <v>2</v>
      </c>
      <c r="AG767">
        <v>89</v>
      </c>
      <c r="AH767">
        <v>2</v>
      </c>
    </row>
    <row r="768" spans="1:34">
      <c r="A768" t="s">
        <v>2369</v>
      </c>
      <c r="B768" s="24">
        <v>1814</v>
      </c>
      <c r="C768" s="24" t="s">
        <v>2361</v>
      </c>
      <c r="D768" s="24" t="s">
        <v>2371</v>
      </c>
      <c r="E768" s="93">
        <v>70</v>
      </c>
      <c r="F768" s="94">
        <v>4</v>
      </c>
      <c r="G768" s="94">
        <v>81</v>
      </c>
      <c r="H768" s="94">
        <v>4</v>
      </c>
      <c r="I768" s="94">
        <v>79</v>
      </c>
      <c r="J768" s="94">
        <v>4</v>
      </c>
      <c r="K768" s="94">
        <v>83</v>
      </c>
      <c r="L768" s="94">
        <v>2</v>
      </c>
      <c r="M768" s="94">
        <v>80</v>
      </c>
      <c r="N768" s="94">
        <v>2</v>
      </c>
      <c r="O768" s="94">
        <v>83</v>
      </c>
      <c r="P768" s="94">
        <v>2</v>
      </c>
      <c r="Q768">
        <v>95</v>
      </c>
      <c r="R768">
        <v>2</v>
      </c>
      <c r="S768">
        <v>86</v>
      </c>
      <c r="T768">
        <v>2</v>
      </c>
      <c r="U768">
        <v>83</v>
      </c>
      <c r="V768">
        <v>2</v>
      </c>
      <c r="W768">
        <v>82</v>
      </c>
      <c r="X768">
        <v>2</v>
      </c>
      <c r="Y768">
        <v>81</v>
      </c>
      <c r="Z768">
        <v>1</v>
      </c>
      <c r="AA768">
        <v>92</v>
      </c>
      <c r="AB768">
        <v>1</v>
      </c>
      <c r="AC768">
        <v>80</v>
      </c>
      <c r="AD768">
        <v>1</v>
      </c>
      <c r="AE768">
        <v>87</v>
      </c>
      <c r="AF768">
        <v>2</v>
      </c>
      <c r="AG768">
        <v>89</v>
      </c>
      <c r="AH768">
        <v>2</v>
      </c>
    </row>
    <row r="769" spans="1:34">
      <c r="A769" t="s">
        <v>2372</v>
      </c>
      <c r="B769" s="24">
        <v>1814</v>
      </c>
      <c r="C769" s="24" t="s">
        <v>2364</v>
      </c>
      <c r="D769" s="24" t="s">
        <v>2374</v>
      </c>
      <c r="E769" s="93">
        <v>88</v>
      </c>
      <c r="F769" s="94">
        <v>4</v>
      </c>
      <c r="G769" s="94">
        <v>85</v>
      </c>
      <c r="H769" s="94">
        <v>4</v>
      </c>
      <c r="I769" s="94">
        <v>82</v>
      </c>
      <c r="J769" s="94">
        <v>4</v>
      </c>
      <c r="K769" s="94">
        <v>84</v>
      </c>
      <c r="L769" s="94">
        <v>2</v>
      </c>
      <c r="M769" s="94">
        <v>80</v>
      </c>
      <c r="N769" s="94">
        <v>2</v>
      </c>
      <c r="O769" s="94">
        <v>80</v>
      </c>
      <c r="P769" s="94">
        <v>2</v>
      </c>
      <c r="Q769">
        <v>72</v>
      </c>
      <c r="R769">
        <v>2</v>
      </c>
      <c r="S769">
        <v>81</v>
      </c>
      <c r="T769">
        <v>2</v>
      </c>
      <c r="U769">
        <v>82</v>
      </c>
      <c r="V769">
        <v>2</v>
      </c>
      <c r="W769">
        <v>84</v>
      </c>
      <c r="X769">
        <v>2</v>
      </c>
      <c r="Y769">
        <v>82</v>
      </c>
      <c r="Z769">
        <v>1</v>
      </c>
      <c r="AA769">
        <v>92</v>
      </c>
      <c r="AB769">
        <v>1</v>
      </c>
      <c r="AC769">
        <v>75</v>
      </c>
      <c r="AD769">
        <v>1</v>
      </c>
      <c r="AE769">
        <v>90</v>
      </c>
      <c r="AF769">
        <v>2</v>
      </c>
      <c r="AG769">
        <v>90</v>
      </c>
      <c r="AH769">
        <v>2</v>
      </c>
    </row>
    <row r="770" spans="1:34">
      <c r="A770" t="s">
        <v>2375</v>
      </c>
      <c r="B770" s="24">
        <v>1814</v>
      </c>
      <c r="C770" s="24" t="s">
        <v>2367</v>
      </c>
      <c r="D770" s="24" t="s">
        <v>2377</v>
      </c>
      <c r="E770" s="93">
        <v>85</v>
      </c>
      <c r="F770" s="94">
        <v>4</v>
      </c>
      <c r="G770" s="94">
        <v>88</v>
      </c>
      <c r="H770" s="94">
        <v>4</v>
      </c>
      <c r="I770" s="94">
        <v>83</v>
      </c>
      <c r="J770" s="94">
        <v>4</v>
      </c>
      <c r="K770" s="94">
        <v>84</v>
      </c>
      <c r="L770" s="94">
        <v>2</v>
      </c>
      <c r="M770" s="94">
        <v>90</v>
      </c>
      <c r="N770" s="94">
        <v>2</v>
      </c>
      <c r="O770" s="94">
        <v>86</v>
      </c>
      <c r="P770" s="94">
        <v>2</v>
      </c>
      <c r="Q770">
        <v>98</v>
      </c>
      <c r="R770">
        <v>2</v>
      </c>
      <c r="S770">
        <v>82</v>
      </c>
      <c r="T770">
        <v>2</v>
      </c>
      <c r="U770">
        <v>76</v>
      </c>
      <c r="V770">
        <v>2</v>
      </c>
      <c r="W770">
        <v>85</v>
      </c>
      <c r="X770">
        <v>2</v>
      </c>
      <c r="Y770">
        <v>78</v>
      </c>
      <c r="Z770">
        <v>1</v>
      </c>
      <c r="AA770">
        <v>92</v>
      </c>
      <c r="AB770">
        <v>1</v>
      </c>
      <c r="AC770">
        <v>75</v>
      </c>
      <c r="AD770">
        <v>1</v>
      </c>
      <c r="AE770">
        <v>84</v>
      </c>
      <c r="AF770">
        <v>2</v>
      </c>
      <c r="AG770">
        <v>86</v>
      </c>
      <c r="AH770">
        <v>2</v>
      </c>
    </row>
    <row r="771" spans="1:34">
      <c r="A771" t="s">
        <v>2378</v>
      </c>
      <c r="B771" s="24">
        <v>1814</v>
      </c>
      <c r="C771" s="24" t="s">
        <v>2370</v>
      </c>
      <c r="D771" s="24" t="s">
        <v>2380</v>
      </c>
      <c r="E771" s="93">
        <v>89</v>
      </c>
      <c r="F771" s="94">
        <v>4</v>
      </c>
      <c r="G771" s="94">
        <v>90</v>
      </c>
      <c r="H771" s="94">
        <v>4</v>
      </c>
      <c r="I771" s="94">
        <v>88</v>
      </c>
      <c r="J771" s="94">
        <v>4</v>
      </c>
      <c r="K771" s="94">
        <v>88</v>
      </c>
      <c r="L771" s="94">
        <v>2</v>
      </c>
      <c r="M771" s="94">
        <v>90</v>
      </c>
      <c r="N771" s="94">
        <v>2</v>
      </c>
      <c r="O771" s="94">
        <v>85</v>
      </c>
      <c r="P771" s="94">
        <v>2</v>
      </c>
      <c r="Q771">
        <v>98</v>
      </c>
      <c r="R771">
        <v>2</v>
      </c>
      <c r="S771">
        <v>83</v>
      </c>
      <c r="T771">
        <v>2</v>
      </c>
      <c r="U771">
        <v>85</v>
      </c>
      <c r="V771">
        <v>2</v>
      </c>
      <c r="W771">
        <v>89</v>
      </c>
      <c r="X771">
        <v>2</v>
      </c>
      <c r="Y771">
        <v>79</v>
      </c>
      <c r="Z771">
        <v>1</v>
      </c>
      <c r="AA771">
        <v>92</v>
      </c>
      <c r="AB771">
        <v>1</v>
      </c>
      <c r="AC771">
        <v>80</v>
      </c>
      <c r="AD771">
        <v>1</v>
      </c>
      <c r="AE771">
        <v>88</v>
      </c>
      <c r="AF771">
        <v>2</v>
      </c>
      <c r="AG771">
        <v>90</v>
      </c>
      <c r="AH771">
        <v>2</v>
      </c>
    </row>
    <row r="772" spans="1:34">
      <c r="A772" t="s">
        <v>2381</v>
      </c>
      <c r="B772" s="24">
        <v>1814</v>
      </c>
      <c r="C772" s="24" t="s">
        <v>2373</v>
      </c>
      <c r="D772" s="24" t="s">
        <v>2383</v>
      </c>
      <c r="E772" s="93">
        <v>80</v>
      </c>
      <c r="F772" s="94">
        <v>4</v>
      </c>
      <c r="G772" s="94">
        <v>90</v>
      </c>
      <c r="H772" s="94">
        <v>4</v>
      </c>
      <c r="I772" s="94">
        <v>89</v>
      </c>
      <c r="J772" s="94">
        <v>4</v>
      </c>
      <c r="K772" s="94">
        <v>91</v>
      </c>
      <c r="L772" s="94">
        <v>2</v>
      </c>
      <c r="M772" s="94">
        <v>88</v>
      </c>
      <c r="N772" s="94">
        <v>2</v>
      </c>
      <c r="O772" s="94">
        <v>84</v>
      </c>
      <c r="P772" s="94">
        <v>2</v>
      </c>
      <c r="Q772">
        <v>89</v>
      </c>
      <c r="R772">
        <v>2</v>
      </c>
      <c r="S772">
        <v>84</v>
      </c>
      <c r="T772">
        <v>2</v>
      </c>
      <c r="U772">
        <v>83</v>
      </c>
      <c r="V772">
        <v>2</v>
      </c>
      <c r="W772">
        <v>100</v>
      </c>
      <c r="X772">
        <v>2</v>
      </c>
      <c r="Y772">
        <v>78</v>
      </c>
      <c r="Z772">
        <v>1</v>
      </c>
      <c r="AA772">
        <v>92</v>
      </c>
      <c r="AB772">
        <v>1</v>
      </c>
      <c r="AC772">
        <v>80</v>
      </c>
      <c r="AD772">
        <v>1</v>
      </c>
      <c r="AE772">
        <v>91</v>
      </c>
      <c r="AF772">
        <v>2</v>
      </c>
      <c r="AG772">
        <v>85</v>
      </c>
      <c r="AH772">
        <v>2</v>
      </c>
    </row>
    <row r="773" spans="1:34">
      <c r="A773" t="s">
        <v>2384</v>
      </c>
      <c r="B773" s="24">
        <v>1814</v>
      </c>
      <c r="C773" s="24" t="s">
        <v>2376</v>
      </c>
      <c r="D773" s="24" t="s">
        <v>2386</v>
      </c>
      <c r="E773" s="93">
        <v>80</v>
      </c>
      <c r="F773" s="94">
        <v>4</v>
      </c>
      <c r="G773" s="94">
        <v>88</v>
      </c>
      <c r="H773" s="94">
        <v>4</v>
      </c>
      <c r="I773" s="94">
        <v>96</v>
      </c>
      <c r="J773" s="94">
        <v>4</v>
      </c>
      <c r="K773" s="94">
        <v>85</v>
      </c>
      <c r="L773" s="94">
        <v>2</v>
      </c>
      <c r="M773" s="94">
        <v>80</v>
      </c>
      <c r="N773" s="94">
        <v>2</v>
      </c>
      <c r="O773" s="94">
        <v>86</v>
      </c>
      <c r="P773" s="94">
        <v>2</v>
      </c>
      <c r="Q773">
        <v>97</v>
      </c>
      <c r="R773">
        <v>2</v>
      </c>
      <c r="S773">
        <v>85</v>
      </c>
      <c r="T773">
        <v>2</v>
      </c>
      <c r="U773">
        <v>78</v>
      </c>
      <c r="V773">
        <v>2</v>
      </c>
      <c r="W773">
        <v>85</v>
      </c>
      <c r="X773">
        <v>2</v>
      </c>
      <c r="Y773">
        <v>76</v>
      </c>
      <c r="Z773">
        <v>1</v>
      </c>
      <c r="AA773">
        <v>92</v>
      </c>
      <c r="AB773">
        <v>1</v>
      </c>
      <c r="AC773">
        <v>78</v>
      </c>
      <c r="AD773">
        <v>1</v>
      </c>
      <c r="AE773">
        <v>90</v>
      </c>
      <c r="AF773">
        <v>2</v>
      </c>
      <c r="AG773">
        <v>80</v>
      </c>
      <c r="AH773">
        <v>2</v>
      </c>
    </row>
    <row r="774" spans="1:34">
      <c r="A774" t="s">
        <v>2387</v>
      </c>
      <c r="B774" s="24">
        <v>1814</v>
      </c>
      <c r="C774" s="24" t="s">
        <v>2379</v>
      </c>
      <c r="D774" s="24" t="s">
        <v>2389</v>
      </c>
      <c r="E774" s="93">
        <v>82</v>
      </c>
      <c r="F774" s="94">
        <v>4</v>
      </c>
      <c r="G774" s="94">
        <v>89</v>
      </c>
      <c r="H774" s="94">
        <v>4</v>
      </c>
      <c r="I774" s="94">
        <v>90</v>
      </c>
      <c r="J774" s="94">
        <v>4</v>
      </c>
      <c r="K774" s="94">
        <v>88</v>
      </c>
      <c r="L774" s="94">
        <v>2</v>
      </c>
      <c r="M774" s="94">
        <v>88</v>
      </c>
      <c r="N774" s="94">
        <v>2</v>
      </c>
      <c r="O774" s="94">
        <v>87</v>
      </c>
      <c r="P774" s="94">
        <v>2</v>
      </c>
      <c r="Q774">
        <v>89</v>
      </c>
      <c r="R774">
        <v>2</v>
      </c>
      <c r="S774">
        <v>86</v>
      </c>
      <c r="T774">
        <v>2</v>
      </c>
      <c r="U774">
        <v>86</v>
      </c>
      <c r="V774">
        <v>2</v>
      </c>
      <c r="W774">
        <v>91</v>
      </c>
      <c r="X774">
        <v>2</v>
      </c>
      <c r="Y774">
        <v>78</v>
      </c>
      <c r="Z774">
        <v>1</v>
      </c>
      <c r="AA774">
        <v>92</v>
      </c>
      <c r="AB774">
        <v>1</v>
      </c>
      <c r="AC774">
        <v>78</v>
      </c>
      <c r="AD774">
        <v>1</v>
      </c>
      <c r="AE774">
        <v>90</v>
      </c>
      <c r="AF774">
        <v>2</v>
      </c>
      <c r="AG774">
        <v>87</v>
      </c>
      <c r="AH774">
        <v>2</v>
      </c>
    </row>
    <row r="775" spans="1:34">
      <c r="A775" t="s">
        <v>2390</v>
      </c>
      <c r="B775" s="24">
        <v>1814</v>
      </c>
      <c r="C775" s="24" t="s">
        <v>2382</v>
      </c>
      <c r="D775" s="24" t="s">
        <v>2392</v>
      </c>
      <c r="E775" s="93">
        <v>91</v>
      </c>
      <c r="F775" s="94">
        <v>4</v>
      </c>
      <c r="G775" s="94">
        <v>89</v>
      </c>
      <c r="H775" s="94">
        <v>4</v>
      </c>
      <c r="I775" s="94">
        <v>85</v>
      </c>
      <c r="J775" s="94">
        <v>4</v>
      </c>
      <c r="K775" s="94">
        <v>86</v>
      </c>
      <c r="L775" s="94">
        <v>2</v>
      </c>
      <c r="M775" s="94">
        <v>88</v>
      </c>
      <c r="N775" s="94">
        <v>2</v>
      </c>
      <c r="O775" s="94">
        <v>86</v>
      </c>
      <c r="P775" s="94">
        <v>2</v>
      </c>
      <c r="Q775">
        <v>97</v>
      </c>
      <c r="R775">
        <v>2</v>
      </c>
      <c r="S775">
        <v>87</v>
      </c>
      <c r="T775">
        <v>2</v>
      </c>
      <c r="U775">
        <v>81</v>
      </c>
      <c r="V775">
        <v>2</v>
      </c>
      <c r="W775">
        <v>84</v>
      </c>
      <c r="X775">
        <v>2</v>
      </c>
      <c r="Y775">
        <v>80</v>
      </c>
      <c r="Z775">
        <v>1</v>
      </c>
      <c r="AA775">
        <v>92</v>
      </c>
      <c r="AB775">
        <v>1</v>
      </c>
      <c r="AC775">
        <v>86</v>
      </c>
      <c r="AD775">
        <v>1</v>
      </c>
      <c r="AE775">
        <v>87</v>
      </c>
      <c r="AF775">
        <v>2</v>
      </c>
      <c r="AG775">
        <v>88</v>
      </c>
      <c r="AH775">
        <v>2</v>
      </c>
    </row>
    <row r="776" spans="1:34">
      <c r="A776" t="s">
        <v>2393</v>
      </c>
      <c r="B776" s="24">
        <v>1814</v>
      </c>
      <c r="C776" s="24" t="s">
        <v>2385</v>
      </c>
      <c r="D776" s="24" t="s">
        <v>2395</v>
      </c>
      <c r="E776" s="93">
        <v>89</v>
      </c>
      <c r="F776" s="94">
        <v>4</v>
      </c>
      <c r="G776" s="94">
        <v>93</v>
      </c>
      <c r="H776" s="94">
        <v>4</v>
      </c>
      <c r="I776" s="94">
        <v>86</v>
      </c>
      <c r="J776" s="94">
        <v>4</v>
      </c>
      <c r="K776" s="94">
        <v>89</v>
      </c>
      <c r="L776" s="94">
        <v>2</v>
      </c>
      <c r="M776" s="94">
        <v>90</v>
      </c>
      <c r="N776" s="94">
        <v>2</v>
      </c>
      <c r="O776" s="94">
        <v>86</v>
      </c>
      <c r="P776" s="94">
        <v>2</v>
      </c>
      <c r="Q776">
        <v>96</v>
      </c>
      <c r="R776">
        <v>2</v>
      </c>
      <c r="S776">
        <v>80</v>
      </c>
      <c r="T776">
        <v>2</v>
      </c>
      <c r="U776">
        <v>85</v>
      </c>
      <c r="V776">
        <v>2</v>
      </c>
      <c r="W776">
        <v>95</v>
      </c>
      <c r="X776">
        <v>2</v>
      </c>
      <c r="Y776">
        <v>81</v>
      </c>
      <c r="Z776">
        <v>1</v>
      </c>
      <c r="AA776">
        <v>92</v>
      </c>
      <c r="AB776">
        <v>1</v>
      </c>
      <c r="AC776">
        <v>75</v>
      </c>
      <c r="AD776">
        <v>1</v>
      </c>
      <c r="AE776">
        <v>88</v>
      </c>
      <c r="AF776">
        <v>2</v>
      </c>
      <c r="AG776">
        <v>89</v>
      </c>
      <c r="AH776">
        <v>2</v>
      </c>
    </row>
    <row r="777" spans="1:34">
      <c r="A777" t="s">
        <v>2396</v>
      </c>
      <c r="B777" s="24">
        <v>1814</v>
      </c>
      <c r="C777" s="24" t="s">
        <v>2388</v>
      </c>
      <c r="D777" s="24" t="s">
        <v>2398</v>
      </c>
      <c r="E777" s="93">
        <v>87</v>
      </c>
      <c r="F777" s="94">
        <v>4</v>
      </c>
      <c r="G777" s="94">
        <v>88</v>
      </c>
      <c r="H777" s="94">
        <v>4</v>
      </c>
      <c r="I777" s="94">
        <v>89</v>
      </c>
      <c r="J777" s="94">
        <v>4</v>
      </c>
      <c r="K777" s="94">
        <v>83</v>
      </c>
      <c r="L777" s="94">
        <v>2</v>
      </c>
      <c r="M777" s="94">
        <v>85</v>
      </c>
      <c r="N777" s="94">
        <v>2</v>
      </c>
      <c r="O777" s="94">
        <v>87</v>
      </c>
      <c r="P777" s="94">
        <v>2</v>
      </c>
      <c r="Q777">
        <v>95</v>
      </c>
      <c r="R777">
        <v>2</v>
      </c>
      <c r="S777">
        <v>81</v>
      </c>
      <c r="T777">
        <v>2</v>
      </c>
      <c r="U777">
        <v>83</v>
      </c>
      <c r="V777">
        <v>2</v>
      </c>
      <c r="W777">
        <v>94</v>
      </c>
      <c r="X777">
        <v>2</v>
      </c>
      <c r="Y777">
        <v>80</v>
      </c>
      <c r="Z777">
        <v>1</v>
      </c>
      <c r="AA777">
        <v>92</v>
      </c>
      <c r="AB777">
        <v>1</v>
      </c>
      <c r="AC777">
        <v>76</v>
      </c>
      <c r="AD777">
        <v>1</v>
      </c>
      <c r="AE777">
        <v>92</v>
      </c>
      <c r="AF777">
        <v>2</v>
      </c>
      <c r="AG777">
        <v>90</v>
      </c>
      <c r="AH777">
        <v>2</v>
      </c>
    </row>
    <row r="778" spans="1:34">
      <c r="A778" t="s">
        <v>1752</v>
      </c>
      <c r="B778" s="24">
        <v>1814</v>
      </c>
      <c r="C778" s="24" t="s">
        <v>2391</v>
      </c>
      <c r="D778" s="24" t="s">
        <v>1754</v>
      </c>
      <c r="E778" s="93">
        <v>85</v>
      </c>
      <c r="F778" s="94">
        <v>4</v>
      </c>
      <c r="G778" s="94">
        <v>86</v>
      </c>
      <c r="H778" s="94">
        <v>4</v>
      </c>
      <c r="I778" s="94">
        <v>84</v>
      </c>
      <c r="J778" s="94">
        <v>4</v>
      </c>
      <c r="K778" s="94">
        <v>87</v>
      </c>
      <c r="L778" s="94">
        <v>2</v>
      </c>
      <c r="M778" s="94">
        <v>85</v>
      </c>
      <c r="N778" s="94">
        <v>2</v>
      </c>
      <c r="O778" s="94">
        <v>86</v>
      </c>
      <c r="P778" s="94">
        <v>2</v>
      </c>
      <c r="Q778">
        <v>92</v>
      </c>
      <c r="R778">
        <v>2</v>
      </c>
      <c r="S778">
        <v>82</v>
      </c>
      <c r="T778">
        <v>2</v>
      </c>
      <c r="U778">
        <v>77</v>
      </c>
      <c r="V778">
        <v>2</v>
      </c>
      <c r="W778">
        <v>96</v>
      </c>
      <c r="X778">
        <v>2</v>
      </c>
      <c r="Y778">
        <v>82</v>
      </c>
      <c r="Z778">
        <v>1</v>
      </c>
      <c r="AA778">
        <v>92</v>
      </c>
      <c r="AB778">
        <v>1</v>
      </c>
      <c r="AC778">
        <v>75</v>
      </c>
      <c r="AD778">
        <v>1</v>
      </c>
      <c r="AE778">
        <v>88</v>
      </c>
      <c r="AF778">
        <v>2</v>
      </c>
      <c r="AG778">
        <v>90</v>
      </c>
      <c r="AH778">
        <v>2</v>
      </c>
    </row>
    <row r="779" spans="1:34">
      <c r="A779" t="s">
        <v>2399</v>
      </c>
      <c r="B779" s="24">
        <v>1814</v>
      </c>
      <c r="C779" s="24" t="s">
        <v>2394</v>
      </c>
      <c r="D779" s="24" t="s">
        <v>2401</v>
      </c>
      <c r="E779" s="93">
        <v>81</v>
      </c>
      <c r="F779" s="94">
        <v>4</v>
      </c>
      <c r="G779" s="94">
        <v>86</v>
      </c>
      <c r="H779" s="94">
        <v>4</v>
      </c>
      <c r="I779" s="94">
        <v>80</v>
      </c>
      <c r="J779" s="94">
        <v>4</v>
      </c>
      <c r="K779" s="94">
        <v>90</v>
      </c>
      <c r="L779" s="94">
        <v>2</v>
      </c>
      <c r="M779" s="94">
        <v>90</v>
      </c>
      <c r="N779" s="94">
        <v>2</v>
      </c>
      <c r="O779" s="94">
        <v>84</v>
      </c>
      <c r="P779" s="94">
        <v>2</v>
      </c>
      <c r="Q779">
        <v>95</v>
      </c>
      <c r="R779">
        <v>2</v>
      </c>
      <c r="S779">
        <v>83</v>
      </c>
      <c r="T779">
        <v>2</v>
      </c>
      <c r="U779">
        <v>85</v>
      </c>
      <c r="V779">
        <v>2</v>
      </c>
      <c r="W779">
        <v>94</v>
      </c>
      <c r="X779">
        <v>2</v>
      </c>
      <c r="Y779">
        <v>80</v>
      </c>
      <c r="Z779">
        <v>1</v>
      </c>
      <c r="AA779">
        <v>92</v>
      </c>
      <c r="AB779">
        <v>1</v>
      </c>
      <c r="AC779">
        <v>93</v>
      </c>
      <c r="AD779">
        <v>1</v>
      </c>
      <c r="AE779">
        <v>91</v>
      </c>
      <c r="AF779">
        <v>2</v>
      </c>
      <c r="AG779">
        <v>82</v>
      </c>
      <c r="AH779">
        <v>2</v>
      </c>
    </row>
    <row r="780" spans="1:34">
      <c r="A780" t="s">
        <v>2402</v>
      </c>
      <c r="B780" s="24">
        <v>1814</v>
      </c>
      <c r="C780" s="24" t="s">
        <v>2397</v>
      </c>
      <c r="D780" s="24" t="s">
        <v>2404</v>
      </c>
      <c r="E780" s="93">
        <v>89</v>
      </c>
      <c r="F780" s="94">
        <v>4</v>
      </c>
      <c r="G780" s="94">
        <v>90</v>
      </c>
      <c r="H780" s="94">
        <v>4</v>
      </c>
      <c r="I780" s="94">
        <v>86</v>
      </c>
      <c r="J780" s="94">
        <v>4</v>
      </c>
      <c r="K780" s="94">
        <v>94</v>
      </c>
      <c r="L780" s="94">
        <v>2</v>
      </c>
      <c r="M780" s="94">
        <v>95</v>
      </c>
      <c r="N780" s="94">
        <v>2</v>
      </c>
      <c r="O780" s="94">
        <v>85</v>
      </c>
      <c r="P780" s="94">
        <v>2</v>
      </c>
      <c r="Q780">
        <v>90</v>
      </c>
      <c r="R780">
        <v>2</v>
      </c>
      <c r="S780">
        <v>89</v>
      </c>
      <c r="T780">
        <v>2</v>
      </c>
      <c r="U780">
        <v>81</v>
      </c>
      <c r="V780">
        <v>2</v>
      </c>
      <c r="W780">
        <v>92</v>
      </c>
      <c r="X780">
        <v>2</v>
      </c>
      <c r="Y780">
        <v>78</v>
      </c>
      <c r="Z780">
        <v>1</v>
      </c>
      <c r="AA780">
        <v>92</v>
      </c>
      <c r="AB780">
        <v>1</v>
      </c>
      <c r="AC780">
        <v>70</v>
      </c>
      <c r="AD780">
        <v>1</v>
      </c>
      <c r="AE780">
        <v>90</v>
      </c>
      <c r="AF780">
        <v>2</v>
      </c>
      <c r="AG780">
        <v>86</v>
      </c>
      <c r="AH780">
        <v>2</v>
      </c>
    </row>
    <row r="781" spans="1:34">
      <c r="A781">
        <v>20181078</v>
      </c>
      <c r="B781" s="24">
        <v>1814</v>
      </c>
      <c r="C781" s="24" t="s">
        <v>2400</v>
      </c>
      <c r="D781" s="24" t="s">
        <v>2406</v>
      </c>
      <c r="E781" s="93">
        <v>87</v>
      </c>
      <c r="F781" s="94">
        <v>4</v>
      </c>
      <c r="G781" s="94">
        <v>89</v>
      </c>
      <c r="H781" s="94">
        <v>4</v>
      </c>
      <c r="I781" s="94">
        <v>94</v>
      </c>
      <c r="J781" s="94">
        <v>4</v>
      </c>
      <c r="K781" s="94">
        <v>83</v>
      </c>
      <c r="L781" s="94">
        <v>2</v>
      </c>
      <c r="M781" s="94">
        <v>80</v>
      </c>
      <c r="N781" s="94">
        <v>2</v>
      </c>
      <c r="O781" s="94">
        <v>86</v>
      </c>
      <c r="P781" s="94">
        <v>2</v>
      </c>
      <c r="Q781">
        <v>93</v>
      </c>
      <c r="R781">
        <v>2</v>
      </c>
      <c r="S781">
        <v>80</v>
      </c>
      <c r="T781">
        <v>2</v>
      </c>
      <c r="U781">
        <v>70</v>
      </c>
      <c r="V781">
        <v>2</v>
      </c>
      <c r="W781">
        <v>87</v>
      </c>
      <c r="X781">
        <v>2</v>
      </c>
      <c r="Y781">
        <v>79</v>
      </c>
      <c r="Z781">
        <v>1</v>
      </c>
      <c r="AA781">
        <v>92</v>
      </c>
      <c r="AB781">
        <v>1</v>
      </c>
      <c r="AC781">
        <v>78</v>
      </c>
      <c r="AD781">
        <v>1</v>
      </c>
      <c r="AE781">
        <v>86</v>
      </c>
      <c r="AF781">
        <v>2</v>
      </c>
      <c r="AG781">
        <v>87</v>
      </c>
      <c r="AH781">
        <v>2</v>
      </c>
    </row>
    <row r="782" spans="1:34">
      <c r="A782" t="s">
        <v>2407</v>
      </c>
      <c r="B782" s="24">
        <v>1814</v>
      </c>
      <c r="C782" s="24" t="s">
        <v>2403</v>
      </c>
      <c r="D782" s="24" t="s">
        <v>2409</v>
      </c>
      <c r="E782" s="93">
        <v>82</v>
      </c>
      <c r="F782" s="94">
        <v>4</v>
      </c>
      <c r="G782" s="94">
        <v>89</v>
      </c>
      <c r="H782" s="94">
        <v>4</v>
      </c>
      <c r="I782" s="94">
        <v>85</v>
      </c>
      <c r="J782" s="94">
        <v>4</v>
      </c>
      <c r="K782" s="94">
        <v>92</v>
      </c>
      <c r="L782" s="94">
        <v>2</v>
      </c>
      <c r="M782" s="94">
        <v>90</v>
      </c>
      <c r="N782" s="94">
        <v>2</v>
      </c>
      <c r="O782" s="94">
        <v>85</v>
      </c>
      <c r="P782" s="94">
        <v>2</v>
      </c>
      <c r="Q782">
        <v>93</v>
      </c>
      <c r="R782">
        <v>2</v>
      </c>
      <c r="S782">
        <v>81</v>
      </c>
      <c r="T782">
        <v>2</v>
      </c>
      <c r="U782">
        <v>77</v>
      </c>
      <c r="V782">
        <v>2</v>
      </c>
      <c r="W782">
        <v>90</v>
      </c>
      <c r="X782">
        <v>2</v>
      </c>
      <c r="Y782">
        <v>77</v>
      </c>
      <c r="Z782">
        <v>1</v>
      </c>
      <c r="AA782">
        <v>92</v>
      </c>
      <c r="AB782">
        <v>1</v>
      </c>
      <c r="AC782">
        <v>75</v>
      </c>
      <c r="AD782">
        <v>1</v>
      </c>
      <c r="AE782">
        <v>86</v>
      </c>
      <c r="AF782">
        <v>2</v>
      </c>
      <c r="AG782">
        <v>82</v>
      </c>
      <c r="AH782">
        <v>2</v>
      </c>
    </row>
    <row r="783" spans="1:34">
      <c r="A783" t="s">
        <v>2410</v>
      </c>
      <c r="B783" s="24">
        <v>1814</v>
      </c>
      <c r="C783" s="24" t="s">
        <v>2405</v>
      </c>
      <c r="D783" s="24" t="s">
        <v>2412</v>
      </c>
      <c r="E783" s="93">
        <v>85</v>
      </c>
      <c r="F783" s="94">
        <v>4</v>
      </c>
      <c r="G783" s="94">
        <v>89</v>
      </c>
      <c r="H783" s="94">
        <v>4</v>
      </c>
      <c r="I783" s="94">
        <v>77</v>
      </c>
      <c r="J783" s="94">
        <v>4</v>
      </c>
      <c r="K783" s="94">
        <v>84</v>
      </c>
      <c r="L783" s="94">
        <v>2</v>
      </c>
      <c r="M783" s="94">
        <v>90</v>
      </c>
      <c r="N783" s="94">
        <v>2</v>
      </c>
      <c r="O783" s="94">
        <v>86</v>
      </c>
      <c r="P783" s="94">
        <v>2</v>
      </c>
      <c r="Q783">
        <v>83</v>
      </c>
      <c r="R783">
        <v>2</v>
      </c>
      <c r="S783">
        <v>82</v>
      </c>
      <c r="T783">
        <v>2</v>
      </c>
      <c r="U783">
        <v>70</v>
      </c>
      <c r="V783">
        <v>2</v>
      </c>
      <c r="W783">
        <v>93</v>
      </c>
      <c r="X783">
        <v>2</v>
      </c>
      <c r="Y783">
        <v>76</v>
      </c>
      <c r="Z783">
        <v>1</v>
      </c>
      <c r="AA783">
        <v>92</v>
      </c>
      <c r="AB783">
        <v>1</v>
      </c>
      <c r="AC783">
        <v>92</v>
      </c>
      <c r="AD783">
        <v>1</v>
      </c>
      <c r="AE783">
        <v>88</v>
      </c>
      <c r="AF783">
        <v>2</v>
      </c>
      <c r="AG783">
        <v>87</v>
      </c>
      <c r="AH783">
        <v>2</v>
      </c>
    </row>
    <row r="784" spans="1:34">
      <c r="A784" t="s">
        <v>2413</v>
      </c>
      <c r="B784" s="24">
        <v>1814</v>
      </c>
      <c r="C784" s="24" t="s">
        <v>2408</v>
      </c>
      <c r="D784" s="24" t="s">
        <v>2415</v>
      </c>
      <c r="E784" s="93">
        <v>92</v>
      </c>
      <c r="F784" s="94">
        <v>4</v>
      </c>
      <c r="G784" s="94">
        <v>92</v>
      </c>
      <c r="H784" s="94">
        <v>4</v>
      </c>
      <c r="I784" s="94">
        <v>94</v>
      </c>
      <c r="J784" s="94">
        <v>4</v>
      </c>
      <c r="K784" s="94">
        <v>89</v>
      </c>
      <c r="L784" s="94">
        <v>2</v>
      </c>
      <c r="M784" s="94">
        <v>90</v>
      </c>
      <c r="N784" s="94">
        <v>2</v>
      </c>
      <c r="O784" s="94">
        <v>87</v>
      </c>
      <c r="P784" s="94">
        <v>2</v>
      </c>
      <c r="Q784">
        <v>89</v>
      </c>
      <c r="R784">
        <v>2</v>
      </c>
      <c r="S784">
        <v>83</v>
      </c>
      <c r="T784">
        <v>2</v>
      </c>
      <c r="U784">
        <v>77</v>
      </c>
      <c r="V784">
        <v>2</v>
      </c>
      <c r="W784">
        <v>86</v>
      </c>
      <c r="X784">
        <v>2</v>
      </c>
      <c r="Y784">
        <v>80</v>
      </c>
      <c r="Z784">
        <v>1</v>
      </c>
      <c r="AA784">
        <v>92</v>
      </c>
      <c r="AB784">
        <v>1</v>
      </c>
      <c r="AC784">
        <v>78</v>
      </c>
      <c r="AD784">
        <v>1</v>
      </c>
      <c r="AE784">
        <v>89</v>
      </c>
      <c r="AF784">
        <v>2</v>
      </c>
      <c r="AG784">
        <v>85</v>
      </c>
      <c r="AH784">
        <v>2</v>
      </c>
    </row>
    <row r="785" spans="1:34">
      <c r="A785" t="s">
        <v>2416</v>
      </c>
      <c r="B785" s="24">
        <v>1814</v>
      </c>
      <c r="C785" s="24" t="s">
        <v>2411</v>
      </c>
      <c r="D785" s="24" t="s">
        <v>2418</v>
      </c>
      <c r="E785" s="93">
        <v>81</v>
      </c>
      <c r="F785" s="94">
        <v>4</v>
      </c>
      <c r="G785" s="94">
        <v>89</v>
      </c>
      <c r="H785" s="94">
        <v>4</v>
      </c>
      <c r="I785" s="94">
        <v>95</v>
      </c>
      <c r="J785" s="94">
        <v>4</v>
      </c>
      <c r="K785" s="94">
        <v>87</v>
      </c>
      <c r="L785" s="94">
        <v>2</v>
      </c>
      <c r="M785" s="94">
        <v>80</v>
      </c>
      <c r="N785" s="94">
        <v>2</v>
      </c>
      <c r="O785" s="94">
        <v>86</v>
      </c>
      <c r="P785" s="94">
        <v>2</v>
      </c>
      <c r="Q785">
        <v>74</v>
      </c>
      <c r="R785">
        <v>2</v>
      </c>
      <c r="S785">
        <v>84</v>
      </c>
      <c r="T785">
        <v>2</v>
      </c>
      <c r="U785">
        <v>72</v>
      </c>
      <c r="V785">
        <v>2</v>
      </c>
      <c r="W785">
        <v>83</v>
      </c>
      <c r="X785">
        <v>2</v>
      </c>
      <c r="Y785">
        <v>78</v>
      </c>
      <c r="Z785">
        <v>1</v>
      </c>
      <c r="AA785">
        <v>92</v>
      </c>
      <c r="AB785">
        <v>1</v>
      </c>
      <c r="AC785">
        <v>75</v>
      </c>
      <c r="AD785">
        <v>1</v>
      </c>
      <c r="AE785">
        <v>88</v>
      </c>
      <c r="AF785">
        <v>2</v>
      </c>
      <c r="AG785">
        <v>80</v>
      </c>
      <c r="AH785">
        <v>2</v>
      </c>
    </row>
    <row r="786" spans="1:34">
      <c r="A786" t="s">
        <v>2419</v>
      </c>
      <c r="B786" s="24">
        <v>1814</v>
      </c>
      <c r="C786" s="24" t="s">
        <v>2414</v>
      </c>
      <c r="D786" s="24" t="s">
        <v>2421</v>
      </c>
      <c r="E786" s="93">
        <v>89</v>
      </c>
      <c r="F786" s="94">
        <v>4</v>
      </c>
      <c r="G786" s="94">
        <v>89</v>
      </c>
      <c r="H786" s="94">
        <v>4</v>
      </c>
      <c r="I786" s="94">
        <v>85</v>
      </c>
      <c r="J786" s="94">
        <v>4</v>
      </c>
      <c r="K786" s="94">
        <v>93</v>
      </c>
      <c r="L786" s="94">
        <v>2</v>
      </c>
      <c r="M786" s="94">
        <v>88</v>
      </c>
      <c r="N786" s="94">
        <v>2</v>
      </c>
      <c r="O786" s="94">
        <v>90</v>
      </c>
      <c r="P786" s="94">
        <v>2</v>
      </c>
      <c r="Q786">
        <v>83</v>
      </c>
      <c r="R786">
        <v>2</v>
      </c>
      <c r="S786">
        <v>85</v>
      </c>
      <c r="T786">
        <v>2</v>
      </c>
      <c r="U786">
        <v>71</v>
      </c>
      <c r="V786">
        <v>2</v>
      </c>
      <c r="W786">
        <v>90</v>
      </c>
      <c r="X786">
        <v>2</v>
      </c>
      <c r="Y786">
        <v>75</v>
      </c>
      <c r="Z786">
        <v>1</v>
      </c>
      <c r="AA786">
        <v>92</v>
      </c>
      <c r="AB786">
        <v>1</v>
      </c>
      <c r="AC786">
        <v>86</v>
      </c>
      <c r="AD786">
        <v>1</v>
      </c>
      <c r="AE786">
        <v>88</v>
      </c>
      <c r="AF786">
        <v>2</v>
      </c>
      <c r="AG786">
        <v>86</v>
      </c>
      <c r="AH786">
        <v>2</v>
      </c>
    </row>
    <row r="787" spans="1:34">
      <c r="A787" t="s">
        <v>1772</v>
      </c>
      <c r="B787" s="24">
        <v>1814</v>
      </c>
      <c r="C787" s="24" t="s">
        <v>2417</v>
      </c>
      <c r="D787" s="24" t="s">
        <v>1773</v>
      </c>
      <c r="E787" s="93">
        <v>88</v>
      </c>
      <c r="F787" s="94">
        <v>4</v>
      </c>
      <c r="G787" s="94">
        <v>88</v>
      </c>
      <c r="H787" s="94">
        <v>4</v>
      </c>
      <c r="I787" s="94">
        <v>90</v>
      </c>
      <c r="J787" s="94">
        <v>4</v>
      </c>
      <c r="K787" s="94">
        <v>90</v>
      </c>
      <c r="L787" s="94">
        <v>2</v>
      </c>
      <c r="M787" s="94">
        <v>90</v>
      </c>
      <c r="N787" s="94">
        <v>2</v>
      </c>
      <c r="O787" s="94">
        <v>87</v>
      </c>
      <c r="P787" s="94">
        <v>2</v>
      </c>
      <c r="Q787">
        <v>98</v>
      </c>
      <c r="R787">
        <v>2</v>
      </c>
      <c r="S787">
        <v>86</v>
      </c>
      <c r="T787">
        <v>2</v>
      </c>
      <c r="U787">
        <v>80</v>
      </c>
      <c r="V787">
        <v>2</v>
      </c>
      <c r="W787">
        <v>96</v>
      </c>
      <c r="X787">
        <v>2</v>
      </c>
      <c r="Y787">
        <v>74</v>
      </c>
      <c r="Z787">
        <v>1</v>
      </c>
      <c r="AA787">
        <v>92</v>
      </c>
      <c r="AB787">
        <v>1</v>
      </c>
      <c r="AC787">
        <v>75</v>
      </c>
      <c r="AD787">
        <v>1</v>
      </c>
      <c r="AE787">
        <v>90</v>
      </c>
      <c r="AF787">
        <v>2</v>
      </c>
      <c r="AG787">
        <v>90</v>
      </c>
      <c r="AH787">
        <v>2</v>
      </c>
    </row>
    <row r="788" spans="1:34">
      <c r="A788">
        <v>20181086</v>
      </c>
      <c r="B788" s="24">
        <v>1814</v>
      </c>
      <c r="C788" s="24" t="s">
        <v>2420</v>
      </c>
      <c r="D788" s="24" t="s">
        <v>3246</v>
      </c>
      <c r="E788" s="93">
        <v>83</v>
      </c>
      <c r="F788" s="94">
        <v>4</v>
      </c>
      <c r="G788" s="94">
        <v>85</v>
      </c>
      <c r="H788" s="94">
        <v>4</v>
      </c>
      <c r="I788" s="94">
        <v>78</v>
      </c>
      <c r="J788" s="94">
        <v>4</v>
      </c>
      <c r="K788" s="94">
        <v>82</v>
      </c>
      <c r="L788" s="94">
        <v>2</v>
      </c>
      <c r="M788" s="94">
        <v>80</v>
      </c>
      <c r="N788" s="94">
        <v>2</v>
      </c>
      <c r="O788" s="94">
        <v>88</v>
      </c>
      <c r="P788" s="94">
        <v>2</v>
      </c>
      <c r="Q788">
        <v>72</v>
      </c>
      <c r="R788">
        <v>2</v>
      </c>
      <c r="S788">
        <v>87</v>
      </c>
      <c r="T788">
        <v>2</v>
      </c>
      <c r="U788">
        <v>75</v>
      </c>
      <c r="V788">
        <v>2</v>
      </c>
      <c r="W788">
        <v>80</v>
      </c>
      <c r="X788">
        <v>2</v>
      </c>
      <c r="Y788">
        <v>73</v>
      </c>
      <c r="Z788">
        <v>1</v>
      </c>
      <c r="AA788">
        <v>92</v>
      </c>
      <c r="AB788">
        <v>1</v>
      </c>
      <c r="AC788">
        <v>90</v>
      </c>
      <c r="AD788">
        <v>1</v>
      </c>
      <c r="AE788">
        <v>91</v>
      </c>
      <c r="AF788">
        <v>2</v>
      </c>
      <c r="AG788">
        <v>85</v>
      </c>
      <c r="AH788">
        <v>2</v>
      </c>
    </row>
    <row r="789" spans="1:34">
      <c r="A789">
        <v>20181088</v>
      </c>
      <c r="B789" s="24">
        <v>1814</v>
      </c>
      <c r="C789" s="24" t="s">
        <v>3241</v>
      </c>
      <c r="D789" s="24" t="s">
        <v>3248</v>
      </c>
      <c r="E789" s="93">
        <v>70</v>
      </c>
      <c r="F789" s="94">
        <v>4</v>
      </c>
      <c r="G789" s="94">
        <v>89</v>
      </c>
      <c r="H789" s="94">
        <v>4</v>
      </c>
      <c r="I789" s="94">
        <v>90</v>
      </c>
      <c r="J789" s="94">
        <v>4</v>
      </c>
      <c r="K789" s="94">
        <v>89</v>
      </c>
      <c r="L789" s="94">
        <v>2</v>
      </c>
      <c r="M789" s="94">
        <v>80</v>
      </c>
      <c r="N789" s="94">
        <v>2</v>
      </c>
      <c r="O789" s="94">
        <v>87</v>
      </c>
      <c r="P789" s="94">
        <v>2</v>
      </c>
      <c r="Q789">
        <v>80</v>
      </c>
      <c r="R789">
        <v>2</v>
      </c>
      <c r="S789">
        <v>88</v>
      </c>
      <c r="T789">
        <v>2</v>
      </c>
      <c r="U789">
        <v>78</v>
      </c>
      <c r="V789">
        <v>2</v>
      </c>
      <c r="W789">
        <v>82</v>
      </c>
      <c r="X789">
        <v>2</v>
      </c>
      <c r="Y789">
        <v>72</v>
      </c>
      <c r="Z789">
        <v>1</v>
      </c>
      <c r="AA789">
        <v>92</v>
      </c>
      <c r="AB789">
        <v>1</v>
      </c>
      <c r="AC789">
        <v>84</v>
      </c>
      <c r="AD789">
        <v>1</v>
      </c>
      <c r="AE789">
        <v>85</v>
      </c>
      <c r="AF789">
        <v>2</v>
      </c>
      <c r="AG789">
        <v>80</v>
      </c>
      <c r="AH789">
        <v>2</v>
      </c>
    </row>
    <row r="790" spans="1:34">
      <c r="A790" t="s">
        <v>2422</v>
      </c>
      <c r="B790" s="24">
        <v>1815</v>
      </c>
      <c r="C790" s="24" t="s">
        <v>2423</v>
      </c>
      <c r="D790" s="24" t="s">
        <v>2424</v>
      </c>
      <c r="E790" s="93">
        <v>89</v>
      </c>
      <c r="F790" s="94">
        <v>4</v>
      </c>
      <c r="G790" s="94">
        <v>90</v>
      </c>
      <c r="H790" s="94">
        <v>4</v>
      </c>
      <c r="I790" s="94">
        <v>96</v>
      </c>
      <c r="J790" s="94">
        <v>4</v>
      </c>
      <c r="K790" s="94">
        <v>93</v>
      </c>
      <c r="L790" s="94">
        <v>2</v>
      </c>
      <c r="M790" s="94">
        <v>88</v>
      </c>
      <c r="N790" s="94">
        <v>2</v>
      </c>
      <c r="O790" s="94">
        <v>74</v>
      </c>
      <c r="P790" s="94">
        <v>2</v>
      </c>
      <c r="Q790">
        <v>93</v>
      </c>
      <c r="R790">
        <v>2</v>
      </c>
      <c r="S790">
        <v>80</v>
      </c>
      <c r="T790">
        <v>2</v>
      </c>
      <c r="U790">
        <v>76</v>
      </c>
      <c r="V790">
        <v>2</v>
      </c>
      <c r="W790">
        <v>83</v>
      </c>
      <c r="X790">
        <v>2</v>
      </c>
      <c r="Y790">
        <v>73</v>
      </c>
      <c r="Z790">
        <v>1</v>
      </c>
      <c r="AA790">
        <v>91</v>
      </c>
      <c r="AB790">
        <v>1</v>
      </c>
      <c r="AC790">
        <v>88</v>
      </c>
      <c r="AD790">
        <v>1</v>
      </c>
      <c r="AE790">
        <v>89</v>
      </c>
      <c r="AF790">
        <v>2</v>
      </c>
      <c r="AG790">
        <v>80</v>
      </c>
      <c r="AH790">
        <v>2</v>
      </c>
    </row>
    <row r="791" spans="1:34">
      <c r="A791" t="s">
        <v>2425</v>
      </c>
      <c r="B791" s="24">
        <v>1815</v>
      </c>
      <c r="C791" s="24" t="s">
        <v>2426</v>
      </c>
      <c r="D791" s="24" t="s">
        <v>2427</v>
      </c>
      <c r="E791" s="93">
        <v>80</v>
      </c>
      <c r="F791" s="94">
        <v>4</v>
      </c>
      <c r="G791" s="94">
        <v>92</v>
      </c>
      <c r="H791" s="94">
        <v>4</v>
      </c>
      <c r="I791" s="94">
        <v>85</v>
      </c>
      <c r="J791" s="94">
        <v>4</v>
      </c>
      <c r="K791" s="94">
        <v>82</v>
      </c>
      <c r="L791" s="94">
        <v>2</v>
      </c>
      <c r="M791" s="94">
        <v>80</v>
      </c>
      <c r="N791" s="94">
        <v>2</v>
      </c>
      <c r="O791" s="94">
        <v>70</v>
      </c>
      <c r="P791" s="94">
        <v>2</v>
      </c>
      <c r="Q791">
        <v>77</v>
      </c>
      <c r="R791">
        <v>2</v>
      </c>
      <c r="S791">
        <v>84</v>
      </c>
      <c r="T791">
        <v>2</v>
      </c>
      <c r="U791">
        <v>78</v>
      </c>
      <c r="V791">
        <v>2</v>
      </c>
      <c r="W791">
        <v>80</v>
      </c>
      <c r="X791">
        <v>2</v>
      </c>
      <c r="Y791">
        <v>70</v>
      </c>
      <c r="Z791">
        <v>1</v>
      </c>
      <c r="AA791">
        <v>91</v>
      </c>
      <c r="AB791">
        <v>1</v>
      </c>
      <c r="AC791">
        <v>78</v>
      </c>
      <c r="AD791">
        <v>1</v>
      </c>
      <c r="AE791">
        <v>87</v>
      </c>
      <c r="AF791">
        <v>2</v>
      </c>
      <c r="AG791">
        <v>87</v>
      </c>
      <c r="AH791">
        <v>2</v>
      </c>
    </row>
    <row r="792" spans="1:34">
      <c r="A792" t="s">
        <v>2428</v>
      </c>
      <c r="B792" s="24">
        <v>1815</v>
      </c>
      <c r="C792" s="24" t="s">
        <v>2429</v>
      </c>
      <c r="D792" s="24" t="s">
        <v>2430</v>
      </c>
      <c r="E792" s="93">
        <v>84</v>
      </c>
      <c r="F792" s="94">
        <v>4</v>
      </c>
      <c r="G792" s="94">
        <v>88</v>
      </c>
      <c r="H792" s="94">
        <v>4</v>
      </c>
      <c r="I792" s="94">
        <v>83</v>
      </c>
      <c r="J792" s="94">
        <v>4</v>
      </c>
      <c r="K792" s="94">
        <v>90</v>
      </c>
      <c r="L792" s="94">
        <v>2</v>
      </c>
      <c r="M792" s="94">
        <v>85</v>
      </c>
      <c r="N792" s="94">
        <v>2</v>
      </c>
      <c r="O792" s="94">
        <v>72</v>
      </c>
      <c r="P792" s="94">
        <v>2</v>
      </c>
      <c r="Q792">
        <v>79</v>
      </c>
      <c r="R792">
        <v>2</v>
      </c>
      <c r="S792">
        <v>80</v>
      </c>
      <c r="T792">
        <v>2</v>
      </c>
      <c r="U792">
        <v>83</v>
      </c>
      <c r="V792">
        <v>2</v>
      </c>
      <c r="W792">
        <v>81</v>
      </c>
      <c r="X792">
        <v>2</v>
      </c>
      <c r="Y792">
        <v>73</v>
      </c>
      <c r="Z792">
        <v>1</v>
      </c>
      <c r="AA792">
        <v>91</v>
      </c>
      <c r="AB792">
        <v>1</v>
      </c>
      <c r="AC792">
        <v>70</v>
      </c>
      <c r="AD792">
        <v>1</v>
      </c>
      <c r="AE792">
        <v>50</v>
      </c>
      <c r="AF792">
        <v>1</v>
      </c>
      <c r="AG792">
        <v>88</v>
      </c>
      <c r="AH792">
        <v>2</v>
      </c>
    </row>
    <row r="793" spans="1:34">
      <c r="A793" t="s">
        <v>2431</v>
      </c>
      <c r="B793" s="24">
        <v>1815</v>
      </c>
      <c r="C793" s="24" t="s">
        <v>2432</v>
      </c>
      <c r="D793" s="24" t="s">
        <v>2433</v>
      </c>
      <c r="E793" s="93">
        <v>84</v>
      </c>
      <c r="F793" s="94">
        <v>4</v>
      </c>
      <c r="G793" s="94">
        <v>90</v>
      </c>
      <c r="H793" s="94">
        <v>4</v>
      </c>
      <c r="I793" s="94">
        <v>98</v>
      </c>
      <c r="J793" s="94">
        <v>4</v>
      </c>
      <c r="K793" s="94">
        <v>97</v>
      </c>
      <c r="L793" s="94">
        <v>2</v>
      </c>
      <c r="M793" s="94">
        <v>90</v>
      </c>
      <c r="N793" s="94">
        <v>2</v>
      </c>
      <c r="O793" s="94">
        <v>92</v>
      </c>
      <c r="P793" s="94">
        <v>2</v>
      </c>
      <c r="Q793">
        <v>101</v>
      </c>
      <c r="R793">
        <v>2</v>
      </c>
      <c r="S793">
        <v>88</v>
      </c>
      <c r="T793">
        <v>2</v>
      </c>
      <c r="U793">
        <v>85</v>
      </c>
      <c r="V793">
        <v>2</v>
      </c>
      <c r="W793">
        <v>88</v>
      </c>
      <c r="X793">
        <v>2</v>
      </c>
      <c r="Y793">
        <v>72</v>
      </c>
      <c r="Z793">
        <v>1</v>
      </c>
      <c r="AA793">
        <v>91</v>
      </c>
      <c r="AB793">
        <v>1</v>
      </c>
      <c r="AC793">
        <v>86</v>
      </c>
      <c r="AD793">
        <v>1</v>
      </c>
      <c r="AE793">
        <v>84</v>
      </c>
      <c r="AF793">
        <v>2</v>
      </c>
      <c r="AG793">
        <v>89</v>
      </c>
      <c r="AH793">
        <v>2</v>
      </c>
    </row>
    <row r="794" spans="1:34">
      <c r="A794" t="s">
        <v>2434</v>
      </c>
      <c r="B794" s="24">
        <v>1815</v>
      </c>
      <c r="C794" s="24" t="s">
        <v>2435</v>
      </c>
      <c r="D794" s="24" t="s">
        <v>2436</v>
      </c>
      <c r="E794" s="93">
        <v>85</v>
      </c>
      <c r="F794" s="94">
        <v>4</v>
      </c>
      <c r="G794" s="94">
        <v>92</v>
      </c>
      <c r="H794" s="94">
        <v>4</v>
      </c>
      <c r="I794" s="94">
        <v>96</v>
      </c>
      <c r="J794" s="94">
        <v>4</v>
      </c>
      <c r="K794" s="94">
        <v>91</v>
      </c>
      <c r="L794" s="94">
        <v>2</v>
      </c>
      <c r="M794" s="94">
        <v>85</v>
      </c>
      <c r="N794" s="94">
        <v>2</v>
      </c>
      <c r="O794" s="94">
        <v>70</v>
      </c>
      <c r="P794" s="94">
        <v>2</v>
      </c>
      <c r="Q794">
        <v>74</v>
      </c>
      <c r="R794">
        <v>2</v>
      </c>
      <c r="S794">
        <v>80</v>
      </c>
      <c r="T794">
        <v>2</v>
      </c>
      <c r="U794">
        <v>81</v>
      </c>
      <c r="V794">
        <v>2</v>
      </c>
      <c r="W794">
        <v>88</v>
      </c>
      <c r="X794">
        <v>2</v>
      </c>
      <c r="Y794">
        <v>73</v>
      </c>
      <c r="Z794">
        <v>1</v>
      </c>
      <c r="AA794">
        <v>91</v>
      </c>
      <c r="AB794">
        <v>1</v>
      </c>
      <c r="AC794">
        <v>75</v>
      </c>
      <c r="AD794">
        <v>1</v>
      </c>
      <c r="AE794">
        <v>88</v>
      </c>
      <c r="AF794">
        <v>2</v>
      </c>
      <c r="AG794">
        <v>90</v>
      </c>
      <c r="AH794">
        <v>2</v>
      </c>
    </row>
    <row r="795" spans="1:34">
      <c r="A795" t="s">
        <v>2437</v>
      </c>
      <c r="B795" s="24">
        <v>1815</v>
      </c>
      <c r="C795" s="24" t="s">
        <v>2438</v>
      </c>
      <c r="D795" s="24" t="s">
        <v>2439</v>
      </c>
      <c r="E795" s="93">
        <v>85</v>
      </c>
      <c r="F795" s="94">
        <v>4</v>
      </c>
      <c r="G795" s="94">
        <v>96</v>
      </c>
      <c r="H795" s="94">
        <v>4</v>
      </c>
      <c r="I795" s="94">
        <v>86</v>
      </c>
      <c r="J795" s="94">
        <v>4</v>
      </c>
      <c r="K795" s="94">
        <v>98</v>
      </c>
      <c r="L795" s="94">
        <v>2</v>
      </c>
      <c r="M795" s="94">
        <v>90</v>
      </c>
      <c r="N795" s="94">
        <v>2</v>
      </c>
      <c r="O795" s="94">
        <v>94</v>
      </c>
      <c r="P795" s="94">
        <v>2</v>
      </c>
      <c r="Q795">
        <v>92</v>
      </c>
      <c r="R795">
        <v>2</v>
      </c>
      <c r="S795">
        <v>84</v>
      </c>
      <c r="T795">
        <v>2</v>
      </c>
      <c r="U795">
        <v>85</v>
      </c>
      <c r="V795">
        <v>2</v>
      </c>
      <c r="W795">
        <v>82</v>
      </c>
      <c r="X795">
        <v>2</v>
      </c>
      <c r="Y795">
        <v>80</v>
      </c>
      <c r="Z795">
        <v>1</v>
      </c>
      <c r="AA795">
        <v>91</v>
      </c>
      <c r="AB795">
        <v>1</v>
      </c>
      <c r="AC795">
        <v>70</v>
      </c>
      <c r="AD795">
        <v>1</v>
      </c>
      <c r="AE795">
        <v>87</v>
      </c>
      <c r="AF795">
        <v>2</v>
      </c>
      <c r="AG795">
        <v>89</v>
      </c>
      <c r="AH795">
        <v>2</v>
      </c>
    </row>
    <row r="796" spans="1:34">
      <c r="A796" t="s">
        <v>2440</v>
      </c>
      <c r="B796" s="24">
        <v>1815</v>
      </c>
      <c r="C796" s="24" t="s">
        <v>2441</v>
      </c>
      <c r="D796" s="24" t="s">
        <v>2442</v>
      </c>
      <c r="E796" s="93">
        <v>84</v>
      </c>
      <c r="F796" s="94">
        <v>4</v>
      </c>
      <c r="G796" s="94">
        <v>95</v>
      </c>
      <c r="H796" s="94">
        <v>4</v>
      </c>
      <c r="I796" s="94">
        <v>83</v>
      </c>
      <c r="J796" s="94">
        <v>4</v>
      </c>
      <c r="K796" s="94">
        <v>85</v>
      </c>
      <c r="L796" s="94">
        <v>2</v>
      </c>
      <c r="M796" s="94">
        <v>85</v>
      </c>
      <c r="N796" s="94">
        <v>2</v>
      </c>
      <c r="O796" s="94">
        <v>70</v>
      </c>
      <c r="P796" s="94">
        <v>2</v>
      </c>
      <c r="Q796">
        <v>86</v>
      </c>
      <c r="R796">
        <v>2</v>
      </c>
      <c r="S796">
        <v>80</v>
      </c>
      <c r="T796">
        <v>2</v>
      </c>
      <c r="U796">
        <v>76</v>
      </c>
      <c r="V796">
        <v>2</v>
      </c>
      <c r="W796">
        <v>81</v>
      </c>
      <c r="X796">
        <v>2</v>
      </c>
      <c r="Y796">
        <v>81</v>
      </c>
      <c r="Z796">
        <v>1</v>
      </c>
      <c r="AA796">
        <v>91</v>
      </c>
      <c r="AB796">
        <v>1</v>
      </c>
      <c r="AC796">
        <v>88</v>
      </c>
      <c r="AD796">
        <v>1</v>
      </c>
      <c r="AE796">
        <v>89</v>
      </c>
      <c r="AF796">
        <v>2</v>
      </c>
      <c r="AG796">
        <v>90</v>
      </c>
      <c r="AH796">
        <v>2</v>
      </c>
    </row>
    <row r="797" spans="1:34">
      <c r="A797" t="s">
        <v>2443</v>
      </c>
      <c r="B797" s="24">
        <v>1815</v>
      </c>
      <c r="C797" s="24" t="s">
        <v>2444</v>
      </c>
      <c r="D797" s="24" t="s">
        <v>2445</v>
      </c>
      <c r="E797" s="93">
        <v>86</v>
      </c>
      <c r="F797" s="94">
        <v>4</v>
      </c>
      <c r="G797" s="94">
        <v>90</v>
      </c>
      <c r="H797" s="94">
        <v>4</v>
      </c>
      <c r="I797" s="94">
        <v>92</v>
      </c>
      <c r="J797" s="94">
        <v>4</v>
      </c>
      <c r="K797" s="94">
        <v>95</v>
      </c>
      <c r="L797" s="94">
        <v>2</v>
      </c>
      <c r="M797" s="94">
        <v>85</v>
      </c>
      <c r="N797" s="94">
        <v>2</v>
      </c>
      <c r="O797" s="94">
        <v>76</v>
      </c>
      <c r="P797" s="94">
        <v>2</v>
      </c>
      <c r="Q797">
        <v>81</v>
      </c>
      <c r="R797">
        <v>2</v>
      </c>
      <c r="S797">
        <v>80</v>
      </c>
      <c r="T797">
        <v>2</v>
      </c>
      <c r="U797">
        <v>75</v>
      </c>
      <c r="V797">
        <v>2</v>
      </c>
      <c r="W797">
        <v>94</v>
      </c>
      <c r="X797">
        <v>2</v>
      </c>
      <c r="Y797">
        <v>82</v>
      </c>
      <c r="Z797">
        <v>1</v>
      </c>
      <c r="AA797">
        <v>91</v>
      </c>
      <c r="AB797">
        <v>1</v>
      </c>
      <c r="AC797">
        <v>85</v>
      </c>
      <c r="AD797">
        <v>1</v>
      </c>
      <c r="AE797">
        <v>86</v>
      </c>
      <c r="AF797">
        <v>2</v>
      </c>
      <c r="AG797">
        <v>98</v>
      </c>
      <c r="AH797">
        <v>2</v>
      </c>
    </row>
    <row r="798" spans="1:34">
      <c r="A798" t="s">
        <v>2446</v>
      </c>
      <c r="B798" s="24">
        <v>1815</v>
      </c>
      <c r="C798" s="24" t="s">
        <v>2447</v>
      </c>
      <c r="D798" s="24" t="s">
        <v>2448</v>
      </c>
      <c r="E798" s="93">
        <v>87</v>
      </c>
      <c r="F798" s="94">
        <v>4</v>
      </c>
      <c r="G798" s="94">
        <v>95</v>
      </c>
      <c r="H798" s="94">
        <v>4</v>
      </c>
      <c r="I798" s="94">
        <v>97</v>
      </c>
      <c r="J798" s="94">
        <v>4</v>
      </c>
      <c r="K798" s="94">
        <v>83</v>
      </c>
      <c r="L798" s="94">
        <v>2</v>
      </c>
      <c r="M798" s="94">
        <v>80</v>
      </c>
      <c r="N798" s="94">
        <v>2</v>
      </c>
      <c r="O798" s="94">
        <v>70</v>
      </c>
      <c r="P798" s="94">
        <v>2</v>
      </c>
      <c r="Q798">
        <v>75</v>
      </c>
      <c r="R798">
        <v>2</v>
      </c>
      <c r="S798">
        <v>80</v>
      </c>
      <c r="T798">
        <v>2</v>
      </c>
      <c r="U798">
        <v>72</v>
      </c>
      <c r="V798">
        <v>2</v>
      </c>
      <c r="W798">
        <v>85</v>
      </c>
      <c r="X798">
        <v>2</v>
      </c>
      <c r="Y798">
        <v>82</v>
      </c>
      <c r="Z798">
        <v>1</v>
      </c>
      <c r="AA798">
        <v>91</v>
      </c>
      <c r="AB798">
        <v>1</v>
      </c>
      <c r="AC798">
        <v>80</v>
      </c>
      <c r="AD798">
        <v>1</v>
      </c>
      <c r="AE798">
        <v>90</v>
      </c>
      <c r="AF798">
        <v>2</v>
      </c>
      <c r="AG798">
        <v>85</v>
      </c>
      <c r="AH798">
        <v>2</v>
      </c>
    </row>
    <row r="799" spans="1:34">
      <c r="A799" t="s">
        <v>2449</v>
      </c>
      <c r="B799" s="24">
        <v>1815</v>
      </c>
      <c r="C799" s="24" t="s">
        <v>2450</v>
      </c>
      <c r="D799" s="24" t="s">
        <v>2451</v>
      </c>
      <c r="E799" s="93">
        <v>88</v>
      </c>
      <c r="F799" s="94">
        <v>4</v>
      </c>
      <c r="G799" s="94">
        <v>90</v>
      </c>
      <c r="H799" s="94">
        <v>4</v>
      </c>
      <c r="I799" s="94">
        <v>92</v>
      </c>
      <c r="J799" s="94">
        <v>4</v>
      </c>
      <c r="K799" s="94">
        <v>86</v>
      </c>
      <c r="L799" s="94">
        <v>2</v>
      </c>
      <c r="M799" s="94">
        <v>85</v>
      </c>
      <c r="N799" s="94">
        <v>2</v>
      </c>
      <c r="O799" s="94">
        <v>84</v>
      </c>
      <c r="P799" s="94">
        <v>2</v>
      </c>
      <c r="Q799">
        <v>99</v>
      </c>
      <c r="R799">
        <v>2</v>
      </c>
      <c r="S799">
        <v>80</v>
      </c>
      <c r="T799">
        <v>2</v>
      </c>
      <c r="U799">
        <v>78</v>
      </c>
      <c r="V799">
        <v>2</v>
      </c>
      <c r="W799">
        <v>80</v>
      </c>
      <c r="X799">
        <v>2</v>
      </c>
      <c r="Y799">
        <v>80</v>
      </c>
      <c r="Z799">
        <v>1</v>
      </c>
      <c r="AA799">
        <v>91</v>
      </c>
      <c r="AB799">
        <v>1</v>
      </c>
      <c r="AC799">
        <v>80</v>
      </c>
      <c r="AD799">
        <v>1</v>
      </c>
      <c r="AE799">
        <v>89</v>
      </c>
      <c r="AF799">
        <v>2</v>
      </c>
      <c r="AG799">
        <v>86</v>
      </c>
      <c r="AH799">
        <v>2</v>
      </c>
    </row>
    <row r="800" spans="1:34">
      <c r="A800" t="s">
        <v>2452</v>
      </c>
      <c r="B800" s="24">
        <v>1815</v>
      </c>
      <c r="C800" s="24" t="s">
        <v>2453</v>
      </c>
      <c r="D800" s="24" t="s">
        <v>2454</v>
      </c>
      <c r="E800" s="93">
        <v>86</v>
      </c>
      <c r="F800" s="94">
        <v>4</v>
      </c>
      <c r="G800" s="94">
        <v>88</v>
      </c>
      <c r="H800" s="94">
        <v>4</v>
      </c>
      <c r="I800" s="94">
        <v>85</v>
      </c>
      <c r="J800" s="94">
        <v>4</v>
      </c>
      <c r="K800" s="94">
        <v>88</v>
      </c>
      <c r="L800" s="94">
        <v>2</v>
      </c>
      <c r="M800" s="94">
        <v>88</v>
      </c>
      <c r="N800" s="94">
        <v>2</v>
      </c>
      <c r="O800" s="94">
        <v>87</v>
      </c>
      <c r="P800" s="94">
        <v>2</v>
      </c>
      <c r="Q800">
        <v>98</v>
      </c>
      <c r="R800">
        <v>2</v>
      </c>
      <c r="S800">
        <v>80</v>
      </c>
      <c r="T800">
        <v>2</v>
      </c>
      <c r="U800">
        <v>82</v>
      </c>
      <c r="V800">
        <v>2</v>
      </c>
      <c r="W800">
        <v>85</v>
      </c>
      <c r="X800">
        <v>2</v>
      </c>
      <c r="Y800">
        <v>81</v>
      </c>
      <c r="Z800">
        <v>1</v>
      </c>
      <c r="AA800">
        <v>91</v>
      </c>
      <c r="AB800">
        <v>1</v>
      </c>
      <c r="AC800">
        <v>86</v>
      </c>
      <c r="AD800">
        <v>1</v>
      </c>
      <c r="AE800">
        <v>84</v>
      </c>
      <c r="AF800">
        <v>2</v>
      </c>
      <c r="AG800">
        <v>87</v>
      </c>
      <c r="AH800">
        <v>2</v>
      </c>
    </row>
    <row r="801" spans="1:34">
      <c r="A801" t="s">
        <v>2455</v>
      </c>
      <c r="B801" s="24">
        <v>1815</v>
      </c>
      <c r="C801" s="24" t="s">
        <v>2456</v>
      </c>
      <c r="D801" s="24" t="s">
        <v>2457</v>
      </c>
      <c r="E801" s="93">
        <v>89</v>
      </c>
      <c r="F801" s="94">
        <v>4</v>
      </c>
      <c r="G801" s="94">
        <v>89</v>
      </c>
      <c r="H801" s="94">
        <v>4</v>
      </c>
      <c r="I801" s="94">
        <v>99</v>
      </c>
      <c r="J801" s="94">
        <v>4</v>
      </c>
      <c r="K801" s="94">
        <v>89</v>
      </c>
      <c r="L801" s="94">
        <v>2</v>
      </c>
      <c r="M801" s="94">
        <v>80</v>
      </c>
      <c r="N801" s="94">
        <v>2</v>
      </c>
      <c r="O801" s="94">
        <v>71</v>
      </c>
      <c r="P801" s="94">
        <v>2</v>
      </c>
      <c r="Q801">
        <v>100</v>
      </c>
      <c r="R801">
        <v>2</v>
      </c>
      <c r="S801">
        <v>86</v>
      </c>
      <c r="T801">
        <v>2</v>
      </c>
      <c r="U801">
        <v>81</v>
      </c>
      <c r="V801">
        <v>2</v>
      </c>
      <c r="W801">
        <v>85</v>
      </c>
      <c r="X801">
        <v>2</v>
      </c>
      <c r="Y801">
        <v>83</v>
      </c>
      <c r="Z801">
        <v>1</v>
      </c>
      <c r="AA801">
        <v>91</v>
      </c>
      <c r="AB801">
        <v>1</v>
      </c>
      <c r="AC801">
        <v>80</v>
      </c>
      <c r="AD801">
        <v>1</v>
      </c>
      <c r="AE801">
        <v>87</v>
      </c>
      <c r="AF801">
        <v>2</v>
      </c>
      <c r="AG801">
        <v>88</v>
      </c>
      <c r="AH801">
        <v>2</v>
      </c>
    </row>
    <row r="802" spans="1:34">
      <c r="A802" t="s">
        <v>2458</v>
      </c>
      <c r="B802" s="24">
        <v>1815</v>
      </c>
      <c r="C802" s="24" t="s">
        <v>2459</v>
      </c>
      <c r="D802" s="24" t="s">
        <v>2460</v>
      </c>
      <c r="E802" s="93">
        <v>89</v>
      </c>
      <c r="F802" s="94">
        <v>4</v>
      </c>
      <c r="G802" s="94">
        <v>92</v>
      </c>
      <c r="H802" s="94">
        <v>4</v>
      </c>
      <c r="I802" s="94">
        <v>99</v>
      </c>
      <c r="J802" s="94">
        <v>4</v>
      </c>
      <c r="K802" s="94">
        <v>95</v>
      </c>
      <c r="L802" s="94">
        <v>2</v>
      </c>
      <c r="M802" s="94">
        <v>90</v>
      </c>
      <c r="N802" s="94">
        <v>2</v>
      </c>
      <c r="O802" s="94">
        <v>89</v>
      </c>
      <c r="P802" s="94">
        <v>2</v>
      </c>
      <c r="Q802">
        <v>88</v>
      </c>
      <c r="R802">
        <v>2</v>
      </c>
      <c r="S802">
        <v>88</v>
      </c>
      <c r="T802">
        <v>2</v>
      </c>
      <c r="U802">
        <v>77</v>
      </c>
      <c r="V802">
        <v>2</v>
      </c>
      <c r="W802">
        <v>95</v>
      </c>
      <c r="X802">
        <v>2</v>
      </c>
      <c r="Y802">
        <v>82</v>
      </c>
      <c r="Z802">
        <v>1</v>
      </c>
      <c r="AA802">
        <v>91</v>
      </c>
      <c r="AB802">
        <v>1</v>
      </c>
      <c r="AC802">
        <v>76</v>
      </c>
      <c r="AD802">
        <v>1</v>
      </c>
      <c r="AE802">
        <v>85</v>
      </c>
      <c r="AF802">
        <v>2</v>
      </c>
      <c r="AG802">
        <v>88</v>
      </c>
      <c r="AH802">
        <v>2</v>
      </c>
    </row>
    <row r="803" spans="1:34">
      <c r="A803" t="s">
        <v>2461</v>
      </c>
      <c r="B803" s="24">
        <v>1815</v>
      </c>
      <c r="C803" s="24" t="s">
        <v>2462</v>
      </c>
      <c r="D803" s="24" t="s">
        <v>2463</v>
      </c>
      <c r="E803" s="93">
        <v>90</v>
      </c>
      <c r="F803" s="94">
        <v>4</v>
      </c>
      <c r="G803" s="94">
        <v>95</v>
      </c>
      <c r="H803" s="94">
        <v>4</v>
      </c>
      <c r="I803" s="94">
        <v>95</v>
      </c>
      <c r="J803" s="94">
        <v>4</v>
      </c>
      <c r="K803" s="94">
        <v>94</v>
      </c>
      <c r="L803" s="94">
        <v>2</v>
      </c>
      <c r="M803" s="94">
        <v>85</v>
      </c>
      <c r="N803" s="94">
        <v>2</v>
      </c>
      <c r="O803" s="94">
        <v>76</v>
      </c>
      <c r="P803" s="94">
        <v>2</v>
      </c>
      <c r="Q803">
        <v>91</v>
      </c>
      <c r="R803">
        <v>2</v>
      </c>
      <c r="S803">
        <v>80</v>
      </c>
      <c r="T803">
        <v>2</v>
      </c>
      <c r="U803">
        <v>85</v>
      </c>
      <c r="V803">
        <v>2</v>
      </c>
      <c r="W803">
        <v>84</v>
      </c>
      <c r="X803">
        <v>2</v>
      </c>
      <c r="Y803">
        <v>80</v>
      </c>
      <c r="Z803">
        <v>1</v>
      </c>
      <c r="AA803">
        <v>91</v>
      </c>
      <c r="AB803">
        <v>1</v>
      </c>
      <c r="AC803">
        <v>70</v>
      </c>
      <c r="AD803">
        <v>1</v>
      </c>
      <c r="AE803">
        <v>82</v>
      </c>
      <c r="AF803">
        <v>2</v>
      </c>
      <c r="AG803">
        <v>82</v>
      </c>
      <c r="AH803">
        <v>2</v>
      </c>
    </row>
    <row r="804" spans="1:34">
      <c r="A804" t="s">
        <v>2464</v>
      </c>
      <c r="B804" s="24">
        <v>1815</v>
      </c>
      <c r="C804" s="24" t="s">
        <v>2465</v>
      </c>
      <c r="D804" s="24" t="s">
        <v>2466</v>
      </c>
      <c r="E804" s="93">
        <v>89</v>
      </c>
      <c r="F804" s="94">
        <v>4</v>
      </c>
      <c r="G804" s="94">
        <v>95</v>
      </c>
      <c r="H804" s="94">
        <v>4</v>
      </c>
      <c r="I804" s="94">
        <v>99</v>
      </c>
      <c r="J804" s="94">
        <v>4</v>
      </c>
      <c r="K804" s="94">
        <v>81</v>
      </c>
      <c r="L804" s="94">
        <v>2</v>
      </c>
      <c r="M804" s="94">
        <v>85</v>
      </c>
      <c r="N804" s="94">
        <v>2</v>
      </c>
      <c r="O804" s="94">
        <v>77</v>
      </c>
      <c r="P804" s="94">
        <v>2</v>
      </c>
      <c r="Q804">
        <v>81</v>
      </c>
      <c r="R804">
        <v>2</v>
      </c>
      <c r="S804">
        <v>82</v>
      </c>
      <c r="T804">
        <v>2</v>
      </c>
      <c r="U804">
        <v>71</v>
      </c>
      <c r="V804">
        <v>2</v>
      </c>
      <c r="W804">
        <v>82</v>
      </c>
      <c r="X804">
        <v>2</v>
      </c>
      <c r="Y804">
        <v>81</v>
      </c>
      <c r="Z804">
        <v>1</v>
      </c>
      <c r="AA804">
        <v>91</v>
      </c>
      <c r="AB804">
        <v>1</v>
      </c>
      <c r="AC804">
        <v>62</v>
      </c>
      <c r="AD804">
        <v>1</v>
      </c>
      <c r="AE804">
        <v>90</v>
      </c>
      <c r="AF804">
        <v>2</v>
      </c>
      <c r="AG804">
        <v>83</v>
      </c>
      <c r="AH804">
        <v>2</v>
      </c>
    </row>
    <row r="805" spans="1:34">
      <c r="A805" t="s">
        <v>2467</v>
      </c>
      <c r="B805" s="24">
        <v>1815</v>
      </c>
      <c r="C805" s="24" t="s">
        <v>2468</v>
      </c>
      <c r="D805" s="24" t="s">
        <v>2469</v>
      </c>
      <c r="E805" s="93">
        <v>78</v>
      </c>
      <c r="F805" s="94">
        <v>4</v>
      </c>
      <c r="G805" s="94">
        <v>96</v>
      </c>
      <c r="H805" s="94">
        <v>4</v>
      </c>
      <c r="I805" s="94">
        <v>85</v>
      </c>
      <c r="J805" s="94">
        <v>4</v>
      </c>
      <c r="L805" s="94">
        <v>2</v>
      </c>
      <c r="M805" s="94">
        <v>80</v>
      </c>
      <c r="N805" s="94">
        <v>2</v>
      </c>
      <c r="O805" s="94">
        <v>70</v>
      </c>
      <c r="P805" s="94">
        <v>2</v>
      </c>
      <c r="Q805">
        <v>80</v>
      </c>
      <c r="R805">
        <v>2</v>
      </c>
      <c r="S805">
        <v>80</v>
      </c>
      <c r="T805">
        <v>2</v>
      </c>
      <c r="U805">
        <v>70</v>
      </c>
      <c r="V805">
        <v>2</v>
      </c>
      <c r="W805">
        <v>81</v>
      </c>
      <c r="X805">
        <v>2</v>
      </c>
      <c r="Y805">
        <v>77</v>
      </c>
      <c r="Z805">
        <v>1</v>
      </c>
      <c r="AA805">
        <v>91</v>
      </c>
      <c r="AB805">
        <v>1</v>
      </c>
      <c r="AC805">
        <v>86</v>
      </c>
      <c r="AD805">
        <v>1</v>
      </c>
      <c r="AE805">
        <v>50</v>
      </c>
      <c r="AF805">
        <v>1</v>
      </c>
      <c r="AG805">
        <v>89</v>
      </c>
      <c r="AH805">
        <v>2</v>
      </c>
    </row>
    <row r="806" spans="1:34">
      <c r="A806" t="s">
        <v>2470</v>
      </c>
      <c r="B806" s="24">
        <v>1815</v>
      </c>
      <c r="C806" s="24" t="s">
        <v>2471</v>
      </c>
      <c r="D806" s="24" t="s">
        <v>2472</v>
      </c>
      <c r="E806" s="93">
        <v>83</v>
      </c>
      <c r="F806" s="94">
        <v>4</v>
      </c>
      <c r="G806" s="94">
        <v>90</v>
      </c>
      <c r="H806" s="94">
        <v>4</v>
      </c>
      <c r="I806" s="94">
        <v>95</v>
      </c>
      <c r="J806" s="94">
        <v>4</v>
      </c>
      <c r="K806" s="94">
        <v>78</v>
      </c>
      <c r="L806" s="94">
        <v>2</v>
      </c>
      <c r="M806" s="94">
        <v>80</v>
      </c>
      <c r="N806" s="94">
        <v>2</v>
      </c>
      <c r="O806" s="94">
        <v>70</v>
      </c>
      <c r="P806" s="94">
        <v>2</v>
      </c>
      <c r="Q806">
        <v>75</v>
      </c>
      <c r="R806">
        <v>2</v>
      </c>
      <c r="S806">
        <v>80</v>
      </c>
      <c r="T806">
        <v>2</v>
      </c>
      <c r="U806">
        <v>70</v>
      </c>
      <c r="V806">
        <v>2</v>
      </c>
      <c r="W806">
        <v>82</v>
      </c>
      <c r="X806">
        <v>2</v>
      </c>
      <c r="Y806">
        <v>78</v>
      </c>
      <c r="Z806">
        <v>1</v>
      </c>
      <c r="AA806">
        <v>91</v>
      </c>
      <c r="AB806">
        <v>1</v>
      </c>
      <c r="AC806">
        <v>76</v>
      </c>
      <c r="AD806">
        <v>1</v>
      </c>
      <c r="AE806">
        <v>50</v>
      </c>
      <c r="AF806">
        <v>1</v>
      </c>
      <c r="AG806">
        <v>89</v>
      </c>
      <c r="AH806">
        <v>2</v>
      </c>
    </row>
    <row r="807" spans="1:34">
      <c r="A807" t="s">
        <v>2473</v>
      </c>
      <c r="B807" s="24">
        <v>1815</v>
      </c>
      <c r="C807" s="24" t="s">
        <v>2474</v>
      </c>
      <c r="D807" s="24" t="s">
        <v>2475</v>
      </c>
      <c r="E807" s="93">
        <v>90</v>
      </c>
      <c r="F807" s="94">
        <v>4</v>
      </c>
      <c r="G807" s="94">
        <v>90</v>
      </c>
      <c r="H807" s="94">
        <v>4</v>
      </c>
      <c r="I807" s="94">
        <v>88</v>
      </c>
      <c r="J807" s="94">
        <v>4</v>
      </c>
      <c r="K807" s="94">
        <v>95</v>
      </c>
      <c r="L807" s="94">
        <v>2</v>
      </c>
      <c r="M807" s="94">
        <v>85</v>
      </c>
      <c r="N807" s="94">
        <v>2</v>
      </c>
      <c r="O807" s="94">
        <v>83</v>
      </c>
      <c r="P807" s="94">
        <v>2</v>
      </c>
      <c r="Q807">
        <v>90</v>
      </c>
      <c r="R807">
        <v>2</v>
      </c>
      <c r="S807">
        <v>82</v>
      </c>
      <c r="T807">
        <v>2</v>
      </c>
      <c r="U807">
        <v>81</v>
      </c>
      <c r="V807">
        <v>2</v>
      </c>
      <c r="W807">
        <v>82</v>
      </c>
      <c r="X807">
        <v>2</v>
      </c>
      <c r="Y807">
        <v>76</v>
      </c>
      <c r="Z807">
        <v>1</v>
      </c>
      <c r="AA807">
        <v>91</v>
      </c>
      <c r="AB807">
        <v>1</v>
      </c>
      <c r="AC807">
        <v>85</v>
      </c>
      <c r="AD807">
        <v>1</v>
      </c>
      <c r="AE807">
        <v>90</v>
      </c>
      <c r="AF807">
        <v>2</v>
      </c>
      <c r="AG807">
        <v>90</v>
      </c>
      <c r="AH807">
        <v>2</v>
      </c>
    </row>
    <row r="808" spans="1:34">
      <c r="A808" t="s">
        <v>2476</v>
      </c>
      <c r="B808" s="24">
        <v>1815</v>
      </c>
      <c r="C808" s="24" t="s">
        <v>2477</v>
      </c>
      <c r="D808" s="24" t="s">
        <v>2478</v>
      </c>
      <c r="E808" s="93">
        <v>90</v>
      </c>
      <c r="F808" s="94">
        <v>4</v>
      </c>
      <c r="G808" s="94">
        <v>91</v>
      </c>
      <c r="H808" s="94">
        <v>4</v>
      </c>
      <c r="I808" s="94">
        <v>90</v>
      </c>
      <c r="J808" s="94">
        <v>4</v>
      </c>
      <c r="K808" s="94">
        <v>91</v>
      </c>
      <c r="L808" s="94">
        <v>2</v>
      </c>
      <c r="M808" s="94">
        <v>90</v>
      </c>
      <c r="N808" s="94">
        <v>2</v>
      </c>
      <c r="O808" s="94">
        <v>83</v>
      </c>
      <c r="P808" s="94">
        <v>2</v>
      </c>
      <c r="Q808">
        <v>90</v>
      </c>
      <c r="R808">
        <v>2</v>
      </c>
      <c r="S808">
        <v>94</v>
      </c>
      <c r="T808">
        <v>2</v>
      </c>
      <c r="U808">
        <v>81</v>
      </c>
      <c r="V808">
        <v>2</v>
      </c>
      <c r="W808">
        <v>86</v>
      </c>
      <c r="X808">
        <v>2</v>
      </c>
      <c r="Y808">
        <v>79</v>
      </c>
      <c r="Z808">
        <v>1</v>
      </c>
      <c r="AA808">
        <v>91</v>
      </c>
      <c r="AB808">
        <v>1</v>
      </c>
      <c r="AC808">
        <v>95</v>
      </c>
      <c r="AD808">
        <v>1</v>
      </c>
      <c r="AE808">
        <v>87</v>
      </c>
      <c r="AF808">
        <v>2</v>
      </c>
      <c r="AG808">
        <v>86</v>
      </c>
      <c r="AH808">
        <v>2</v>
      </c>
    </row>
    <row r="809" spans="1:34">
      <c r="A809" t="s">
        <v>2479</v>
      </c>
      <c r="B809" s="24">
        <v>1815</v>
      </c>
      <c r="C809" s="24" t="s">
        <v>2480</v>
      </c>
      <c r="D809" s="24" t="s">
        <v>2481</v>
      </c>
      <c r="E809" s="93">
        <v>85</v>
      </c>
      <c r="F809" s="94">
        <v>4</v>
      </c>
      <c r="G809" s="94">
        <v>90</v>
      </c>
      <c r="H809" s="94">
        <v>4</v>
      </c>
      <c r="I809" s="94">
        <v>99</v>
      </c>
      <c r="J809" s="94">
        <v>4</v>
      </c>
      <c r="K809" s="94">
        <v>89</v>
      </c>
      <c r="L809" s="94">
        <v>2</v>
      </c>
      <c r="M809" s="94">
        <v>80</v>
      </c>
      <c r="N809" s="94">
        <v>2</v>
      </c>
      <c r="O809" s="94">
        <v>73</v>
      </c>
      <c r="P809" s="94">
        <v>2</v>
      </c>
      <c r="Q809">
        <v>93</v>
      </c>
      <c r="R809">
        <v>2</v>
      </c>
      <c r="S809">
        <v>88</v>
      </c>
      <c r="T809">
        <v>2</v>
      </c>
      <c r="U809">
        <v>78</v>
      </c>
      <c r="V809">
        <v>2</v>
      </c>
      <c r="W809">
        <v>81</v>
      </c>
      <c r="X809">
        <v>2</v>
      </c>
      <c r="Y809">
        <v>77</v>
      </c>
      <c r="Z809">
        <v>1</v>
      </c>
      <c r="AA809">
        <v>91</v>
      </c>
      <c r="AB809">
        <v>1</v>
      </c>
      <c r="AC809">
        <v>78</v>
      </c>
      <c r="AD809">
        <v>1</v>
      </c>
      <c r="AE809">
        <v>89</v>
      </c>
      <c r="AF809">
        <v>2</v>
      </c>
      <c r="AG809">
        <v>90</v>
      </c>
      <c r="AH809">
        <v>2</v>
      </c>
    </row>
    <row r="810" spans="1:34">
      <c r="A810" t="s">
        <v>2482</v>
      </c>
      <c r="B810" s="24">
        <v>1815</v>
      </c>
      <c r="C810" s="24" t="s">
        <v>2483</v>
      </c>
      <c r="D810" s="24" t="s">
        <v>2484</v>
      </c>
      <c r="E810" s="93">
        <v>93</v>
      </c>
      <c r="F810" s="94">
        <v>4</v>
      </c>
      <c r="G810" s="94">
        <v>89</v>
      </c>
      <c r="H810" s="94">
        <v>4</v>
      </c>
      <c r="I810" s="94">
        <v>99</v>
      </c>
      <c r="J810" s="94">
        <v>4</v>
      </c>
      <c r="K810" s="94">
        <v>90</v>
      </c>
      <c r="L810" s="94">
        <v>2</v>
      </c>
      <c r="M810" s="94">
        <v>90</v>
      </c>
      <c r="N810" s="94">
        <v>2</v>
      </c>
      <c r="O810" s="94">
        <v>80</v>
      </c>
      <c r="P810" s="94">
        <v>2</v>
      </c>
      <c r="Q810">
        <v>100</v>
      </c>
      <c r="R810">
        <v>2</v>
      </c>
      <c r="S810">
        <v>96</v>
      </c>
      <c r="T810">
        <v>2</v>
      </c>
      <c r="U810">
        <v>78</v>
      </c>
      <c r="V810">
        <v>2</v>
      </c>
      <c r="W810">
        <v>86</v>
      </c>
      <c r="X810">
        <v>2</v>
      </c>
      <c r="Y810">
        <v>80</v>
      </c>
      <c r="Z810">
        <v>1</v>
      </c>
      <c r="AA810">
        <v>91</v>
      </c>
      <c r="AB810">
        <v>1</v>
      </c>
      <c r="AC810">
        <v>60</v>
      </c>
      <c r="AD810">
        <v>1</v>
      </c>
      <c r="AE810">
        <v>92</v>
      </c>
      <c r="AF810">
        <v>2</v>
      </c>
      <c r="AG810">
        <v>85</v>
      </c>
      <c r="AH810">
        <v>2</v>
      </c>
    </row>
    <row r="811" spans="1:34">
      <c r="A811" t="s">
        <v>2485</v>
      </c>
      <c r="B811" s="24">
        <v>1815</v>
      </c>
      <c r="C811" s="24" t="s">
        <v>2486</v>
      </c>
      <c r="D811" s="24" t="s">
        <v>2487</v>
      </c>
      <c r="E811" s="93">
        <v>90</v>
      </c>
      <c r="F811" s="94">
        <v>4</v>
      </c>
      <c r="G811" s="94">
        <v>93</v>
      </c>
      <c r="H811" s="94">
        <v>4</v>
      </c>
      <c r="I811" s="94">
        <v>99</v>
      </c>
      <c r="J811" s="94">
        <v>4</v>
      </c>
      <c r="K811" s="94">
        <v>85</v>
      </c>
      <c r="L811" s="94">
        <v>2</v>
      </c>
      <c r="M811" s="94">
        <v>85</v>
      </c>
      <c r="N811" s="94">
        <v>2</v>
      </c>
      <c r="O811" s="94">
        <v>95</v>
      </c>
      <c r="P811" s="94">
        <v>2</v>
      </c>
      <c r="Q811">
        <v>100</v>
      </c>
      <c r="R811">
        <v>2</v>
      </c>
      <c r="S811">
        <v>90</v>
      </c>
      <c r="T811">
        <v>2</v>
      </c>
      <c r="U811">
        <v>82</v>
      </c>
      <c r="V811">
        <v>2</v>
      </c>
      <c r="W811">
        <v>81</v>
      </c>
      <c r="X811">
        <v>2</v>
      </c>
      <c r="Y811">
        <v>82</v>
      </c>
      <c r="Z811">
        <v>1</v>
      </c>
      <c r="AA811">
        <v>91</v>
      </c>
      <c r="AB811">
        <v>1</v>
      </c>
      <c r="AC811">
        <v>86</v>
      </c>
      <c r="AD811">
        <v>1</v>
      </c>
      <c r="AE811">
        <v>85</v>
      </c>
      <c r="AF811">
        <v>2</v>
      </c>
      <c r="AG811">
        <v>80</v>
      </c>
      <c r="AH811">
        <v>2</v>
      </c>
    </row>
    <row r="812" spans="1:34">
      <c r="A812" t="s">
        <v>2488</v>
      </c>
      <c r="B812" s="24">
        <v>1815</v>
      </c>
      <c r="C812" s="24" t="s">
        <v>2489</v>
      </c>
      <c r="D812" s="24" t="s">
        <v>2490</v>
      </c>
      <c r="E812" s="93">
        <v>90</v>
      </c>
      <c r="F812" s="94">
        <v>4</v>
      </c>
      <c r="G812" s="94">
        <v>90</v>
      </c>
      <c r="H812" s="94">
        <v>4</v>
      </c>
      <c r="I812" s="94">
        <v>98</v>
      </c>
      <c r="J812" s="94">
        <v>4</v>
      </c>
      <c r="K812" s="94">
        <v>85</v>
      </c>
      <c r="L812" s="94">
        <v>2</v>
      </c>
      <c r="M812" s="94">
        <v>85</v>
      </c>
      <c r="N812" s="94">
        <v>2</v>
      </c>
      <c r="O812" s="94">
        <v>70</v>
      </c>
      <c r="P812" s="94">
        <v>2</v>
      </c>
      <c r="Q812">
        <v>91</v>
      </c>
      <c r="R812">
        <v>2</v>
      </c>
      <c r="S812">
        <v>80</v>
      </c>
      <c r="T812">
        <v>2</v>
      </c>
      <c r="U812">
        <v>70</v>
      </c>
      <c r="V812">
        <v>2</v>
      </c>
      <c r="W812">
        <v>82</v>
      </c>
      <c r="X812">
        <v>2</v>
      </c>
      <c r="Y812">
        <v>84</v>
      </c>
      <c r="Z812">
        <v>1</v>
      </c>
      <c r="AA812">
        <v>91</v>
      </c>
      <c r="AB812">
        <v>1</v>
      </c>
      <c r="AC812">
        <v>76</v>
      </c>
      <c r="AD812">
        <v>1</v>
      </c>
      <c r="AE812">
        <v>88</v>
      </c>
      <c r="AF812">
        <v>2</v>
      </c>
      <c r="AG812">
        <v>87</v>
      </c>
      <c r="AH812">
        <v>2</v>
      </c>
    </row>
    <row r="813" spans="1:34">
      <c r="A813" t="s">
        <v>2491</v>
      </c>
      <c r="B813" s="24">
        <v>1815</v>
      </c>
      <c r="C813" s="24" t="s">
        <v>2492</v>
      </c>
      <c r="D813" s="24" t="s">
        <v>2493</v>
      </c>
      <c r="E813" s="93">
        <v>85</v>
      </c>
      <c r="F813" s="94">
        <v>4</v>
      </c>
      <c r="G813" s="94">
        <v>92</v>
      </c>
      <c r="H813" s="94">
        <v>4</v>
      </c>
      <c r="I813" s="94">
        <v>98</v>
      </c>
      <c r="J813" s="94">
        <v>4</v>
      </c>
      <c r="K813" s="94">
        <v>88</v>
      </c>
      <c r="L813" s="94">
        <v>2</v>
      </c>
      <c r="M813" s="94">
        <v>85</v>
      </c>
      <c r="N813" s="94">
        <v>2</v>
      </c>
      <c r="O813" s="94">
        <v>70</v>
      </c>
      <c r="P813" s="94">
        <v>2</v>
      </c>
      <c r="Q813">
        <v>91</v>
      </c>
      <c r="R813">
        <v>2</v>
      </c>
      <c r="S813">
        <v>80</v>
      </c>
      <c r="T813">
        <v>2</v>
      </c>
      <c r="U813">
        <v>70</v>
      </c>
      <c r="V813">
        <v>2</v>
      </c>
      <c r="W813">
        <v>90</v>
      </c>
      <c r="X813">
        <v>2</v>
      </c>
      <c r="Y813">
        <v>83</v>
      </c>
      <c r="Z813">
        <v>1</v>
      </c>
      <c r="AA813">
        <v>91</v>
      </c>
      <c r="AB813">
        <v>1</v>
      </c>
      <c r="AC813">
        <v>88</v>
      </c>
      <c r="AD813">
        <v>1</v>
      </c>
      <c r="AE813">
        <v>92</v>
      </c>
      <c r="AF813">
        <v>2</v>
      </c>
      <c r="AG813">
        <v>88</v>
      </c>
      <c r="AH813">
        <v>2</v>
      </c>
    </row>
    <row r="814" spans="1:34">
      <c r="A814" t="s">
        <v>2494</v>
      </c>
      <c r="B814" s="24">
        <v>1815</v>
      </c>
      <c r="C814" s="24" t="s">
        <v>2495</v>
      </c>
      <c r="D814" s="24" t="s">
        <v>2496</v>
      </c>
      <c r="E814" s="93">
        <v>89</v>
      </c>
      <c r="F814" s="94">
        <v>4</v>
      </c>
      <c r="G814" s="94">
        <v>90</v>
      </c>
      <c r="H814" s="94">
        <v>4</v>
      </c>
      <c r="I814" s="94">
        <v>98</v>
      </c>
      <c r="J814" s="94">
        <v>4</v>
      </c>
      <c r="K814" s="94">
        <v>96</v>
      </c>
      <c r="L814" s="94">
        <v>2</v>
      </c>
      <c r="M814" s="94">
        <v>88</v>
      </c>
      <c r="N814" s="94">
        <v>2</v>
      </c>
      <c r="O814" s="94">
        <v>84</v>
      </c>
      <c r="P814" s="94">
        <v>2</v>
      </c>
      <c r="Q814">
        <v>91</v>
      </c>
      <c r="R814">
        <v>2</v>
      </c>
      <c r="S814">
        <v>80</v>
      </c>
      <c r="T814">
        <v>2</v>
      </c>
      <c r="U814">
        <v>80</v>
      </c>
      <c r="V814">
        <v>2</v>
      </c>
      <c r="W814">
        <v>91</v>
      </c>
      <c r="X814">
        <v>2</v>
      </c>
      <c r="Y814">
        <v>65</v>
      </c>
      <c r="Z814">
        <v>1</v>
      </c>
      <c r="AA814">
        <v>91</v>
      </c>
      <c r="AB814">
        <v>1</v>
      </c>
      <c r="AC814">
        <v>70</v>
      </c>
      <c r="AD814">
        <v>1</v>
      </c>
      <c r="AE814">
        <v>88</v>
      </c>
      <c r="AF814">
        <v>2</v>
      </c>
      <c r="AG814">
        <v>89</v>
      </c>
      <c r="AH814">
        <v>2</v>
      </c>
    </row>
    <row r="815" spans="1:34">
      <c r="A815" t="s">
        <v>2497</v>
      </c>
      <c r="B815" s="24">
        <v>1815</v>
      </c>
      <c r="C815" s="24" t="s">
        <v>2498</v>
      </c>
      <c r="D815" s="24" t="s">
        <v>2499</v>
      </c>
      <c r="E815" s="93">
        <v>89</v>
      </c>
      <c r="F815" s="94">
        <v>4</v>
      </c>
      <c r="G815" s="94">
        <v>89</v>
      </c>
      <c r="H815" s="94">
        <v>4</v>
      </c>
      <c r="I815" s="94">
        <v>85</v>
      </c>
      <c r="J815" s="94">
        <v>4</v>
      </c>
      <c r="K815" s="94">
        <v>90</v>
      </c>
      <c r="L815" s="94">
        <v>2</v>
      </c>
      <c r="M815" s="94">
        <v>88</v>
      </c>
      <c r="N815" s="94">
        <v>2</v>
      </c>
      <c r="O815" s="94">
        <v>87</v>
      </c>
      <c r="P815" s="94">
        <v>2</v>
      </c>
      <c r="Q815">
        <v>91</v>
      </c>
      <c r="R815">
        <v>2</v>
      </c>
      <c r="S815">
        <v>80</v>
      </c>
      <c r="T815">
        <v>2</v>
      </c>
      <c r="U815">
        <v>77</v>
      </c>
      <c r="V815">
        <v>2</v>
      </c>
      <c r="W815">
        <v>85</v>
      </c>
      <c r="X815">
        <v>2</v>
      </c>
      <c r="Y815">
        <v>78</v>
      </c>
      <c r="Z815">
        <v>1</v>
      </c>
      <c r="AA815">
        <v>91</v>
      </c>
      <c r="AB815">
        <v>1</v>
      </c>
      <c r="AC815">
        <v>75</v>
      </c>
      <c r="AD815">
        <v>1</v>
      </c>
      <c r="AE815">
        <v>85</v>
      </c>
      <c r="AF815">
        <v>2</v>
      </c>
      <c r="AG815">
        <v>90</v>
      </c>
      <c r="AH815">
        <v>2</v>
      </c>
    </row>
    <row r="816" spans="1:34">
      <c r="A816" t="s">
        <v>2500</v>
      </c>
      <c r="B816" s="24">
        <v>1815</v>
      </c>
      <c r="C816" s="24" t="s">
        <v>2501</v>
      </c>
      <c r="D816" s="24" t="s">
        <v>2502</v>
      </c>
      <c r="E816" s="93">
        <v>88</v>
      </c>
      <c r="F816" s="94">
        <v>4</v>
      </c>
      <c r="G816" s="94">
        <v>95</v>
      </c>
      <c r="H816" s="94">
        <v>4</v>
      </c>
      <c r="I816" s="94">
        <v>99</v>
      </c>
      <c r="J816" s="94">
        <v>4</v>
      </c>
      <c r="K816" s="94">
        <v>83</v>
      </c>
      <c r="L816" s="94">
        <v>2</v>
      </c>
      <c r="M816" s="94">
        <v>85</v>
      </c>
      <c r="N816" s="94">
        <v>2</v>
      </c>
      <c r="O816" s="94">
        <v>80</v>
      </c>
      <c r="P816" s="94">
        <v>2</v>
      </c>
      <c r="Q816">
        <v>85</v>
      </c>
      <c r="R816">
        <v>2</v>
      </c>
      <c r="S816">
        <v>88</v>
      </c>
      <c r="T816">
        <v>2</v>
      </c>
      <c r="U816">
        <v>75</v>
      </c>
      <c r="V816">
        <v>2</v>
      </c>
      <c r="W816">
        <v>92</v>
      </c>
      <c r="X816">
        <v>2</v>
      </c>
      <c r="Y816">
        <v>75</v>
      </c>
      <c r="Z816">
        <v>1</v>
      </c>
      <c r="AA816">
        <v>91</v>
      </c>
      <c r="AB816">
        <v>1</v>
      </c>
      <c r="AC816">
        <v>80</v>
      </c>
      <c r="AD816">
        <v>1</v>
      </c>
      <c r="AE816">
        <v>86</v>
      </c>
      <c r="AF816">
        <v>2</v>
      </c>
      <c r="AG816">
        <v>90</v>
      </c>
      <c r="AH816">
        <v>2</v>
      </c>
    </row>
    <row r="817" spans="1:34">
      <c r="A817" t="s">
        <v>2503</v>
      </c>
      <c r="B817" s="24">
        <v>1815</v>
      </c>
      <c r="C817" s="24" t="s">
        <v>2504</v>
      </c>
      <c r="D817" s="24" t="s">
        <v>2505</v>
      </c>
      <c r="E817" s="93">
        <v>90</v>
      </c>
      <c r="F817" s="94">
        <v>4</v>
      </c>
      <c r="G817" s="94">
        <v>91</v>
      </c>
      <c r="H817" s="94">
        <v>4</v>
      </c>
      <c r="I817" s="94">
        <v>99</v>
      </c>
      <c r="J817" s="94">
        <v>4</v>
      </c>
      <c r="K817" s="94">
        <v>93</v>
      </c>
      <c r="L817" s="94">
        <v>2</v>
      </c>
      <c r="M817" s="94">
        <v>88</v>
      </c>
      <c r="N817" s="94">
        <v>2</v>
      </c>
      <c r="O817" s="94">
        <v>81</v>
      </c>
      <c r="P817" s="94">
        <v>2</v>
      </c>
      <c r="Q817">
        <v>92</v>
      </c>
      <c r="R817">
        <v>2</v>
      </c>
      <c r="S817">
        <v>86</v>
      </c>
      <c r="T817">
        <v>2</v>
      </c>
      <c r="U817">
        <v>70</v>
      </c>
      <c r="V817">
        <v>2</v>
      </c>
      <c r="W817">
        <v>84</v>
      </c>
      <c r="X817">
        <v>2</v>
      </c>
      <c r="Y817">
        <v>76</v>
      </c>
      <c r="Z817">
        <v>1</v>
      </c>
      <c r="AA817">
        <v>91</v>
      </c>
      <c r="AB817">
        <v>1</v>
      </c>
      <c r="AC817">
        <v>86</v>
      </c>
      <c r="AD817">
        <v>1</v>
      </c>
      <c r="AE817">
        <v>82</v>
      </c>
      <c r="AF817">
        <v>2</v>
      </c>
      <c r="AG817">
        <v>88</v>
      </c>
      <c r="AH817">
        <v>2</v>
      </c>
    </row>
    <row r="818" spans="1:34">
      <c r="A818" t="s">
        <v>2506</v>
      </c>
      <c r="B818" s="24">
        <v>1815</v>
      </c>
      <c r="C818" s="24" t="s">
        <v>2507</v>
      </c>
      <c r="D818" s="24" t="s">
        <v>2508</v>
      </c>
      <c r="E818" s="93">
        <v>90</v>
      </c>
      <c r="F818" s="94">
        <v>4</v>
      </c>
      <c r="G818" s="94">
        <v>95</v>
      </c>
      <c r="H818" s="94">
        <v>4</v>
      </c>
      <c r="I818" s="94">
        <v>99</v>
      </c>
      <c r="J818" s="94">
        <v>4</v>
      </c>
      <c r="K818" s="94">
        <v>90</v>
      </c>
      <c r="L818" s="94">
        <v>2</v>
      </c>
      <c r="M818" s="94">
        <v>88</v>
      </c>
      <c r="N818" s="94">
        <v>2</v>
      </c>
      <c r="O818" s="94">
        <v>78</v>
      </c>
      <c r="P818" s="94">
        <v>2</v>
      </c>
      <c r="Q818">
        <v>96</v>
      </c>
      <c r="R818">
        <v>2</v>
      </c>
      <c r="S818">
        <v>80</v>
      </c>
      <c r="T818">
        <v>2</v>
      </c>
      <c r="U818">
        <v>70</v>
      </c>
      <c r="V818">
        <v>2</v>
      </c>
      <c r="W818">
        <v>85</v>
      </c>
      <c r="X818">
        <v>2</v>
      </c>
      <c r="Y818">
        <v>77</v>
      </c>
      <c r="Z818">
        <v>1</v>
      </c>
      <c r="AA818">
        <v>91</v>
      </c>
      <c r="AB818">
        <v>1</v>
      </c>
      <c r="AC818">
        <v>90</v>
      </c>
      <c r="AD818">
        <v>1</v>
      </c>
      <c r="AE818">
        <v>90</v>
      </c>
      <c r="AF818">
        <v>2</v>
      </c>
      <c r="AG818">
        <v>89</v>
      </c>
      <c r="AH818">
        <v>2</v>
      </c>
    </row>
    <row r="819" spans="1:34">
      <c r="A819" t="s">
        <v>2509</v>
      </c>
      <c r="B819" s="24">
        <v>1815</v>
      </c>
      <c r="C819" s="24" t="s">
        <v>2510</v>
      </c>
      <c r="D819" s="24" t="s">
        <v>2511</v>
      </c>
      <c r="E819" s="93">
        <v>86</v>
      </c>
      <c r="F819" s="94">
        <v>4</v>
      </c>
      <c r="G819" s="94">
        <v>93</v>
      </c>
      <c r="H819" s="94">
        <v>4</v>
      </c>
      <c r="I819" s="94">
        <v>80</v>
      </c>
      <c r="J819" s="94">
        <v>4</v>
      </c>
      <c r="K819" s="94">
        <v>92</v>
      </c>
      <c r="L819" s="94">
        <v>2</v>
      </c>
      <c r="M819" s="94">
        <v>88</v>
      </c>
      <c r="N819" s="94">
        <v>2</v>
      </c>
      <c r="O819" s="94">
        <v>82</v>
      </c>
      <c r="P819" s="94">
        <v>2</v>
      </c>
      <c r="Q819">
        <v>87</v>
      </c>
      <c r="R819">
        <v>2</v>
      </c>
      <c r="S819">
        <v>90</v>
      </c>
      <c r="T819">
        <v>2</v>
      </c>
      <c r="U819">
        <v>78</v>
      </c>
      <c r="V819">
        <v>2</v>
      </c>
      <c r="W819">
        <v>87</v>
      </c>
      <c r="X819">
        <v>2</v>
      </c>
      <c r="Y819">
        <v>75</v>
      </c>
      <c r="Z819">
        <v>1</v>
      </c>
      <c r="AA819">
        <v>91</v>
      </c>
      <c r="AB819">
        <v>1</v>
      </c>
      <c r="AC819">
        <v>80</v>
      </c>
      <c r="AD819">
        <v>1</v>
      </c>
      <c r="AE819">
        <v>88</v>
      </c>
      <c r="AF819">
        <v>2</v>
      </c>
      <c r="AG819">
        <v>90</v>
      </c>
      <c r="AH819">
        <v>2</v>
      </c>
    </row>
    <row r="820" spans="1:34">
      <c r="A820" t="s">
        <v>2512</v>
      </c>
      <c r="B820" s="24">
        <v>1815</v>
      </c>
      <c r="C820" s="24" t="s">
        <v>2513</v>
      </c>
      <c r="D820" s="24" t="s">
        <v>2514</v>
      </c>
      <c r="E820" s="93">
        <v>87</v>
      </c>
      <c r="F820" s="94">
        <v>4</v>
      </c>
      <c r="G820" s="94">
        <v>90</v>
      </c>
      <c r="H820" s="94">
        <v>4</v>
      </c>
      <c r="I820" s="94">
        <v>99</v>
      </c>
      <c r="J820" s="94">
        <v>4</v>
      </c>
      <c r="K820" s="94">
        <v>92</v>
      </c>
      <c r="L820" s="94">
        <v>2</v>
      </c>
      <c r="M820" s="94">
        <v>85</v>
      </c>
      <c r="N820" s="94">
        <v>2</v>
      </c>
      <c r="O820" s="94">
        <v>76</v>
      </c>
      <c r="P820" s="94">
        <v>2</v>
      </c>
      <c r="Q820">
        <v>88</v>
      </c>
      <c r="R820">
        <v>2</v>
      </c>
      <c r="S820">
        <v>84</v>
      </c>
      <c r="T820">
        <v>2</v>
      </c>
      <c r="U820">
        <v>83</v>
      </c>
      <c r="V820">
        <v>2</v>
      </c>
      <c r="W820">
        <v>82</v>
      </c>
      <c r="X820">
        <v>2</v>
      </c>
      <c r="Y820">
        <v>78</v>
      </c>
      <c r="Z820">
        <v>1</v>
      </c>
      <c r="AA820">
        <v>91</v>
      </c>
      <c r="AB820">
        <v>1</v>
      </c>
      <c r="AC820">
        <v>70</v>
      </c>
      <c r="AD820">
        <v>1</v>
      </c>
      <c r="AE820">
        <v>89</v>
      </c>
      <c r="AF820">
        <v>2</v>
      </c>
      <c r="AG820">
        <v>89</v>
      </c>
      <c r="AH820">
        <v>2</v>
      </c>
    </row>
    <row r="821" spans="1:34">
      <c r="A821" t="s">
        <v>2515</v>
      </c>
      <c r="B821" s="24">
        <v>1815</v>
      </c>
      <c r="C821" s="24" t="s">
        <v>2516</v>
      </c>
      <c r="D821" s="24" t="s">
        <v>2517</v>
      </c>
      <c r="E821" s="93">
        <v>89</v>
      </c>
      <c r="F821" s="94">
        <v>4</v>
      </c>
      <c r="G821" s="94">
        <v>92</v>
      </c>
      <c r="H821" s="94">
        <v>4</v>
      </c>
      <c r="I821" s="94">
        <v>99</v>
      </c>
      <c r="J821" s="94">
        <v>4</v>
      </c>
      <c r="K821" s="94">
        <v>96</v>
      </c>
      <c r="L821" s="94">
        <v>2</v>
      </c>
      <c r="M821" s="94">
        <v>88</v>
      </c>
      <c r="N821" s="94">
        <v>2</v>
      </c>
      <c r="O821" s="94">
        <v>83</v>
      </c>
      <c r="P821" s="94">
        <v>2</v>
      </c>
      <c r="Q821">
        <v>100</v>
      </c>
      <c r="R821">
        <v>2</v>
      </c>
      <c r="S821">
        <v>80</v>
      </c>
      <c r="T821">
        <v>2</v>
      </c>
      <c r="U821">
        <v>80</v>
      </c>
      <c r="V821">
        <v>2</v>
      </c>
      <c r="W821">
        <v>90</v>
      </c>
      <c r="X821">
        <v>2</v>
      </c>
      <c r="Y821">
        <v>77</v>
      </c>
      <c r="Z821">
        <v>1</v>
      </c>
      <c r="AA821">
        <v>91</v>
      </c>
      <c r="AB821">
        <v>1</v>
      </c>
      <c r="AC821">
        <v>85</v>
      </c>
      <c r="AD821">
        <v>1</v>
      </c>
      <c r="AE821">
        <v>89</v>
      </c>
      <c r="AF821">
        <v>2</v>
      </c>
      <c r="AG821">
        <v>90</v>
      </c>
      <c r="AH821">
        <v>2</v>
      </c>
    </row>
    <row r="822" spans="1:34">
      <c r="A822" t="s">
        <v>2518</v>
      </c>
      <c r="B822" s="24">
        <v>1815</v>
      </c>
      <c r="C822" s="24" t="s">
        <v>2519</v>
      </c>
      <c r="D822" s="24" t="s">
        <v>2520</v>
      </c>
      <c r="E822" s="93">
        <v>88</v>
      </c>
      <c r="F822" s="94">
        <v>4</v>
      </c>
      <c r="G822" s="94">
        <v>90</v>
      </c>
      <c r="H822" s="94">
        <v>4</v>
      </c>
      <c r="I822" s="94">
        <v>85</v>
      </c>
      <c r="J822" s="94">
        <v>4</v>
      </c>
      <c r="K822" s="94">
        <v>87</v>
      </c>
      <c r="L822" s="94">
        <v>2</v>
      </c>
      <c r="M822" s="94">
        <v>85</v>
      </c>
      <c r="N822" s="94">
        <v>2</v>
      </c>
      <c r="O822" s="94">
        <v>88</v>
      </c>
      <c r="P822" s="94">
        <v>2</v>
      </c>
      <c r="Q822">
        <v>95</v>
      </c>
      <c r="R822">
        <v>2</v>
      </c>
      <c r="S822">
        <v>84</v>
      </c>
      <c r="T822">
        <v>2</v>
      </c>
      <c r="U822">
        <v>85</v>
      </c>
      <c r="V822">
        <v>2</v>
      </c>
      <c r="W822">
        <v>88</v>
      </c>
      <c r="X822">
        <v>2</v>
      </c>
      <c r="Y822">
        <v>82</v>
      </c>
      <c r="Z822">
        <v>1</v>
      </c>
      <c r="AA822">
        <v>91</v>
      </c>
      <c r="AB822">
        <v>1</v>
      </c>
      <c r="AC822">
        <v>88</v>
      </c>
      <c r="AD822">
        <v>1</v>
      </c>
      <c r="AE822">
        <v>90</v>
      </c>
      <c r="AF822">
        <v>2</v>
      </c>
      <c r="AG822">
        <v>98</v>
      </c>
      <c r="AH822">
        <v>2</v>
      </c>
    </row>
    <row r="823" spans="1:34">
      <c r="A823" t="s">
        <v>1654</v>
      </c>
      <c r="B823" s="24">
        <v>1815</v>
      </c>
      <c r="C823" s="24" t="s">
        <v>2522</v>
      </c>
      <c r="D823" s="24" t="s">
        <v>1656</v>
      </c>
      <c r="E823" s="93">
        <v>90</v>
      </c>
      <c r="F823" s="94">
        <v>4</v>
      </c>
      <c r="G823" s="94">
        <v>92</v>
      </c>
      <c r="H823" s="94">
        <v>4</v>
      </c>
      <c r="I823" s="94">
        <v>99</v>
      </c>
      <c r="J823" s="94">
        <v>4</v>
      </c>
      <c r="K823" s="94">
        <v>90</v>
      </c>
      <c r="L823" s="94">
        <v>2</v>
      </c>
      <c r="M823" s="94">
        <v>88</v>
      </c>
      <c r="N823" s="94">
        <v>2</v>
      </c>
      <c r="O823" s="94">
        <v>83</v>
      </c>
      <c r="P823" s="94">
        <v>2</v>
      </c>
      <c r="Q823">
        <v>98</v>
      </c>
      <c r="R823">
        <v>2</v>
      </c>
      <c r="S823">
        <v>88</v>
      </c>
      <c r="T823">
        <v>2</v>
      </c>
      <c r="U823">
        <v>83</v>
      </c>
      <c r="V823">
        <v>2</v>
      </c>
      <c r="W823">
        <v>94</v>
      </c>
      <c r="X823">
        <v>2</v>
      </c>
      <c r="Y823">
        <v>80</v>
      </c>
      <c r="Z823">
        <v>1</v>
      </c>
      <c r="AA823">
        <v>91</v>
      </c>
      <c r="AB823">
        <v>1</v>
      </c>
      <c r="AC823">
        <v>76</v>
      </c>
      <c r="AD823">
        <v>1</v>
      </c>
      <c r="AE823">
        <v>88</v>
      </c>
      <c r="AF823">
        <v>2</v>
      </c>
      <c r="AG823">
        <v>85</v>
      </c>
      <c r="AH823">
        <v>2</v>
      </c>
    </row>
    <row r="824" spans="1:34">
      <c r="A824" t="s">
        <v>1732</v>
      </c>
      <c r="B824" s="24">
        <v>1815</v>
      </c>
      <c r="C824" s="24" t="s">
        <v>2525</v>
      </c>
      <c r="D824" s="24" t="s">
        <v>1734</v>
      </c>
      <c r="E824" s="93">
        <v>89</v>
      </c>
      <c r="F824" s="94">
        <v>4</v>
      </c>
      <c r="G824" s="94">
        <v>92</v>
      </c>
      <c r="H824" s="94">
        <v>4</v>
      </c>
      <c r="I824" s="94">
        <v>99</v>
      </c>
      <c r="J824" s="94">
        <v>4</v>
      </c>
      <c r="K824" s="94">
        <v>96</v>
      </c>
      <c r="L824" s="94">
        <v>2</v>
      </c>
      <c r="M824" s="94">
        <v>90</v>
      </c>
      <c r="N824" s="94">
        <v>2</v>
      </c>
      <c r="O824" s="94">
        <v>78</v>
      </c>
      <c r="P824" s="94">
        <v>2</v>
      </c>
      <c r="Q824">
        <v>102</v>
      </c>
      <c r="R824">
        <v>2</v>
      </c>
      <c r="S824">
        <v>84</v>
      </c>
      <c r="T824">
        <v>2</v>
      </c>
      <c r="U824">
        <v>78</v>
      </c>
      <c r="V824">
        <v>2</v>
      </c>
      <c r="W824">
        <v>89</v>
      </c>
      <c r="X824">
        <v>2</v>
      </c>
      <c r="Y824">
        <v>81</v>
      </c>
      <c r="Z824">
        <v>1</v>
      </c>
      <c r="AA824">
        <v>91</v>
      </c>
      <c r="AB824">
        <v>1</v>
      </c>
      <c r="AC824">
        <v>92</v>
      </c>
      <c r="AD824">
        <v>1</v>
      </c>
      <c r="AE824">
        <v>87</v>
      </c>
      <c r="AF824">
        <v>2</v>
      </c>
      <c r="AG824">
        <v>86</v>
      </c>
      <c r="AH824">
        <v>2</v>
      </c>
    </row>
    <row r="825" spans="1:34">
      <c r="A825" t="s">
        <v>2526</v>
      </c>
      <c r="B825" s="24">
        <v>1815</v>
      </c>
      <c r="C825" s="24" t="s">
        <v>2527</v>
      </c>
      <c r="D825" s="24" t="s">
        <v>2528</v>
      </c>
      <c r="E825" s="93">
        <v>89</v>
      </c>
      <c r="F825" s="94">
        <v>4</v>
      </c>
      <c r="G825" s="94">
        <v>90</v>
      </c>
      <c r="H825" s="94">
        <v>4</v>
      </c>
      <c r="I825" s="94">
        <v>98</v>
      </c>
      <c r="J825" s="94">
        <v>4</v>
      </c>
      <c r="K825" s="94">
        <v>97</v>
      </c>
      <c r="L825" s="94">
        <v>2</v>
      </c>
      <c r="M825" s="94">
        <v>85</v>
      </c>
      <c r="N825" s="94">
        <v>2</v>
      </c>
      <c r="O825" s="94">
        <v>83</v>
      </c>
      <c r="P825" s="94">
        <v>2</v>
      </c>
      <c r="Q825">
        <v>99</v>
      </c>
      <c r="R825">
        <v>2</v>
      </c>
      <c r="S825">
        <v>92</v>
      </c>
      <c r="T825">
        <v>2</v>
      </c>
      <c r="U825">
        <v>86</v>
      </c>
      <c r="V825">
        <v>2</v>
      </c>
      <c r="W825">
        <v>83</v>
      </c>
      <c r="X825">
        <v>2</v>
      </c>
      <c r="Y825">
        <v>76</v>
      </c>
      <c r="Z825">
        <v>1</v>
      </c>
      <c r="AA825">
        <v>91</v>
      </c>
      <c r="AB825">
        <v>1</v>
      </c>
      <c r="AC825">
        <v>76</v>
      </c>
      <c r="AD825">
        <v>1</v>
      </c>
      <c r="AE825">
        <v>50</v>
      </c>
      <c r="AF825">
        <v>1</v>
      </c>
      <c r="AG825">
        <v>87</v>
      </c>
      <c r="AH825">
        <v>2</v>
      </c>
    </row>
    <row r="826" spans="1:34">
      <c r="A826" t="s">
        <v>2529</v>
      </c>
      <c r="B826" s="24">
        <v>1815</v>
      </c>
      <c r="C826" s="24" t="s">
        <v>2530</v>
      </c>
      <c r="D826" s="24" t="s">
        <v>2531</v>
      </c>
      <c r="E826" s="93">
        <v>95</v>
      </c>
      <c r="F826" s="94">
        <v>4</v>
      </c>
      <c r="G826" s="94">
        <v>91</v>
      </c>
      <c r="H826" s="94">
        <v>4</v>
      </c>
      <c r="I826" s="94">
        <v>99</v>
      </c>
      <c r="J826" s="94">
        <v>4</v>
      </c>
      <c r="K826" s="94">
        <v>97</v>
      </c>
      <c r="L826" s="94">
        <v>2</v>
      </c>
      <c r="M826" s="94">
        <v>88</v>
      </c>
      <c r="N826" s="94">
        <v>2</v>
      </c>
      <c r="O826" s="94">
        <v>96</v>
      </c>
      <c r="P826" s="94">
        <v>2</v>
      </c>
      <c r="Q826">
        <v>94</v>
      </c>
      <c r="R826">
        <v>2</v>
      </c>
      <c r="S826">
        <v>94</v>
      </c>
      <c r="T826">
        <v>2</v>
      </c>
      <c r="U826">
        <v>85</v>
      </c>
      <c r="V826">
        <v>2</v>
      </c>
      <c r="W826">
        <v>85</v>
      </c>
      <c r="X826">
        <v>2</v>
      </c>
      <c r="Y826">
        <v>77</v>
      </c>
      <c r="Z826">
        <v>1</v>
      </c>
      <c r="AA826">
        <v>91</v>
      </c>
      <c r="AB826">
        <v>1</v>
      </c>
      <c r="AC826">
        <v>80</v>
      </c>
      <c r="AD826">
        <v>1</v>
      </c>
      <c r="AE826">
        <v>86</v>
      </c>
      <c r="AF826">
        <v>2</v>
      </c>
      <c r="AG826">
        <v>88</v>
      </c>
      <c r="AH826">
        <v>2</v>
      </c>
    </row>
    <row r="827" spans="1:34">
      <c r="A827" t="s">
        <v>2532</v>
      </c>
      <c r="B827" s="24">
        <v>1815</v>
      </c>
      <c r="C827" s="24" t="s">
        <v>2533</v>
      </c>
      <c r="D827" s="24" t="s">
        <v>2534</v>
      </c>
      <c r="E827" s="93">
        <v>95</v>
      </c>
      <c r="F827" s="94">
        <v>4</v>
      </c>
      <c r="G827" s="94">
        <v>90</v>
      </c>
      <c r="H827" s="94">
        <v>4</v>
      </c>
      <c r="I827" s="94">
        <v>90</v>
      </c>
      <c r="J827" s="94">
        <v>4</v>
      </c>
      <c r="K827" s="94">
        <v>87</v>
      </c>
      <c r="L827" s="94">
        <v>2</v>
      </c>
      <c r="M827" s="94">
        <v>88</v>
      </c>
      <c r="N827" s="94">
        <v>2</v>
      </c>
      <c r="O827" s="94">
        <v>88</v>
      </c>
      <c r="P827" s="94">
        <v>2</v>
      </c>
      <c r="Q827">
        <v>92</v>
      </c>
      <c r="R827">
        <v>2</v>
      </c>
      <c r="S827">
        <v>82</v>
      </c>
      <c r="T827">
        <v>2</v>
      </c>
      <c r="U827">
        <v>79</v>
      </c>
      <c r="V827">
        <v>2</v>
      </c>
      <c r="W827">
        <v>81</v>
      </c>
      <c r="X827">
        <v>2</v>
      </c>
      <c r="Y827">
        <v>79</v>
      </c>
      <c r="Z827">
        <v>1</v>
      </c>
      <c r="AA827">
        <v>91</v>
      </c>
      <c r="AB827">
        <v>1</v>
      </c>
      <c r="AC827">
        <v>72</v>
      </c>
      <c r="AD827">
        <v>1</v>
      </c>
      <c r="AE827">
        <v>91</v>
      </c>
      <c r="AF827">
        <v>2</v>
      </c>
      <c r="AG827">
        <v>88</v>
      </c>
      <c r="AH827">
        <v>2</v>
      </c>
    </row>
    <row r="828" spans="1:34">
      <c r="A828" t="s">
        <v>2535</v>
      </c>
      <c r="B828" s="24">
        <v>1815</v>
      </c>
      <c r="C828" s="24" t="s">
        <v>2536</v>
      </c>
      <c r="D828" s="24" t="s">
        <v>2537</v>
      </c>
      <c r="E828" s="93">
        <v>89</v>
      </c>
      <c r="F828" s="94">
        <v>4</v>
      </c>
      <c r="G828" s="94">
        <v>89</v>
      </c>
      <c r="H828" s="94">
        <v>4</v>
      </c>
      <c r="I828" s="94">
        <v>98</v>
      </c>
      <c r="J828" s="94">
        <v>4</v>
      </c>
      <c r="K828" s="94">
        <v>84</v>
      </c>
      <c r="L828" s="94">
        <v>2</v>
      </c>
      <c r="M828" s="94">
        <v>90</v>
      </c>
      <c r="N828" s="94">
        <v>2</v>
      </c>
      <c r="O828" s="94">
        <v>70</v>
      </c>
      <c r="P828" s="94">
        <v>2</v>
      </c>
      <c r="Q828">
        <v>87</v>
      </c>
      <c r="R828">
        <v>2</v>
      </c>
      <c r="S828">
        <v>80</v>
      </c>
      <c r="T828">
        <v>2</v>
      </c>
      <c r="U828">
        <v>71</v>
      </c>
      <c r="V828">
        <v>2</v>
      </c>
      <c r="W828">
        <v>85</v>
      </c>
      <c r="X828">
        <v>2</v>
      </c>
      <c r="Y828">
        <v>76</v>
      </c>
      <c r="Z828">
        <v>1</v>
      </c>
      <c r="AA828">
        <v>91</v>
      </c>
      <c r="AB828">
        <v>1</v>
      </c>
      <c r="AC828">
        <v>60</v>
      </c>
      <c r="AD828">
        <v>1</v>
      </c>
      <c r="AE828">
        <v>88</v>
      </c>
      <c r="AF828">
        <v>2</v>
      </c>
      <c r="AG828">
        <v>87</v>
      </c>
      <c r="AH828">
        <v>2</v>
      </c>
    </row>
    <row r="829" spans="1:34">
      <c r="A829" t="s">
        <v>2538</v>
      </c>
      <c r="B829" s="24">
        <v>1815</v>
      </c>
      <c r="C829" s="24" t="s">
        <v>2539</v>
      </c>
      <c r="D829" s="24" t="s">
        <v>3295</v>
      </c>
      <c r="E829" s="93">
        <v>89</v>
      </c>
      <c r="F829" s="94">
        <v>4</v>
      </c>
      <c r="G829" s="94">
        <v>90</v>
      </c>
      <c r="H829" s="94">
        <v>4</v>
      </c>
      <c r="I829" s="94">
        <v>98</v>
      </c>
      <c r="J829" s="94">
        <v>4</v>
      </c>
      <c r="K829" s="94">
        <v>87</v>
      </c>
      <c r="L829" s="94">
        <v>2</v>
      </c>
      <c r="M829" s="94">
        <v>90</v>
      </c>
      <c r="N829" s="94">
        <v>2</v>
      </c>
      <c r="O829" s="94">
        <v>75</v>
      </c>
      <c r="P829" s="94">
        <v>2</v>
      </c>
      <c r="Q829">
        <v>91</v>
      </c>
      <c r="R829">
        <v>2</v>
      </c>
      <c r="S829">
        <v>80</v>
      </c>
      <c r="T829">
        <v>2</v>
      </c>
      <c r="U829">
        <v>70</v>
      </c>
      <c r="V829">
        <v>2</v>
      </c>
      <c r="W829">
        <v>81</v>
      </c>
      <c r="X829">
        <v>2</v>
      </c>
      <c r="Y829">
        <v>78</v>
      </c>
      <c r="Z829">
        <v>1</v>
      </c>
      <c r="AA829">
        <v>91</v>
      </c>
      <c r="AB829">
        <v>1</v>
      </c>
      <c r="AC829">
        <v>70</v>
      </c>
      <c r="AD829">
        <v>1</v>
      </c>
      <c r="AE829">
        <v>90</v>
      </c>
      <c r="AF829">
        <v>2</v>
      </c>
      <c r="AG829">
        <v>88</v>
      </c>
      <c r="AH829">
        <v>2</v>
      </c>
    </row>
    <row r="830" spans="1:34">
      <c r="A830" t="s">
        <v>1758</v>
      </c>
      <c r="B830" s="24">
        <v>1815</v>
      </c>
      <c r="C830" s="24" t="s">
        <v>2541</v>
      </c>
      <c r="D830" s="24" t="s">
        <v>1760</v>
      </c>
      <c r="E830" s="93">
        <v>91</v>
      </c>
      <c r="F830" s="94">
        <v>4</v>
      </c>
      <c r="G830" s="94">
        <v>91</v>
      </c>
      <c r="H830" s="94">
        <v>4</v>
      </c>
      <c r="I830" s="94">
        <v>96</v>
      </c>
      <c r="J830" s="94">
        <v>4</v>
      </c>
      <c r="K830" s="94">
        <v>99</v>
      </c>
      <c r="L830" s="94">
        <v>2</v>
      </c>
      <c r="M830" s="94">
        <v>88</v>
      </c>
      <c r="N830" s="94">
        <v>2</v>
      </c>
      <c r="O830" s="94">
        <v>84</v>
      </c>
      <c r="P830" s="94">
        <v>2</v>
      </c>
      <c r="Q830">
        <v>77</v>
      </c>
      <c r="R830">
        <v>2</v>
      </c>
      <c r="S830">
        <v>82</v>
      </c>
      <c r="T830">
        <v>2</v>
      </c>
      <c r="U830">
        <v>75</v>
      </c>
      <c r="V830">
        <v>2</v>
      </c>
      <c r="W830">
        <v>85</v>
      </c>
      <c r="X830">
        <v>2</v>
      </c>
      <c r="Y830">
        <v>78</v>
      </c>
      <c r="Z830">
        <v>1</v>
      </c>
      <c r="AA830">
        <v>91</v>
      </c>
      <c r="AB830">
        <v>1</v>
      </c>
      <c r="AC830">
        <v>80</v>
      </c>
      <c r="AD830">
        <v>1</v>
      </c>
      <c r="AE830">
        <v>86</v>
      </c>
      <c r="AF830">
        <v>2</v>
      </c>
      <c r="AG830">
        <v>89</v>
      </c>
      <c r="AH830">
        <v>2</v>
      </c>
    </row>
    <row r="831" spans="1:34">
      <c r="A831" t="s">
        <v>2542</v>
      </c>
      <c r="B831" s="24">
        <v>1815</v>
      </c>
      <c r="C831" s="24" t="s">
        <v>2543</v>
      </c>
      <c r="D831" s="24" t="s">
        <v>2544</v>
      </c>
      <c r="E831" s="93">
        <v>83</v>
      </c>
      <c r="F831" s="94">
        <v>4</v>
      </c>
      <c r="G831" s="94">
        <v>95</v>
      </c>
      <c r="H831" s="94">
        <v>4</v>
      </c>
      <c r="I831" s="94">
        <v>95</v>
      </c>
      <c r="J831" s="94">
        <v>4</v>
      </c>
      <c r="K831" s="94">
        <v>86</v>
      </c>
      <c r="L831" s="94">
        <v>2</v>
      </c>
      <c r="M831" s="94">
        <v>85</v>
      </c>
      <c r="N831" s="94">
        <v>2</v>
      </c>
      <c r="O831" s="94">
        <v>70</v>
      </c>
      <c r="P831" s="94">
        <v>2</v>
      </c>
      <c r="Q831">
        <v>80</v>
      </c>
      <c r="R831">
        <v>2</v>
      </c>
      <c r="S831">
        <v>80</v>
      </c>
      <c r="T831">
        <v>2</v>
      </c>
      <c r="U831">
        <v>70</v>
      </c>
      <c r="V831">
        <v>2</v>
      </c>
      <c r="W831">
        <v>81</v>
      </c>
      <c r="X831">
        <v>2</v>
      </c>
      <c r="Y831">
        <v>78</v>
      </c>
      <c r="Z831">
        <v>1</v>
      </c>
      <c r="AA831">
        <v>91</v>
      </c>
      <c r="AB831">
        <v>1</v>
      </c>
      <c r="AC831">
        <v>75</v>
      </c>
      <c r="AD831">
        <v>1</v>
      </c>
      <c r="AE831">
        <v>87</v>
      </c>
      <c r="AF831">
        <v>2</v>
      </c>
      <c r="AG831">
        <v>90</v>
      </c>
      <c r="AH831">
        <v>2</v>
      </c>
    </row>
    <row r="832" spans="1:34">
      <c r="A832" t="s">
        <v>2545</v>
      </c>
      <c r="B832" s="24">
        <v>1815</v>
      </c>
      <c r="C832" s="24" t="s">
        <v>2546</v>
      </c>
      <c r="D832" s="24" t="s">
        <v>2547</v>
      </c>
      <c r="E832" s="93">
        <v>86</v>
      </c>
      <c r="F832" s="94">
        <v>4</v>
      </c>
      <c r="G832" s="94">
        <v>90</v>
      </c>
      <c r="H832" s="94">
        <v>4</v>
      </c>
      <c r="I832" s="94">
        <v>99</v>
      </c>
      <c r="J832" s="94">
        <v>4</v>
      </c>
      <c r="K832" s="94">
        <v>84</v>
      </c>
      <c r="L832" s="94">
        <v>2</v>
      </c>
      <c r="M832" s="94">
        <v>85</v>
      </c>
      <c r="N832" s="94">
        <v>2</v>
      </c>
      <c r="O832" s="94">
        <v>70</v>
      </c>
      <c r="P832" s="94">
        <v>2</v>
      </c>
      <c r="Q832">
        <v>83</v>
      </c>
      <c r="R832">
        <v>2</v>
      </c>
      <c r="S832">
        <v>80</v>
      </c>
      <c r="T832">
        <v>2</v>
      </c>
      <c r="U832">
        <v>70</v>
      </c>
      <c r="V832">
        <v>2</v>
      </c>
      <c r="W832">
        <v>81</v>
      </c>
      <c r="X832">
        <v>2</v>
      </c>
      <c r="Y832">
        <v>79</v>
      </c>
      <c r="Z832">
        <v>1</v>
      </c>
      <c r="AA832">
        <v>91</v>
      </c>
      <c r="AB832">
        <v>1</v>
      </c>
      <c r="AC832">
        <v>75</v>
      </c>
      <c r="AD832">
        <v>1</v>
      </c>
      <c r="AE832">
        <v>75</v>
      </c>
      <c r="AF832">
        <v>2</v>
      </c>
      <c r="AG832">
        <v>90</v>
      </c>
      <c r="AH832">
        <v>2</v>
      </c>
    </row>
    <row r="833" spans="1:34">
      <c r="A833" t="s">
        <v>2548</v>
      </c>
      <c r="B833" s="24">
        <v>1815</v>
      </c>
      <c r="C833" s="24" t="s">
        <v>2549</v>
      </c>
      <c r="D833" s="24" t="s">
        <v>2550</v>
      </c>
      <c r="E833" s="93">
        <v>89</v>
      </c>
      <c r="F833" s="94">
        <v>4</v>
      </c>
      <c r="G833" s="94">
        <v>85</v>
      </c>
      <c r="H833" s="94">
        <v>4</v>
      </c>
      <c r="I833" s="94">
        <v>99</v>
      </c>
      <c r="J833" s="94">
        <v>4</v>
      </c>
      <c r="K833" s="94">
        <v>99</v>
      </c>
      <c r="L833" s="94">
        <v>2</v>
      </c>
      <c r="M833" s="94">
        <v>90</v>
      </c>
      <c r="N833" s="94">
        <v>2</v>
      </c>
      <c r="O833" s="94">
        <v>93</v>
      </c>
      <c r="P833" s="94">
        <v>2</v>
      </c>
      <c r="Q833">
        <v>100</v>
      </c>
      <c r="R833">
        <v>2</v>
      </c>
      <c r="S833">
        <v>80</v>
      </c>
      <c r="T833">
        <v>2</v>
      </c>
      <c r="U833">
        <v>86</v>
      </c>
      <c r="V833">
        <v>2</v>
      </c>
      <c r="W833">
        <v>99</v>
      </c>
      <c r="X833">
        <v>2</v>
      </c>
      <c r="Y833">
        <v>77</v>
      </c>
      <c r="Z833">
        <v>1</v>
      </c>
      <c r="AA833">
        <v>91</v>
      </c>
      <c r="AB833">
        <v>1</v>
      </c>
      <c r="AC833">
        <v>80</v>
      </c>
      <c r="AD833">
        <v>1</v>
      </c>
      <c r="AE833">
        <v>88</v>
      </c>
      <c r="AF833">
        <v>2</v>
      </c>
      <c r="AG833">
        <v>88</v>
      </c>
      <c r="AH833">
        <v>2</v>
      </c>
    </row>
    <row r="834" spans="1:34">
      <c r="A834" t="s">
        <v>2551</v>
      </c>
      <c r="B834" s="24">
        <v>1815</v>
      </c>
      <c r="C834" s="24" t="s">
        <v>2552</v>
      </c>
      <c r="D834" s="24" t="s">
        <v>2553</v>
      </c>
      <c r="E834" s="93">
        <v>88</v>
      </c>
      <c r="F834" s="94">
        <v>4</v>
      </c>
      <c r="G834" s="94">
        <v>90</v>
      </c>
      <c r="H834" s="94">
        <v>4</v>
      </c>
      <c r="I834" s="94">
        <v>98</v>
      </c>
      <c r="J834" s="94">
        <v>4</v>
      </c>
      <c r="K834" s="94">
        <v>83</v>
      </c>
      <c r="L834" s="94">
        <v>2</v>
      </c>
      <c r="M834" s="94">
        <v>85</v>
      </c>
      <c r="N834" s="94">
        <v>2</v>
      </c>
      <c r="O834" s="94">
        <v>70</v>
      </c>
      <c r="P834" s="94">
        <v>2</v>
      </c>
      <c r="Q834">
        <v>88</v>
      </c>
      <c r="R834">
        <v>2</v>
      </c>
      <c r="S834">
        <v>80</v>
      </c>
      <c r="T834">
        <v>2</v>
      </c>
      <c r="U834">
        <v>85</v>
      </c>
      <c r="V834">
        <v>2</v>
      </c>
      <c r="W834">
        <v>91</v>
      </c>
      <c r="X834">
        <v>2</v>
      </c>
      <c r="Y834">
        <v>78</v>
      </c>
      <c r="Z834">
        <v>1</v>
      </c>
      <c r="AA834">
        <v>91</v>
      </c>
      <c r="AB834">
        <v>1</v>
      </c>
      <c r="AC834">
        <v>75</v>
      </c>
      <c r="AD834">
        <v>1</v>
      </c>
      <c r="AE834">
        <v>90</v>
      </c>
      <c r="AF834">
        <v>2</v>
      </c>
      <c r="AG834">
        <v>89</v>
      </c>
      <c r="AH834">
        <v>2</v>
      </c>
    </row>
    <row r="835" spans="1:34">
      <c r="A835" t="s">
        <v>2554</v>
      </c>
      <c r="B835" s="24">
        <v>1815</v>
      </c>
      <c r="C835" s="24" t="s">
        <v>2555</v>
      </c>
      <c r="D835" s="24" t="s">
        <v>2556</v>
      </c>
      <c r="E835" s="93">
        <v>89</v>
      </c>
      <c r="F835" s="94">
        <v>4</v>
      </c>
      <c r="G835" s="94">
        <v>95</v>
      </c>
      <c r="H835" s="94">
        <v>4</v>
      </c>
      <c r="I835" s="94">
        <v>88</v>
      </c>
      <c r="J835" s="94">
        <v>4</v>
      </c>
      <c r="K835" s="94">
        <v>86</v>
      </c>
      <c r="L835" s="94">
        <v>2</v>
      </c>
      <c r="M835" s="94">
        <v>85</v>
      </c>
      <c r="N835" s="94">
        <v>2</v>
      </c>
      <c r="O835" s="94">
        <v>70</v>
      </c>
      <c r="P835" s="94">
        <v>2</v>
      </c>
      <c r="Q835">
        <v>84</v>
      </c>
      <c r="R835">
        <v>2</v>
      </c>
      <c r="S835">
        <v>88</v>
      </c>
      <c r="T835">
        <v>2</v>
      </c>
      <c r="U835">
        <v>78</v>
      </c>
      <c r="V835">
        <v>2</v>
      </c>
      <c r="W835">
        <v>85</v>
      </c>
      <c r="X835">
        <v>2</v>
      </c>
      <c r="Y835">
        <v>82</v>
      </c>
      <c r="Z835">
        <v>1</v>
      </c>
      <c r="AA835">
        <v>91</v>
      </c>
      <c r="AB835">
        <v>1</v>
      </c>
      <c r="AC835">
        <v>75</v>
      </c>
      <c r="AD835">
        <v>1</v>
      </c>
      <c r="AE835">
        <v>87</v>
      </c>
      <c r="AF835">
        <v>2</v>
      </c>
      <c r="AG835">
        <v>90</v>
      </c>
      <c r="AH835">
        <v>2</v>
      </c>
    </row>
    <row r="836" spans="1:34">
      <c r="A836" t="s">
        <v>2557</v>
      </c>
      <c r="B836" s="24">
        <v>1815</v>
      </c>
      <c r="C836" s="24" t="s">
        <v>2558</v>
      </c>
      <c r="D836" s="24" t="s">
        <v>2559</v>
      </c>
      <c r="E836" s="93">
        <v>90</v>
      </c>
      <c r="F836" s="94">
        <v>4</v>
      </c>
      <c r="G836" s="94">
        <v>90</v>
      </c>
      <c r="H836" s="94">
        <v>4</v>
      </c>
      <c r="I836" s="94">
        <v>98</v>
      </c>
      <c r="J836" s="94">
        <v>4</v>
      </c>
      <c r="K836" s="94">
        <v>96</v>
      </c>
      <c r="L836" s="94">
        <v>2</v>
      </c>
      <c r="M836" s="94">
        <v>90</v>
      </c>
      <c r="N836" s="94">
        <v>2</v>
      </c>
      <c r="O836" s="94">
        <v>93</v>
      </c>
      <c r="P836" s="94">
        <v>2</v>
      </c>
      <c r="Q836">
        <v>100</v>
      </c>
      <c r="R836">
        <v>2</v>
      </c>
      <c r="S836">
        <v>80</v>
      </c>
      <c r="T836">
        <v>2</v>
      </c>
      <c r="U836">
        <v>88</v>
      </c>
      <c r="V836">
        <v>2</v>
      </c>
      <c r="W836">
        <v>86</v>
      </c>
      <c r="X836">
        <v>2</v>
      </c>
      <c r="Y836">
        <v>83</v>
      </c>
      <c r="Z836">
        <v>1</v>
      </c>
      <c r="AA836">
        <v>91</v>
      </c>
      <c r="AB836">
        <v>1</v>
      </c>
      <c r="AC836">
        <v>72</v>
      </c>
      <c r="AD836">
        <v>1</v>
      </c>
      <c r="AE836">
        <v>87</v>
      </c>
      <c r="AF836">
        <v>2</v>
      </c>
      <c r="AG836">
        <v>89</v>
      </c>
      <c r="AH836">
        <v>2</v>
      </c>
    </row>
    <row r="837" spans="1:34">
      <c r="A837" t="s">
        <v>2560</v>
      </c>
      <c r="B837" s="24">
        <v>1815</v>
      </c>
      <c r="C837" s="24" t="s">
        <v>2561</v>
      </c>
      <c r="D837" s="24" t="s">
        <v>2562</v>
      </c>
      <c r="E837" s="93">
        <v>85</v>
      </c>
      <c r="F837" s="94">
        <v>4</v>
      </c>
      <c r="G837" s="94">
        <v>90</v>
      </c>
      <c r="H837" s="94">
        <v>4</v>
      </c>
      <c r="I837" s="94">
        <v>91</v>
      </c>
      <c r="J837" s="94">
        <v>4</v>
      </c>
      <c r="K837" s="94">
        <v>80</v>
      </c>
      <c r="L837" s="94">
        <v>2</v>
      </c>
      <c r="M837" s="94">
        <v>80</v>
      </c>
      <c r="N837" s="94">
        <v>2</v>
      </c>
      <c r="O837" s="94">
        <v>70</v>
      </c>
      <c r="P837" s="94">
        <v>2</v>
      </c>
      <c r="Q837">
        <v>73</v>
      </c>
      <c r="R837">
        <v>2</v>
      </c>
      <c r="S837">
        <v>80</v>
      </c>
      <c r="T837">
        <v>2</v>
      </c>
      <c r="U837">
        <v>70</v>
      </c>
      <c r="V837">
        <v>2</v>
      </c>
      <c r="W837">
        <v>80</v>
      </c>
      <c r="X837">
        <v>2</v>
      </c>
      <c r="Y837">
        <v>85</v>
      </c>
      <c r="Z837">
        <v>1</v>
      </c>
      <c r="AA837">
        <v>91</v>
      </c>
      <c r="AB837">
        <v>1</v>
      </c>
      <c r="AC837">
        <v>68</v>
      </c>
      <c r="AD837">
        <v>1</v>
      </c>
      <c r="AE837">
        <v>86</v>
      </c>
      <c r="AF837">
        <v>2</v>
      </c>
      <c r="AG837">
        <v>89</v>
      </c>
      <c r="AH837">
        <v>2</v>
      </c>
    </row>
    <row r="838" spans="1:34">
      <c r="B838" s="24">
        <v>1815</v>
      </c>
      <c r="C838" s="24" t="s">
        <v>3331</v>
      </c>
      <c r="E838" s="93">
        <v>87</v>
      </c>
      <c r="F838" s="94">
        <v>4</v>
      </c>
      <c r="J838" s="94">
        <v>4</v>
      </c>
      <c r="L838" s="94">
        <v>2</v>
      </c>
      <c r="N838" s="94">
        <v>2</v>
      </c>
      <c r="Z838">
        <v>1</v>
      </c>
      <c r="AB838">
        <v>1</v>
      </c>
    </row>
    <row r="839" spans="1:34">
      <c r="A839" t="s">
        <v>2564</v>
      </c>
      <c r="B839" s="24">
        <v>1815</v>
      </c>
      <c r="C839" s="24" t="s">
        <v>2565</v>
      </c>
      <c r="D839" s="24" t="s">
        <v>2566</v>
      </c>
      <c r="E839" s="93">
        <v>85</v>
      </c>
      <c r="F839" s="94">
        <v>4</v>
      </c>
      <c r="G839" s="94">
        <v>90</v>
      </c>
      <c r="H839" s="94">
        <v>4</v>
      </c>
      <c r="I839" s="94">
        <v>82</v>
      </c>
      <c r="J839" s="94">
        <v>4</v>
      </c>
      <c r="K839" s="94">
        <v>84</v>
      </c>
      <c r="L839" s="94">
        <v>2</v>
      </c>
      <c r="M839" s="94">
        <v>80</v>
      </c>
      <c r="N839" s="94">
        <v>2</v>
      </c>
      <c r="O839" s="94">
        <v>70</v>
      </c>
      <c r="P839" s="94">
        <v>2</v>
      </c>
      <c r="Q839">
        <v>92</v>
      </c>
      <c r="R839">
        <v>2</v>
      </c>
      <c r="S839">
        <v>80</v>
      </c>
      <c r="T839">
        <v>2</v>
      </c>
      <c r="U839">
        <v>86</v>
      </c>
      <c r="V839">
        <v>2</v>
      </c>
      <c r="W839">
        <v>81</v>
      </c>
      <c r="X839">
        <v>2</v>
      </c>
      <c r="Y839">
        <v>76</v>
      </c>
      <c r="Z839">
        <v>1</v>
      </c>
      <c r="AA839">
        <v>91</v>
      </c>
      <c r="AB839">
        <v>1</v>
      </c>
      <c r="AC839">
        <v>68</v>
      </c>
      <c r="AD839">
        <v>1</v>
      </c>
      <c r="AE839">
        <v>89</v>
      </c>
      <c r="AF839">
        <v>2</v>
      </c>
      <c r="AG839">
        <v>86</v>
      </c>
      <c r="AH839">
        <v>2</v>
      </c>
    </row>
    <row r="840" spans="1:34">
      <c r="A840" t="s">
        <v>2567</v>
      </c>
      <c r="B840" s="24">
        <v>1815</v>
      </c>
      <c r="C840" s="24" t="s">
        <v>2568</v>
      </c>
      <c r="D840" s="24" t="s">
        <v>2569</v>
      </c>
      <c r="E840" s="93">
        <v>88</v>
      </c>
      <c r="F840" s="94">
        <v>4</v>
      </c>
      <c r="G840" s="94">
        <v>89</v>
      </c>
      <c r="H840" s="94">
        <v>4</v>
      </c>
      <c r="I840" s="94">
        <v>99</v>
      </c>
      <c r="J840" s="94">
        <v>4</v>
      </c>
      <c r="K840" s="94">
        <v>88</v>
      </c>
      <c r="L840" s="94">
        <v>2</v>
      </c>
      <c r="M840" s="94">
        <v>85</v>
      </c>
      <c r="N840" s="94">
        <v>2</v>
      </c>
      <c r="O840" s="94">
        <v>75</v>
      </c>
      <c r="P840" s="94">
        <v>2</v>
      </c>
      <c r="Q840">
        <v>97</v>
      </c>
      <c r="R840">
        <v>2</v>
      </c>
      <c r="S840">
        <v>84</v>
      </c>
      <c r="T840">
        <v>2</v>
      </c>
      <c r="U840">
        <v>82</v>
      </c>
      <c r="V840">
        <v>2</v>
      </c>
      <c r="W840">
        <v>82</v>
      </c>
      <c r="X840">
        <v>2</v>
      </c>
      <c r="Y840">
        <v>83</v>
      </c>
      <c r="Z840">
        <v>1</v>
      </c>
      <c r="AA840">
        <v>91</v>
      </c>
      <c r="AB840">
        <v>1</v>
      </c>
      <c r="AC840">
        <v>75</v>
      </c>
      <c r="AD840">
        <v>1</v>
      </c>
      <c r="AE840">
        <v>85</v>
      </c>
      <c r="AF840">
        <v>2</v>
      </c>
      <c r="AG840">
        <v>90</v>
      </c>
      <c r="AH840">
        <v>2</v>
      </c>
    </row>
    <row r="841" spans="1:34">
      <c r="A841" t="s">
        <v>2570</v>
      </c>
      <c r="B841" s="24">
        <v>1815</v>
      </c>
      <c r="C841" s="24" t="s">
        <v>2571</v>
      </c>
      <c r="D841" s="24" t="s">
        <v>2572</v>
      </c>
      <c r="E841" s="93">
        <v>89</v>
      </c>
      <c r="F841" s="94">
        <v>4</v>
      </c>
      <c r="G841" s="94">
        <v>90</v>
      </c>
      <c r="H841" s="94">
        <v>4</v>
      </c>
      <c r="I841" s="94">
        <v>99</v>
      </c>
      <c r="J841" s="94">
        <v>4</v>
      </c>
      <c r="K841" s="94">
        <v>93</v>
      </c>
      <c r="L841" s="94">
        <v>2</v>
      </c>
      <c r="M841" s="94">
        <v>90</v>
      </c>
      <c r="N841" s="94">
        <v>2</v>
      </c>
      <c r="O841" s="94">
        <v>93</v>
      </c>
      <c r="P841" s="94">
        <v>2</v>
      </c>
      <c r="Q841">
        <v>100</v>
      </c>
      <c r="R841">
        <v>2</v>
      </c>
      <c r="S841">
        <v>80</v>
      </c>
      <c r="T841">
        <v>2</v>
      </c>
      <c r="U841">
        <v>70</v>
      </c>
      <c r="V841">
        <v>2</v>
      </c>
      <c r="W841">
        <v>82</v>
      </c>
      <c r="X841">
        <v>2</v>
      </c>
      <c r="Y841">
        <v>82</v>
      </c>
      <c r="Z841">
        <v>1</v>
      </c>
      <c r="AA841">
        <v>91</v>
      </c>
      <c r="AB841">
        <v>1</v>
      </c>
      <c r="AC841">
        <v>75</v>
      </c>
      <c r="AD841">
        <v>1</v>
      </c>
      <c r="AE841">
        <v>84</v>
      </c>
      <c r="AF841">
        <v>2</v>
      </c>
      <c r="AG841">
        <v>85</v>
      </c>
      <c r="AH841">
        <v>2</v>
      </c>
    </row>
    <row r="842" spans="1:34">
      <c r="A842" t="s">
        <v>2573</v>
      </c>
      <c r="B842" s="24">
        <v>1815</v>
      </c>
      <c r="C842" s="24" t="s">
        <v>2574</v>
      </c>
      <c r="D842" s="24" t="s">
        <v>2575</v>
      </c>
      <c r="E842" s="93">
        <v>88</v>
      </c>
      <c r="F842" s="94">
        <v>4</v>
      </c>
      <c r="G842" s="94">
        <v>90</v>
      </c>
      <c r="H842" s="94">
        <v>4</v>
      </c>
      <c r="I842" s="94">
        <v>85</v>
      </c>
      <c r="J842" s="94">
        <v>4</v>
      </c>
      <c r="K842" s="94">
        <v>98</v>
      </c>
      <c r="L842" s="94">
        <v>2</v>
      </c>
      <c r="M842" s="94">
        <v>95</v>
      </c>
      <c r="N842" s="94">
        <v>2</v>
      </c>
      <c r="O842" s="94">
        <v>82</v>
      </c>
      <c r="P842" s="94">
        <v>2</v>
      </c>
      <c r="Q842">
        <v>82</v>
      </c>
      <c r="R842">
        <v>2</v>
      </c>
      <c r="S842">
        <v>83</v>
      </c>
      <c r="T842">
        <v>2</v>
      </c>
      <c r="U842">
        <v>76</v>
      </c>
      <c r="V842">
        <v>2</v>
      </c>
      <c r="W842">
        <v>84</v>
      </c>
      <c r="X842">
        <v>2</v>
      </c>
      <c r="Y842">
        <v>80</v>
      </c>
      <c r="Z842">
        <v>1</v>
      </c>
      <c r="AA842">
        <v>91</v>
      </c>
      <c r="AB842">
        <v>1</v>
      </c>
      <c r="AC842">
        <v>78</v>
      </c>
      <c r="AD842">
        <v>1</v>
      </c>
      <c r="AE842">
        <v>86</v>
      </c>
      <c r="AF842">
        <v>2</v>
      </c>
      <c r="AG842">
        <v>80</v>
      </c>
      <c r="AH842">
        <v>2</v>
      </c>
    </row>
    <row r="843" spans="1:34">
      <c r="A843" t="s">
        <v>2576</v>
      </c>
      <c r="B843" s="24">
        <v>1815</v>
      </c>
      <c r="C843" s="24" t="s">
        <v>2577</v>
      </c>
      <c r="D843" s="24" t="s">
        <v>2578</v>
      </c>
      <c r="E843" s="93">
        <v>88</v>
      </c>
      <c r="F843" s="94">
        <v>4</v>
      </c>
      <c r="G843" s="94">
        <v>90</v>
      </c>
      <c r="H843" s="94">
        <v>4</v>
      </c>
      <c r="I843" s="94">
        <v>88</v>
      </c>
      <c r="J843" s="94">
        <v>4</v>
      </c>
      <c r="K843" s="94">
        <v>94</v>
      </c>
      <c r="L843" s="94">
        <v>2</v>
      </c>
      <c r="M843" s="94">
        <v>88</v>
      </c>
      <c r="N843" s="94">
        <v>2</v>
      </c>
      <c r="O843" s="94">
        <v>73</v>
      </c>
      <c r="P843" s="94">
        <v>2</v>
      </c>
      <c r="Q843">
        <v>99</v>
      </c>
      <c r="R843">
        <v>2</v>
      </c>
      <c r="S843">
        <v>98</v>
      </c>
      <c r="T843">
        <v>2</v>
      </c>
      <c r="U843">
        <v>92</v>
      </c>
      <c r="V843">
        <v>2</v>
      </c>
      <c r="W843">
        <v>88</v>
      </c>
      <c r="X843">
        <v>2</v>
      </c>
      <c r="Y843">
        <v>81</v>
      </c>
      <c r="Z843">
        <v>1</v>
      </c>
      <c r="AA843">
        <v>91</v>
      </c>
      <c r="AB843">
        <v>1</v>
      </c>
      <c r="AC843">
        <v>78</v>
      </c>
      <c r="AD843">
        <v>1</v>
      </c>
      <c r="AE843">
        <v>90</v>
      </c>
      <c r="AF843">
        <v>2</v>
      </c>
      <c r="AG843">
        <v>87</v>
      </c>
      <c r="AH843">
        <v>2</v>
      </c>
    </row>
    <row r="844" spans="1:34">
      <c r="A844" t="s">
        <v>2579</v>
      </c>
      <c r="B844" s="24">
        <v>1815</v>
      </c>
      <c r="C844" s="24" t="s">
        <v>2580</v>
      </c>
      <c r="D844" s="24" t="s">
        <v>2581</v>
      </c>
      <c r="E844" s="93">
        <v>86</v>
      </c>
      <c r="F844" s="94">
        <v>4</v>
      </c>
      <c r="G844" s="94">
        <v>93</v>
      </c>
      <c r="H844" s="94">
        <v>4</v>
      </c>
      <c r="I844" s="94">
        <v>98</v>
      </c>
      <c r="J844" s="94">
        <v>4</v>
      </c>
      <c r="K844" s="94">
        <v>82</v>
      </c>
      <c r="L844" s="94">
        <v>2</v>
      </c>
      <c r="M844" s="94">
        <v>80</v>
      </c>
      <c r="N844" s="94">
        <v>2</v>
      </c>
      <c r="O844" s="94">
        <v>70</v>
      </c>
      <c r="P844" s="94">
        <v>2</v>
      </c>
      <c r="Q844">
        <v>90</v>
      </c>
      <c r="R844">
        <v>2</v>
      </c>
      <c r="S844">
        <v>80</v>
      </c>
      <c r="T844">
        <v>2</v>
      </c>
      <c r="U844">
        <v>79</v>
      </c>
      <c r="V844">
        <v>2</v>
      </c>
      <c r="W844">
        <v>85</v>
      </c>
      <c r="X844">
        <v>2</v>
      </c>
      <c r="Y844">
        <v>80</v>
      </c>
      <c r="Z844">
        <v>1</v>
      </c>
      <c r="AA844">
        <v>91</v>
      </c>
      <c r="AB844">
        <v>1</v>
      </c>
      <c r="AC844">
        <v>70</v>
      </c>
      <c r="AD844">
        <v>1</v>
      </c>
      <c r="AE844">
        <v>89</v>
      </c>
      <c r="AF844">
        <v>2</v>
      </c>
      <c r="AG844">
        <v>88</v>
      </c>
      <c r="AH844">
        <v>2</v>
      </c>
    </row>
    <row r="845" spans="1:34">
      <c r="A845" t="s">
        <v>2582</v>
      </c>
      <c r="B845" s="24">
        <v>1815</v>
      </c>
      <c r="C845" s="24" t="s">
        <v>2583</v>
      </c>
      <c r="D845" s="24" t="s">
        <v>2584</v>
      </c>
      <c r="E845" s="93">
        <v>88</v>
      </c>
      <c r="F845" s="94">
        <v>4</v>
      </c>
      <c r="G845" s="94">
        <v>93</v>
      </c>
      <c r="H845" s="94">
        <v>4</v>
      </c>
      <c r="I845" s="94">
        <v>91</v>
      </c>
      <c r="J845" s="94">
        <v>4</v>
      </c>
      <c r="K845" s="94">
        <v>85</v>
      </c>
      <c r="L845" s="94">
        <v>2</v>
      </c>
      <c r="M845" s="94">
        <v>85</v>
      </c>
      <c r="N845" s="94">
        <v>2</v>
      </c>
      <c r="O845" s="94">
        <v>70</v>
      </c>
      <c r="P845" s="94">
        <v>2</v>
      </c>
      <c r="Q845">
        <v>91</v>
      </c>
      <c r="R845">
        <v>2</v>
      </c>
      <c r="S845">
        <v>80</v>
      </c>
      <c r="T845">
        <v>2</v>
      </c>
      <c r="U845">
        <v>80</v>
      </c>
      <c r="V845">
        <v>2</v>
      </c>
      <c r="W845">
        <v>91</v>
      </c>
      <c r="X845">
        <v>2</v>
      </c>
      <c r="Y845">
        <v>78</v>
      </c>
      <c r="Z845">
        <v>1</v>
      </c>
      <c r="AA845">
        <v>91</v>
      </c>
      <c r="AB845">
        <v>1</v>
      </c>
      <c r="AC845">
        <v>70</v>
      </c>
      <c r="AD845">
        <v>1</v>
      </c>
      <c r="AE845">
        <v>90</v>
      </c>
      <c r="AF845">
        <v>2</v>
      </c>
      <c r="AG845">
        <v>89</v>
      </c>
      <c r="AH845">
        <v>2</v>
      </c>
    </row>
    <row r="846" spans="1:34">
      <c r="A846" t="s">
        <v>2585</v>
      </c>
      <c r="B846" s="24">
        <v>1816</v>
      </c>
      <c r="C846" s="24" t="s">
        <v>2586</v>
      </c>
      <c r="D846" s="24" t="s">
        <v>2587</v>
      </c>
      <c r="E846" s="93">
        <v>80</v>
      </c>
      <c r="F846" s="94">
        <v>4</v>
      </c>
      <c r="G846" s="94">
        <v>90</v>
      </c>
      <c r="H846" s="94">
        <v>4</v>
      </c>
      <c r="I846" s="94">
        <v>87</v>
      </c>
      <c r="J846" s="94">
        <v>4</v>
      </c>
      <c r="K846" s="94">
        <v>88</v>
      </c>
      <c r="L846" s="94">
        <v>2</v>
      </c>
      <c r="M846" s="94">
        <v>75</v>
      </c>
      <c r="N846" s="94">
        <v>2</v>
      </c>
      <c r="O846" s="94">
        <v>70</v>
      </c>
      <c r="P846" s="94">
        <v>2</v>
      </c>
      <c r="Q846">
        <v>87</v>
      </c>
      <c r="R846">
        <v>2</v>
      </c>
      <c r="S846">
        <v>80</v>
      </c>
      <c r="T846">
        <v>2</v>
      </c>
      <c r="U846">
        <v>70</v>
      </c>
      <c r="V846">
        <v>2</v>
      </c>
      <c r="W846">
        <v>85</v>
      </c>
      <c r="X846">
        <v>2</v>
      </c>
      <c r="Y846">
        <v>78</v>
      </c>
      <c r="Z846">
        <v>1</v>
      </c>
      <c r="AA846">
        <v>93</v>
      </c>
      <c r="AB846">
        <v>1</v>
      </c>
      <c r="AC846">
        <v>76</v>
      </c>
      <c r="AD846">
        <v>1</v>
      </c>
      <c r="AE846">
        <v>88</v>
      </c>
      <c r="AF846">
        <v>2</v>
      </c>
      <c r="AG846">
        <v>90</v>
      </c>
      <c r="AH846">
        <v>2</v>
      </c>
    </row>
    <row r="847" spans="1:34">
      <c r="A847" t="s">
        <v>2588</v>
      </c>
      <c r="B847" s="24">
        <v>1816</v>
      </c>
      <c r="C847" s="24" t="s">
        <v>2589</v>
      </c>
      <c r="D847" s="24" t="s">
        <v>206</v>
      </c>
      <c r="E847" s="93">
        <v>93.6666666666667</v>
      </c>
      <c r="F847" s="94">
        <v>4</v>
      </c>
      <c r="G847" s="94">
        <v>91</v>
      </c>
      <c r="H847" s="94">
        <v>4</v>
      </c>
      <c r="I847" s="94">
        <v>92</v>
      </c>
      <c r="J847" s="94">
        <v>4</v>
      </c>
      <c r="K847" s="94">
        <v>95</v>
      </c>
      <c r="L847" s="94">
        <v>2</v>
      </c>
      <c r="M847" s="94">
        <v>83</v>
      </c>
      <c r="N847" s="94">
        <v>2</v>
      </c>
      <c r="O847" s="94">
        <v>94</v>
      </c>
      <c r="P847" s="94">
        <v>2</v>
      </c>
      <c r="Q847">
        <v>77</v>
      </c>
      <c r="R847">
        <v>2</v>
      </c>
      <c r="S847">
        <v>81</v>
      </c>
      <c r="T847">
        <v>2</v>
      </c>
      <c r="U847">
        <v>78</v>
      </c>
      <c r="V847">
        <v>2</v>
      </c>
      <c r="W847">
        <v>82</v>
      </c>
      <c r="X847">
        <v>2</v>
      </c>
      <c r="Y847">
        <v>76</v>
      </c>
      <c r="Z847">
        <v>1</v>
      </c>
      <c r="AA847">
        <v>93</v>
      </c>
      <c r="AB847">
        <v>1</v>
      </c>
      <c r="AC847">
        <v>75</v>
      </c>
      <c r="AD847">
        <v>1</v>
      </c>
      <c r="AE847">
        <v>84</v>
      </c>
      <c r="AF847">
        <v>2</v>
      </c>
      <c r="AG847">
        <v>90</v>
      </c>
      <c r="AH847">
        <v>2</v>
      </c>
    </row>
    <row r="848" spans="1:34">
      <c r="A848" t="s">
        <v>2590</v>
      </c>
      <c r="B848" s="24">
        <v>1816</v>
      </c>
      <c r="C848" s="24" t="s">
        <v>2591</v>
      </c>
      <c r="D848" s="24" t="s">
        <v>2592</v>
      </c>
      <c r="E848" s="93">
        <v>73.6666666666667</v>
      </c>
      <c r="F848" s="94">
        <v>4</v>
      </c>
      <c r="G848" s="94">
        <v>90</v>
      </c>
      <c r="H848" s="94">
        <v>4</v>
      </c>
      <c r="I848" s="94">
        <v>90</v>
      </c>
      <c r="J848" s="94">
        <v>4</v>
      </c>
      <c r="K848" s="94">
        <v>85</v>
      </c>
      <c r="L848" s="94">
        <v>2</v>
      </c>
      <c r="M848" s="94">
        <v>85</v>
      </c>
      <c r="N848" s="94">
        <v>2</v>
      </c>
      <c r="O848" s="94">
        <v>76</v>
      </c>
      <c r="P848" s="94">
        <v>2</v>
      </c>
      <c r="Q848">
        <v>87</v>
      </c>
      <c r="R848">
        <v>2</v>
      </c>
      <c r="S848">
        <v>82</v>
      </c>
      <c r="T848">
        <v>2</v>
      </c>
      <c r="U848">
        <v>70</v>
      </c>
      <c r="V848">
        <v>2</v>
      </c>
      <c r="W848">
        <v>80</v>
      </c>
      <c r="X848">
        <v>2</v>
      </c>
      <c r="Y848">
        <v>77</v>
      </c>
      <c r="Z848">
        <v>1</v>
      </c>
      <c r="AA848">
        <v>93</v>
      </c>
      <c r="AB848">
        <v>1</v>
      </c>
      <c r="AC848">
        <v>70</v>
      </c>
      <c r="AD848">
        <v>1</v>
      </c>
      <c r="AE848">
        <v>88</v>
      </c>
      <c r="AF848">
        <v>2</v>
      </c>
      <c r="AG848">
        <v>82</v>
      </c>
      <c r="AH848">
        <v>2</v>
      </c>
    </row>
    <row r="849" spans="1:34">
      <c r="A849" t="s">
        <v>2593</v>
      </c>
      <c r="B849" s="24">
        <v>1816</v>
      </c>
      <c r="C849" s="24" t="s">
        <v>2594</v>
      </c>
      <c r="D849" s="24" t="s">
        <v>2595</v>
      </c>
      <c r="E849" s="93">
        <v>98</v>
      </c>
      <c r="F849" s="94">
        <v>4</v>
      </c>
      <c r="G849" s="94">
        <v>90</v>
      </c>
      <c r="H849" s="94">
        <v>4</v>
      </c>
      <c r="I849" s="94">
        <v>92</v>
      </c>
      <c r="J849" s="94">
        <v>4</v>
      </c>
      <c r="K849" s="94">
        <v>90</v>
      </c>
      <c r="L849" s="94">
        <v>2</v>
      </c>
      <c r="M849" s="94">
        <v>78</v>
      </c>
      <c r="N849" s="94">
        <v>2</v>
      </c>
      <c r="O849" s="94">
        <v>72</v>
      </c>
      <c r="P849" s="94">
        <v>2</v>
      </c>
      <c r="Q849">
        <v>88</v>
      </c>
      <c r="R849">
        <v>2</v>
      </c>
      <c r="S849">
        <v>83</v>
      </c>
      <c r="T849">
        <v>2</v>
      </c>
      <c r="U849">
        <v>78</v>
      </c>
      <c r="V849">
        <v>2</v>
      </c>
      <c r="W849">
        <v>82</v>
      </c>
      <c r="X849">
        <v>2</v>
      </c>
      <c r="Y849">
        <v>79</v>
      </c>
      <c r="Z849">
        <v>1</v>
      </c>
      <c r="AA849">
        <v>93</v>
      </c>
      <c r="AB849">
        <v>1</v>
      </c>
      <c r="AC849">
        <v>80</v>
      </c>
      <c r="AD849">
        <v>1</v>
      </c>
      <c r="AE849">
        <v>87</v>
      </c>
      <c r="AF849">
        <v>2</v>
      </c>
      <c r="AG849">
        <v>86</v>
      </c>
      <c r="AH849">
        <v>2</v>
      </c>
    </row>
    <row r="850" spans="1:34">
      <c r="A850" t="s">
        <v>2596</v>
      </c>
      <c r="B850" s="24">
        <v>1816</v>
      </c>
      <c r="C850" s="24" t="s">
        <v>2597</v>
      </c>
      <c r="D850" s="24" t="s">
        <v>2598</v>
      </c>
      <c r="E850" s="93">
        <v>82.6666666666667</v>
      </c>
      <c r="F850" s="94">
        <v>4</v>
      </c>
      <c r="G850" s="94">
        <v>80</v>
      </c>
      <c r="H850" s="94">
        <v>4</v>
      </c>
      <c r="I850" s="94">
        <v>88</v>
      </c>
      <c r="J850" s="94">
        <v>4</v>
      </c>
      <c r="K850" s="94">
        <v>90</v>
      </c>
      <c r="L850" s="94">
        <v>2</v>
      </c>
      <c r="M850" s="94">
        <v>86</v>
      </c>
      <c r="N850" s="94">
        <v>2</v>
      </c>
      <c r="O850" s="94">
        <v>72</v>
      </c>
      <c r="P850" s="94">
        <v>2</v>
      </c>
      <c r="Q850">
        <v>92</v>
      </c>
      <c r="R850">
        <v>2</v>
      </c>
      <c r="S850">
        <v>84</v>
      </c>
      <c r="T850">
        <v>2</v>
      </c>
      <c r="U850">
        <v>77</v>
      </c>
      <c r="V850">
        <v>2</v>
      </c>
      <c r="W850">
        <v>80</v>
      </c>
      <c r="X850">
        <v>2</v>
      </c>
      <c r="Y850">
        <v>78</v>
      </c>
      <c r="Z850">
        <v>1</v>
      </c>
      <c r="AA850">
        <v>93</v>
      </c>
      <c r="AB850">
        <v>1</v>
      </c>
      <c r="AC850">
        <v>88</v>
      </c>
      <c r="AD850">
        <v>1</v>
      </c>
      <c r="AE850">
        <v>86</v>
      </c>
      <c r="AF850">
        <v>2</v>
      </c>
      <c r="AG850">
        <v>87</v>
      </c>
      <c r="AH850">
        <v>2</v>
      </c>
    </row>
    <row r="851" spans="1:34">
      <c r="A851" t="s">
        <v>2599</v>
      </c>
      <c r="B851" s="24">
        <v>1816</v>
      </c>
      <c r="C851" s="24" t="s">
        <v>2600</v>
      </c>
      <c r="D851" s="24" t="s">
        <v>2601</v>
      </c>
      <c r="E851" s="93">
        <v>90.3333333333333</v>
      </c>
      <c r="F851" s="94">
        <v>4</v>
      </c>
      <c r="G851" s="94">
        <v>90</v>
      </c>
      <c r="H851" s="94">
        <v>4</v>
      </c>
      <c r="I851" s="94">
        <v>93</v>
      </c>
      <c r="J851" s="94">
        <v>4</v>
      </c>
      <c r="K851" s="94">
        <v>86</v>
      </c>
      <c r="L851" s="94">
        <v>2</v>
      </c>
      <c r="M851" s="94">
        <v>88</v>
      </c>
      <c r="N851" s="94">
        <v>2</v>
      </c>
      <c r="O851" s="94">
        <v>85</v>
      </c>
      <c r="P851" s="94">
        <v>2</v>
      </c>
      <c r="Q851">
        <v>80</v>
      </c>
      <c r="R851">
        <v>2</v>
      </c>
      <c r="S851">
        <v>85</v>
      </c>
      <c r="T851">
        <v>2</v>
      </c>
      <c r="U851">
        <v>82</v>
      </c>
      <c r="V851">
        <v>2</v>
      </c>
      <c r="W851">
        <v>84</v>
      </c>
      <c r="X851">
        <v>2</v>
      </c>
      <c r="Y851">
        <v>74</v>
      </c>
      <c r="Z851">
        <v>1</v>
      </c>
      <c r="AA851">
        <v>93</v>
      </c>
      <c r="AB851">
        <v>1</v>
      </c>
      <c r="AC851">
        <v>85</v>
      </c>
      <c r="AD851">
        <v>1</v>
      </c>
      <c r="AE851">
        <v>84</v>
      </c>
      <c r="AF851">
        <v>2</v>
      </c>
      <c r="AG851">
        <v>82</v>
      </c>
      <c r="AH851">
        <v>2</v>
      </c>
    </row>
    <row r="852" spans="1:34">
      <c r="B852" s="24">
        <v>1816</v>
      </c>
      <c r="C852" s="24" t="s">
        <v>3332</v>
      </c>
      <c r="J852" s="94">
        <v>4</v>
      </c>
      <c r="L852" s="94">
        <v>2</v>
      </c>
      <c r="M852" s="94">
        <v>68</v>
      </c>
      <c r="N852" s="94">
        <v>2</v>
      </c>
      <c r="Z852">
        <v>1</v>
      </c>
      <c r="AB852">
        <v>1</v>
      </c>
    </row>
    <row r="853" spans="1:34">
      <c r="A853" t="s">
        <v>2604</v>
      </c>
      <c r="B853" s="24">
        <v>1816</v>
      </c>
      <c r="C853" s="24" t="s">
        <v>2605</v>
      </c>
      <c r="D853" s="24" t="s">
        <v>2606</v>
      </c>
      <c r="E853" s="93">
        <v>84.6666666666667</v>
      </c>
      <c r="F853" s="94">
        <v>4</v>
      </c>
      <c r="G853" s="94">
        <v>92</v>
      </c>
      <c r="H853" s="94">
        <v>4</v>
      </c>
      <c r="I853" s="94">
        <v>92</v>
      </c>
      <c r="J853" s="94">
        <v>4</v>
      </c>
      <c r="K853" s="94">
        <v>96</v>
      </c>
      <c r="L853" s="94">
        <v>2</v>
      </c>
      <c r="M853" s="94">
        <v>93</v>
      </c>
      <c r="N853" s="94">
        <v>2</v>
      </c>
      <c r="O853" s="94">
        <v>86</v>
      </c>
      <c r="P853" s="94">
        <v>2</v>
      </c>
      <c r="Q853">
        <v>86</v>
      </c>
      <c r="R853">
        <v>2</v>
      </c>
      <c r="S853">
        <v>80</v>
      </c>
      <c r="T853">
        <v>2</v>
      </c>
      <c r="U853">
        <v>81</v>
      </c>
      <c r="V853">
        <v>2</v>
      </c>
      <c r="W853">
        <v>89</v>
      </c>
      <c r="X853">
        <v>2</v>
      </c>
      <c r="Y853">
        <v>76</v>
      </c>
      <c r="Z853">
        <v>1</v>
      </c>
      <c r="AA853">
        <v>93</v>
      </c>
      <c r="AB853">
        <v>1</v>
      </c>
      <c r="AC853">
        <v>76</v>
      </c>
      <c r="AD853">
        <v>1</v>
      </c>
      <c r="AE853">
        <v>86</v>
      </c>
      <c r="AF853">
        <v>2</v>
      </c>
      <c r="AG853">
        <v>85</v>
      </c>
      <c r="AH853">
        <v>2</v>
      </c>
    </row>
    <row r="854" spans="1:34">
      <c r="A854" t="s">
        <v>2607</v>
      </c>
      <c r="B854" s="24">
        <v>1816</v>
      </c>
      <c r="C854" s="24" t="s">
        <v>2608</v>
      </c>
      <c r="D854" s="24" t="s">
        <v>2609</v>
      </c>
      <c r="E854" s="93">
        <v>80.6666666666667</v>
      </c>
      <c r="F854" s="94">
        <v>4</v>
      </c>
      <c r="G854" s="94">
        <v>81</v>
      </c>
      <c r="H854" s="94">
        <v>4</v>
      </c>
      <c r="I854" s="94">
        <v>93</v>
      </c>
      <c r="J854" s="94">
        <v>4</v>
      </c>
      <c r="K854" s="94">
        <v>84</v>
      </c>
      <c r="L854" s="94">
        <v>2</v>
      </c>
      <c r="M854" s="94">
        <v>68</v>
      </c>
      <c r="N854" s="94">
        <v>2</v>
      </c>
      <c r="O854" s="94">
        <v>70</v>
      </c>
      <c r="P854" s="94">
        <v>2</v>
      </c>
      <c r="Q854">
        <v>82</v>
      </c>
      <c r="R854">
        <v>2</v>
      </c>
      <c r="S854">
        <v>81</v>
      </c>
      <c r="T854">
        <v>2</v>
      </c>
      <c r="U854">
        <v>85</v>
      </c>
      <c r="V854">
        <v>2</v>
      </c>
      <c r="W854">
        <v>84</v>
      </c>
      <c r="X854">
        <v>2</v>
      </c>
      <c r="Y854">
        <v>75</v>
      </c>
      <c r="Z854">
        <v>1</v>
      </c>
      <c r="AA854">
        <v>93</v>
      </c>
      <c r="AB854">
        <v>1</v>
      </c>
      <c r="AC854">
        <v>78</v>
      </c>
      <c r="AD854">
        <v>1</v>
      </c>
      <c r="AE854">
        <v>89</v>
      </c>
      <c r="AF854">
        <v>2</v>
      </c>
      <c r="AG854">
        <v>80</v>
      </c>
      <c r="AH854">
        <v>2</v>
      </c>
    </row>
    <row r="855" spans="1:34">
      <c r="A855" t="s">
        <v>2610</v>
      </c>
      <c r="B855" s="24">
        <v>1816</v>
      </c>
      <c r="C855" s="24" t="s">
        <v>2611</v>
      </c>
      <c r="D855" s="24" t="s">
        <v>2612</v>
      </c>
      <c r="E855" s="93">
        <v>92</v>
      </c>
      <c r="F855" s="94">
        <v>4</v>
      </c>
      <c r="G855" s="94">
        <v>86</v>
      </c>
      <c r="H855" s="94">
        <v>4</v>
      </c>
      <c r="I855" s="94">
        <v>93</v>
      </c>
      <c r="J855" s="94">
        <v>4</v>
      </c>
      <c r="K855" s="94">
        <v>88</v>
      </c>
      <c r="L855" s="94">
        <v>2</v>
      </c>
      <c r="M855" s="94">
        <v>75</v>
      </c>
      <c r="N855" s="94">
        <v>2</v>
      </c>
      <c r="O855" s="94">
        <v>83</v>
      </c>
      <c r="P855" s="94">
        <v>2</v>
      </c>
      <c r="Q855">
        <v>100</v>
      </c>
      <c r="R855">
        <v>2</v>
      </c>
      <c r="S855">
        <v>82</v>
      </c>
      <c r="T855">
        <v>2</v>
      </c>
      <c r="U855">
        <v>82</v>
      </c>
      <c r="V855">
        <v>2</v>
      </c>
      <c r="W855">
        <v>85</v>
      </c>
      <c r="X855">
        <v>2</v>
      </c>
      <c r="Y855">
        <v>76</v>
      </c>
      <c r="Z855">
        <v>1</v>
      </c>
      <c r="AA855">
        <v>93</v>
      </c>
      <c r="AB855">
        <v>1</v>
      </c>
      <c r="AC855">
        <v>86</v>
      </c>
      <c r="AD855">
        <v>1</v>
      </c>
      <c r="AE855">
        <v>82</v>
      </c>
      <c r="AF855">
        <v>2</v>
      </c>
      <c r="AG855">
        <v>86</v>
      </c>
      <c r="AH855">
        <v>2</v>
      </c>
    </row>
    <row r="856" spans="1:34">
      <c r="A856" t="s">
        <v>2613</v>
      </c>
      <c r="B856" s="24">
        <v>1816</v>
      </c>
      <c r="C856" s="24" t="s">
        <v>2614</v>
      </c>
      <c r="D856" s="24" t="s">
        <v>2615</v>
      </c>
      <c r="E856" s="93">
        <v>88</v>
      </c>
      <c r="F856" s="94">
        <v>4</v>
      </c>
      <c r="G856" s="94">
        <v>90</v>
      </c>
      <c r="H856" s="94">
        <v>4</v>
      </c>
      <c r="I856" s="94">
        <v>88</v>
      </c>
      <c r="J856" s="94">
        <v>4</v>
      </c>
      <c r="K856" s="94">
        <v>85</v>
      </c>
      <c r="L856" s="94">
        <v>2</v>
      </c>
      <c r="M856" s="94">
        <v>82</v>
      </c>
      <c r="N856" s="94">
        <v>2</v>
      </c>
      <c r="O856" s="94">
        <v>71</v>
      </c>
      <c r="P856" s="94">
        <v>2</v>
      </c>
      <c r="Q856">
        <v>69</v>
      </c>
      <c r="R856">
        <v>2</v>
      </c>
      <c r="S856">
        <v>83</v>
      </c>
      <c r="T856">
        <v>2</v>
      </c>
      <c r="U856">
        <v>78</v>
      </c>
      <c r="V856">
        <v>2</v>
      </c>
      <c r="W856">
        <v>81</v>
      </c>
      <c r="X856">
        <v>2</v>
      </c>
      <c r="Y856">
        <v>71</v>
      </c>
      <c r="Z856">
        <v>1</v>
      </c>
      <c r="AA856">
        <v>93</v>
      </c>
      <c r="AB856">
        <v>1</v>
      </c>
      <c r="AC856">
        <v>73</v>
      </c>
      <c r="AD856">
        <v>1</v>
      </c>
      <c r="AE856">
        <v>50</v>
      </c>
      <c r="AF856">
        <v>1</v>
      </c>
      <c r="AG856">
        <v>90</v>
      </c>
      <c r="AH856">
        <v>2</v>
      </c>
    </row>
    <row r="857" spans="1:34">
      <c r="A857" t="s">
        <v>2616</v>
      </c>
      <c r="B857" s="24">
        <v>1816</v>
      </c>
      <c r="C857" s="24" t="s">
        <v>2617</v>
      </c>
      <c r="D857" s="24" t="s">
        <v>2618</v>
      </c>
      <c r="E857" s="93">
        <v>76.6666666666667</v>
      </c>
      <c r="F857" s="94">
        <v>4</v>
      </c>
      <c r="G857" s="94">
        <v>84</v>
      </c>
      <c r="H857" s="94">
        <v>4</v>
      </c>
      <c r="I857" s="94">
        <v>85</v>
      </c>
      <c r="J857" s="94">
        <v>4</v>
      </c>
      <c r="K857" s="94">
        <v>83</v>
      </c>
      <c r="L857" s="94">
        <v>2</v>
      </c>
      <c r="M857" s="94">
        <v>63</v>
      </c>
      <c r="N857" s="94">
        <v>2</v>
      </c>
      <c r="O857" s="94">
        <v>70</v>
      </c>
      <c r="P857" s="94">
        <v>2</v>
      </c>
      <c r="Q857">
        <v>89</v>
      </c>
      <c r="R857">
        <v>2</v>
      </c>
      <c r="S857">
        <v>84</v>
      </c>
      <c r="T857">
        <v>2</v>
      </c>
      <c r="U857">
        <v>70</v>
      </c>
      <c r="V857">
        <v>2</v>
      </c>
      <c r="W857">
        <v>84</v>
      </c>
      <c r="X857">
        <v>2</v>
      </c>
      <c r="Y857">
        <v>73</v>
      </c>
      <c r="Z857">
        <v>1</v>
      </c>
      <c r="AA857">
        <v>93</v>
      </c>
      <c r="AB857">
        <v>1</v>
      </c>
      <c r="AC857">
        <v>75</v>
      </c>
      <c r="AD857">
        <v>1</v>
      </c>
      <c r="AE857">
        <v>82</v>
      </c>
      <c r="AF857">
        <v>2</v>
      </c>
      <c r="AG857">
        <v>85</v>
      </c>
      <c r="AH857">
        <v>2</v>
      </c>
    </row>
    <row r="858" spans="1:34">
      <c r="A858" t="s">
        <v>2619</v>
      </c>
      <c r="B858" s="24">
        <v>1816</v>
      </c>
      <c r="C858" s="24" t="s">
        <v>2620</v>
      </c>
      <c r="D858" s="24" t="s">
        <v>2621</v>
      </c>
      <c r="E858" s="93">
        <v>90</v>
      </c>
      <c r="F858" s="94">
        <v>4</v>
      </c>
      <c r="G858" s="94">
        <v>88</v>
      </c>
      <c r="H858" s="94">
        <v>4</v>
      </c>
      <c r="I858" s="94">
        <v>90</v>
      </c>
      <c r="J858" s="94">
        <v>4</v>
      </c>
      <c r="K858" s="94">
        <v>84</v>
      </c>
      <c r="L858" s="94">
        <v>2</v>
      </c>
      <c r="M858" s="94">
        <v>75</v>
      </c>
      <c r="N858" s="94">
        <v>2</v>
      </c>
      <c r="O858" s="94">
        <v>70</v>
      </c>
      <c r="P858" s="94">
        <v>2</v>
      </c>
      <c r="Q858">
        <v>91</v>
      </c>
      <c r="R858">
        <v>2</v>
      </c>
      <c r="S858">
        <v>85</v>
      </c>
      <c r="T858">
        <v>2</v>
      </c>
      <c r="U858">
        <v>70</v>
      </c>
      <c r="V858">
        <v>2</v>
      </c>
      <c r="W858">
        <v>83</v>
      </c>
      <c r="X858">
        <v>2</v>
      </c>
      <c r="Y858">
        <v>80</v>
      </c>
      <c r="Z858">
        <v>1</v>
      </c>
      <c r="AA858">
        <v>93</v>
      </c>
      <c r="AB858">
        <v>1</v>
      </c>
      <c r="AC858">
        <v>65</v>
      </c>
      <c r="AD858">
        <v>1</v>
      </c>
      <c r="AE858">
        <v>86</v>
      </c>
      <c r="AF858">
        <v>2</v>
      </c>
      <c r="AG858">
        <v>80</v>
      </c>
      <c r="AH858">
        <v>2</v>
      </c>
    </row>
    <row r="859" spans="1:34">
      <c r="A859" t="s">
        <v>2622</v>
      </c>
      <c r="B859" s="24">
        <v>1816</v>
      </c>
      <c r="C859" s="24" t="s">
        <v>2623</v>
      </c>
      <c r="D859" s="24" t="s">
        <v>2624</v>
      </c>
      <c r="E859" s="93">
        <v>85</v>
      </c>
      <c r="F859" s="94">
        <v>4</v>
      </c>
      <c r="G859" s="94">
        <v>78</v>
      </c>
      <c r="H859" s="94">
        <v>4</v>
      </c>
      <c r="I859" s="94">
        <v>92</v>
      </c>
      <c r="J859" s="94">
        <v>4</v>
      </c>
      <c r="K859" s="94">
        <v>83</v>
      </c>
      <c r="L859" s="94">
        <v>2</v>
      </c>
      <c r="M859" s="94">
        <v>68</v>
      </c>
      <c r="N859" s="94">
        <v>2</v>
      </c>
      <c r="O859" s="94">
        <v>70</v>
      </c>
      <c r="P859" s="94">
        <v>2</v>
      </c>
      <c r="Q859">
        <v>87</v>
      </c>
      <c r="R859">
        <v>2</v>
      </c>
      <c r="S859">
        <v>86</v>
      </c>
      <c r="T859">
        <v>2</v>
      </c>
      <c r="U859">
        <v>70</v>
      </c>
      <c r="V859">
        <v>2</v>
      </c>
      <c r="W859">
        <v>80</v>
      </c>
      <c r="X859">
        <v>2</v>
      </c>
      <c r="Y859">
        <v>76</v>
      </c>
      <c r="Z859">
        <v>1</v>
      </c>
      <c r="AA859">
        <v>93</v>
      </c>
      <c r="AB859">
        <v>1</v>
      </c>
      <c r="AC859">
        <v>78</v>
      </c>
      <c r="AD859">
        <v>1</v>
      </c>
      <c r="AE859">
        <v>50</v>
      </c>
      <c r="AF859">
        <v>1</v>
      </c>
      <c r="AG859">
        <v>80</v>
      </c>
      <c r="AH859">
        <v>2</v>
      </c>
    </row>
    <row r="860" spans="1:34">
      <c r="A860" t="s">
        <v>1579</v>
      </c>
      <c r="B860" s="24">
        <v>1816</v>
      </c>
      <c r="C860" s="24" t="s">
        <v>2626</v>
      </c>
      <c r="D860" s="24" t="s">
        <v>162</v>
      </c>
      <c r="E860" s="93">
        <v>95.6666666666667</v>
      </c>
      <c r="F860" s="94">
        <v>4</v>
      </c>
      <c r="G860" s="94">
        <v>96</v>
      </c>
      <c r="H860" s="94">
        <v>4</v>
      </c>
      <c r="I860" s="94">
        <v>92</v>
      </c>
      <c r="J860" s="94">
        <v>4</v>
      </c>
      <c r="K860" s="94">
        <v>83</v>
      </c>
      <c r="L860" s="94">
        <v>2</v>
      </c>
      <c r="M860" s="94">
        <v>93</v>
      </c>
      <c r="N860" s="94">
        <v>2</v>
      </c>
      <c r="O860" s="94">
        <v>99</v>
      </c>
      <c r="P860" s="94">
        <v>2</v>
      </c>
      <c r="Q860">
        <v>96</v>
      </c>
      <c r="R860">
        <v>2</v>
      </c>
      <c r="S860">
        <v>90</v>
      </c>
      <c r="T860">
        <v>2</v>
      </c>
      <c r="U860">
        <v>79</v>
      </c>
      <c r="V860">
        <v>2</v>
      </c>
      <c r="W860">
        <v>93</v>
      </c>
      <c r="X860">
        <v>2</v>
      </c>
      <c r="Y860">
        <v>77</v>
      </c>
      <c r="Z860">
        <v>1</v>
      </c>
      <c r="AA860">
        <v>93</v>
      </c>
      <c r="AB860">
        <v>1</v>
      </c>
      <c r="AC860">
        <v>86</v>
      </c>
      <c r="AD860">
        <v>1</v>
      </c>
      <c r="AE860">
        <v>87</v>
      </c>
      <c r="AF860">
        <v>2</v>
      </c>
      <c r="AG860">
        <v>87</v>
      </c>
      <c r="AH860">
        <v>2</v>
      </c>
    </row>
    <row r="861" spans="1:34">
      <c r="A861" t="s">
        <v>2627</v>
      </c>
      <c r="B861" s="24">
        <v>1816</v>
      </c>
      <c r="C861" s="24" t="s">
        <v>2628</v>
      </c>
      <c r="D861" s="24" t="s">
        <v>2629</v>
      </c>
      <c r="E861" s="93">
        <v>82</v>
      </c>
      <c r="F861" s="94">
        <v>4</v>
      </c>
      <c r="G861" s="94">
        <v>82</v>
      </c>
      <c r="H861" s="94">
        <v>4</v>
      </c>
      <c r="I861" s="94">
        <v>85</v>
      </c>
      <c r="J861" s="94">
        <v>4</v>
      </c>
      <c r="K861" s="94">
        <v>83</v>
      </c>
      <c r="L861" s="94">
        <v>2</v>
      </c>
      <c r="M861" s="94">
        <v>65</v>
      </c>
      <c r="N861" s="94">
        <v>2</v>
      </c>
      <c r="O861" s="94">
        <v>70</v>
      </c>
      <c r="P861" s="94">
        <v>2</v>
      </c>
      <c r="Q861">
        <v>94</v>
      </c>
      <c r="R861">
        <v>2</v>
      </c>
      <c r="S861">
        <v>85</v>
      </c>
      <c r="T861">
        <v>2</v>
      </c>
      <c r="U861">
        <v>70</v>
      </c>
      <c r="V861">
        <v>2</v>
      </c>
      <c r="W861">
        <v>81</v>
      </c>
      <c r="X861">
        <v>2</v>
      </c>
      <c r="Y861">
        <v>68</v>
      </c>
      <c r="Z861">
        <v>1</v>
      </c>
      <c r="AA861">
        <v>93</v>
      </c>
      <c r="AB861">
        <v>1</v>
      </c>
      <c r="AC861">
        <v>60</v>
      </c>
      <c r="AD861">
        <v>1</v>
      </c>
      <c r="AE861">
        <v>88</v>
      </c>
      <c r="AF861">
        <v>2</v>
      </c>
      <c r="AG861">
        <v>88</v>
      </c>
      <c r="AH861">
        <v>2</v>
      </c>
    </row>
    <row r="862" spans="1:34">
      <c r="A862" t="s">
        <v>2630</v>
      </c>
      <c r="B862" s="24">
        <v>1816</v>
      </c>
      <c r="C862" s="24" t="s">
        <v>2631</v>
      </c>
      <c r="D862" s="24" t="s">
        <v>105</v>
      </c>
      <c r="E862" s="93">
        <v>98.6666666666667</v>
      </c>
      <c r="F862" s="94">
        <v>4</v>
      </c>
      <c r="G862" s="94">
        <v>95</v>
      </c>
      <c r="H862" s="94">
        <v>4</v>
      </c>
      <c r="I862" s="94">
        <v>95</v>
      </c>
      <c r="J862" s="94">
        <v>4</v>
      </c>
      <c r="K862" s="94">
        <v>98</v>
      </c>
      <c r="L862" s="94">
        <v>2</v>
      </c>
      <c r="M862" s="94">
        <v>96</v>
      </c>
      <c r="N862" s="94">
        <v>2</v>
      </c>
      <c r="O862" s="94">
        <v>93</v>
      </c>
      <c r="P862" s="94">
        <v>2</v>
      </c>
      <c r="Q862">
        <v>90</v>
      </c>
      <c r="R862">
        <v>2</v>
      </c>
      <c r="S862">
        <v>90</v>
      </c>
      <c r="T862">
        <v>2</v>
      </c>
      <c r="U862">
        <v>90</v>
      </c>
      <c r="V862">
        <v>2</v>
      </c>
      <c r="W862">
        <v>80</v>
      </c>
      <c r="X862">
        <v>2</v>
      </c>
      <c r="Y862">
        <v>60</v>
      </c>
      <c r="Z862">
        <v>1</v>
      </c>
      <c r="AA862">
        <v>93</v>
      </c>
      <c r="AB862">
        <v>1</v>
      </c>
      <c r="AC862">
        <v>72</v>
      </c>
      <c r="AD862">
        <v>1</v>
      </c>
      <c r="AE862">
        <v>83</v>
      </c>
      <c r="AF862">
        <v>2</v>
      </c>
      <c r="AG862">
        <v>89</v>
      </c>
      <c r="AH862">
        <v>2</v>
      </c>
    </row>
    <row r="863" spans="1:34">
      <c r="A863" t="s">
        <v>2632</v>
      </c>
      <c r="B863" s="24">
        <v>1816</v>
      </c>
      <c r="C863" s="24" t="s">
        <v>2633</v>
      </c>
      <c r="D863" s="24" t="s">
        <v>2634</v>
      </c>
      <c r="E863" s="93">
        <v>91.6666666666667</v>
      </c>
      <c r="F863" s="94">
        <v>4</v>
      </c>
      <c r="G863" s="94">
        <v>81</v>
      </c>
      <c r="H863" s="94">
        <v>4</v>
      </c>
      <c r="I863" s="94">
        <v>85</v>
      </c>
      <c r="J863" s="94">
        <v>4</v>
      </c>
      <c r="K863" s="94">
        <v>83</v>
      </c>
      <c r="L863" s="94">
        <v>2</v>
      </c>
      <c r="M863" s="94">
        <v>76</v>
      </c>
      <c r="N863" s="94">
        <v>2</v>
      </c>
      <c r="O863" s="94">
        <v>78</v>
      </c>
      <c r="P863" s="94">
        <v>2</v>
      </c>
      <c r="Q863">
        <v>93</v>
      </c>
      <c r="R863">
        <v>2</v>
      </c>
      <c r="S863">
        <v>80</v>
      </c>
      <c r="T863">
        <v>2</v>
      </c>
      <c r="U863">
        <v>72</v>
      </c>
      <c r="V863">
        <v>2</v>
      </c>
      <c r="W863">
        <v>82</v>
      </c>
      <c r="X863">
        <v>2</v>
      </c>
      <c r="Y863">
        <v>73</v>
      </c>
      <c r="Z863">
        <v>1</v>
      </c>
      <c r="AA863">
        <v>93</v>
      </c>
      <c r="AB863">
        <v>1</v>
      </c>
      <c r="AC863">
        <v>76</v>
      </c>
      <c r="AD863">
        <v>1</v>
      </c>
      <c r="AE863">
        <v>84</v>
      </c>
      <c r="AF863">
        <v>2</v>
      </c>
      <c r="AG863">
        <v>88</v>
      </c>
      <c r="AH863">
        <v>2</v>
      </c>
    </row>
    <row r="864" spans="1:34">
      <c r="A864" t="s">
        <v>2635</v>
      </c>
      <c r="B864" s="24">
        <v>1816</v>
      </c>
      <c r="C864" s="24" t="s">
        <v>2636</v>
      </c>
      <c r="D864" s="24" t="s">
        <v>50</v>
      </c>
      <c r="E864" s="93">
        <v>80</v>
      </c>
      <c r="F864" s="94">
        <v>4</v>
      </c>
      <c r="G864" s="94">
        <v>82</v>
      </c>
      <c r="H864" s="94">
        <v>4</v>
      </c>
      <c r="I864" s="94">
        <v>82</v>
      </c>
      <c r="J864" s="94">
        <v>4</v>
      </c>
      <c r="K864" s="94">
        <v>98</v>
      </c>
      <c r="L864" s="94">
        <v>2</v>
      </c>
      <c r="M864" s="94">
        <v>88</v>
      </c>
      <c r="N864" s="94">
        <v>2</v>
      </c>
      <c r="O864" s="94">
        <v>98</v>
      </c>
      <c r="P864" s="94">
        <v>2</v>
      </c>
      <c r="Q864">
        <v>57</v>
      </c>
      <c r="R864">
        <v>2</v>
      </c>
      <c r="S864">
        <v>81</v>
      </c>
      <c r="T864">
        <v>2</v>
      </c>
      <c r="U864">
        <v>80</v>
      </c>
      <c r="V864">
        <v>2</v>
      </c>
      <c r="W864">
        <v>82</v>
      </c>
      <c r="X864">
        <v>2</v>
      </c>
      <c r="Y864">
        <v>67</v>
      </c>
      <c r="Z864">
        <v>1</v>
      </c>
      <c r="AA864">
        <v>93</v>
      </c>
      <c r="AB864">
        <v>1</v>
      </c>
      <c r="AC864">
        <v>70</v>
      </c>
      <c r="AD864">
        <v>1</v>
      </c>
      <c r="AE864">
        <v>87</v>
      </c>
      <c r="AF864">
        <v>2</v>
      </c>
      <c r="AG864">
        <v>89</v>
      </c>
      <c r="AH864">
        <v>2</v>
      </c>
    </row>
    <row r="865" spans="1:34">
      <c r="A865" t="s">
        <v>2637</v>
      </c>
      <c r="B865" s="24">
        <v>1816</v>
      </c>
      <c r="C865" s="24" t="s">
        <v>2638</v>
      </c>
      <c r="D865" s="24" t="s">
        <v>2639</v>
      </c>
      <c r="E865" s="93">
        <v>83.6666666666667</v>
      </c>
      <c r="F865" s="94">
        <v>4</v>
      </c>
      <c r="G865" s="94">
        <v>82</v>
      </c>
      <c r="H865" s="94">
        <v>4</v>
      </c>
      <c r="I865" s="94">
        <v>88</v>
      </c>
      <c r="J865" s="94">
        <v>4</v>
      </c>
      <c r="K865" s="94">
        <v>83</v>
      </c>
      <c r="L865" s="94">
        <v>2</v>
      </c>
      <c r="M865" s="94">
        <v>61</v>
      </c>
      <c r="N865" s="94">
        <v>2</v>
      </c>
      <c r="O865" s="94">
        <v>70</v>
      </c>
      <c r="P865" s="94">
        <v>2</v>
      </c>
      <c r="Q865">
        <v>77</v>
      </c>
      <c r="R865">
        <v>2</v>
      </c>
      <c r="S865">
        <v>82</v>
      </c>
      <c r="T865">
        <v>2</v>
      </c>
      <c r="U865">
        <v>70</v>
      </c>
      <c r="V865">
        <v>2</v>
      </c>
      <c r="W865">
        <v>85</v>
      </c>
      <c r="X865">
        <v>2</v>
      </c>
      <c r="Y865">
        <v>65</v>
      </c>
      <c r="Z865">
        <v>1</v>
      </c>
      <c r="AA865">
        <v>93</v>
      </c>
      <c r="AB865">
        <v>1</v>
      </c>
      <c r="AC865">
        <v>65</v>
      </c>
      <c r="AD865">
        <v>1</v>
      </c>
      <c r="AE865">
        <v>84</v>
      </c>
      <c r="AF865">
        <v>2</v>
      </c>
      <c r="AG865">
        <v>90</v>
      </c>
      <c r="AH865">
        <v>2</v>
      </c>
    </row>
    <row r="866" spans="1:34">
      <c r="A866" t="s">
        <v>2640</v>
      </c>
      <c r="B866" s="24">
        <v>1816</v>
      </c>
      <c r="C866" s="24" t="s">
        <v>2641</v>
      </c>
      <c r="D866" s="24" t="s">
        <v>2642</v>
      </c>
      <c r="E866" s="93">
        <v>87.6666666666667</v>
      </c>
      <c r="F866" s="94">
        <v>4</v>
      </c>
      <c r="G866" s="94">
        <v>88</v>
      </c>
      <c r="H866" s="94">
        <v>4</v>
      </c>
      <c r="I866" s="94">
        <v>87</v>
      </c>
      <c r="J866" s="94">
        <v>4</v>
      </c>
      <c r="K866" s="94">
        <v>83</v>
      </c>
      <c r="L866" s="94">
        <v>2</v>
      </c>
      <c r="M866" s="94">
        <v>89</v>
      </c>
      <c r="N866" s="94">
        <v>2</v>
      </c>
      <c r="O866" s="94">
        <v>77</v>
      </c>
      <c r="P866" s="94">
        <v>2</v>
      </c>
      <c r="Q866">
        <v>100</v>
      </c>
      <c r="R866">
        <v>2</v>
      </c>
      <c r="S866">
        <v>83</v>
      </c>
      <c r="T866">
        <v>2</v>
      </c>
      <c r="U866">
        <v>81</v>
      </c>
      <c r="V866">
        <v>2</v>
      </c>
      <c r="W866">
        <v>89</v>
      </c>
      <c r="X866">
        <v>2</v>
      </c>
      <c r="Y866">
        <v>70</v>
      </c>
      <c r="Z866">
        <v>1</v>
      </c>
      <c r="AA866">
        <v>93</v>
      </c>
      <c r="AB866">
        <v>1</v>
      </c>
      <c r="AC866">
        <v>72</v>
      </c>
      <c r="AD866">
        <v>1</v>
      </c>
      <c r="AE866">
        <v>87</v>
      </c>
      <c r="AF866">
        <v>2</v>
      </c>
      <c r="AG866">
        <v>90</v>
      </c>
      <c r="AH866">
        <v>2</v>
      </c>
    </row>
    <row r="867" spans="1:34">
      <c r="A867" t="s">
        <v>2643</v>
      </c>
      <c r="B867" s="24">
        <v>1816</v>
      </c>
      <c r="C867" s="24" t="s">
        <v>2644</v>
      </c>
      <c r="D867" s="24" t="s">
        <v>2645</v>
      </c>
      <c r="E867" s="93">
        <v>90.6666666666667</v>
      </c>
      <c r="F867" s="94">
        <v>4</v>
      </c>
      <c r="G867" s="94">
        <v>88</v>
      </c>
      <c r="H867" s="94">
        <v>4</v>
      </c>
      <c r="I867" s="94">
        <v>92</v>
      </c>
      <c r="J867" s="94">
        <v>4</v>
      </c>
      <c r="K867" s="94">
        <v>88</v>
      </c>
      <c r="L867" s="94">
        <v>2</v>
      </c>
      <c r="M867" s="94">
        <v>96</v>
      </c>
      <c r="N867" s="94">
        <v>2</v>
      </c>
      <c r="O867" s="94">
        <v>73</v>
      </c>
      <c r="P867" s="94">
        <v>2</v>
      </c>
      <c r="Q867">
        <v>80</v>
      </c>
      <c r="R867">
        <v>2</v>
      </c>
      <c r="S867">
        <v>84</v>
      </c>
      <c r="T867">
        <v>2</v>
      </c>
      <c r="U867">
        <v>85</v>
      </c>
      <c r="V867">
        <v>2</v>
      </c>
      <c r="W867">
        <v>82</v>
      </c>
      <c r="X867">
        <v>2</v>
      </c>
      <c r="Y867">
        <v>78</v>
      </c>
      <c r="Z867">
        <v>1</v>
      </c>
      <c r="AA867">
        <v>93</v>
      </c>
      <c r="AB867">
        <v>1</v>
      </c>
      <c r="AC867">
        <v>80</v>
      </c>
      <c r="AD867">
        <v>1</v>
      </c>
      <c r="AE867">
        <v>82</v>
      </c>
      <c r="AF867">
        <v>2</v>
      </c>
      <c r="AG867">
        <v>88</v>
      </c>
      <c r="AH867">
        <v>2</v>
      </c>
    </row>
    <row r="868" spans="1:34">
      <c r="A868" t="s">
        <v>2646</v>
      </c>
      <c r="B868" s="24">
        <v>1816</v>
      </c>
      <c r="C868" s="24" t="s">
        <v>2647</v>
      </c>
      <c r="D868" s="24" t="s">
        <v>2648</v>
      </c>
      <c r="E868" s="93">
        <v>83.3333333333333</v>
      </c>
      <c r="F868" s="94">
        <v>4</v>
      </c>
      <c r="G868" s="94">
        <v>95</v>
      </c>
      <c r="H868" s="94">
        <v>4</v>
      </c>
      <c r="I868" s="94">
        <v>88</v>
      </c>
      <c r="J868" s="94">
        <v>4</v>
      </c>
      <c r="K868" s="94">
        <v>86</v>
      </c>
      <c r="L868" s="94">
        <v>2</v>
      </c>
      <c r="M868" s="94">
        <v>85</v>
      </c>
      <c r="N868" s="94">
        <v>2</v>
      </c>
      <c r="O868" s="94">
        <v>76</v>
      </c>
      <c r="P868" s="94">
        <v>2</v>
      </c>
      <c r="Q868">
        <v>80</v>
      </c>
      <c r="R868">
        <v>2</v>
      </c>
      <c r="S868">
        <v>80</v>
      </c>
      <c r="T868">
        <v>2</v>
      </c>
      <c r="U868">
        <v>79</v>
      </c>
      <c r="V868">
        <v>2</v>
      </c>
      <c r="W868">
        <v>85</v>
      </c>
      <c r="X868">
        <v>2</v>
      </c>
      <c r="Y868">
        <v>76</v>
      </c>
      <c r="Z868">
        <v>1</v>
      </c>
      <c r="AA868">
        <v>93</v>
      </c>
      <c r="AB868">
        <v>1</v>
      </c>
      <c r="AC868">
        <v>72</v>
      </c>
      <c r="AD868">
        <v>1</v>
      </c>
      <c r="AE868">
        <v>85</v>
      </c>
      <c r="AF868">
        <v>2</v>
      </c>
      <c r="AG868">
        <v>89</v>
      </c>
      <c r="AH868">
        <v>2</v>
      </c>
    </row>
    <row r="869" spans="1:34">
      <c r="A869" t="s">
        <v>2649</v>
      </c>
      <c r="B869" s="24">
        <v>1816</v>
      </c>
      <c r="C869" s="24" t="s">
        <v>2650</v>
      </c>
      <c r="D869" s="24" t="s">
        <v>2651</v>
      </c>
      <c r="E869" s="93">
        <v>73.3333333333333</v>
      </c>
      <c r="F869" s="94">
        <v>4</v>
      </c>
      <c r="G869" s="94">
        <v>78</v>
      </c>
      <c r="H869" s="94">
        <v>4</v>
      </c>
      <c r="I869" s="94">
        <v>83</v>
      </c>
      <c r="J869" s="94">
        <v>4</v>
      </c>
      <c r="K869" s="94">
        <v>83</v>
      </c>
      <c r="L869" s="94">
        <v>2</v>
      </c>
      <c r="M869" s="94">
        <v>62</v>
      </c>
      <c r="N869" s="94">
        <v>2</v>
      </c>
      <c r="O869" s="94">
        <v>70</v>
      </c>
      <c r="P869" s="94">
        <v>2</v>
      </c>
      <c r="Q869">
        <v>85</v>
      </c>
      <c r="R869">
        <v>2</v>
      </c>
      <c r="S869">
        <v>81</v>
      </c>
      <c r="T869">
        <v>2</v>
      </c>
      <c r="U869">
        <v>70</v>
      </c>
      <c r="V869">
        <v>2</v>
      </c>
      <c r="W869">
        <v>80</v>
      </c>
      <c r="X869">
        <v>2</v>
      </c>
      <c r="Y869">
        <v>78</v>
      </c>
      <c r="Z869">
        <v>1</v>
      </c>
      <c r="AA869">
        <v>93</v>
      </c>
      <c r="AB869">
        <v>1</v>
      </c>
      <c r="AC869">
        <v>80</v>
      </c>
      <c r="AD869">
        <v>1</v>
      </c>
      <c r="AE869">
        <v>92</v>
      </c>
      <c r="AF869">
        <v>2</v>
      </c>
      <c r="AG869">
        <v>90</v>
      </c>
      <c r="AH869">
        <v>2</v>
      </c>
    </row>
    <row r="870" spans="1:34">
      <c r="A870" t="s">
        <v>2652</v>
      </c>
      <c r="B870" s="24">
        <v>1816</v>
      </c>
      <c r="C870" s="24" t="s">
        <v>2653</v>
      </c>
      <c r="D870" s="24" t="s">
        <v>2654</v>
      </c>
      <c r="E870" s="93">
        <v>86.6666666666667</v>
      </c>
      <c r="F870" s="94">
        <v>4</v>
      </c>
      <c r="G870" s="94">
        <v>88</v>
      </c>
      <c r="H870" s="94">
        <v>4</v>
      </c>
      <c r="I870" s="94">
        <v>90</v>
      </c>
      <c r="J870" s="94">
        <v>4</v>
      </c>
      <c r="K870" s="94">
        <v>90</v>
      </c>
      <c r="L870" s="94">
        <v>2</v>
      </c>
      <c r="M870" s="94">
        <v>91</v>
      </c>
      <c r="N870" s="94">
        <v>2</v>
      </c>
      <c r="O870" s="94">
        <v>70</v>
      </c>
      <c r="P870" s="94">
        <v>2</v>
      </c>
      <c r="Q870">
        <v>97</v>
      </c>
      <c r="R870">
        <v>2</v>
      </c>
      <c r="S870">
        <v>82</v>
      </c>
      <c r="T870">
        <v>2</v>
      </c>
      <c r="U870">
        <v>78</v>
      </c>
      <c r="V870">
        <v>2</v>
      </c>
      <c r="W870">
        <v>83</v>
      </c>
      <c r="X870">
        <v>2</v>
      </c>
      <c r="Y870">
        <v>77</v>
      </c>
      <c r="Z870">
        <v>1</v>
      </c>
      <c r="AA870">
        <v>93</v>
      </c>
      <c r="AB870">
        <v>1</v>
      </c>
      <c r="AC870">
        <v>88</v>
      </c>
      <c r="AD870">
        <v>1</v>
      </c>
      <c r="AE870">
        <v>86</v>
      </c>
      <c r="AF870">
        <v>2</v>
      </c>
      <c r="AG870">
        <v>89</v>
      </c>
      <c r="AH870">
        <v>2</v>
      </c>
    </row>
    <row r="871" spans="1:34">
      <c r="A871" t="s">
        <v>2655</v>
      </c>
      <c r="B871" s="24">
        <v>1816</v>
      </c>
      <c r="C871" s="24" t="s">
        <v>2656</v>
      </c>
      <c r="D871" s="24" t="s">
        <v>2657</v>
      </c>
      <c r="E871" s="93">
        <v>81.6666666666667</v>
      </c>
      <c r="F871" s="94">
        <v>4</v>
      </c>
      <c r="G871" s="94">
        <v>81</v>
      </c>
      <c r="H871" s="94">
        <v>4</v>
      </c>
      <c r="I871" s="94">
        <v>85</v>
      </c>
      <c r="J871" s="94">
        <v>4</v>
      </c>
      <c r="K871" s="94">
        <v>84</v>
      </c>
      <c r="L871" s="94">
        <v>2</v>
      </c>
      <c r="M871" s="94">
        <v>75</v>
      </c>
      <c r="N871" s="94">
        <v>2</v>
      </c>
      <c r="O871" s="94">
        <v>70</v>
      </c>
      <c r="P871" s="94">
        <v>2</v>
      </c>
      <c r="Q871">
        <v>79</v>
      </c>
      <c r="R871">
        <v>2</v>
      </c>
      <c r="S871">
        <v>83</v>
      </c>
      <c r="T871">
        <v>2</v>
      </c>
      <c r="U871">
        <v>70</v>
      </c>
      <c r="V871">
        <v>2</v>
      </c>
      <c r="W871">
        <v>85</v>
      </c>
      <c r="X871">
        <v>2</v>
      </c>
      <c r="Y871">
        <v>70</v>
      </c>
      <c r="Z871">
        <v>1</v>
      </c>
      <c r="AA871">
        <v>93</v>
      </c>
      <c r="AB871">
        <v>1</v>
      </c>
      <c r="AC871">
        <v>78</v>
      </c>
      <c r="AD871">
        <v>1</v>
      </c>
      <c r="AE871">
        <v>82</v>
      </c>
      <c r="AF871">
        <v>2</v>
      </c>
      <c r="AG871">
        <v>89</v>
      </c>
      <c r="AH871">
        <v>2</v>
      </c>
    </row>
    <row r="872" spans="1:34">
      <c r="A872" t="s">
        <v>2658</v>
      </c>
      <c r="B872" s="24">
        <v>1816</v>
      </c>
      <c r="C872" s="24" t="s">
        <v>2659</v>
      </c>
      <c r="D872" s="24" t="s">
        <v>2660</v>
      </c>
      <c r="E872" s="93">
        <v>88</v>
      </c>
      <c r="F872" s="94">
        <v>4</v>
      </c>
      <c r="G872" s="94">
        <v>86</v>
      </c>
      <c r="H872" s="94">
        <v>4</v>
      </c>
      <c r="I872" s="94">
        <v>92</v>
      </c>
      <c r="J872" s="94">
        <v>4</v>
      </c>
      <c r="K872" s="94">
        <v>83</v>
      </c>
      <c r="L872" s="94">
        <v>2</v>
      </c>
      <c r="M872" s="94">
        <v>79</v>
      </c>
      <c r="N872" s="94">
        <v>2</v>
      </c>
      <c r="O872" s="94">
        <v>73</v>
      </c>
      <c r="P872" s="94">
        <v>2</v>
      </c>
      <c r="Q872">
        <v>94</v>
      </c>
      <c r="R872">
        <v>2</v>
      </c>
      <c r="S872">
        <v>84</v>
      </c>
      <c r="T872">
        <v>2</v>
      </c>
      <c r="U872">
        <v>71</v>
      </c>
      <c r="V872">
        <v>2</v>
      </c>
      <c r="W872">
        <v>85</v>
      </c>
      <c r="X872">
        <v>2</v>
      </c>
      <c r="Y872">
        <v>72</v>
      </c>
      <c r="Z872">
        <v>1</v>
      </c>
      <c r="AA872">
        <v>93</v>
      </c>
      <c r="AB872">
        <v>1</v>
      </c>
      <c r="AC872">
        <v>72</v>
      </c>
      <c r="AD872">
        <v>1</v>
      </c>
      <c r="AE872">
        <v>84</v>
      </c>
      <c r="AF872">
        <v>2</v>
      </c>
      <c r="AG872">
        <v>90</v>
      </c>
      <c r="AH872">
        <v>2</v>
      </c>
    </row>
    <row r="873" spans="1:34">
      <c r="A873" t="s">
        <v>2661</v>
      </c>
      <c r="B873" s="24">
        <v>1816</v>
      </c>
      <c r="C873" s="24" t="s">
        <v>2662</v>
      </c>
      <c r="D873" s="24" t="s">
        <v>2663</v>
      </c>
      <c r="E873" s="93">
        <v>85.6666666666667</v>
      </c>
      <c r="F873" s="94">
        <v>4</v>
      </c>
      <c r="G873" s="94">
        <v>81</v>
      </c>
      <c r="H873" s="94">
        <v>4</v>
      </c>
      <c r="I873" s="94">
        <v>88</v>
      </c>
      <c r="J873" s="94">
        <v>4</v>
      </c>
      <c r="K873" s="94">
        <v>85</v>
      </c>
      <c r="L873" s="94">
        <v>2</v>
      </c>
      <c r="M873" s="94">
        <v>72</v>
      </c>
      <c r="N873" s="94">
        <v>2</v>
      </c>
      <c r="O873" s="94">
        <v>70</v>
      </c>
      <c r="P873" s="94">
        <v>2</v>
      </c>
      <c r="Q873">
        <v>85</v>
      </c>
      <c r="R873">
        <v>2</v>
      </c>
      <c r="S873">
        <v>85</v>
      </c>
      <c r="T873">
        <v>2</v>
      </c>
      <c r="U873">
        <v>76</v>
      </c>
      <c r="V873">
        <v>2</v>
      </c>
      <c r="W873">
        <v>83</v>
      </c>
      <c r="X873">
        <v>2</v>
      </c>
      <c r="Y873">
        <v>78</v>
      </c>
      <c r="Z873">
        <v>1</v>
      </c>
      <c r="AA873">
        <v>93</v>
      </c>
      <c r="AB873">
        <v>1</v>
      </c>
      <c r="AC873">
        <v>70</v>
      </c>
      <c r="AD873">
        <v>1</v>
      </c>
      <c r="AE873">
        <v>86</v>
      </c>
      <c r="AF873">
        <v>2</v>
      </c>
      <c r="AG873">
        <v>86</v>
      </c>
      <c r="AH873">
        <v>2</v>
      </c>
    </row>
    <row r="874" spans="1:34">
      <c r="A874" t="s">
        <v>2664</v>
      </c>
      <c r="B874" s="24">
        <v>1816</v>
      </c>
      <c r="C874" s="24" t="s">
        <v>2665</v>
      </c>
      <c r="D874" s="24" t="s">
        <v>2666</v>
      </c>
      <c r="E874" s="93">
        <v>85.6666666666667</v>
      </c>
      <c r="F874" s="94">
        <v>4</v>
      </c>
      <c r="G874" s="94">
        <v>91</v>
      </c>
      <c r="H874" s="94">
        <v>4</v>
      </c>
      <c r="I874" s="94">
        <v>95</v>
      </c>
      <c r="J874" s="94">
        <v>4</v>
      </c>
      <c r="K874" s="94">
        <v>93</v>
      </c>
      <c r="L874" s="94">
        <v>2</v>
      </c>
      <c r="M874" s="94">
        <v>88</v>
      </c>
      <c r="N874" s="94">
        <v>2</v>
      </c>
      <c r="O874" s="94">
        <v>82</v>
      </c>
      <c r="P874" s="94">
        <v>2</v>
      </c>
      <c r="Q874">
        <v>80</v>
      </c>
      <c r="R874">
        <v>2</v>
      </c>
      <c r="S874">
        <v>80</v>
      </c>
      <c r="T874">
        <v>2</v>
      </c>
      <c r="U874">
        <v>70</v>
      </c>
      <c r="V874">
        <v>2</v>
      </c>
      <c r="W874">
        <v>84</v>
      </c>
      <c r="X874">
        <v>2</v>
      </c>
      <c r="Y874">
        <v>70</v>
      </c>
      <c r="Z874">
        <v>1</v>
      </c>
      <c r="AA874">
        <v>93</v>
      </c>
      <c r="AB874">
        <v>1</v>
      </c>
      <c r="AC874">
        <v>70</v>
      </c>
      <c r="AD874">
        <v>1</v>
      </c>
      <c r="AE874">
        <v>86</v>
      </c>
      <c r="AF874">
        <v>2</v>
      </c>
      <c r="AG874">
        <v>90</v>
      </c>
      <c r="AH874">
        <v>2</v>
      </c>
    </row>
    <row r="875" spans="1:34">
      <c r="A875" t="s">
        <v>2667</v>
      </c>
      <c r="B875" s="24">
        <v>1816</v>
      </c>
      <c r="C875" s="24" t="s">
        <v>2668</v>
      </c>
      <c r="D875" s="24" t="s">
        <v>2669</v>
      </c>
      <c r="E875" s="93">
        <v>89.6666666666667</v>
      </c>
      <c r="F875" s="94">
        <v>4</v>
      </c>
      <c r="G875" s="94">
        <v>93</v>
      </c>
      <c r="H875" s="94">
        <v>4</v>
      </c>
      <c r="I875" s="94">
        <v>95</v>
      </c>
      <c r="J875" s="94">
        <v>4</v>
      </c>
      <c r="K875" s="94">
        <v>85</v>
      </c>
      <c r="L875" s="94">
        <v>2</v>
      </c>
      <c r="M875" s="94">
        <v>75</v>
      </c>
      <c r="N875" s="94">
        <v>2</v>
      </c>
      <c r="O875" s="94">
        <v>78</v>
      </c>
      <c r="P875" s="94">
        <v>2</v>
      </c>
      <c r="Q875">
        <v>96</v>
      </c>
      <c r="R875">
        <v>2</v>
      </c>
      <c r="S875">
        <v>81</v>
      </c>
      <c r="T875">
        <v>2</v>
      </c>
      <c r="U875">
        <v>78</v>
      </c>
      <c r="V875">
        <v>2</v>
      </c>
      <c r="W875">
        <v>88</v>
      </c>
      <c r="X875">
        <v>2</v>
      </c>
      <c r="Y875">
        <v>72</v>
      </c>
      <c r="Z875">
        <v>1</v>
      </c>
      <c r="AA875">
        <v>93</v>
      </c>
      <c r="AB875">
        <v>1</v>
      </c>
      <c r="AC875">
        <v>75</v>
      </c>
      <c r="AD875">
        <v>1</v>
      </c>
      <c r="AE875">
        <v>87</v>
      </c>
      <c r="AF875">
        <v>2</v>
      </c>
      <c r="AG875">
        <v>85</v>
      </c>
      <c r="AH875">
        <v>2</v>
      </c>
    </row>
    <row r="876" spans="1:34">
      <c r="A876" t="s">
        <v>2670</v>
      </c>
      <c r="B876" s="24">
        <v>1816</v>
      </c>
      <c r="C876" s="24" t="s">
        <v>2671</v>
      </c>
      <c r="D876" s="24" t="s">
        <v>2672</v>
      </c>
      <c r="E876" s="93">
        <v>94</v>
      </c>
      <c r="F876" s="94">
        <v>4</v>
      </c>
      <c r="G876" s="94">
        <v>90</v>
      </c>
      <c r="H876" s="94">
        <v>4</v>
      </c>
      <c r="I876" s="94">
        <v>93</v>
      </c>
      <c r="J876" s="94">
        <v>4</v>
      </c>
      <c r="K876" s="94">
        <v>86</v>
      </c>
      <c r="L876" s="94">
        <v>2</v>
      </c>
      <c r="M876" s="94">
        <v>82</v>
      </c>
      <c r="N876" s="94">
        <v>2</v>
      </c>
      <c r="O876" s="94">
        <v>83</v>
      </c>
      <c r="P876" s="94">
        <v>2</v>
      </c>
      <c r="Q876">
        <v>82</v>
      </c>
      <c r="R876">
        <v>2</v>
      </c>
      <c r="S876">
        <v>82</v>
      </c>
      <c r="T876">
        <v>2</v>
      </c>
      <c r="U876">
        <v>77</v>
      </c>
      <c r="V876">
        <v>2</v>
      </c>
      <c r="W876">
        <v>85</v>
      </c>
      <c r="X876">
        <v>2</v>
      </c>
      <c r="Y876">
        <v>73</v>
      </c>
      <c r="Z876">
        <v>1</v>
      </c>
      <c r="AA876">
        <v>93</v>
      </c>
      <c r="AB876">
        <v>1</v>
      </c>
      <c r="AC876">
        <v>68</v>
      </c>
      <c r="AD876">
        <v>1</v>
      </c>
      <c r="AE876">
        <v>87</v>
      </c>
      <c r="AF876">
        <v>2</v>
      </c>
      <c r="AG876">
        <v>80</v>
      </c>
      <c r="AH876">
        <v>2</v>
      </c>
    </row>
    <row r="877" spans="1:34">
      <c r="A877" t="s">
        <v>2673</v>
      </c>
      <c r="B877" s="24">
        <v>1816</v>
      </c>
      <c r="C877" s="24" t="s">
        <v>2674</v>
      </c>
      <c r="D877" s="24" t="s">
        <v>2675</v>
      </c>
      <c r="E877" s="93">
        <v>81.6666666666667</v>
      </c>
      <c r="F877" s="94">
        <v>4</v>
      </c>
      <c r="G877" s="94">
        <v>90</v>
      </c>
      <c r="H877" s="94">
        <v>4</v>
      </c>
      <c r="I877" s="94">
        <v>90</v>
      </c>
      <c r="J877" s="94">
        <v>4</v>
      </c>
      <c r="K877" s="94">
        <v>91</v>
      </c>
      <c r="L877" s="94">
        <v>2</v>
      </c>
      <c r="M877" s="94">
        <v>86</v>
      </c>
      <c r="N877" s="94">
        <v>2</v>
      </c>
      <c r="O877" s="94">
        <v>70</v>
      </c>
      <c r="P877" s="94">
        <v>2</v>
      </c>
      <c r="Q877">
        <v>66</v>
      </c>
      <c r="R877">
        <v>2</v>
      </c>
      <c r="S877">
        <v>83</v>
      </c>
      <c r="T877">
        <v>2</v>
      </c>
      <c r="U877">
        <v>70</v>
      </c>
      <c r="V877">
        <v>2</v>
      </c>
      <c r="W877">
        <v>88</v>
      </c>
      <c r="X877">
        <v>2</v>
      </c>
      <c r="Y877">
        <v>75</v>
      </c>
      <c r="Z877">
        <v>1</v>
      </c>
      <c r="AA877">
        <v>93</v>
      </c>
      <c r="AB877">
        <v>1</v>
      </c>
      <c r="AC877">
        <v>72</v>
      </c>
      <c r="AD877">
        <v>1</v>
      </c>
      <c r="AE877">
        <v>84</v>
      </c>
      <c r="AF877">
        <v>2</v>
      </c>
      <c r="AG877">
        <v>88</v>
      </c>
      <c r="AH877">
        <v>2</v>
      </c>
    </row>
    <row r="878" spans="1:34">
      <c r="A878" t="s">
        <v>2676</v>
      </c>
      <c r="B878" s="24">
        <v>1816</v>
      </c>
      <c r="C878" s="24" t="s">
        <v>2677</v>
      </c>
      <c r="D878" s="24" t="s">
        <v>2678</v>
      </c>
      <c r="E878" s="93">
        <v>84.3333333333333</v>
      </c>
      <c r="F878" s="94">
        <v>4</v>
      </c>
      <c r="G878" s="94">
        <v>86</v>
      </c>
      <c r="H878" s="94">
        <v>4</v>
      </c>
      <c r="I878" s="94">
        <v>85</v>
      </c>
      <c r="J878" s="94">
        <v>4</v>
      </c>
      <c r="K878" s="94">
        <v>83</v>
      </c>
      <c r="L878" s="94">
        <v>2</v>
      </c>
      <c r="M878" s="94">
        <v>72</v>
      </c>
      <c r="N878" s="94">
        <v>2</v>
      </c>
      <c r="O878" s="94">
        <v>70</v>
      </c>
      <c r="P878" s="94">
        <v>2</v>
      </c>
      <c r="Q878">
        <v>83</v>
      </c>
      <c r="R878">
        <v>2</v>
      </c>
      <c r="S878">
        <v>84</v>
      </c>
      <c r="T878">
        <v>2</v>
      </c>
      <c r="U878">
        <v>71</v>
      </c>
      <c r="V878">
        <v>2</v>
      </c>
      <c r="W878">
        <v>82</v>
      </c>
      <c r="X878">
        <v>2</v>
      </c>
      <c r="Y878">
        <v>73</v>
      </c>
      <c r="Z878">
        <v>1</v>
      </c>
      <c r="AA878">
        <v>93</v>
      </c>
      <c r="AB878">
        <v>1</v>
      </c>
      <c r="AC878">
        <v>82</v>
      </c>
      <c r="AD878">
        <v>1</v>
      </c>
      <c r="AE878">
        <v>86</v>
      </c>
      <c r="AF878">
        <v>2</v>
      </c>
      <c r="AG878">
        <v>89</v>
      </c>
      <c r="AH878">
        <v>2</v>
      </c>
    </row>
    <row r="879" spans="1:34">
      <c r="A879" t="s">
        <v>2679</v>
      </c>
      <c r="B879" s="24">
        <v>1816</v>
      </c>
      <c r="C879" s="24" t="s">
        <v>2680</v>
      </c>
      <c r="D879" s="24" t="s">
        <v>2681</v>
      </c>
      <c r="E879" s="93">
        <v>78</v>
      </c>
      <c r="F879" s="94">
        <v>4</v>
      </c>
      <c r="G879" s="94">
        <v>85</v>
      </c>
      <c r="H879" s="94">
        <v>4</v>
      </c>
      <c r="I879" s="94">
        <v>87</v>
      </c>
      <c r="J879" s="94">
        <v>4</v>
      </c>
      <c r="K879" s="94">
        <v>90</v>
      </c>
      <c r="L879" s="94">
        <v>2</v>
      </c>
      <c r="M879" s="94">
        <v>66</v>
      </c>
      <c r="N879" s="94">
        <v>2</v>
      </c>
      <c r="O879" s="94">
        <v>70</v>
      </c>
      <c r="P879" s="94">
        <v>2</v>
      </c>
      <c r="Q879">
        <v>89</v>
      </c>
      <c r="R879">
        <v>2</v>
      </c>
      <c r="S879">
        <v>85</v>
      </c>
      <c r="T879">
        <v>2</v>
      </c>
      <c r="U879">
        <v>78</v>
      </c>
      <c r="V879">
        <v>2</v>
      </c>
      <c r="W879">
        <v>85</v>
      </c>
      <c r="X879">
        <v>2</v>
      </c>
      <c r="Y879">
        <v>82</v>
      </c>
      <c r="Z879">
        <v>1</v>
      </c>
      <c r="AA879">
        <v>93</v>
      </c>
      <c r="AB879">
        <v>1</v>
      </c>
      <c r="AC879">
        <v>76</v>
      </c>
      <c r="AD879">
        <v>1</v>
      </c>
      <c r="AE879">
        <v>86</v>
      </c>
      <c r="AF879">
        <v>2</v>
      </c>
      <c r="AG879">
        <v>90</v>
      </c>
      <c r="AH879">
        <v>2</v>
      </c>
    </row>
    <row r="880" spans="1:34">
      <c r="A880" t="s">
        <v>2682</v>
      </c>
      <c r="B880" s="24">
        <v>1816</v>
      </c>
      <c r="C880" s="24" t="s">
        <v>2683</v>
      </c>
      <c r="D880" s="24" t="s">
        <v>2684</v>
      </c>
      <c r="E880" s="93">
        <v>88.3333333333333</v>
      </c>
      <c r="F880" s="94">
        <v>4</v>
      </c>
      <c r="G880" s="94">
        <v>90</v>
      </c>
      <c r="H880" s="94">
        <v>4</v>
      </c>
      <c r="I880" s="94">
        <v>98</v>
      </c>
      <c r="J880" s="94">
        <v>4</v>
      </c>
      <c r="K880" s="94">
        <v>87</v>
      </c>
      <c r="L880" s="94">
        <v>2</v>
      </c>
      <c r="M880" s="94">
        <v>78</v>
      </c>
      <c r="N880" s="94">
        <v>2</v>
      </c>
      <c r="O880" s="94">
        <v>76</v>
      </c>
      <c r="P880" s="94">
        <v>2</v>
      </c>
      <c r="Q880">
        <v>79</v>
      </c>
      <c r="R880">
        <v>2</v>
      </c>
      <c r="S880">
        <v>81</v>
      </c>
      <c r="T880">
        <v>2</v>
      </c>
      <c r="U880">
        <v>75</v>
      </c>
      <c r="V880">
        <v>2</v>
      </c>
      <c r="W880">
        <v>80</v>
      </c>
      <c r="X880">
        <v>2</v>
      </c>
      <c r="Y880">
        <v>83</v>
      </c>
      <c r="Z880">
        <v>1</v>
      </c>
      <c r="AA880">
        <v>93</v>
      </c>
      <c r="AB880">
        <v>1</v>
      </c>
      <c r="AC880">
        <v>86</v>
      </c>
      <c r="AD880">
        <v>1</v>
      </c>
      <c r="AE880">
        <v>80</v>
      </c>
      <c r="AF880">
        <v>2</v>
      </c>
      <c r="AG880">
        <v>90</v>
      </c>
      <c r="AH880">
        <v>2</v>
      </c>
    </row>
    <row r="881" spans="1:34">
      <c r="A881" t="s">
        <v>2685</v>
      </c>
      <c r="B881" s="24">
        <v>1816</v>
      </c>
      <c r="C881" s="24" t="s">
        <v>2686</v>
      </c>
      <c r="D881" s="24" t="s">
        <v>2687</v>
      </c>
      <c r="E881" s="93">
        <v>93.3333333333333</v>
      </c>
      <c r="F881" s="94">
        <v>4</v>
      </c>
      <c r="G881" s="94">
        <v>90</v>
      </c>
      <c r="H881" s="94">
        <v>4</v>
      </c>
      <c r="I881" s="94">
        <v>92</v>
      </c>
      <c r="J881" s="94">
        <v>4</v>
      </c>
      <c r="K881" s="94">
        <v>89</v>
      </c>
      <c r="L881" s="94">
        <v>2</v>
      </c>
      <c r="M881" s="94">
        <v>85</v>
      </c>
      <c r="N881" s="94">
        <v>2</v>
      </c>
      <c r="O881" s="94">
        <v>91</v>
      </c>
      <c r="P881" s="94">
        <v>2</v>
      </c>
      <c r="Q881">
        <v>96</v>
      </c>
      <c r="R881">
        <v>2</v>
      </c>
      <c r="S881">
        <v>82</v>
      </c>
      <c r="T881">
        <v>2</v>
      </c>
      <c r="U881">
        <v>78</v>
      </c>
      <c r="V881">
        <v>2</v>
      </c>
      <c r="W881">
        <v>81</v>
      </c>
      <c r="X881">
        <v>2</v>
      </c>
      <c r="Y881">
        <v>76</v>
      </c>
      <c r="Z881">
        <v>1</v>
      </c>
      <c r="AA881">
        <v>93</v>
      </c>
      <c r="AB881">
        <v>1</v>
      </c>
      <c r="AC881">
        <v>73</v>
      </c>
      <c r="AD881">
        <v>1</v>
      </c>
      <c r="AE881">
        <v>88</v>
      </c>
      <c r="AF881">
        <v>2</v>
      </c>
      <c r="AG881">
        <v>88</v>
      </c>
      <c r="AH881">
        <v>2</v>
      </c>
    </row>
    <row r="882" spans="1:34">
      <c r="A882" t="s">
        <v>2688</v>
      </c>
      <c r="B882" s="24">
        <v>1816</v>
      </c>
      <c r="C882" s="24" t="s">
        <v>2689</v>
      </c>
      <c r="D882" s="24" t="s">
        <v>2690</v>
      </c>
      <c r="E882" s="93">
        <v>81.3333333333333</v>
      </c>
      <c r="F882" s="94">
        <v>4</v>
      </c>
      <c r="G882" s="94">
        <v>90</v>
      </c>
      <c r="H882" s="94">
        <v>4</v>
      </c>
      <c r="I882" s="94">
        <v>88</v>
      </c>
      <c r="J882" s="94">
        <v>4</v>
      </c>
      <c r="K882" s="94">
        <v>92</v>
      </c>
      <c r="L882" s="94">
        <v>2</v>
      </c>
      <c r="M882" s="94">
        <v>79</v>
      </c>
      <c r="N882" s="94">
        <v>2</v>
      </c>
      <c r="O882" s="94">
        <v>86</v>
      </c>
      <c r="P882" s="94">
        <v>2</v>
      </c>
      <c r="Q882">
        <v>83</v>
      </c>
      <c r="R882">
        <v>2</v>
      </c>
      <c r="S882">
        <v>83</v>
      </c>
      <c r="T882">
        <v>2</v>
      </c>
      <c r="U882">
        <v>70</v>
      </c>
      <c r="V882">
        <v>2</v>
      </c>
      <c r="W882">
        <v>85</v>
      </c>
      <c r="X882">
        <v>2</v>
      </c>
      <c r="Y882">
        <v>80</v>
      </c>
      <c r="Z882">
        <v>1</v>
      </c>
      <c r="AA882">
        <v>93</v>
      </c>
      <c r="AB882">
        <v>1</v>
      </c>
      <c r="AC882">
        <v>85</v>
      </c>
      <c r="AD882">
        <v>1</v>
      </c>
      <c r="AE882">
        <v>50</v>
      </c>
      <c r="AF882">
        <v>1</v>
      </c>
      <c r="AG882">
        <v>89</v>
      </c>
      <c r="AH882">
        <v>2</v>
      </c>
    </row>
    <row r="883" spans="1:34">
      <c r="A883" t="s">
        <v>2691</v>
      </c>
      <c r="B883" s="24">
        <v>1816</v>
      </c>
      <c r="C883" s="24" t="s">
        <v>2692</v>
      </c>
      <c r="D883" s="24" t="s">
        <v>2693</v>
      </c>
      <c r="E883" s="93">
        <v>80.3333333333333</v>
      </c>
      <c r="F883" s="94">
        <v>4</v>
      </c>
      <c r="G883" s="94">
        <v>92</v>
      </c>
      <c r="H883" s="94">
        <v>4</v>
      </c>
      <c r="I883" s="94">
        <v>87</v>
      </c>
      <c r="J883" s="94">
        <v>4</v>
      </c>
      <c r="K883" s="94">
        <v>88</v>
      </c>
      <c r="L883" s="94">
        <v>2</v>
      </c>
      <c r="M883" s="94">
        <v>92</v>
      </c>
      <c r="N883" s="94">
        <v>2</v>
      </c>
      <c r="O883" s="94">
        <v>85</v>
      </c>
      <c r="P883" s="94">
        <v>2</v>
      </c>
      <c r="Q883">
        <v>86</v>
      </c>
      <c r="R883">
        <v>2</v>
      </c>
      <c r="S883">
        <v>84</v>
      </c>
      <c r="T883">
        <v>2</v>
      </c>
      <c r="U883">
        <v>85</v>
      </c>
      <c r="V883">
        <v>2</v>
      </c>
      <c r="W883">
        <v>83</v>
      </c>
      <c r="X883">
        <v>2</v>
      </c>
      <c r="Y883">
        <v>81</v>
      </c>
      <c r="Z883">
        <v>1</v>
      </c>
      <c r="AA883">
        <v>93</v>
      </c>
      <c r="AB883">
        <v>1</v>
      </c>
      <c r="AC883">
        <v>68</v>
      </c>
      <c r="AD883">
        <v>1</v>
      </c>
      <c r="AE883">
        <v>84</v>
      </c>
      <c r="AF883">
        <v>2</v>
      </c>
      <c r="AG883">
        <v>90</v>
      </c>
      <c r="AH883">
        <v>2</v>
      </c>
    </row>
    <row r="884" spans="1:34">
      <c r="A884" t="s">
        <v>2694</v>
      </c>
      <c r="B884" s="24">
        <v>1816</v>
      </c>
      <c r="C884" s="24" t="s">
        <v>2695</v>
      </c>
      <c r="D884" s="24" t="s">
        <v>2696</v>
      </c>
      <c r="E884" s="93">
        <v>80</v>
      </c>
      <c r="F884" s="94">
        <v>4</v>
      </c>
      <c r="G884" s="94">
        <v>86</v>
      </c>
      <c r="H884" s="94">
        <v>4</v>
      </c>
      <c r="I884" s="94">
        <v>85</v>
      </c>
      <c r="J884" s="94">
        <v>4</v>
      </c>
      <c r="K884" s="94">
        <v>83</v>
      </c>
      <c r="L884" s="94">
        <v>2</v>
      </c>
      <c r="M884" s="94">
        <v>73</v>
      </c>
      <c r="N884" s="94">
        <v>2</v>
      </c>
      <c r="O884" s="94">
        <v>65</v>
      </c>
      <c r="P884" s="94">
        <v>2</v>
      </c>
      <c r="Q884">
        <v>84</v>
      </c>
      <c r="R884">
        <v>2</v>
      </c>
      <c r="S884">
        <v>85</v>
      </c>
      <c r="T884">
        <v>2</v>
      </c>
      <c r="U884">
        <v>71</v>
      </c>
      <c r="V884">
        <v>2</v>
      </c>
      <c r="W884">
        <v>83</v>
      </c>
      <c r="X884">
        <v>2</v>
      </c>
      <c r="Y884">
        <v>77</v>
      </c>
      <c r="Z884">
        <v>1</v>
      </c>
      <c r="AA884">
        <v>93</v>
      </c>
      <c r="AB884">
        <v>1</v>
      </c>
      <c r="AC884">
        <v>86</v>
      </c>
      <c r="AD884">
        <v>1</v>
      </c>
      <c r="AE884">
        <v>85</v>
      </c>
      <c r="AF884">
        <v>2</v>
      </c>
      <c r="AG884">
        <v>89</v>
      </c>
      <c r="AH884">
        <v>2</v>
      </c>
    </row>
    <row r="885" spans="1:34">
      <c r="A885" t="s">
        <v>2697</v>
      </c>
      <c r="B885" s="24">
        <v>1816</v>
      </c>
      <c r="C885" s="24" t="s">
        <v>2698</v>
      </c>
      <c r="D885" s="24" t="s">
        <v>2699</v>
      </c>
      <c r="E885" s="93">
        <v>74.3333333333333</v>
      </c>
      <c r="F885" s="94">
        <v>4</v>
      </c>
      <c r="G885" s="94">
        <v>90</v>
      </c>
      <c r="H885" s="94">
        <v>4</v>
      </c>
      <c r="I885" s="94">
        <v>88</v>
      </c>
      <c r="J885" s="94">
        <v>4</v>
      </c>
      <c r="K885" s="94">
        <v>83</v>
      </c>
      <c r="L885" s="94">
        <v>2</v>
      </c>
      <c r="M885" s="94">
        <v>63</v>
      </c>
      <c r="N885" s="94">
        <v>2</v>
      </c>
      <c r="O885" s="94">
        <v>70</v>
      </c>
      <c r="P885" s="94">
        <v>2</v>
      </c>
      <c r="Q885">
        <v>95</v>
      </c>
      <c r="R885">
        <v>2</v>
      </c>
      <c r="S885">
        <v>86</v>
      </c>
      <c r="T885">
        <v>2</v>
      </c>
      <c r="U885">
        <v>76</v>
      </c>
      <c r="V885">
        <v>2</v>
      </c>
      <c r="W885">
        <v>84</v>
      </c>
      <c r="X885">
        <v>2</v>
      </c>
      <c r="Y885">
        <v>78</v>
      </c>
      <c r="Z885">
        <v>1</v>
      </c>
      <c r="AA885">
        <v>93</v>
      </c>
      <c r="AB885">
        <v>1</v>
      </c>
      <c r="AC885">
        <v>84</v>
      </c>
      <c r="AD885">
        <v>1</v>
      </c>
      <c r="AE885">
        <v>89</v>
      </c>
      <c r="AF885">
        <v>2</v>
      </c>
      <c r="AG885">
        <v>89</v>
      </c>
      <c r="AH885">
        <v>2</v>
      </c>
    </row>
    <row r="886" spans="1:34">
      <c r="A886" t="s">
        <v>2700</v>
      </c>
      <c r="B886" s="24">
        <v>1816</v>
      </c>
      <c r="C886" s="24" t="s">
        <v>2701</v>
      </c>
      <c r="D886" s="24" t="s">
        <v>2702</v>
      </c>
      <c r="E886" s="93">
        <v>84.6666666666667</v>
      </c>
      <c r="F886" s="94">
        <v>4</v>
      </c>
      <c r="G886" s="94">
        <v>95</v>
      </c>
      <c r="H886" s="94">
        <v>4</v>
      </c>
      <c r="I886" s="94">
        <v>90</v>
      </c>
      <c r="J886" s="94">
        <v>4</v>
      </c>
      <c r="K886" s="94">
        <v>86</v>
      </c>
      <c r="L886" s="94">
        <v>2</v>
      </c>
      <c r="M886" s="94">
        <v>78</v>
      </c>
      <c r="N886" s="94">
        <v>2</v>
      </c>
      <c r="O886" s="94">
        <v>71</v>
      </c>
      <c r="P886" s="94">
        <v>2</v>
      </c>
      <c r="Q886">
        <v>96</v>
      </c>
      <c r="R886">
        <v>2</v>
      </c>
      <c r="S886">
        <v>85</v>
      </c>
      <c r="T886">
        <v>2</v>
      </c>
      <c r="U886">
        <v>76</v>
      </c>
      <c r="V886">
        <v>2</v>
      </c>
      <c r="W886">
        <v>96</v>
      </c>
      <c r="X886">
        <v>2</v>
      </c>
      <c r="Y886">
        <v>76</v>
      </c>
      <c r="Z886">
        <v>1</v>
      </c>
      <c r="AA886">
        <v>93</v>
      </c>
      <c r="AB886">
        <v>1</v>
      </c>
      <c r="AC886">
        <v>85</v>
      </c>
      <c r="AD886">
        <v>1</v>
      </c>
      <c r="AE886">
        <v>89</v>
      </c>
      <c r="AF886">
        <v>2</v>
      </c>
      <c r="AG886">
        <v>90</v>
      </c>
      <c r="AH886">
        <v>2</v>
      </c>
    </row>
    <row r="887" spans="1:34">
      <c r="A887" t="s">
        <v>2703</v>
      </c>
      <c r="B887" s="24">
        <v>1816</v>
      </c>
      <c r="C887" s="24" t="s">
        <v>2704</v>
      </c>
      <c r="D887" s="24" t="s">
        <v>2705</v>
      </c>
      <c r="E887" s="93">
        <v>84</v>
      </c>
      <c r="F887" s="94">
        <v>4</v>
      </c>
      <c r="G887" s="94">
        <v>78</v>
      </c>
      <c r="H887" s="94">
        <v>4</v>
      </c>
      <c r="I887" s="94">
        <v>88</v>
      </c>
      <c r="J887" s="94">
        <v>4</v>
      </c>
      <c r="K887" s="94">
        <v>83</v>
      </c>
      <c r="L887" s="94">
        <v>2</v>
      </c>
      <c r="M887" s="94">
        <v>65</v>
      </c>
      <c r="N887" s="94">
        <v>2</v>
      </c>
      <c r="O887" s="94">
        <v>76</v>
      </c>
      <c r="P887" s="94">
        <v>2</v>
      </c>
      <c r="Q887">
        <v>100</v>
      </c>
      <c r="R887">
        <v>2</v>
      </c>
      <c r="S887">
        <v>86</v>
      </c>
      <c r="T887">
        <v>2</v>
      </c>
      <c r="U887">
        <v>83</v>
      </c>
      <c r="V887">
        <v>2</v>
      </c>
      <c r="W887">
        <v>88</v>
      </c>
      <c r="X887">
        <v>2</v>
      </c>
      <c r="Y887">
        <v>81</v>
      </c>
      <c r="Z887">
        <v>1</v>
      </c>
      <c r="AA887">
        <v>93</v>
      </c>
      <c r="AB887">
        <v>1</v>
      </c>
      <c r="AC887">
        <v>86</v>
      </c>
      <c r="AD887">
        <v>1</v>
      </c>
      <c r="AE887">
        <v>81</v>
      </c>
      <c r="AF887">
        <v>2</v>
      </c>
      <c r="AG887">
        <v>86</v>
      </c>
      <c r="AH887">
        <v>2</v>
      </c>
    </row>
    <row r="888" spans="1:34">
      <c r="A888" t="s">
        <v>2706</v>
      </c>
      <c r="B888" s="24">
        <v>1816</v>
      </c>
      <c r="C888" s="24" t="s">
        <v>2707</v>
      </c>
      <c r="D888" s="24" t="s">
        <v>2708</v>
      </c>
      <c r="E888" s="93">
        <v>78.6666666666667</v>
      </c>
      <c r="F888" s="94">
        <v>4</v>
      </c>
      <c r="G888" s="94">
        <v>90</v>
      </c>
      <c r="H888" s="94">
        <v>4</v>
      </c>
      <c r="I888" s="94">
        <v>87</v>
      </c>
      <c r="J888" s="94">
        <v>4</v>
      </c>
      <c r="K888" s="94">
        <v>83</v>
      </c>
      <c r="L888" s="94">
        <v>2</v>
      </c>
      <c r="M888" s="94">
        <v>79</v>
      </c>
      <c r="N888" s="94">
        <v>2</v>
      </c>
      <c r="O888" s="94">
        <v>70</v>
      </c>
      <c r="P888" s="94">
        <v>2</v>
      </c>
      <c r="Q888">
        <v>83</v>
      </c>
      <c r="R888">
        <v>2</v>
      </c>
      <c r="S888">
        <v>87</v>
      </c>
      <c r="T888">
        <v>2</v>
      </c>
      <c r="U888">
        <v>75</v>
      </c>
      <c r="V888">
        <v>2</v>
      </c>
      <c r="W888">
        <v>85</v>
      </c>
      <c r="X888">
        <v>2</v>
      </c>
      <c r="Y888">
        <v>80</v>
      </c>
      <c r="Z888">
        <v>1</v>
      </c>
      <c r="AA888">
        <v>93</v>
      </c>
      <c r="AB888">
        <v>1</v>
      </c>
      <c r="AC888">
        <v>89</v>
      </c>
      <c r="AD888">
        <v>1</v>
      </c>
      <c r="AE888">
        <v>84</v>
      </c>
      <c r="AF888">
        <v>2</v>
      </c>
      <c r="AG888">
        <v>90</v>
      </c>
      <c r="AH888">
        <v>2</v>
      </c>
    </row>
    <row r="889" spans="1:34">
      <c r="A889" t="s">
        <v>2709</v>
      </c>
      <c r="B889" s="24">
        <v>1816</v>
      </c>
      <c r="C889" s="24" t="s">
        <v>2710</v>
      </c>
      <c r="D889" s="24" t="s">
        <v>2711</v>
      </c>
      <c r="E889" s="93">
        <v>94.3333333333333</v>
      </c>
      <c r="F889" s="94">
        <v>4</v>
      </c>
      <c r="G889" s="94">
        <v>90</v>
      </c>
      <c r="H889" s="94">
        <v>4</v>
      </c>
      <c r="I889" s="94">
        <v>93</v>
      </c>
      <c r="J889" s="94">
        <v>4</v>
      </c>
      <c r="K889" s="94">
        <v>91</v>
      </c>
      <c r="L889" s="94">
        <v>2</v>
      </c>
      <c r="M889" s="94">
        <v>78</v>
      </c>
      <c r="N889" s="94">
        <v>2</v>
      </c>
      <c r="O889" s="94">
        <v>78</v>
      </c>
      <c r="P889" s="94">
        <v>2</v>
      </c>
      <c r="Q889">
        <v>100</v>
      </c>
      <c r="R889">
        <v>2</v>
      </c>
      <c r="S889">
        <v>88</v>
      </c>
      <c r="T889">
        <v>2</v>
      </c>
      <c r="U889">
        <v>85</v>
      </c>
      <c r="V889">
        <v>2</v>
      </c>
      <c r="W889">
        <v>92</v>
      </c>
      <c r="X889">
        <v>2</v>
      </c>
      <c r="Y889">
        <v>79</v>
      </c>
      <c r="Z889">
        <v>1</v>
      </c>
      <c r="AA889">
        <v>93</v>
      </c>
      <c r="AB889">
        <v>1</v>
      </c>
      <c r="AC889">
        <v>87</v>
      </c>
      <c r="AD889">
        <v>1</v>
      </c>
      <c r="AE889">
        <v>86</v>
      </c>
      <c r="AF889">
        <v>2</v>
      </c>
      <c r="AG889">
        <v>85</v>
      </c>
      <c r="AH889">
        <v>2</v>
      </c>
    </row>
    <row r="890" spans="1:34">
      <c r="A890" t="s">
        <v>2712</v>
      </c>
      <c r="B890" s="24">
        <v>1816</v>
      </c>
      <c r="C890" s="24" t="s">
        <v>2713</v>
      </c>
      <c r="D890" s="24" t="s">
        <v>2714</v>
      </c>
      <c r="E890" s="93">
        <v>87.6666666666667</v>
      </c>
      <c r="F890" s="94">
        <v>4</v>
      </c>
      <c r="G890" s="94">
        <v>93</v>
      </c>
      <c r="H890" s="94">
        <v>4</v>
      </c>
      <c r="I890" s="94">
        <v>92</v>
      </c>
      <c r="J890" s="94">
        <v>4</v>
      </c>
      <c r="K890" s="94">
        <v>95</v>
      </c>
      <c r="L890" s="94">
        <v>2</v>
      </c>
      <c r="M890" s="94">
        <v>89</v>
      </c>
      <c r="N890" s="94">
        <v>2</v>
      </c>
      <c r="O890" s="94">
        <v>86</v>
      </c>
      <c r="P890" s="94">
        <v>2</v>
      </c>
      <c r="Q890">
        <v>97</v>
      </c>
      <c r="R890">
        <v>2</v>
      </c>
      <c r="S890">
        <v>89</v>
      </c>
      <c r="T890">
        <v>2</v>
      </c>
      <c r="U890">
        <v>78</v>
      </c>
      <c r="V890">
        <v>2</v>
      </c>
      <c r="W890">
        <v>88</v>
      </c>
      <c r="X890">
        <v>2</v>
      </c>
      <c r="Y890">
        <v>80</v>
      </c>
      <c r="Z890">
        <v>1</v>
      </c>
      <c r="AA890">
        <v>93</v>
      </c>
      <c r="AB890">
        <v>1</v>
      </c>
      <c r="AC890">
        <v>89</v>
      </c>
      <c r="AD890">
        <v>1</v>
      </c>
      <c r="AE890">
        <v>86</v>
      </c>
      <c r="AF890">
        <v>2</v>
      </c>
      <c r="AG890">
        <v>80</v>
      </c>
      <c r="AH890">
        <v>2</v>
      </c>
    </row>
    <row r="891" spans="1:34">
      <c r="A891" t="s">
        <v>2715</v>
      </c>
      <c r="B891" s="24">
        <v>1816</v>
      </c>
      <c r="C891" s="24" t="s">
        <v>2716</v>
      </c>
      <c r="D891" s="24" t="s">
        <v>2717</v>
      </c>
      <c r="E891" s="93">
        <v>85</v>
      </c>
      <c r="F891" s="94">
        <v>4</v>
      </c>
      <c r="G891" s="94">
        <v>96</v>
      </c>
      <c r="H891" s="94">
        <v>4</v>
      </c>
      <c r="I891" s="94">
        <v>90</v>
      </c>
      <c r="J891" s="94">
        <v>4</v>
      </c>
      <c r="K891" s="94">
        <v>98</v>
      </c>
      <c r="L891" s="94">
        <v>2</v>
      </c>
      <c r="M891" s="94">
        <v>88</v>
      </c>
      <c r="N891" s="94">
        <v>2</v>
      </c>
      <c r="O891" s="94">
        <v>87</v>
      </c>
      <c r="P891" s="94">
        <v>2</v>
      </c>
      <c r="Q891">
        <v>88</v>
      </c>
      <c r="R891">
        <v>2</v>
      </c>
      <c r="S891">
        <v>80</v>
      </c>
      <c r="T891">
        <v>2</v>
      </c>
      <c r="U891">
        <v>70</v>
      </c>
      <c r="V891">
        <v>2</v>
      </c>
      <c r="W891">
        <v>91</v>
      </c>
      <c r="X891">
        <v>2</v>
      </c>
      <c r="Y891">
        <v>75</v>
      </c>
      <c r="Z891">
        <v>1</v>
      </c>
      <c r="AA891">
        <v>93</v>
      </c>
      <c r="AB891">
        <v>1</v>
      </c>
      <c r="AC891">
        <v>82</v>
      </c>
      <c r="AD891">
        <v>1</v>
      </c>
      <c r="AE891">
        <v>85</v>
      </c>
      <c r="AF891">
        <v>2</v>
      </c>
      <c r="AG891">
        <v>85</v>
      </c>
      <c r="AH891">
        <v>2</v>
      </c>
    </row>
    <row r="892" spans="1:34">
      <c r="A892" t="s">
        <v>2718</v>
      </c>
      <c r="B892" s="24">
        <v>1816</v>
      </c>
      <c r="C892" s="24" t="s">
        <v>2719</v>
      </c>
      <c r="D892" s="24" t="s">
        <v>2720</v>
      </c>
      <c r="E892" s="93">
        <v>74</v>
      </c>
      <c r="F892" s="94">
        <v>4</v>
      </c>
      <c r="G892" s="94">
        <v>90</v>
      </c>
      <c r="H892" s="94">
        <v>4</v>
      </c>
      <c r="I892" s="94">
        <v>83</v>
      </c>
      <c r="J892" s="94">
        <v>4</v>
      </c>
      <c r="K892" s="94">
        <v>96</v>
      </c>
      <c r="L892" s="94">
        <v>2</v>
      </c>
      <c r="M892" s="94">
        <v>92</v>
      </c>
      <c r="N892" s="94">
        <v>2</v>
      </c>
      <c r="O892" s="94">
        <v>84</v>
      </c>
      <c r="P892" s="94">
        <v>2</v>
      </c>
      <c r="Q892">
        <v>86</v>
      </c>
      <c r="R892">
        <v>2</v>
      </c>
      <c r="S892">
        <v>81</v>
      </c>
      <c r="T892">
        <v>2</v>
      </c>
      <c r="U892">
        <v>78</v>
      </c>
      <c r="V892">
        <v>2</v>
      </c>
      <c r="W892">
        <v>83</v>
      </c>
      <c r="X892">
        <v>2</v>
      </c>
      <c r="Y892">
        <v>70</v>
      </c>
      <c r="Z892">
        <v>1</v>
      </c>
      <c r="AA892">
        <v>93</v>
      </c>
      <c r="AB892">
        <v>1</v>
      </c>
      <c r="AC892">
        <v>84</v>
      </c>
      <c r="AD892">
        <v>1</v>
      </c>
      <c r="AE892">
        <v>50</v>
      </c>
      <c r="AF892">
        <v>1</v>
      </c>
      <c r="AG892">
        <v>86</v>
      </c>
      <c r="AH892">
        <v>2</v>
      </c>
    </row>
    <row r="893" spans="1:34">
      <c r="A893" t="s">
        <v>2721</v>
      </c>
      <c r="B893" s="24">
        <v>1816</v>
      </c>
      <c r="C893" s="24" t="s">
        <v>2722</v>
      </c>
      <c r="D893" s="24" t="s">
        <v>2723</v>
      </c>
      <c r="E893" s="93">
        <v>93.3333333333333</v>
      </c>
      <c r="F893" s="94">
        <v>4</v>
      </c>
      <c r="G893" s="94">
        <v>91</v>
      </c>
      <c r="H893" s="94">
        <v>4</v>
      </c>
      <c r="I893" s="94">
        <v>92</v>
      </c>
      <c r="J893" s="94">
        <v>4</v>
      </c>
      <c r="K893" s="94">
        <v>96</v>
      </c>
      <c r="L893" s="94">
        <v>2</v>
      </c>
      <c r="M893" s="94">
        <v>88</v>
      </c>
      <c r="N893" s="94">
        <v>2</v>
      </c>
      <c r="O893" s="94">
        <v>91</v>
      </c>
      <c r="P893" s="94">
        <v>2</v>
      </c>
      <c r="Q893">
        <v>100</v>
      </c>
      <c r="R893">
        <v>2</v>
      </c>
      <c r="S893">
        <v>82</v>
      </c>
      <c r="T893">
        <v>2</v>
      </c>
      <c r="U893">
        <v>82</v>
      </c>
      <c r="V893">
        <v>2</v>
      </c>
      <c r="W893">
        <v>98</v>
      </c>
      <c r="X893">
        <v>2</v>
      </c>
      <c r="Y893">
        <v>72</v>
      </c>
      <c r="Z893">
        <v>1</v>
      </c>
      <c r="AA893">
        <v>93</v>
      </c>
      <c r="AB893">
        <v>1</v>
      </c>
      <c r="AC893">
        <v>83</v>
      </c>
      <c r="AD893">
        <v>1</v>
      </c>
      <c r="AE893">
        <v>84</v>
      </c>
      <c r="AF893">
        <v>2</v>
      </c>
      <c r="AG893">
        <v>89</v>
      </c>
      <c r="AH893">
        <v>2</v>
      </c>
    </row>
    <row r="894" spans="1:34">
      <c r="A894" t="s">
        <v>2724</v>
      </c>
      <c r="B894" s="24">
        <v>1816</v>
      </c>
      <c r="C894" s="24" t="s">
        <v>2725</v>
      </c>
      <c r="D894" s="24" t="s">
        <v>2726</v>
      </c>
      <c r="E894" s="93">
        <v>91.6666666666667</v>
      </c>
      <c r="F894" s="94">
        <v>4</v>
      </c>
      <c r="G894" s="94">
        <v>91</v>
      </c>
      <c r="H894" s="94">
        <v>4</v>
      </c>
      <c r="I894" s="94">
        <v>93</v>
      </c>
      <c r="J894" s="94">
        <v>4</v>
      </c>
      <c r="K894" s="94">
        <v>90</v>
      </c>
      <c r="L894" s="94">
        <v>2</v>
      </c>
      <c r="M894" s="94">
        <v>92</v>
      </c>
      <c r="N894" s="94">
        <v>2</v>
      </c>
      <c r="O894" s="94">
        <v>85</v>
      </c>
      <c r="P894" s="94">
        <v>2</v>
      </c>
      <c r="Q894">
        <v>100</v>
      </c>
      <c r="R894">
        <v>2</v>
      </c>
      <c r="S894">
        <v>83</v>
      </c>
      <c r="T894">
        <v>2</v>
      </c>
      <c r="U894">
        <v>77</v>
      </c>
      <c r="V894">
        <v>2</v>
      </c>
      <c r="W894">
        <v>92</v>
      </c>
      <c r="X894">
        <v>2</v>
      </c>
      <c r="Y894">
        <v>70</v>
      </c>
      <c r="Z894">
        <v>1</v>
      </c>
      <c r="AA894">
        <v>93</v>
      </c>
      <c r="AB894">
        <v>1</v>
      </c>
      <c r="AC894">
        <v>86</v>
      </c>
      <c r="AD894">
        <v>1</v>
      </c>
      <c r="AE894">
        <v>86</v>
      </c>
      <c r="AF894">
        <v>2</v>
      </c>
      <c r="AG894">
        <v>96</v>
      </c>
      <c r="AH894">
        <v>2</v>
      </c>
    </row>
    <row r="895" spans="1:34">
      <c r="A895" t="s">
        <v>2727</v>
      </c>
      <c r="B895" s="24">
        <v>1816</v>
      </c>
      <c r="C895" s="24" t="s">
        <v>2728</v>
      </c>
      <c r="D895" s="24" t="s">
        <v>2729</v>
      </c>
      <c r="E895" s="93">
        <v>86.3333333333333</v>
      </c>
      <c r="F895" s="94">
        <v>4</v>
      </c>
      <c r="G895" s="94">
        <v>90</v>
      </c>
      <c r="H895" s="94">
        <v>4</v>
      </c>
      <c r="I895" s="94">
        <v>87</v>
      </c>
      <c r="J895" s="94">
        <v>4</v>
      </c>
      <c r="K895" s="94">
        <v>84</v>
      </c>
      <c r="L895" s="94">
        <v>2</v>
      </c>
      <c r="M895" s="94">
        <v>85</v>
      </c>
      <c r="N895" s="94">
        <v>2</v>
      </c>
      <c r="O895" s="94">
        <v>70</v>
      </c>
      <c r="P895" s="94">
        <v>2</v>
      </c>
      <c r="Q895">
        <v>81</v>
      </c>
      <c r="R895">
        <v>2</v>
      </c>
      <c r="S895">
        <v>84</v>
      </c>
      <c r="T895">
        <v>2</v>
      </c>
      <c r="U895">
        <v>72</v>
      </c>
      <c r="V895">
        <v>2</v>
      </c>
      <c r="W895">
        <v>84</v>
      </c>
      <c r="X895">
        <v>2</v>
      </c>
      <c r="Y895">
        <v>70</v>
      </c>
      <c r="Z895">
        <v>1</v>
      </c>
      <c r="AA895">
        <v>93</v>
      </c>
      <c r="AB895">
        <v>1</v>
      </c>
      <c r="AC895">
        <v>86</v>
      </c>
      <c r="AD895">
        <v>1</v>
      </c>
      <c r="AE895">
        <v>88</v>
      </c>
      <c r="AF895">
        <v>2</v>
      </c>
      <c r="AG895">
        <v>87</v>
      </c>
      <c r="AH895">
        <v>2</v>
      </c>
    </row>
    <row r="896" spans="1:34">
      <c r="A896" t="s">
        <v>2730</v>
      </c>
      <c r="B896" s="24">
        <v>1816</v>
      </c>
      <c r="C896" s="24" t="s">
        <v>2731</v>
      </c>
      <c r="D896" s="24" t="s">
        <v>2732</v>
      </c>
      <c r="E896" s="93">
        <v>82</v>
      </c>
      <c r="F896" s="94">
        <v>4</v>
      </c>
      <c r="G896" s="94">
        <v>90</v>
      </c>
      <c r="H896" s="94">
        <v>4</v>
      </c>
      <c r="I896" s="94">
        <v>95</v>
      </c>
      <c r="J896" s="94">
        <v>4</v>
      </c>
      <c r="K896" s="94">
        <v>83</v>
      </c>
      <c r="L896" s="94">
        <v>2</v>
      </c>
      <c r="M896" s="94">
        <v>75</v>
      </c>
      <c r="N896" s="94">
        <v>2</v>
      </c>
      <c r="O896" s="94">
        <v>83</v>
      </c>
      <c r="P896" s="94">
        <v>2</v>
      </c>
      <c r="Q896">
        <v>77</v>
      </c>
      <c r="R896">
        <v>2</v>
      </c>
      <c r="S896">
        <v>80</v>
      </c>
      <c r="T896">
        <v>2</v>
      </c>
      <c r="U896">
        <v>70</v>
      </c>
      <c r="V896">
        <v>2</v>
      </c>
      <c r="W896">
        <v>82</v>
      </c>
      <c r="X896">
        <v>2</v>
      </c>
      <c r="Y896">
        <v>70</v>
      </c>
      <c r="Z896">
        <v>1</v>
      </c>
      <c r="AA896">
        <v>93</v>
      </c>
      <c r="AB896">
        <v>1</v>
      </c>
      <c r="AC896">
        <v>78</v>
      </c>
      <c r="AD896">
        <v>1</v>
      </c>
      <c r="AE896">
        <v>87</v>
      </c>
      <c r="AF896">
        <v>2</v>
      </c>
      <c r="AG896">
        <v>90</v>
      </c>
      <c r="AH896">
        <v>2</v>
      </c>
    </row>
    <row r="897" spans="1:34">
      <c r="A897" t="s">
        <v>2733</v>
      </c>
      <c r="B897" s="24">
        <v>1816</v>
      </c>
      <c r="C897" s="24" t="s">
        <v>2734</v>
      </c>
      <c r="D897" s="24" t="s">
        <v>2735</v>
      </c>
      <c r="E897" s="93">
        <v>77</v>
      </c>
      <c r="F897" s="94">
        <v>4</v>
      </c>
      <c r="G897" s="94">
        <v>86</v>
      </c>
      <c r="H897" s="94">
        <v>4</v>
      </c>
      <c r="I897" s="94">
        <v>87</v>
      </c>
      <c r="J897" s="94">
        <v>4</v>
      </c>
      <c r="K897" s="94">
        <v>83</v>
      </c>
      <c r="L897" s="94">
        <v>2</v>
      </c>
      <c r="M897" s="94">
        <v>75</v>
      </c>
      <c r="N897" s="94">
        <v>2</v>
      </c>
      <c r="O897" s="94">
        <v>70</v>
      </c>
      <c r="P897" s="94">
        <v>2</v>
      </c>
      <c r="Q897">
        <v>69</v>
      </c>
      <c r="R897">
        <v>2</v>
      </c>
      <c r="S897">
        <v>81</v>
      </c>
      <c r="T897">
        <v>2</v>
      </c>
      <c r="U897">
        <v>70</v>
      </c>
      <c r="V897">
        <v>2</v>
      </c>
      <c r="W897">
        <v>80</v>
      </c>
      <c r="X897">
        <v>2</v>
      </c>
      <c r="Y897">
        <v>76</v>
      </c>
      <c r="Z897">
        <v>1</v>
      </c>
      <c r="AA897">
        <v>93</v>
      </c>
      <c r="AB897">
        <v>1</v>
      </c>
      <c r="AC897">
        <v>88</v>
      </c>
      <c r="AD897">
        <v>1</v>
      </c>
      <c r="AE897">
        <v>80</v>
      </c>
      <c r="AF897">
        <v>2</v>
      </c>
      <c r="AG897">
        <v>86</v>
      </c>
      <c r="AH897">
        <v>2</v>
      </c>
    </row>
    <row r="898" spans="1:34">
      <c r="A898" t="s">
        <v>2736</v>
      </c>
      <c r="B898" s="24">
        <v>1816</v>
      </c>
      <c r="C898" s="24" t="s">
        <v>2737</v>
      </c>
      <c r="D898" s="24" t="s">
        <v>2738</v>
      </c>
      <c r="E898" s="93">
        <v>84</v>
      </c>
      <c r="F898" s="94">
        <v>4</v>
      </c>
      <c r="G898" s="94">
        <v>85</v>
      </c>
      <c r="H898" s="94">
        <v>4</v>
      </c>
      <c r="I898" s="94">
        <v>92</v>
      </c>
      <c r="J898" s="94">
        <v>4</v>
      </c>
      <c r="K898" s="94">
        <v>81</v>
      </c>
      <c r="L898" s="94">
        <v>2</v>
      </c>
      <c r="M898" s="94">
        <v>68</v>
      </c>
      <c r="N898" s="94">
        <v>2</v>
      </c>
      <c r="O898" s="94">
        <v>79</v>
      </c>
      <c r="P898" s="94">
        <v>2</v>
      </c>
      <c r="Q898">
        <v>84</v>
      </c>
      <c r="R898">
        <v>2</v>
      </c>
      <c r="S898">
        <v>82</v>
      </c>
      <c r="T898">
        <v>2</v>
      </c>
      <c r="U898">
        <v>70</v>
      </c>
      <c r="V898">
        <v>2</v>
      </c>
      <c r="W898">
        <v>85</v>
      </c>
      <c r="X898">
        <v>2</v>
      </c>
      <c r="Y898">
        <v>74</v>
      </c>
      <c r="Z898">
        <v>1</v>
      </c>
      <c r="AA898">
        <v>93</v>
      </c>
      <c r="AB898">
        <v>1</v>
      </c>
      <c r="AC898">
        <v>80</v>
      </c>
      <c r="AD898">
        <v>1</v>
      </c>
      <c r="AE898">
        <v>84</v>
      </c>
      <c r="AF898">
        <v>2</v>
      </c>
      <c r="AG898">
        <v>87</v>
      </c>
      <c r="AH898">
        <v>2</v>
      </c>
    </row>
    <row r="899" spans="1:34">
      <c r="A899" t="s">
        <v>2739</v>
      </c>
      <c r="B899" s="24">
        <v>1816</v>
      </c>
      <c r="C899" s="24" t="s">
        <v>2740</v>
      </c>
      <c r="D899" s="24" t="s">
        <v>2741</v>
      </c>
      <c r="E899" s="93">
        <v>89.6666666666667</v>
      </c>
      <c r="F899" s="94">
        <v>4</v>
      </c>
      <c r="G899" s="94">
        <v>88</v>
      </c>
      <c r="H899" s="94">
        <v>4</v>
      </c>
      <c r="I899" s="94">
        <v>90</v>
      </c>
      <c r="J899" s="94">
        <v>4</v>
      </c>
      <c r="K899" s="94">
        <v>84</v>
      </c>
      <c r="L899" s="94">
        <v>2</v>
      </c>
      <c r="M899" s="94">
        <v>69</v>
      </c>
      <c r="N899" s="94">
        <v>2</v>
      </c>
      <c r="O899" s="94">
        <v>82</v>
      </c>
      <c r="P899" s="94">
        <v>2</v>
      </c>
      <c r="Q899">
        <v>91</v>
      </c>
      <c r="R899">
        <v>2</v>
      </c>
      <c r="S899">
        <v>83</v>
      </c>
      <c r="T899">
        <v>2</v>
      </c>
      <c r="U899">
        <v>83</v>
      </c>
      <c r="V899">
        <v>2</v>
      </c>
      <c r="W899">
        <v>85</v>
      </c>
      <c r="X899">
        <v>2</v>
      </c>
      <c r="Y899">
        <v>75</v>
      </c>
      <c r="Z899">
        <v>1</v>
      </c>
      <c r="AA899">
        <v>93</v>
      </c>
      <c r="AB899">
        <v>1</v>
      </c>
      <c r="AC899">
        <v>87</v>
      </c>
      <c r="AD899">
        <v>1</v>
      </c>
      <c r="AE899">
        <v>90</v>
      </c>
      <c r="AF899">
        <v>2</v>
      </c>
      <c r="AG899">
        <v>90</v>
      </c>
      <c r="AH899">
        <v>2</v>
      </c>
    </row>
    <row r="900" spans="1:34">
      <c r="A900" t="s">
        <v>2742</v>
      </c>
      <c r="B900" s="24">
        <v>1816</v>
      </c>
      <c r="C900" s="24" t="s">
        <v>2743</v>
      </c>
      <c r="D900" s="24" t="s">
        <v>2744</v>
      </c>
      <c r="E900" s="93">
        <v>85</v>
      </c>
      <c r="F900" s="94">
        <v>4</v>
      </c>
      <c r="G900" s="94">
        <v>87</v>
      </c>
      <c r="H900" s="94">
        <v>4</v>
      </c>
      <c r="I900" s="94">
        <v>87</v>
      </c>
      <c r="J900" s="94">
        <v>4</v>
      </c>
      <c r="K900" s="94">
        <v>85</v>
      </c>
      <c r="L900" s="94">
        <v>2</v>
      </c>
      <c r="M900" s="94">
        <v>86</v>
      </c>
      <c r="N900" s="94">
        <v>2</v>
      </c>
      <c r="O900" s="94">
        <v>78</v>
      </c>
      <c r="P900" s="94">
        <v>2</v>
      </c>
      <c r="Q900">
        <v>87</v>
      </c>
      <c r="R900">
        <v>2</v>
      </c>
      <c r="S900">
        <v>84</v>
      </c>
      <c r="T900">
        <v>2</v>
      </c>
      <c r="U900">
        <v>70</v>
      </c>
      <c r="V900">
        <v>2</v>
      </c>
      <c r="W900">
        <v>80</v>
      </c>
      <c r="X900">
        <v>2</v>
      </c>
      <c r="Y900">
        <v>71</v>
      </c>
      <c r="Z900">
        <v>1</v>
      </c>
      <c r="AA900">
        <v>93</v>
      </c>
      <c r="AB900">
        <v>1</v>
      </c>
      <c r="AC900">
        <v>89</v>
      </c>
      <c r="AD900">
        <v>1</v>
      </c>
      <c r="AE900">
        <v>86</v>
      </c>
      <c r="AF900">
        <v>2</v>
      </c>
      <c r="AG900">
        <v>87</v>
      </c>
      <c r="AH900">
        <v>2</v>
      </c>
    </row>
    <row r="901" spans="1:34">
      <c r="A901" t="s">
        <v>2745</v>
      </c>
      <c r="B901" s="24">
        <v>1816</v>
      </c>
      <c r="C901" s="24" t="s">
        <v>2746</v>
      </c>
      <c r="D901" s="24" t="s">
        <v>2747</v>
      </c>
      <c r="E901" s="93">
        <v>90</v>
      </c>
      <c r="F901" s="94">
        <v>4</v>
      </c>
      <c r="G901" s="94">
        <v>92</v>
      </c>
      <c r="H901" s="94">
        <v>4</v>
      </c>
      <c r="I901" s="94">
        <v>95</v>
      </c>
      <c r="J901" s="94">
        <v>4</v>
      </c>
      <c r="K901" s="94">
        <v>88</v>
      </c>
      <c r="L901" s="94">
        <v>2</v>
      </c>
      <c r="M901" s="94">
        <v>92</v>
      </c>
      <c r="N901" s="94">
        <v>2</v>
      </c>
      <c r="O901" s="94">
        <v>81</v>
      </c>
      <c r="P901" s="94">
        <v>2</v>
      </c>
      <c r="Q901">
        <v>100</v>
      </c>
      <c r="R901">
        <v>2</v>
      </c>
      <c r="S901">
        <v>80</v>
      </c>
      <c r="T901">
        <v>2</v>
      </c>
      <c r="U901">
        <v>79</v>
      </c>
      <c r="V901">
        <v>2</v>
      </c>
      <c r="W901">
        <v>89</v>
      </c>
      <c r="X901">
        <v>2</v>
      </c>
      <c r="Y901">
        <v>75</v>
      </c>
      <c r="Z901">
        <v>1</v>
      </c>
      <c r="AA901">
        <v>93</v>
      </c>
      <c r="AB901">
        <v>1</v>
      </c>
      <c r="AC901">
        <v>75</v>
      </c>
      <c r="AD901">
        <v>1</v>
      </c>
      <c r="AE901">
        <v>92</v>
      </c>
      <c r="AF901">
        <v>2</v>
      </c>
      <c r="AG901">
        <v>86</v>
      </c>
      <c r="AH901">
        <v>2</v>
      </c>
    </row>
    <row r="902" spans="1:34">
      <c r="A902" t="s">
        <v>2999</v>
      </c>
      <c r="B902" s="24">
        <v>1816</v>
      </c>
      <c r="C902" s="24" t="s">
        <v>3242</v>
      </c>
      <c r="D902" s="24" t="s">
        <v>3000</v>
      </c>
      <c r="E902" s="93">
        <v>90</v>
      </c>
      <c r="F902" s="94">
        <v>4</v>
      </c>
      <c r="G902" s="94">
        <v>80</v>
      </c>
      <c r="H902" s="94">
        <v>4</v>
      </c>
      <c r="I902" s="94">
        <v>88</v>
      </c>
      <c r="J902" s="94">
        <v>4</v>
      </c>
      <c r="K902" s="94">
        <v>83</v>
      </c>
      <c r="L902" s="94">
        <v>2</v>
      </c>
      <c r="M902" s="94">
        <v>78</v>
      </c>
      <c r="N902" s="94">
        <v>2</v>
      </c>
      <c r="O902" s="94">
        <v>70</v>
      </c>
      <c r="P902" s="94">
        <v>2</v>
      </c>
      <c r="Q902">
        <v>100</v>
      </c>
      <c r="R902">
        <v>2</v>
      </c>
      <c r="S902">
        <v>81</v>
      </c>
      <c r="T902">
        <v>2</v>
      </c>
      <c r="U902">
        <v>90</v>
      </c>
      <c r="V902">
        <v>2</v>
      </c>
      <c r="W902">
        <v>81</v>
      </c>
      <c r="X902">
        <v>2</v>
      </c>
      <c r="Y902">
        <v>80</v>
      </c>
      <c r="Z902">
        <v>1</v>
      </c>
      <c r="AA902">
        <v>93</v>
      </c>
      <c r="AB902">
        <v>1</v>
      </c>
      <c r="AC902">
        <v>78</v>
      </c>
      <c r="AD902">
        <v>1</v>
      </c>
      <c r="AE902">
        <v>90</v>
      </c>
      <c r="AF902">
        <v>2</v>
      </c>
      <c r="AG902">
        <v>89</v>
      </c>
      <c r="AH902">
        <v>2</v>
      </c>
    </row>
    <row r="903" spans="1:34">
      <c r="A903" t="s">
        <v>2748</v>
      </c>
      <c r="B903" s="24">
        <v>1817</v>
      </c>
      <c r="C903" s="24" t="s">
        <v>2749</v>
      </c>
      <c r="D903" s="24" t="s">
        <v>2750</v>
      </c>
      <c r="E903" s="93">
        <v>89</v>
      </c>
      <c r="F903" s="94">
        <v>4</v>
      </c>
      <c r="G903" s="94">
        <v>83</v>
      </c>
      <c r="H903" s="94">
        <v>4</v>
      </c>
      <c r="I903" s="94">
        <v>87</v>
      </c>
      <c r="J903" s="94">
        <v>4</v>
      </c>
      <c r="K903" s="94">
        <v>85</v>
      </c>
      <c r="L903" s="94">
        <v>2</v>
      </c>
      <c r="M903" s="94">
        <v>78</v>
      </c>
      <c r="N903" s="94">
        <v>2</v>
      </c>
      <c r="O903" s="94">
        <v>70</v>
      </c>
      <c r="P903" s="94">
        <v>2</v>
      </c>
      <c r="Q903">
        <v>79</v>
      </c>
      <c r="R903">
        <v>2</v>
      </c>
      <c r="S903">
        <v>82</v>
      </c>
      <c r="T903">
        <v>2</v>
      </c>
      <c r="U903">
        <v>82</v>
      </c>
      <c r="V903">
        <v>2</v>
      </c>
      <c r="W903">
        <v>81</v>
      </c>
      <c r="X903">
        <v>2</v>
      </c>
      <c r="Y903">
        <v>78</v>
      </c>
      <c r="Z903">
        <v>1</v>
      </c>
      <c r="AA903">
        <v>91</v>
      </c>
      <c r="AB903">
        <v>1</v>
      </c>
      <c r="AC903">
        <v>76</v>
      </c>
      <c r="AD903">
        <v>1</v>
      </c>
      <c r="AE903">
        <v>88</v>
      </c>
      <c r="AF903">
        <v>2</v>
      </c>
      <c r="AG903">
        <v>78</v>
      </c>
      <c r="AH903">
        <v>2</v>
      </c>
    </row>
    <row r="904" spans="1:34">
      <c r="A904" t="s">
        <v>2751</v>
      </c>
      <c r="B904" s="24">
        <v>1817</v>
      </c>
      <c r="C904" s="24" t="s">
        <v>2752</v>
      </c>
      <c r="D904" s="24" t="s">
        <v>2753</v>
      </c>
      <c r="E904" s="93">
        <v>80</v>
      </c>
      <c r="F904" s="94">
        <v>4</v>
      </c>
      <c r="G904" s="94">
        <v>91</v>
      </c>
      <c r="H904" s="94">
        <v>4</v>
      </c>
      <c r="I904" s="94">
        <v>86</v>
      </c>
      <c r="J904" s="94">
        <v>4</v>
      </c>
      <c r="K904" s="94">
        <v>84</v>
      </c>
      <c r="L904" s="94">
        <v>2</v>
      </c>
      <c r="M904" s="94">
        <v>79</v>
      </c>
      <c r="N904" s="94">
        <v>2</v>
      </c>
      <c r="O904" s="94">
        <v>70</v>
      </c>
      <c r="P904" s="94">
        <v>2</v>
      </c>
      <c r="Q904">
        <v>75</v>
      </c>
      <c r="R904">
        <v>2</v>
      </c>
      <c r="S904">
        <v>83</v>
      </c>
      <c r="T904">
        <v>2</v>
      </c>
      <c r="U904">
        <v>70</v>
      </c>
      <c r="V904">
        <v>2</v>
      </c>
      <c r="W904">
        <v>81</v>
      </c>
      <c r="X904">
        <v>2</v>
      </c>
      <c r="Y904">
        <v>80</v>
      </c>
      <c r="Z904">
        <v>1</v>
      </c>
      <c r="AA904">
        <v>91</v>
      </c>
      <c r="AB904">
        <v>1</v>
      </c>
      <c r="AC904">
        <v>84</v>
      </c>
      <c r="AD904">
        <v>1</v>
      </c>
      <c r="AE904">
        <v>89</v>
      </c>
      <c r="AF904">
        <v>2</v>
      </c>
      <c r="AG904">
        <v>80</v>
      </c>
      <c r="AH904">
        <v>2</v>
      </c>
    </row>
    <row r="905" spans="1:34">
      <c r="A905" t="s">
        <v>2754</v>
      </c>
      <c r="B905" s="24">
        <v>1817</v>
      </c>
      <c r="C905" s="24" t="s">
        <v>2755</v>
      </c>
      <c r="D905" s="24" t="s">
        <v>2756</v>
      </c>
      <c r="E905" s="93">
        <v>88</v>
      </c>
      <c r="F905" s="94">
        <v>4</v>
      </c>
      <c r="G905" s="94">
        <v>80</v>
      </c>
      <c r="H905" s="94">
        <v>4</v>
      </c>
      <c r="I905" s="94">
        <v>86</v>
      </c>
      <c r="J905" s="94">
        <v>4</v>
      </c>
      <c r="K905" s="94">
        <v>83</v>
      </c>
      <c r="L905" s="94">
        <v>2</v>
      </c>
      <c r="M905" s="94">
        <v>85</v>
      </c>
      <c r="N905" s="94">
        <v>2</v>
      </c>
      <c r="O905" s="94">
        <v>87</v>
      </c>
      <c r="P905" s="94">
        <v>2</v>
      </c>
      <c r="Q905">
        <v>100</v>
      </c>
      <c r="R905">
        <v>2</v>
      </c>
      <c r="S905">
        <v>84</v>
      </c>
      <c r="T905">
        <v>2</v>
      </c>
      <c r="U905">
        <v>85</v>
      </c>
      <c r="V905">
        <v>2</v>
      </c>
      <c r="W905">
        <v>93</v>
      </c>
      <c r="X905">
        <v>2</v>
      </c>
      <c r="Y905">
        <v>79</v>
      </c>
      <c r="Z905">
        <v>1</v>
      </c>
      <c r="AA905">
        <v>91</v>
      </c>
      <c r="AB905">
        <v>1</v>
      </c>
      <c r="AC905">
        <v>87</v>
      </c>
      <c r="AD905">
        <v>1</v>
      </c>
      <c r="AE905">
        <v>90</v>
      </c>
      <c r="AF905">
        <v>2</v>
      </c>
      <c r="AG905">
        <v>76</v>
      </c>
      <c r="AH905">
        <v>2</v>
      </c>
    </row>
    <row r="906" spans="1:34">
      <c r="A906" t="s">
        <v>2757</v>
      </c>
      <c r="B906" s="24">
        <v>1817</v>
      </c>
      <c r="C906" s="24" t="s">
        <v>2758</v>
      </c>
      <c r="D906" s="24" t="s">
        <v>2759</v>
      </c>
      <c r="E906" s="93">
        <v>81</v>
      </c>
      <c r="F906" s="94">
        <v>4</v>
      </c>
      <c r="G906" s="94">
        <v>81</v>
      </c>
      <c r="H906" s="94">
        <v>4</v>
      </c>
      <c r="I906" s="94">
        <v>90</v>
      </c>
      <c r="J906" s="94">
        <v>4</v>
      </c>
      <c r="K906" s="94">
        <v>85</v>
      </c>
      <c r="L906" s="94">
        <v>2</v>
      </c>
      <c r="M906" s="94">
        <v>75</v>
      </c>
      <c r="N906" s="94">
        <v>2</v>
      </c>
      <c r="O906" s="94">
        <v>70</v>
      </c>
      <c r="P906" s="94">
        <v>2</v>
      </c>
      <c r="Q906">
        <v>84</v>
      </c>
      <c r="R906">
        <v>2</v>
      </c>
      <c r="S906">
        <v>85</v>
      </c>
      <c r="T906">
        <v>2</v>
      </c>
      <c r="U906">
        <v>81</v>
      </c>
      <c r="V906">
        <v>2</v>
      </c>
      <c r="W906">
        <v>83</v>
      </c>
      <c r="X906">
        <v>2</v>
      </c>
      <c r="Y906">
        <v>78</v>
      </c>
      <c r="Z906">
        <v>1</v>
      </c>
      <c r="AA906">
        <v>91</v>
      </c>
      <c r="AB906">
        <v>1</v>
      </c>
      <c r="AC906">
        <v>85</v>
      </c>
      <c r="AD906">
        <v>1</v>
      </c>
      <c r="AE906">
        <v>89</v>
      </c>
      <c r="AF906">
        <v>2</v>
      </c>
      <c r="AG906">
        <v>76</v>
      </c>
      <c r="AH906">
        <v>2</v>
      </c>
    </row>
    <row r="907" spans="1:34">
      <c r="A907" t="s">
        <v>2760</v>
      </c>
      <c r="B907" s="24">
        <v>1817</v>
      </c>
      <c r="C907" s="24" t="s">
        <v>2761</v>
      </c>
      <c r="D907" s="24" t="s">
        <v>2762</v>
      </c>
      <c r="E907" s="93">
        <v>80</v>
      </c>
      <c r="F907" s="94">
        <v>4</v>
      </c>
      <c r="G907" s="94">
        <v>82</v>
      </c>
      <c r="H907" s="94">
        <v>4</v>
      </c>
      <c r="I907" s="94">
        <v>90</v>
      </c>
      <c r="J907" s="94">
        <v>4</v>
      </c>
      <c r="K907" s="94">
        <v>84</v>
      </c>
      <c r="L907" s="94">
        <v>2</v>
      </c>
      <c r="M907" s="94">
        <v>71</v>
      </c>
      <c r="N907" s="94">
        <v>2</v>
      </c>
      <c r="O907" s="94">
        <v>70</v>
      </c>
      <c r="P907" s="94">
        <v>2</v>
      </c>
      <c r="Q907">
        <v>84</v>
      </c>
      <c r="R907">
        <v>2</v>
      </c>
      <c r="S907">
        <v>80</v>
      </c>
      <c r="T907">
        <v>2</v>
      </c>
      <c r="U907">
        <v>70</v>
      </c>
      <c r="V907">
        <v>2</v>
      </c>
      <c r="W907">
        <v>86</v>
      </c>
      <c r="X907">
        <v>2</v>
      </c>
      <c r="Y907">
        <v>76</v>
      </c>
      <c r="Z907">
        <v>1</v>
      </c>
      <c r="AA907">
        <v>91</v>
      </c>
      <c r="AB907">
        <v>1</v>
      </c>
      <c r="AC907">
        <v>89</v>
      </c>
      <c r="AD907">
        <v>1</v>
      </c>
      <c r="AE907">
        <v>85</v>
      </c>
      <c r="AF907">
        <v>2</v>
      </c>
      <c r="AG907">
        <v>90</v>
      </c>
      <c r="AH907">
        <v>2</v>
      </c>
    </row>
    <row r="908" spans="1:34">
      <c r="A908" t="s">
        <v>2763</v>
      </c>
      <c r="B908" s="24">
        <v>1817</v>
      </c>
      <c r="C908" s="24" t="s">
        <v>2764</v>
      </c>
      <c r="D908" s="24" t="s">
        <v>2765</v>
      </c>
      <c r="E908" s="93">
        <v>84</v>
      </c>
      <c r="F908" s="94">
        <v>4</v>
      </c>
      <c r="G908" s="94">
        <v>84</v>
      </c>
      <c r="H908" s="94">
        <v>4</v>
      </c>
      <c r="I908" s="94">
        <v>85</v>
      </c>
      <c r="J908" s="94">
        <v>4</v>
      </c>
      <c r="K908" s="94">
        <v>83</v>
      </c>
      <c r="L908" s="94">
        <v>2</v>
      </c>
      <c r="M908" s="94">
        <v>86</v>
      </c>
      <c r="N908" s="94">
        <v>2</v>
      </c>
      <c r="O908" s="94">
        <v>70</v>
      </c>
      <c r="P908" s="94">
        <v>2</v>
      </c>
      <c r="Q908">
        <v>92</v>
      </c>
      <c r="R908">
        <v>2</v>
      </c>
      <c r="S908">
        <v>81</v>
      </c>
      <c r="T908">
        <v>2</v>
      </c>
      <c r="U908">
        <v>73</v>
      </c>
      <c r="V908">
        <v>2</v>
      </c>
      <c r="W908">
        <v>88</v>
      </c>
      <c r="X908">
        <v>2</v>
      </c>
      <c r="Y908">
        <v>78</v>
      </c>
      <c r="Z908">
        <v>1</v>
      </c>
      <c r="AA908">
        <v>91</v>
      </c>
      <c r="AB908">
        <v>1</v>
      </c>
      <c r="AC908">
        <v>84</v>
      </c>
      <c r="AD908">
        <v>1</v>
      </c>
      <c r="AE908">
        <v>88</v>
      </c>
      <c r="AF908">
        <v>2</v>
      </c>
      <c r="AG908">
        <v>88</v>
      </c>
      <c r="AH908">
        <v>2</v>
      </c>
    </row>
    <row r="909" spans="1:34">
      <c r="A909" t="s">
        <v>2766</v>
      </c>
      <c r="B909" s="24">
        <v>1817</v>
      </c>
      <c r="C909" s="24" t="s">
        <v>2767</v>
      </c>
      <c r="D909" s="24" t="s">
        <v>2768</v>
      </c>
      <c r="E909" s="93">
        <v>86</v>
      </c>
      <c r="F909" s="94">
        <v>4</v>
      </c>
      <c r="G909" s="94">
        <v>86</v>
      </c>
      <c r="H909" s="94">
        <v>4</v>
      </c>
      <c r="I909" s="94">
        <v>87</v>
      </c>
      <c r="J909" s="94">
        <v>4</v>
      </c>
      <c r="K909" s="94">
        <v>83</v>
      </c>
      <c r="L909" s="94">
        <v>2</v>
      </c>
      <c r="M909" s="94">
        <v>82</v>
      </c>
      <c r="N909" s="94">
        <v>2</v>
      </c>
      <c r="O909" s="94">
        <v>71</v>
      </c>
      <c r="P909" s="94">
        <v>2</v>
      </c>
      <c r="Q909">
        <v>100</v>
      </c>
      <c r="R909">
        <v>2</v>
      </c>
      <c r="S909">
        <v>82</v>
      </c>
      <c r="T909">
        <v>2</v>
      </c>
      <c r="U909">
        <v>77</v>
      </c>
      <c r="V909">
        <v>2</v>
      </c>
      <c r="W909">
        <v>92</v>
      </c>
      <c r="X909">
        <v>2</v>
      </c>
      <c r="Y909">
        <v>80</v>
      </c>
      <c r="Z909">
        <v>1</v>
      </c>
      <c r="AA909">
        <v>91</v>
      </c>
      <c r="AB909">
        <v>1</v>
      </c>
      <c r="AC909">
        <v>83</v>
      </c>
      <c r="AD909">
        <v>1</v>
      </c>
      <c r="AE909">
        <v>85</v>
      </c>
      <c r="AF909">
        <v>2</v>
      </c>
      <c r="AG909">
        <v>78</v>
      </c>
      <c r="AH909">
        <v>2</v>
      </c>
    </row>
    <row r="910" spans="1:34">
      <c r="A910" t="s">
        <v>2769</v>
      </c>
      <c r="B910" s="24">
        <v>1817</v>
      </c>
      <c r="C910" s="24" t="s">
        <v>2770</v>
      </c>
      <c r="D910" s="24" t="s">
        <v>2771</v>
      </c>
      <c r="E910" s="93">
        <v>88</v>
      </c>
      <c r="F910" s="94">
        <v>4</v>
      </c>
      <c r="G910" s="94">
        <v>86</v>
      </c>
      <c r="H910" s="94">
        <v>4</v>
      </c>
      <c r="I910" s="94">
        <v>88</v>
      </c>
      <c r="J910" s="94">
        <v>4</v>
      </c>
      <c r="K910" s="94">
        <v>83</v>
      </c>
      <c r="L910" s="94">
        <v>2</v>
      </c>
      <c r="M910" s="94">
        <v>78</v>
      </c>
      <c r="N910" s="94">
        <v>2</v>
      </c>
      <c r="O910" s="94">
        <v>70</v>
      </c>
      <c r="P910" s="94">
        <v>2</v>
      </c>
      <c r="Q910">
        <v>84</v>
      </c>
      <c r="R910">
        <v>2</v>
      </c>
      <c r="S910">
        <v>83</v>
      </c>
      <c r="T910">
        <v>2</v>
      </c>
      <c r="U910">
        <v>79</v>
      </c>
      <c r="V910">
        <v>2</v>
      </c>
      <c r="W910">
        <v>85</v>
      </c>
      <c r="X910">
        <v>2</v>
      </c>
      <c r="Y910">
        <v>84</v>
      </c>
      <c r="Z910">
        <v>1</v>
      </c>
      <c r="AA910">
        <v>91</v>
      </c>
      <c r="AB910">
        <v>1</v>
      </c>
      <c r="AC910">
        <v>85</v>
      </c>
      <c r="AD910">
        <v>1</v>
      </c>
      <c r="AE910">
        <v>88</v>
      </c>
      <c r="AF910">
        <v>2</v>
      </c>
      <c r="AG910">
        <v>90</v>
      </c>
      <c r="AH910">
        <v>2</v>
      </c>
    </row>
    <row r="911" spans="1:34">
      <c r="A911" t="s">
        <v>2772</v>
      </c>
      <c r="B911" s="24">
        <v>1817</v>
      </c>
      <c r="C911" s="24" t="s">
        <v>2773</v>
      </c>
      <c r="D911" s="24" t="s">
        <v>2774</v>
      </c>
      <c r="E911" s="93">
        <v>83</v>
      </c>
      <c r="F911" s="94">
        <v>4</v>
      </c>
      <c r="G911" s="94">
        <v>90</v>
      </c>
      <c r="H911" s="94">
        <v>4</v>
      </c>
      <c r="I911" s="94">
        <v>86</v>
      </c>
      <c r="J911" s="94">
        <v>4</v>
      </c>
      <c r="K911" s="94">
        <v>88</v>
      </c>
      <c r="L911" s="94">
        <v>2</v>
      </c>
      <c r="M911" s="94">
        <v>75</v>
      </c>
      <c r="N911" s="94">
        <v>2</v>
      </c>
      <c r="O911" s="94">
        <v>70</v>
      </c>
      <c r="P911" s="94">
        <v>2</v>
      </c>
      <c r="Q911">
        <v>100</v>
      </c>
      <c r="R911">
        <v>2</v>
      </c>
      <c r="S911">
        <v>84</v>
      </c>
      <c r="T911">
        <v>2</v>
      </c>
      <c r="U911">
        <v>70</v>
      </c>
      <c r="V911">
        <v>2</v>
      </c>
      <c r="W911">
        <v>85</v>
      </c>
      <c r="X911">
        <v>2</v>
      </c>
      <c r="Y911">
        <v>80</v>
      </c>
      <c r="Z911">
        <v>1</v>
      </c>
      <c r="AA911">
        <v>91</v>
      </c>
      <c r="AB911">
        <v>1</v>
      </c>
      <c r="AC911">
        <v>84</v>
      </c>
      <c r="AD911">
        <v>1</v>
      </c>
      <c r="AE911">
        <v>86</v>
      </c>
      <c r="AF911">
        <v>2</v>
      </c>
      <c r="AG911">
        <v>90</v>
      </c>
      <c r="AH911">
        <v>2</v>
      </c>
    </row>
    <row r="912" spans="1:34">
      <c r="A912" t="s">
        <v>2775</v>
      </c>
      <c r="B912" s="24">
        <v>1817</v>
      </c>
      <c r="C912" s="24" t="s">
        <v>2776</v>
      </c>
      <c r="D912" s="24" t="s">
        <v>2777</v>
      </c>
      <c r="E912" s="93">
        <v>89</v>
      </c>
      <c r="F912" s="94">
        <v>4</v>
      </c>
      <c r="G912" s="94">
        <v>90</v>
      </c>
      <c r="H912" s="94">
        <v>4</v>
      </c>
      <c r="I912" s="94">
        <v>90</v>
      </c>
      <c r="J912" s="94">
        <v>4</v>
      </c>
      <c r="K912" s="94">
        <v>84</v>
      </c>
      <c r="L912" s="94">
        <v>2</v>
      </c>
      <c r="M912" s="94">
        <v>76</v>
      </c>
      <c r="N912" s="94">
        <v>2</v>
      </c>
      <c r="O912" s="94">
        <v>78</v>
      </c>
      <c r="P912" s="94">
        <v>2</v>
      </c>
      <c r="Q912">
        <v>100</v>
      </c>
      <c r="R912">
        <v>2</v>
      </c>
      <c r="S912">
        <v>85</v>
      </c>
      <c r="T912">
        <v>2</v>
      </c>
      <c r="U912">
        <v>81</v>
      </c>
      <c r="V912">
        <v>2</v>
      </c>
      <c r="W912">
        <v>86</v>
      </c>
      <c r="X912">
        <v>2</v>
      </c>
      <c r="Y912">
        <v>81</v>
      </c>
      <c r="Z912">
        <v>1</v>
      </c>
      <c r="AA912">
        <v>91</v>
      </c>
      <c r="AB912">
        <v>1</v>
      </c>
      <c r="AC912">
        <v>86</v>
      </c>
      <c r="AD912">
        <v>1</v>
      </c>
      <c r="AE912">
        <v>86</v>
      </c>
      <c r="AF912">
        <v>2</v>
      </c>
      <c r="AG912">
        <v>90</v>
      </c>
      <c r="AH912">
        <v>2</v>
      </c>
    </row>
    <row r="913" spans="1:34">
      <c r="A913" t="s">
        <v>2778</v>
      </c>
      <c r="B913" s="24">
        <v>1817</v>
      </c>
      <c r="C913" s="24" t="s">
        <v>2779</v>
      </c>
      <c r="D913" s="24" t="s">
        <v>2780</v>
      </c>
      <c r="E913" s="93">
        <v>90</v>
      </c>
      <c r="F913" s="94">
        <v>4</v>
      </c>
      <c r="G913" s="94">
        <v>88</v>
      </c>
      <c r="H913" s="94">
        <v>4</v>
      </c>
      <c r="I913" s="94">
        <v>88</v>
      </c>
      <c r="J913" s="94">
        <v>4</v>
      </c>
      <c r="K913" s="94">
        <v>83</v>
      </c>
      <c r="L913" s="94">
        <v>2</v>
      </c>
      <c r="M913" s="94">
        <v>68</v>
      </c>
      <c r="N913" s="94">
        <v>2</v>
      </c>
      <c r="O913" s="94">
        <v>70</v>
      </c>
      <c r="P913" s="94">
        <v>2</v>
      </c>
      <c r="Q913">
        <v>91</v>
      </c>
      <c r="R913">
        <v>2</v>
      </c>
      <c r="S913">
        <v>86</v>
      </c>
      <c r="T913">
        <v>2</v>
      </c>
      <c r="U913">
        <v>70</v>
      </c>
      <c r="V913">
        <v>2</v>
      </c>
      <c r="W913">
        <v>85</v>
      </c>
      <c r="X913">
        <v>2</v>
      </c>
      <c r="Y913">
        <v>83</v>
      </c>
      <c r="Z913">
        <v>1</v>
      </c>
      <c r="AA913">
        <v>91</v>
      </c>
      <c r="AB913">
        <v>1</v>
      </c>
      <c r="AC913">
        <v>89</v>
      </c>
      <c r="AD913">
        <v>1</v>
      </c>
      <c r="AE913">
        <v>89</v>
      </c>
      <c r="AF913">
        <v>2</v>
      </c>
      <c r="AG913">
        <v>88</v>
      </c>
      <c r="AH913">
        <v>2</v>
      </c>
    </row>
    <row r="914" spans="1:34">
      <c r="A914" t="s">
        <v>2781</v>
      </c>
      <c r="B914" s="24">
        <v>1817</v>
      </c>
      <c r="C914" s="24" t="s">
        <v>2782</v>
      </c>
      <c r="D914" s="24" t="s">
        <v>2783</v>
      </c>
      <c r="E914" s="93">
        <v>89</v>
      </c>
      <c r="F914" s="94">
        <v>4</v>
      </c>
      <c r="G914" s="94">
        <v>83</v>
      </c>
      <c r="H914" s="94">
        <v>4</v>
      </c>
      <c r="I914" s="94">
        <v>92</v>
      </c>
      <c r="J914" s="94">
        <v>4</v>
      </c>
      <c r="K914" s="94">
        <v>83</v>
      </c>
      <c r="L914" s="94">
        <v>2</v>
      </c>
      <c r="M914" s="94">
        <v>69</v>
      </c>
      <c r="N914" s="94">
        <v>2</v>
      </c>
      <c r="O914" s="94">
        <v>70</v>
      </c>
      <c r="P914" s="94">
        <v>2</v>
      </c>
      <c r="Q914">
        <v>99</v>
      </c>
      <c r="R914">
        <v>2</v>
      </c>
      <c r="S914">
        <v>80</v>
      </c>
      <c r="T914">
        <v>2</v>
      </c>
      <c r="U914">
        <v>77</v>
      </c>
      <c r="V914">
        <v>2</v>
      </c>
      <c r="W914">
        <v>90</v>
      </c>
      <c r="X914">
        <v>2</v>
      </c>
      <c r="Y914">
        <v>85</v>
      </c>
      <c r="Z914">
        <v>1</v>
      </c>
      <c r="AA914">
        <v>91</v>
      </c>
      <c r="AB914">
        <v>1</v>
      </c>
      <c r="AC914">
        <v>89</v>
      </c>
      <c r="AD914">
        <v>1</v>
      </c>
      <c r="AE914">
        <v>88</v>
      </c>
      <c r="AF914">
        <v>2</v>
      </c>
      <c r="AG914">
        <v>76</v>
      </c>
      <c r="AH914">
        <v>2</v>
      </c>
    </row>
    <row r="915" spans="1:34">
      <c r="A915" t="s">
        <v>2784</v>
      </c>
      <c r="B915" s="24">
        <v>1817</v>
      </c>
      <c r="C915" s="24" t="s">
        <v>2785</v>
      </c>
      <c r="D915" s="24" t="s">
        <v>2786</v>
      </c>
      <c r="E915" s="93">
        <v>90</v>
      </c>
      <c r="F915" s="94">
        <v>4</v>
      </c>
      <c r="G915" s="94">
        <v>90</v>
      </c>
      <c r="H915" s="94">
        <v>4</v>
      </c>
      <c r="I915" s="94">
        <v>90</v>
      </c>
      <c r="J915" s="94">
        <v>4</v>
      </c>
      <c r="K915" s="94">
        <v>90</v>
      </c>
      <c r="L915" s="94">
        <v>2</v>
      </c>
      <c r="M915" s="94">
        <v>86</v>
      </c>
      <c r="N915" s="94">
        <v>2</v>
      </c>
      <c r="O915" s="94">
        <v>72</v>
      </c>
      <c r="P915" s="94">
        <v>2</v>
      </c>
      <c r="Q915">
        <v>100</v>
      </c>
      <c r="R915">
        <v>2</v>
      </c>
      <c r="S915">
        <v>81</v>
      </c>
      <c r="T915">
        <v>2</v>
      </c>
      <c r="U915">
        <v>79</v>
      </c>
      <c r="V915">
        <v>2</v>
      </c>
      <c r="W915">
        <v>92</v>
      </c>
      <c r="X915">
        <v>2</v>
      </c>
      <c r="Y915">
        <v>80</v>
      </c>
      <c r="Z915">
        <v>1</v>
      </c>
      <c r="AA915">
        <v>91</v>
      </c>
      <c r="AB915">
        <v>1</v>
      </c>
      <c r="AC915">
        <v>79</v>
      </c>
      <c r="AD915">
        <v>1</v>
      </c>
      <c r="AE915">
        <v>90</v>
      </c>
      <c r="AF915">
        <v>2</v>
      </c>
      <c r="AG915">
        <v>76</v>
      </c>
      <c r="AH915">
        <v>2</v>
      </c>
    </row>
    <row r="916" spans="1:34">
      <c r="A916" t="s">
        <v>2787</v>
      </c>
      <c r="B916" s="24">
        <v>1817</v>
      </c>
      <c r="C916" s="24" t="s">
        <v>2788</v>
      </c>
      <c r="D916" s="24" t="s">
        <v>2789</v>
      </c>
      <c r="E916" s="93">
        <v>93</v>
      </c>
      <c r="F916" s="94">
        <v>4</v>
      </c>
      <c r="G916" s="94">
        <v>84</v>
      </c>
      <c r="H916" s="94">
        <v>4</v>
      </c>
      <c r="I916" s="94">
        <v>93</v>
      </c>
      <c r="J916" s="94">
        <v>4</v>
      </c>
      <c r="K916" s="94">
        <v>83</v>
      </c>
      <c r="L916" s="94">
        <v>2</v>
      </c>
      <c r="M916" s="94">
        <v>93</v>
      </c>
      <c r="N916" s="94">
        <v>2</v>
      </c>
      <c r="O916" s="94">
        <v>79</v>
      </c>
      <c r="P916" s="94">
        <v>2</v>
      </c>
      <c r="Q916">
        <v>99</v>
      </c>
      <c r="R916">
        <v>2</v>
      </c>
      <c r="S916">
        <v>82</v>
      </c>
      <c r="T916">
        <v>2</v>
      </c>
      <c r="U916">
        <v>85</v>
      </c>
      <c r="V916">
        <v>2</v>
      </c>
      <c r="W916">
        <v>84</v>
      </c>
      <c r="X916">
        <v>2</v>
      </c>
      <c r="Y916">
        <v>82</v>
      </c>
      <c r="Z916">
        <v>1</v>
      </c>
      <c r="AA916">
        <v>91</v>
      </c>
      <c r="AB916">
        <v>1</v>
      </c>
      <c r="AC916">
        <v>76</v>
      </c>
      <c r="AD916">
        <v>1</v>
      </c>
      <c r="AE916">
        <v>88</v>
      </c>
      <c r="AF916">
        <v>2</v>
      </c>
      <c r="AG916">
        <v>68</v>
      </c>
      <c r="AH916">
        <v>2</v>
      </c>
    </row>
    <row r="917" spans="1:34">
      <c r="A917" t="s">
        <v>2790</v>
      </c>
      <c r="B917" s="24">
        <v>1817</v>
      </c>
      <c r="C917" s="24" t="s">
        <v>2791</v>
      </c>
      <c r="D917" s="24" t="s">
        <v>2792</v>
      </c>
      <c r="E917" s="93">
        <v>92</v>
      </c>
      <c r="F917" s="94">
        <v>4</v>
      </c>
      <c r="G917" s="94">
        <v>86</v>
      </c>
      <c r="H917" s="94">
        <v>4</v>
      </c>
      <c r="I917" s="94">
        <v>90</v>
      </c>
      <c r="J917" s="94">
        <v>4</v>
      </c>
      <c r="K917" s="94">
        <v>90</v>
      </c>
      <c r="L917" s="94">
        <v>2</v>
      </c>
      <c r="M917" s="94">
        <v>88</v>
      </c>
      <c r="N917" s="94">
        <v>2</v>
      </c>
      <c r="O917" s="94">
        <v>90</v>
      </c>
      <c r="P917" s="94">
        <v>2</v>
      </c>
      <c r="Q917">
        <v>89</v>
      </c>
      <c r="R917">
        <v>2</v>
      </c>
      <c r="S917">
        <v>83</v>
      </c>
      <c r="T917">
        <v>2</v>
      </c>
      <c r="U917">
        <v>70</v>
      </c>
      <c r="V917">
        <v>2</v>
      </c>
      <c r="W917">
        <v>86</v>
      </c>
      <c r="X917">
        <v>2</v>
      </c>
      <c r="Y917">
        <v>76</v>
      </c>
      <c r="Z917">
        <v>1</v>
      </c>
      <c r="AA917">
        <v>91</v>
      </c>
      <c r="AB917">
        <v>1</v>
      </c>
      <c r="AC917">
        <v>89</v>
      </c>
      <c r="AD917">
        <v>1</v>
      </c>
      <c r="AE917">
        <v>88</v>
      </c>
      <c r="AF917">
        <v>2</v>
      </c>
      <c r="AG917">
        <v>76</v>
      </c>
      <c r="AH917">
        <v>2</v>
      </c>
    </row>
    <row r="918" spans="1:34">
      <c r="A918" t="s">
        <v>2793</v>
      </c>
      <c r="B918" s="24">
        <v>1817</v>
      </c>
      <c r="C918" s="24" t="s">
        <v>2794</v>
      </c>
      <c r="D918" s="24" t="s">
        <v>2795</v>
      </c>
      <c r="E918" s="93">
        <v>90</v>
      </c>
      <c r="F918" s="94">
        <v>4</v>
      </c>
      <c r="G918" s="94">
        <v>90</v>
      </c>
      <c r="H918" s="94">
        <v>4</v>
      </c>
      <c r="I918" s="94">
        <v>88</v>
      </c>
      <c r="J918" s="94">
        <v>4</v>
      </c>
      <c r="K918" s="94">
        <v>92</v>
      </c>
      <c r="L918" s="94">
        <v>2</v>
      </c>
      <c r="M918" s="94">
        <v>93</v>
      </c>
      <c r="N918" s="94">
        <v>2</v>
      </c>
      <c r="O918" s="94">
        <v>83</v>
      </c>
      <c r="P918" s="94">
        <v>2</v>
      </c>
      <c r="Q918">
        <v>95</v>
      </c>
      <c r="R918">
        <v>2</v>
      </c>
      <c r="S918">
        <v>84</v>
      </c>
      <c r="T918">
        <v>2</v>
      </c>
      <c r="U918">
        <v>82</v>
      </c>
      <c r="V918">
        <v>2</v>
      </c>
      <c r="W918">
        <v>95</v>
      </c>
      <c r="X918">
        <v>2</v>
      </c>
      <c r="Y918">
        <v>78</v>
      </c>
      <c r="Z918">
        <v>1</v>
      </c>
      <c r="AA918">
        <v>91</v>
      </c>
      <c r="AB918">
        <v>1</v>
      </c>
      <c r="AC918">
        <v>82</v>
      </c>
      <c r="AD918">
        <v>1</v>
      </c>
      <c r="AE918">
        <v>89</v>
      </c>
      <c r="AF918">
        <v>2</v>
      </c>
      <c r="AG918">
        <v>78</v>
      </c>
      <c r="AH918">
        <v>2</v>
      </c>
    </row>
    <row r="919" spans="1:34">
      <c r="A919" t="s">
        <v>2796</v>
      </c>
      <c r="B919" s="24">
        <v>1817</v>
      </c>
      <c r="C919" s="24" t="s">
        <v>2797</v>
      </c>
      <c r="D919" s="24" t="s">
        <v>2798</v>
      </c>
      <c r="E919" s="93">
        <v>83</v>
      </c>
      <c r="F919" s="94">
        <v>4</v>
      </c>
      <c r="G919" s="94">
        <v>79</v>
      </c>
      <c r="H919" s="94">
        <v>4</v>
      </c>
      <c r="I919" s="94">
        <v>86</v>
      </c>
      <c r="J919" s="94">
        <v>4</v>
      </c>
      <c r="K919" s="94">
        <v>82</v>
      </c>
      <c r="L919" s="94">
        <v>2</v>
      </c>
      <c r="M919" s="94">
        <v>72</v>
      </c>
      <c r="N919" s="94">
        <v>2</v>
      </c>
      <c r="O919" s="94">
        <v>70</v>
      </c>
      <c r="P919" s="94">
        <v>2</v>
      </c>
      <c r="Q919">
        <v>86</v>
      </c>
      <c r="R919">
        <v>2</v>
      </c>
      <c r="S919">
        <v>85</v>
      </c>
      <c r="T919">
        <v>2</v>
      </c>
      <c r="U919">
        <v>76</v>
      </c>
      <c r="V919">
        <v>2</v>
      </c>
      <c r="W919">
        <v>83</v>
      </c>
      <c r="X919">
        <v>2</v>
      </c>
      <c r="Y919">
        <v>76</v>
      </c>
      <c r="Z919">
        <v>1</v>
      </c>
      <c r="AA919">
        <v>91</v>
      </c>
      <c r="AB919">
        <v>1</v>
      </c>
      <c r="AC919">
        <v>85</v>
      </c>
      <c r="AD919">
        <v>1</v>
      </c>
      <c r="AE919">
        <v>87</v>
      </c>
      <c r="AF919">
        <v>2</v>
      </c>
      <c r="AG919">
        <v>64</v>
      </c>
      <c r="AH919">
        <v>2</v>
      </c>
    </row>
    <row r="920" spans="1:34">
      <c r="A920" t="s">
        <v>2799</v>
      </c>
      <c r="B920" s="24">
        <v>1817</v>
      </c>
      <c r="C920" s="24" t="s">
        <v>2800</v>
      </c>
      <c r="D920" s="24" t="s">
        <v>2801</v>
      </c>
      <c r="E920" s="93">
        <v>90</v>
      </c>
      <c r="F920" s="94">
        <v>4</v>
      </c>
      <c r="G920" s="94">
        <v>90</v>
      </c>
      <c r="H920" s="94">
        <v>4</v>
      </c>
      <c r="I920" s="94">
        <v>98</v>
      </c>
      <c r="J920" s="94">
        <v>4</v>
      </c>
      <c r="K920" s="94">
        <v>81</v>
      </c>
      <c r="L920" s="94">
        <v>2</v>
      </c>
      <c r="M920" s="94">
        <v>89</v>
      </c>
      <c r="N920" s="94">
        <v>2</v>
      </c>
      <c r="O920" s="94">
        <v>74</v>
      </c>
      <c r="P920" s="94">
        <v>2</v>
      </c>
      <c r="Q920">
        <v>100</v>
      </c>
      <c r="R920">
        <v>2</v>
      </c>
      <c r="S920">
        <v>86</v>
      </c>
      <c r="T920">
        <v>2</v>
      </c>
      <c r="U920">
        <v>85</v>
      </c>
      <c r="V920">
        <v>2</v>
      </c>
      <c r="W920">
        <v>86</v>
      </c>
      <c r="X920">
        <v>2</v>
      </c>
      <c r="Y920">
        <v>80</v>
      </c>
      <c r="Z920">
        <v>1</v>
      </c>
      <c r="AA920">
        <v>91</v>
      </c>
      <c r="AB920">
        <v>1</v>
      </c>
      <c r="AC920">
        <v>86</v>
      </c>
      <c r="AD920">
        <v>1</v>
      </c>
      <c r="AE920">
        <v>84</v>
      </c>
      <c r="AF920">
        <v>2</v>
      </c>
      <c r="AG920">
        <v>80</v>
      </c>
      <c r="AH920">
        <v>2</v>
      </c>
    </row>
    <row r="921" spans="1:34">
      <c r="A921" t="s">
        <v>2802</v>
      </c>
      <c r="B921" s="24">
        <v>1817</v>
      </c>
      <c r="C921" s="24" t="s">
        <v>2803</v>
      </c>
      <c r="D921" s="24" t="s">
        <v>2804</v>
      </c>
      <c r="E921" s="93">
        <v>88</v>
      </c>
      <c r="F921" s="94">
        <v>4</v>
      </c>
      <c r="G921" s="94">
        <v>86</v>
      </c>
      <c r="H921" s="94">
        <v>4</v>
      </c>
      <c r="I921" s="94">
        <v>93</v>
      </c>
      <c r="J921" s="94">
        <v>4</v>
      </c>
      <c r="K921" s="94">
        <v>85</v>
      </c>
      <c r="L921" s="94">
        <v>2</v>
      </c>
      <c r="M921" s="94">
        <v>80</v>
      </c>
      <c r="N921" s="94">
        <v>2</v>
      </c>
      <c r="O921" s="94">
        <v>79</v>
      </c>
      <c r="P921" s="94">
        <v>2</v>
      </c>
      <c r="Q921">
        <v>93</v>
      </c>
      <c r="R921">
        <v>2</v>
      </c>
      <c r="S921">
        <v>80</v>
      </c>
      <c r="T921">
        <v>2</v>
      </c>
      <c r="U921">
        <v>72</v>
      </c>
      <c r="V921">
        <v>2</v>
      </c>
      <c r="W921">
        <v>80</v>
      </c>
      <c r="X921">
        <v>2</v>
      </c>
      <c r="Y921">
        <v>82</v>
      </c>
      <c r="Z921">
        <v>1</v>
      </c>
      <c r="AA921">
        <v>91</v>
      </c>
      <c r="AB921">
        <v>1</v>
      </c>
      <c r="AC921">
        <v>75</v>
      </c>
      <c r="AD921">
        <v>1</v>
      </c>
      <c r="AE921">
        <v>90</v>
      </c>
      <c r="AF921">
        <v>2</v>
      </c>
      <c r="AG921">
        <v>90</v>
      </c>
      <c r="AH921">
        <v>2</v>
      </c>
    </row>
    <row r="922" spans="1:34">
      <c r="A922" t="s">
        <v>2805</v>
      </c>
      <c r="B922" s="24">
        <v>1817</v>
      </c>
      <c r="C922" s="24" t="s">
        <v>2806</v>
      </c>
      <c r="D922" s="24" t="s">
        <v>2807</v>
      </c>
      <c r="E922" s="93">
        <v>92</v>
      </c>
      <c r="F922" s="94">
        <v>4</v>
      </c>
      <c r="G922" s="94">
        <v>85</v>
      </c>
      <c r="H922" s="94">
        <v>4</v>
      </c>
      <c r="I922" s="94">
        <v>92</v>
      </c>
      <c r="J922" s="94">
        <v>4</v>
      </c>
      <c r="K922" s="94">
        <v>80</v>
      </c>
      <c r="L922" s="94">
        <v>2</v>
      </c>
      <c r="M922" s="94">
        <v>68</v>
      </c>
      <c r="N922" s="94">
        <v>2</v>
      </c>
      <c r="O922" s="94">
        <v>76</v>
      </c>
      <c r="P922" s="94">
        <v>2</v>
      </c>
      <c r="Q922">
        <v>96</v>
      </c>
      <c r="R922">
        <v>2</v>
      </c>
      <c r="S922">
        <v>81</v>
      </c>
      <c r="T922">
        <v>2</v>
      </c>
      <c r="U922">
        <v>90</v>
      </c>
      <c r="V922">
        <v>2</v>
      </c>
      <c r="W922">
        <v>88</v>
      </c>
      <c r="X922">
        <v>2</v>
      </c>
      <c r="Y922">
        <v>70</v>
      </c>
      <c r="Z922">
        <v>1</v>
      </c>
      <c r="AA922">
        <v>91</v>
      </c>
      <c r="AB922">
        <v>1</v>
      </c>
      <c r="AC922">
        <v>84</v>
      </c>
      <c r="AD922">
        <v>1</v>
      </c>
      <c r="AE922">
        <v>87</v>
      </c>
      <c r="AF922">
        <v>2</v>
      </c>
      <c r="AG922">
        <v>70</v>
      </c>
      <c r="AH922">
        <v>2</v>
      </c>
    </row>
    <row r="923" spans="1:34">
      <c r="A923" t="s">
        <v>2808</v>
      </c>
      <c r="B923" s="24">
        <v>1817</v>
      </c>
      <c r="C923" s="24" t="s">
        <v>2809</v>
      </c>
      <c r="D923" s="24" t="s">
        <v>2810</v>
      </c>
      <c r="E923" s="93">
        <v>89</v>
      </c>
      <c r="F923" s="94">
        <v>4</v>
      </c>
      <c r="G923" s="94">
        <v>93</v>
      </c>
      <c r="H923" s="94">
        <v>4</v>
      </c>
      <c r="I923" s="94">
        <v>87</v>
      </c>
      <c r="J923" s="94">
        <v>4</v>
      </c>
      <c r="K923" s="94">
        <v>92</v>
      </c>
      <c r="L923" s="94">
        <v>2</v>
      </c>
      <c r="M923" s="94">
        <v>89</v>
      </c>
      <c r="N923" s="94">
        <v>2</v>
      </c>
      <c r="O923" s="94">
        <v>97</v>
      </c>
      <c r="P923" s="94">
        <v>2</v>
      </c>
      <c r="Q923">
        <v>100</v>
      </c>
      <c r="R923">
        <v>2</v>
      </c>
      <c r="S923">
        <v>82</v>
      </c>
      <c r="T923">
        <v>2</v>
      </c>
      <c r="U923">
        <v>83</v>
      </c>
      <c r="V923">
        <v>2</v>
      </c>
      <c r="W923">
        <v>90</v>
      </c>
      <c r="X923">
        <v>2</v>
      </c>
      <c r="Y923">
        <v>68</v>
      </c>
      <c r="Z923">
        <v>1</v>
      </c>
      <c r="AA923">
        <v>91</v>
      </c>
      <c r="AB923">
        <v>1</v>
      </c>
      <c r="AC923">
        <v>86</v>
      </c>
      <c r="AD923">
        <v>1</v>
      </c>
      <c r="AE923">
        <v>86</v>
      </c>
      <c r="AF923">
        <v>2</v>
      </c>
      <c r="AG923">
        <v>88</v>
      </c>
      <c r="AH923">
        <v>2</v>
      </c>
    </row>
    <row r="924" spans="1:34">
      <c r="A924" t="s">
        <v>2811</v>
      </c>
      <c r="B924" s="24">
        <v>1817</v>
      </c>
      <c r="C924" s="24" t="s">
        <v>2812</v>
      </c>
      <c r="D924" s="24" t="s">
        <v>2813</v>
      </c>
      <c r="E924" s="93">
        <v>93</v>
      </c>
      <c r="F924" s="94">
        <v>4</v>
      </c>
      <c r="G924" s="94">
        <v>82</v>
      </c>
      <c r="H924" s="94">
        <v>4</v>
      </c>
      <c r="I924" s="94">
        <v>92</v>
      </c>
      <c r="J924" s="94">
        <v>4</v>
      </c>
      <c r="K924" s="94">
        <v>83</v>
      </c>
      <c r="L924" s="94">
        <v>2</v>
      </c>
      <c r="M924" s="94">
        <v>78</v>
      </c>
      <c r="N924" s="94">
        <v>2</v>
      </c>
      <c r="O924" s="94">
        <v>70</v>
      </c>
      <c r="P924" s="94">
        <v>2</v>
      </c>
      <c r="Q924">
        <v>93</v>
      </c>
      <c r="R924">
        <v>2</v>
      </c>
      <c r="S924">
        <v>83</v>
      </c>
      <c r="T924">
        <v>2</v>
      </c>
      <c r="U924">
        <v>75</v>
      </c>
      <c r="V924">
        <v>2</v>
      </c>
      <c r="W924">
        <v>86</v>
      </c>
      <c r="X924">
        <v>2</v>
      </c>
      <c r="Y924">
        <v>72</v>
      </c>
      <c r="Z924">
        <v>1</v>
      </c>
      <c r="AA924">
        <v>91</v>
      </c>
      <c r="AB924">
        <v>1</v>
      </c>
      <c r="AC924">
        <v>89</v>
      </c>
      <c r="AD924">
        <v>1</v>
      </c>
      <c r="AE924">
        <v>84</v>
      </c>
      <c r="AF924">
        <v>2</v>
      </c>
      <c r="AG924">
        <v>89</v>
      </c>
      <c r="AH924">
        <v>2</v>
      </c>
    </row>
    <row r="925" spans="1:34">
      <c r="A925" t="s">
        <v>2814</v>
      </c>
      <c r="B925" s="24">
        <v>1817</v>
      </c>
      <c r="C925" s="24" t="s">
        <v>2815</v>
      </c>
      <c r="D925" s="24" t="s">
        <v>135</v>
      </c>
      <c r="E925" s="93">
        <v>95</v>
      </c>
      <c r="F925" s="94">
        <v>4</v>
      </c>
      <c r="G925" s="94">
        <v>93</v>
      </c>
      <c r="H925" s="94">
        <v>4</v>
      </c>
      <c r="I925" s="94">
        <v>92</v>
      </c>
      <c r="J925" s="94">
        <v>4</v>
      </c>
      <c r="K925" s="94">
        <v>88</v>
      </c>
      <c r="L925" s="94">
        <v>2</v>
      </c>
      <c r="M925" s="94">
        <v>78</v>
      </c>
      <c r="N925" s="94">
        <v>2</v>
      </c>
      <c r="O925" s="94">
        <v>70</v>
      </c>
      <c r="P925" s="94">
        <v>2</v>
      </c>
      <c r="Q925">
        <v>100</v>
      </c>
      <c r="R925">
        <v>2</v>
      </c>
      <c r="S925">
        <v>84</v>
      </c>
      <c r="T925">
        <v>2</v>
      </c>
      <c r="U925">
        <v>86</v>
      </c>
      <c r="V925">
        <v>2</v>
      </c>
      <c r="W925">
        <v>92</v>
      </c>
      <c r="X925">
        <v>2</v>
      </c>
      <c r="Y925">
        <v>70</v>
      </c>
      <c r="Z925">
        <v>1</v>
      </c>
      <c r="AA925">
        <v>91</v>
      </c>
      <c r="AB925">
        <v>1</v>
      </c>
      <c r="AC925">
        <v>84</v>
      </c>
      <c r="AD925">
        <v>1</v>
      </c>
      <c r="AE925">
        <v>89</v>
      </c>
      <c r="AF925">
        <v>2</v>
      </c>
      <c r="AG925">
        <v>76</v>
      </c>
      <c r="AH925">
        <v>2</v>
      </c>
    </row>
    <row r="926" spans="1:34">
      <c r="A926" t="s">
        <v>2816</v>
      </c>
      <c r="B926" s="24">
        <v>1817</v>
      </c>
      <c r="C926" s="24" t="s">
        <v>2817</v>
      </c>
      <c r="D926" s="24" t="s">
        <v>2818</v>
      </c>
      <c r="E926" s="93">
        <v>90</v>
      </c>
      <c r="F926" s="94">
        <v>4</v>
      </c>
      <c r="G926" s="94">
        <v>88</v>
      </c>
      <c r="H926" s="94">
        <v>4</v>
      </c>
      <c r="I926" s="94">
        <v>88</v>
      </c>
      <c r="J926" s="94">
        <v>4</v>
      </c>
      <c r="K926" s="94">
        <v>83</v>
      </c>
      <c r="L926" s="94">
        <v>2</v>
      </c>
      <c r="M926" s="94">
        <v>86</v>
      </c>
      <c r="N926" s="94">
        <v>2</v>
      </c>
      <c r="O926" s="94">
        <v>70</v>
      </c>
      <c r="P926" s="94">
        <v>2</v>
      </c>
      <c r="Q926">
        <v>97</v>
      </c>
      <c r="R926">
        <v>2</v>
      </c>
      <c r="S926">
        <v>85</v>
      </c>
      <c r="T926">
        <v>2</v>
      </c>
      <c r="U926">
        <v>78</v>
      </c>
      <c r="V926">
        <v>2</v>
      </c>
      <c r="W926">
        <v>90</v>
      </c>
      <c r="X926">
        <v>2</v>
      </c>
      <c r="Y926">
        <v>73</v>
      </c>
      <c r="Z926">
        <v>1</v>
      </c>
      <c r="AA926">
        <v>91</v>
      </c>
      <c r="AB926">
        <v>1</v>
      </c>
      <c r="AC926">
        <v>82</v>
      </c>
      <c r="AD926">
        <v>1</v>
      </c>
      <c r="AE926">
        <v>80</v>
      </c>
      <c r="AF926">
        <v>2</v>
      </c>
      <c r="AG926">
        <v>73</v>
      </c>
      <c r="AH926">
        <v>2</v>
      </c>
    </row>
    <row r="927" spans="1:34">
      <c r="A927" t="s">
        <v>2819</v>
      </c>
      <c r="B927" s="24">
        <v>1817</v>
      </c>
      <c r="C927" s="24" t="s">
        <v>2820</v>
      </c>
      <c r="D927" s="24" t="s">
        <v>2821</v>
      </c>
      <c r="E927" s="93">
        <v>85</v>
      </c>
      <c r="F927" s="94">
        <v>4</v>
      </c>
      <c r="G927" s="94">
        <v>85</v>
      </c>
      <c r="H927" s="94">
        <v>4</v>
      </c>
      <c r="I927" s="94">
        <v>90</v>
      </c>
      <c r="J927" s="94">
        <v>4</v>
      </c>
      <c r="K927" s="94">
        <v>83</v>
      </c>
      <c r="L927" s="94">
        <v>2</v>
      </c>
      <c r="M927" s="94">
        <v>75</v>
      </c>
      <c r="N927" s="94">
        <v>2</v>
      </c>
      <c r="O927" s="94">
        <v>70</v>
      </c>
      <c r="P927" s="94">
        <v>2</v>
      </c>
      <c r="Q927">
        <v>88</v>
      </c>
      <c r="R927">
        <v>2</v>
      </c>
      <c r="S927">
        <v>80</v>
      </c>
      <c r="T927">
        <v>2</v>
      </c>
      <c r="U927">
        <v>76</v>
      </c>
      <c r="V927">
        <v>2</v>
      </c>
      <c r="W927">
        <v>88</v>
      </c>
      <c r="X927">
        <v>2</v>
      </c>
      <c r="Y927">
        <v>70</v>
      </c>
      <c r="Z927">
        <v>1</v>
      </c>
      <c r="AA927">
        <v>91</v>
      </c>
      <c r="AB927">
        <v>1</v>
      </c>
      <c r="AC927">
        <v>80</v>
      </c>
      <c r="AD927">
        <v>1</v>
      </c>
      <c r="AE927">
        <v>90</v>
      </c>
      <c r="AF927">
        <v>2</v>
      </c>
      <c r="AG927">
        <v>76</v>
      </c>
      <c r="AH927">
        <v>2</v>
      </c>
    </row>
    <row r="928" spans="1:34">
      <c r="A928" t="s">
        <v>2822</v>
      </c>
      <c r="B928" s="24">
        <v>1817</v>
      </c>
      <c r="C928" s="24" t="s">
        <v>2823</v>
      </c>
      <c r="D928" s="24" t="s">
        <v>2824</v>
      </c>
      <c r="E928" s="93">
        <v>84</v>
      </c>
      <c r="F928" s="94">
        <v>4</v>
      </c>
      <c r="G928" s="94">
        <v>87</v>
      </c>
      <c r="H928" s="94">
        <v>4</v>
      </c>
      <c r="I928" s="94">
        <v>92</v>
      </c>
      <c r="J928" s="94">
        <v>4</v>
      </c>
      <c r="K928" s="94">
        <v>84</v>
      </c>
      <c r="L928" s="94">
        <v>2</v>
      </c>
      <c r="M928" s="94">
        <v>86</v>
      </c>
      <c r="N928" s="94">
        <v>2</v>
      </c>
      <c r="O928" s="94">
        <v>70</v>
      </c>
      <c r="P928" s="94">
        <v>2</v>
      </c>
      <c r="Q928">
        <v>86</v>
      </c>
      <c r="R928">
        <v>2</v>
      </c>
      <c r="S928">
        <v>81</v>
      </c>
      <c r="T928">
        <v>2</v>
      </c>
      <c r="U928">
        <v>81</v>
      </c>
      <c r="V928">
        <v>2</v>
      </c>
      <c r="W928">
        <v>88</v>
      </c>
      <c r="X928">
        <v>2</v>
      </c>
      <c r="Y928">
        <v>72</v>
      </c>
      <c r="Z928">
        <v>1</v>
      </c>
      <c r="AA928">
        <v>91</v>
      </c>
      <c r="AB928">
        <v>1</v>
      </c>
      <c r="AC928">
        <v>86</v>
      </c>
      <c r="AD928">
        <v>1</v>
      </c>
      <c r="AE928">
        <v>88</v>
      </c>
      <c r="AF928">
        <v>2</v>
      </c>
      <c r="AG928">
        <v>80</v>
      </c>
      <c r="AH928">
        <v>2</v>
      </c>
    </row>
    <row r="929" spans="1:34">
      <c r="A929" t="s">
        <v>2825</v>
      </c>
      <c r="B929" s="24">
        <v>1817</v>
      </c>
      <c r="C929" s="24" t="s">
        <v>2826</v>
      </c>
      <c r="D929" s="24" t="s">
        <v>2827</v>
      </c>
      <c r="E929" s="93">
        <v>89</v>
      </c>
      <c r="F929" s="94">
        <v>4</v>
      </c>
      <c r="G929" s="94">
        <v>90</v>
      </c>
      <c r="H929" s="94">
        <v>4</v>
      </c>
      <c r="I929" s="94">
        <v>95</v>
      </c>
      <c r="J929" s="94">
        <v>4</v>
      </c>
      <c r="K929" s="94">
        <v>81</v>
      </c>
      <c r="L929" s="94">
        <v>2</v>
      </c>
      <c r="M929" s="94">
        <v>78</v>
      </c>
      <c r="N929" s="94">
        <v>2</v>
      </c>
      <c r="O929" s="94">
        <v>92</v>
      </c>
      <c r="P929" s="94">
        <v>2</v>
      </c>
      <c r="Q929">
        <v>91</v>
      </c>
      <c r="R929">
        <v>2</v>
      </c>
      <c r="S929">
        <v>82</v>
      </c>
      <c r="T929">
        <v>2</v>
      </c>
      <c r="U929">
        <v>75</v>
      </c>
      <c r="V929">
        <v>2</v>
      </c>
      <c r="W929">
        <v>91</v>
      </c>
      <c r="X929">
        <v>2</v>
      </c>
      <c r="Y929">
        <v>75</v>
      </c>
      <c r="Z929">
        <v>1</v>
      </c>
      <c r="AA929">
        <v>91</v>
      </c>
      <c r="AB929">
        <v>1</v>
      </c>
      <c r="AC929">
        <v>84</v>
      </c>
      <c r="AD929">
        <v>1</v>
      </c>
      <c r="AE929">
        <v>80</v>
      </c>
      <c r="AF929">
        <v>2</v>
      </c>
      <c r="AG929">
        <v>76</v>
      </c>
      <c r="AH929">
        <v>2</v>
      </c>
    </row>
    <row r="930" spans="1:34">
      <c r="A930" t="s">
        <v>2828</v>
      </c>
      <c r="B930" s="24">
        <v>1817</v>
      </c>
      <c r="C930" s="24" t="s">
        <v>2829</v>
      </c>
      <c r="D930" s="24" t="s">
        <v>89</v>
      </c>
      <c r="E930" s="93">
        <v>80</v>
      </c>
      <c r="F930" s="94">
        <v>4</v>
      </c>
      <c r="G930" s="94">
        <v>90</v>
      </c>
      <c r="H930" s="94">
        <v>4</v>
      </c>
      <c r="I930" s="94">
        <v>95</v>
      </c>
      <c r="J930" s="94">
        <v>4</v>
      </c>
      <c r="K930" s="94">
        <v>82</v>
      </c>
      <c r="L930" s="94">
        <v>2</v>
      </c>
      <c r="M930" s="94">
        <v>92</v>
      </c>
      <c r="N930" s="94">
        <v>2</v>
      </c>
      <c r="O930" s="94">
        <v>84</v>
      </c>
      <c r="P930" s="94">
        <v>2</v>
      </c>
      <c r="Q930">
        <v>96</v>
      </c>
      <c r="R930">
        <v>2</v>
      </c>
      <c r="S930">
        <v>83</v>
      </c>
      <c r="T930">
        <v>2</v>
      </c>
      <c r="U930">
        <v>83</v>
      </c>
      <c r="V930">
        <v>2</v>
      </c>
      <c r="W930">
        <v>96</v>
      </c>
      <c r="X930">
        <v>2</v>
      </c>
      <c r="Y930">
        <v>78</v>
      </c>
      <c r="Z930">
        <v>1</v>
      </c>
      <c r="AA930">
        <v>91</v>
      </c>
      <c r="AB930">
        <v>1</v>
      </c>
      <c r="AC930">
        <v>75</v>
      </c>
      <c r="AD930">
        <v>1</v>
      </c>
      <c r="AE930">
        <v>86</v>
      </c>
      <c r="AF930">
        <v>2</v>
      </c>
      <c r="AG930">
        <v>65</v>
      </c>
      <c r="AH930">
        <v>2</v>
      </c>
    </row>
    <row r="931" spans="1:34">
      <c r="A931" t="s">
        <v>2830</v>
      </c>
      <c r="B931" s="24">
        <v>1817</v>
      </c>
      <c r="C931" s="24" t="s">
        <v>2831</v>
      </c>
      <c r="D931" s="24" t="s">
        <v>2832</v>
      </c>
      <c r="E931" s="93">
        <v>91</v>
      </c>
      <c r="F931" s="94">
        <v>4</v>
      </c>
      <c r="G931" s="94">
        <v>82</v>
      </c>
      <c r="H931" s="94">
        <v>4</v>
      </c>
      <c r="I931" s="94">
        <v>86</v>
      </c>
      <c r="J931" s="94">
        <v>4</v>
      </c>
      <c r="K931" s="94">
        <v>83</v>
      </c>
      <c r="L931" s="94">
        <v>2</v>
      </c>
      <c r="M931" s="94">
        <v>75</v>
      </c>
      <c r="N931" s="94">
        <v>2</v>
      </c>
      <c r="O931" s="94">
        <v>70</v>
      </c>
      <c r="P931" s="94">
        <v>2</v>
      </c>
      <c r="Q931">
        <v>86</v>
      </c>
      <c r="R931">
        <v>2</v>
      </c>
      <c r="S931">
        <v>84</v>
      </c>
      <c r="T931">
        <v>2</v>
      </c>
      <c r="U931">
        <v>76</v>
      </c>
      <c r="V931">
        <v>2</v>
      </c>
      <c r="W931">
        <v>82</v>
      </c>
      <c r="X931">
        <v>2</v>
      </c>
      <c r="Y931">
        <v>74</v>
      </c>
      <c r="Z931">
        <v>1</v>
      </c>
      <c r="AA931">
        <v>91</v>
      </c>
      <c r="AB931">
        <v>1</v>
      </c>
      <c r="AC931">
        <v>84</v>
      </c>
      <c r="AD931">
        <v>1</v>
      </c>
      <c r="AE931">
        <v>87</v>
      </c>
      <c r="AF931">
        <v>2</v>
      </c>
      <c r="AG931">
        <v>68</v>
      </c>
      <c r="AH931">
        <v>2</v>
      </c>
    </row>
    <row r="932" spans="1:34">
      <c r="A932" t="s">
        <v>2833</v>
      </c>
      <c r="B932" s="24">
        <v>1817</v>
      </c>
      <c r="C932" s="24" t="s">
        <v>2834</v>
      </c>
      <c r="D932" s="24" t="s">
        <v>2835</v>
      </c>
      <c r="E932" s="93">
        <v>89</v>
      </c>
      <c r="F932" s="94">
        <v>4</v>
      </c>
      <c r="G932" s="94">
        <v>90</v>
      </c>
      <c r="H932" s="94">
        <v>4</v>
      </c>
      <c r="I932" s="94">
        <v>87</v>
      </c>
      <c r="J932" s="94">
        <v>4</v>
      </c>
      <c r="K932" s="94">
        <v>96</v>
      </c>
      <c r="L932" s="94">
        <v>2</v>
      </c>
      <c r="M932" s="94">
        <v>89</v>
      </c>
      <c r="N932" s="94">
        <v>2</v>
      </c>
      <c r="O932" s="94">
        <v>91</v>
      </c>
      <c r="P932" s="94">
        <v>2</v>
      </c>
      <c r="Q932">
        <v>82</v>
      </c>
      <c r="R932">
        <v>2</v>
      </c>
      <c r="S932">
        <v>85</v>
      </c>
      <c r="T932">
        <v>2</v>
      </c>
      <c r="U932">
        <v>88</v>
      </c>
      <c r="V932">
        <v>2</v>
      </c>
      <c r="W932">
        <v>94</v>
      </c>
      <c r="X932">
        <v>2</v>
      </c>
      <c r="Y932">
        <v>73</v>
      </c>
      <c r="Z932">
        <v>1</v>
      </c>
      <c r="AA932">
        <v>91</v>
      </c>
      <c r="AB932">
        <v>1</v>
      </c>
      <c r="AC932">
        <v>86</v>
      </c>
      <c r="AD932">
        <v>1</v>
      </c>
      <c r="AE932">
        <v>86</v>
      </c>
      <c r="AF932">
        <v>2</v>
      </c>
      <c r="AG932">
        <v>68</v>
      </c>
      <c r="AH932">
        <v>2</v>
      </c>
    </row>
    <row r="933" spans="1:34">
      <c r="A933" t="s">
        <v>2836</v>
      </c>
      <c r="B933" s="24">
        <v>1817</v>
      </c>
      <c r="C933" s="24" t="s">
        <v>2837</v>
      </c>
      <c r="D933" s="24" t="s">
        <v>2838</v>
      </c>
      <c r="E933" s="93">
        <v>88</v>
      </c>
      <c r="F933" s="94">
        <v>4</v>
      </c>
      <c r="G933" s="94">
        <v>88</v>
      </c>
      <c r="H933" s="94">
        <v>4</v>
      </c>
      <c r="I933" s="94">
        <v>88</v>
      </c>
      <c r="J933" s="94">
        <v>4</v>
      </c>
      <c r="K933" s="94">
        <v>87</v>
      </c>
      <c r="L933" s="94">
        <v>2</v>
      </c>
      <c r="M933" s="94">
        <v>78</v>
      </c>
      <c r="N933" s="94">
        <v>2</v>
      </c>
      <c r="O933" s="94">
        <v>70</v>
      </c>
      <c r="P933" s="94">
        <v>2</v>
      </c>
      <c r="Q933">
        <v>95</v>
      </c>
      <c r="R933">
        <v>2</v>
      </c>
      <c r="S933">
        <v>86</v>
      </c>
      <c r="T933">
        <v>2</v>
      </c>
      <c r="U933">
        <v>79</v>
      </c>
      <c r="V933">
        <v>2</v>
      </c>
      <c r="W933">
        <v>88</v>
      </c>
      <c r="X933">
        <v>2</v>
      </c>
      <c r="Y933">
        <v>75</v>
      </c>
      <c r="Z933">
        <v>1</v>
      </c>
      <c r="AA933">
        <v>91</v>
      </c>
      <c r="AB933">
        <v>1</v>
      </c>
      <c r="AC933">
        <v>82</v>
      </c>
      <c r="AD933">
        <v>1</v>
      </c>
      <c r="AE933">
        <v>85</v>
      </c>
      <c r="AF933">
        <v>2</v>
      </c>
      <c r="AG933">
        <v>90</v>
      </c>
      <c r="AH933">
        <v>2</v>
      </c>
    </row>
    <row r="934" spans="1:34">
      <c r="A934" t="s">
        <v>1571</v>
      </c>
      <c r="B934" s="24">
        <v>1817</v>
      </c>
      <c r="C934" s="24" t="s">
        <v>2840</v>
      </c>
      <c r="D934" s="24" t="s">
        <v>141</v>
      </c>
      <c r="E934" s="93">
        <v>85</v>
      </c>
      <c r="F934" s="94">
        <v>4</v>
      </c>
      <c r="G934" s="94">
        <v>98</v>
      </c>
      <c r="H934" s="94">
        <v>4</v>
      </c>
      <c r="I934" s="94">
        <v>92</v>
      </c>
      <c r="J934" s="94">
        <v>4</v>
      </c>
      <c r="K934" s="94">
        <v>98</v>
      </c>
      <c r="L934" s="94">
        <v>2</v>
      </c>
      <c r="M934" s="94">
        <v>96</v>
      </c>
      <c r="N934" s="94">
        <v>2</v>
      </c>
      <c r="O934" s="94">
        <v>89</v>
      </c>
      <c r="P934" s="94">
        <v>2</v>
      </c>
      <c r="Q934">
        <v>82</v>
      </c>
      <c r="R934">
        <v>2</v>
      </c>
      <c r="S934">
        <v>87</v>
      </c>
      <c r="T934">
        <v>2</v>
      </c>
      <c r="U934">
        <v>71</v>
      </c>
      <c r="V934">
        <v>2</v>
      </c>
      <c r="W934">
        <v>81</v>
      </c>
      <c r="X934">
        <v>2</v>
      </c>
      <c r="Y934">
        <v>80</v>
      </c>
      <c r="Z934">
        <v>1</v>
      </c>
      <c r="AA934">
        <v>91</v>
      </c>
      <c r="AB934">
        <v>1</v>
      </c>
      <c r="AC934">
        <v>83</v>
      </c>
      <c r="AD934">
        <v>1</v>
      </c>
      <c r="AE934">
        <v>86</v>
      </c>
      <c r="AF934">
        <v>2</v>
      </c>
      <c r="AG934">
        <v>76</v>
      </c>
      <c r="AH934">
        <v>2</v>
      </c>
    </row>
    <row r="935" spans="1:34">
      <c r="A935" t="s">
        <v>2842</v>
      </c>
      <c r="B935" s="24">
        <v>1817</v>
      </c>
      <c r="C935" s="24" t="s">
        <v>2843</v>
      </c>
      <c r="D935" s="24" t="s">
        <v>2844</v>
      </c>
      <c r="E935" s="93">
        <v>96</v>
      </c>
      <c r="F935" s="94">
        <v>4</v>
      </c>
      <c r="G935" s="94">
        <v>85</v>
      </c>
      <c r="H935" s="94">
        <v>4</v>
      </c>
      <c r="I935" s="94">
        <v>86</v>
      </c>
      <c r="J935" s="94">
        <v>4</v>
      </c>
      <c r="K935" s="94">
        <v>82</v>
      </c>
      <c r="L935" s="94">
        <v>2</v>
      </c>
      <c r="M935" s="94">
        <v>76</v>
      </c>
      <c r="N935" s="94">
        <v>2</v>
      </c>
      <c r="O935" s="94">
        <v>70</v>
      </c>
      <c r="P935" s="94">
        <v>2</v>
      </c>
      <c r="Q935">
        <v>95</v>
      </c>
      <c r="R935">
        <v>2</v>
      </c>
      <c r="S935">
        <v>88</v>
      </c>
      <c r="T935">
        <v>2</v>
      </c>
      <c r="U935">
        <v>78</v>
      </c>
      <c r="V935">
        <v>2</v>
      </c>
      <c r="W935">
        <v>88</v>
      </c>
      <c r="X935">
        <v>2</v>
      </c>
      <c r="Y935">
        <v>76</v>
      </c>
      <c r="Z935">
        <v>1</v>
      </c>
      <c r="AA935">
        <v>91</v>
      </c>
      <c r="AB935">
        <v>1</v>
      </c>
      <c r="AC935">
        <v>86</v>
      </c>
      <c r="AD935">
        <v>1</v>
      </c>
      <c r="AE935">
        <v>87</v>
      </c>
      <c r="AF935">
        <v>2</v>
      </c>
      <c r="AG935">
        <v>76</v>
      </c>
      <c r="AH935">
        <v>2</v>
      </c>
    </row>
    <row r="936" spans="1:34">
      <c r="A936" t="s">
        <v>2845</v>
      </c>
      <c r="B936" s="24">
        <v>1817</v>
      </c>
      <c r="C936" s="24" t="s">
        <v>2846</v>
      </c>
      <c r="D936" s="24" t="s">
        <v>2847</v>
      </c>
      <c r="E936" s="93">
        <v>93</v>
      </c>
      <c r="F936" s="94">
        <v>4</v>
      </c>
      <c r="G936" s="94">
        <v>83</v>
      </c>
      <c r="H936" s="94">
        <v>4</v>
      </c>
      <c r="I936" s="94">
        <v>88</v>
      </c>
      <c r="J936" s="94">
        <v>4</v>
      </c>
      <c r="K936" s="94">
        <v>84</v>
      </c>
      <c r="L936" s="94">
        <v>2</v>
      </c>
      <c r="M936" s="94">
        <v>88</v>
      </c>
      <c r="N936" s="94">
        <v>2</v>
      </c>
      <c r="O936" s="94">
        <v>83</v>
      </c>
      <c r="P936" s="94">
        <v>2</v>
      </c>
      <c r="Q936">
        <v>92</v>
      </c>
      <c r="R936">
        <v>2</v>
      </c>
      <c r="S936">
        <v>85</v>
      </c>
      <c r="T936">
        <v>2</v>
      </c>
      <c r="U936">
        <v>81</v>
      </c>
      <c r="V936">
        <v>2</v>
      </c>
      <c r="W936">
        <v>82</v>
      </c>
      <c r="X936">
        <v>2</v>
      </c>
      <c r="Y936">
        <v>77</v>
      </c>
      <c r="Z936">
        <v>1</v>
      </c>
      <c r="AA936">
        <v>91</v>
      </c>
      <c r="AB936">
        <v>1</v>
      </c>
      <c r="AC936">
        <v>84</v>
      </c>
      <c r="AD936">
        <v>1</v>
      </c>
      <c r="AE936">
        <v>78</v>
      </c>
      <c r="AF936">
        <v>2</v>
      </c>
      <c r="AG936">
        <v>68</v>
      </c>
      <c r="AH936">
        <v>2</v>
      </c>
    </row>
    <row r="937" spans="1:34">
      <c r="A937" t="s">
        <v>1643</v>
      </c>
      <c r="B937" s="24">
        <v>1817</v>
      </c>
      <c r="C937" s="24" t="s">
        <v>2849</v>
      </c>
      <c r="D937" s="24" t="s">
        <v>1645</v>
      </c>
      <c r="E937" s="93">
        <v>97</v>
      </c>
      <c r="F937" s="94">
        <v>4</v>
      </c>
      <c r="G937" s="94">
        <v>98</v>
      </c>
      <c r="H937" s="94">
        <v>4</v>
      </c>
      <c r="I937" s="94">
        <v>92</v>
      </c>
      <c r="J937" s="94">
        <v>4</v>
      </c>
      <c r="K937" s="94">
        <v>93</v>
      </c>
      <c r="L937" s="94">
        <v>2</v>
      </c>
      <c r="M937" s="94">
        <v>95</v>
      </c>
      <c r="N937" s="94">
        <v>2</v>
      </c>
      <c r="O937" s="94">
        <v>84</v>
      </c>
      <c r="P937" s="94">
        <v>2</v>
      </c>
      <c r="Q937">
        <v>95</v>
      </c>
      <c r="R937">
        <v>2</v>
      </c>
      <c r="S937">
        <v>86</v>
      </c>
      <c r="T937">
        <v>2</v>
      </c>
      <c r="U937">
        <v>76</v>
      </c>
      <c r="V937">
        <v>2</v>
      </c>
      <c r="W937">
        <v>94</v>
      </c>
      <c r="X937">
        <v>2</v>
      </c>
      <c r="Y937">
        <v>80</v>
      </c>
      <c r="Z937">
        <v>1</v>
      </c>
      <c r="AA937">
        <v>91</v>
      </c>
      <c r="AB937">
        <v>1</v>
      </c>
      <c r="AC937">
        <v>89</v>
      </c>
      <c r="AD937">
        <v>1</v>
      </c>
      <c r="AE937">
        <v>90</v>
      </c>
      <c r="AF937">
        <v>2</v>
      </c>
    </row>
    <row r="938" spans="1:34">
      <c r="A938" t="s">
        <v>2850</v>
      </c>
      <c r="B938" s="24">
        <v>1817</v>
      </c>
      <c r="C938" s="24" t="s">
        <v>2851</v>
      </c>
      <c r="D938" s="24" t="s">
        <v>2852</v>
      </c>
      <c r="E938" s="93">
        <v>96</v>
      </c>
      <c r="F938" s="94">
        <v>4</v>
      </c>
      <c r="G938" s="94">
        <v>96</v>
      </c>
      <c r="H938" s="94">
        <v>4</v>
      </c>
      <c r="I938" s="94">
        <v>92</v>
      </c>
      <c r="J938" s="94">
        <v>4</v>
      </c>
      <c r="K938" s="94">
        <v>95</v>
      </c>
      <c r="L938" s="94">
        <v>2</v>
      </c>
      <c r="M938" s="94">
        <v>86</v>
      </c>
      <c r="N938" s="94">
        <v>2</v>
      </c>
      <c r="O938" s="94">
        <v>70</v>
      </c>
      <c r="P938" s="94">
        <v>2</v>
      </c>
      <c r="Q938">
        <v>100</v>
      </c>
      <c r="R938">
        <v>2</v>
      </c>
      <c r="S938">
        <v>87</v>
      </c>
      <c r="T938">
        <v>2</v>
      </c>
      <c r="U938">
        <v>78</v>
      </c>
      <c r="V938">
        <v>2</v>
      </c>
      <c r="W938">
        <v>89</v>
      </c>
      <c r="X938">
        <v>2</v>
      </c>
      <c r="Y938">
        <v>68</v>
      </c>
      <c r="Z938">
        <v>1</v>
      </c>
      <c r="AA938">
        <v>91</v>
      </c>
      <c r="AB938">
        <v>1</v>
      </c>
      <c r="AC938">
        <v>76</v>
      </c>
      <c r="AD938">
        <v>1</v>
      </c>
      <c r="AE938">
        <v>86</v>
      </c>
      <c r="AF938">
        <v>2</v>
      </c>
      <c r="AG938">
        <v>76</v>
      </c>
      <c r="AH938">
        <v>2</v>
      </c>
    </row>
    <row r="939" spans="1:34">
      <c r="B939" s="24">
        <v>1817</v>
      </c>
      <c r="C939" s="24" t="s">
        <v>3333</v>
      </c>
    </row>
    <row r="940" spans="1:34">
      <c r="A940" t="s">
        <v>2854</v>
      </c>
      <c r="B940" s="24">
        <v>1817</v>
      </c>
      <c r="C940" s="24" t="s">
        <v>2855</v>
      </c>
      <c r="D940" s="24" t="s">
        <v>2856</v>
      </c>
      <c r="E940" s="93">
        <v>88</v>
      </c>
      <c r="F940" s="94">
        <v>4</v>
      </c>
      <c r="G940" s="94">
        <v>84</v>
      </c>
      <c r="H940" s="94">
        <v>4</v>
      </c>
      <c r="I940" s="94">
        <v>90</v>
      </c>
      <c r="J940" s="94">
        <v>4</v>
      </c>
      <c r="K940" s="94">
        <v>85</v>
      </c>
      <c r="L940" s="94">
        <v>2</v>
      </c>
      <c r="M940" s="94">
        <v>89</v>
      </c>
      <c r="N940" s="94">
        <v>2</v>
      </c>
      <c r="O940" s="94">
        <v>70</v>
      </c>
      <c r="P940" s="94">
        <v>2</v>
      </c>
      <c r="Q940">
        <v>98</v>
      </c>
      <c r="R940">
        <v>2</v>
      </c>
      <c r="S940">
        <v>80</v>
      </c>
      <c r="T940">
        <v>2</v>
      </c>
      <c r="U940">
        <v>78</v>
      </c>
      <c r="V940">
        <v>2</v>
      </c>
      <c r="W940">
        <v>85</v>
      </c>
      <c r="X940">
        <v>2</v>
      </c>
      <c r="Y940">
        <v>69</v>
      </c>
      <c r="Z940">
        <v>1</v>
      </c>
      <c r="AA940">
        <v>91</v>
      </c>
      <c r="AB940">
        <v>1</v>
      </c>
      <c r="AC940">
        <v>83</v>
      </c>
      <c r="AD940">
        <v>1</v>
      </c>
      <c r="AE940">
        <v>78</v>
      </c>
      <c r="AF940">
        <v>2</v>
      </c>
      <c r="AG940">
        <v>78</v>
      </c>
      <c r="AH940">
        <v>2</v>
      </c>
    </row>
    <row r="941" spans="1:34">
      <c r="A941" t="s">
        <v>2857</v>
      </c>
      <c r="B941" s="24">
        <v>1817</v>
      </c>
      <c r="C941" s="24" t="s">
        <v>2858</v>
      </c>
      <c r="D941" s="24" t="s">
        <v>2859</v>
      </c>
      <c r="E941" s="93">
        <v>93</v>
      </c>
      <c r="F941" s="94">
        <v>4</v>
      </c>
      <c r="G941" s="94">
        <v>89</v>
      </c>
      <c r="H941" s="94">
        <v>4</v>
      </c>
      <c r="I941" s="94">
        <v>85</v>
      </c>
      <c r="J941" s="94">
        <v>4</v>
      </c>
      <c r="K941" s="94">
        <v>86</v>
      </c>
      <c r="L941" s="94">
        <v>2</v>
      </c>
      <c r="M941" s="94">
        <v>70</v>
      </c>
      <c r="N941" s="94">
        <v>2</v>
      </c>
      <c r="O941" s="94">
        <v>70</v>
      </c>
      <c r="P941" s="94">
        <v>2</v>
      </c>
      <c r="Q941">
        <v>93</v>
      </c>
      <c r="R941">
        <v>2</v>
      </c>
      <c r="S941">
        <v>81</v>
      </c>
      <c r="T941">
        <v>2</v>
      </c>
      <c r="U941">
        <v>75</v>
      </c>
      <c r="V941">
        <v>2</v>
      </c>
      <c r="W941">
        <v>81</v>
      </c>
      <c r="X941">
        <v>2</v>
      </c>
      <c r="Y941">
        <v>68</v>
      </c>
      <c r="Z941">
        <v>1</v>
      </c>
      <c r="AA941">
        <v>91</v>
      </c>
      <c r="AB941">
        <v>1</v>
      </c>
      <c r="AC941">
        <v>80</v>
      </c>
      <c r="AD941">
        <v>1</v>
      </c>
      <c r="AE941">
        <v>80</v>
      </c>
      <c r="AF941">
        <v>2</v>
      </c>
      <c r="AG941">
        <v>68</v>
      </c>
      <c r="AH941">
        <v>2</v>
      </c>
    </row>
    <row r="942" spans="1:34">
      <c r="A942" t="s">
        <v>2860</v>
      </c>
      <c r="B942" s="24">
        <v>1817</v>
      </c>
      <c r="C942" s="24" t="s">
        <v>2861</v>
      </c>
      <c r="D942" s="24" t="s">
        <v>2862</v>
      </c>
      <c r="E942" s="93">
        <v>88</v>
      </c>
      <c r="F942" s="94">
        <v>4</v>
      </c>
      <c r="G942" s="94">
        <v>84</v>
      </c>
      <c r="H942" s="94">
        <v>4</v>
      </c>
      <c r="I942" s="94">
        <v>88</v>
      </c>
      <c r="J942" s="94">
        <v>4</v>
      </c>
      <c r="K942" s="94">
        <v>82</v>
      </c>
      <c r="L942" s="94">
        <v>2</v>
      </c>
      <c r="M942" s="94">
        <v>75</v>
      </c>
      <c r="N942" s="94">
        <v>2</v>
      </c>
      <c r="O942" s="94">
        <v>74</v>
      </c>
      <c r="P942" s="94">
        <v>2</v>
      </c>
      <c r="Q942">
        <v>85</v>
      </c>
      <c r="R942">
        <v>2</v>
      </c>
      <c r="S942">
        <v>82</v>
      </c>
      <c r="T942">
        <v>2</v>
      </c>
      <c r="U942">
        <v>86</v>
      </c>
      <c r="V942">
        <v>2</v>
      </c>
      <c r="W942">
        <v>92</v>
      </c>
      <c r="X942">
        <v>2</v>
      </c>
      <c r="Y942">
        <v>67</v>
      </c>
      <c r="Z942">
        <v>1</v>
      </c>
      <c r="AA942">
        <v>91</v>
      </c>
      <c r="AB942">
        <v>1</v>
      </c>
      <c r="AC942">
        <v>80</v>
      </c>
      <c r="AD942">
        <v>1</v>
      </c>
      <c r="AE942">
        <v>87</v>
      </c>
      <c r="AF942">
        <v>2</v>
      </c>
      <c r="AG942">
        <v>74</v>
      </c>
      <c r="AH942">
        <v>2</v>
      </c>
    </row>
    <row r="943" spans="1:34">
      <c r="A943" t="s">
        <v>2863</v>
      </c>
      <c r="B943" s="24">
        <v>1817</v>
      </c>
      <c r="C943" s="24" t="s">
        <v>2864</v>
      </c>
      <c r="D943" s="24" t="s">
        <v>2865</v>
      </c>
      <c r="E943" s="93">
        <v>88</v>
      </c>
      <c r="F943" s="94">
        <v>4</v>
      </c>
      <c r="G943" s="94">
        <v>82</v>
      </c>
      <c r="H943" s="94">
        <v>4</v>
      </c>
      <c r="I943" s="94">
        <v>85</v>
      </c>
      <c r="J943" s="94">
        <v>4</v>
      </c>
      <c r="K943" s="94">
        <v>82</v>
      </c>
      <c r="L943" s="94">
        <v>2</v>
      </c>
      <c r="M943" s="94">
        <v>75</v>
      </c>
      <c r="N943" s="94">
        <v>2</v>
      </c>
      <c r="O943" s="94">
        <v>72</v>
      </c>
      <c r="P943" s="94">
        <v>2</v>
      </c>
      <c r="Q943">
        <v>90</v>
      </c>
      <c r="R943">
        <v>2</v>
      </c>
      <c r="S943">
        <v>83</v>
      </c>
      <c r="T943">
        <v>2</v>
      </c>
      <c r="U943">
        <v>78</v>
      </c>
      <c r="V943">
        <v>2</v>
      </c>
      <c r="W943">
        <v>92</v>
      </c>
      <c r="X943">
        <v>2</v>
      </c>
      <c r="Y943">
        <v>87</v>
      </c>
      <c r="Z943">
        <v>1</v>
      </c>
      <c r="AA943">
        <v>91</v>
      </c>
      <c r="AB943">
        <v>1</v>
      </c>
      <c r="AC943">
        <v>78</v>
      </c>
      <c r="AD943">
        <v>1</v>
      </c>
      <c r="AE943">
        <v>89</v>
      </c>
      <c r="AF943">
        <v>2</v>
      </c>
      <c r="AG943">
        <v>90</v>
      </c>
      <c r="AH943">
        <v>2</v>
      </c>
    </row>
    <row r="944" spans="1:34">
      <c r="A944" t="s">
        <v>2866</v>
      </c>
      <c r="B944" s="24">
        <v>1817</v>
      </c>
      <c r="C944" s="24" t="s">
        <v>2867</v>
      </c>
      <c r="D944" s="24" t="s">
        <v>2868</v>
      </c>
      <c r="E944" s="93">
        <v>80</v>
      </c>
      <c r="F944" s="94">
        <v>4</v>
      </c>
      <c r="G944" s="94">
        <v>86</v>
      </c>
      <c r="H944" s="94">
        <v>4</v>
      </c>
      <c r="I944" s="94">
        <v>87</v>
      </c>
      <c r="J944" s="94">
        <v>4</v>
      </c>
      <c r="K944" s="94">
        <v>83</v>
      </c>
      <c r="L944" s="94">
        <v>2</v>
      </c>
      <c r="M944" s="94">
        <v>89</v>
      </c>
      <c r="N944" s="94">
        <v>2</v>
      </c>
      <c r="O944" s="94">
        <v>72</v>
      </c>
      <c r="P944" s="94">
        <v>2</v>
      </c>
      <c r="Q944">
        <v>100</v>
      </c>
      <c r="R944">
        <v>2</v>
      </c>
      <c r="S944">
        <v>84</v>
      </c>
      <c r="T944">
        <v>2</v>
      </c>
      <c r="U944">
        <v>81</v>
      </c>
      <c r="V944">
        <v>2</v>
      </c>
      <c r="W944">
        <v>84</v>
      </c>
      <c r="X944">
        <v>2</v>
      </c>
      <c r="Y944">
        <v>85</v>
      </c>
      <c r="Z944">
        <v>1</v>
      </c>
      <c r="AA944">
        <v>91</v>
      </c>
      <c r="AB944">
        <v>1</v>
      </c>
      <c r="AC944">
        <v>73</v>
      </c>
      <c r="AD944">
        <v>1</v>
      </c>
      <c r="AE944">
        <v>88</v>
      </c>
      <c r="AF944">
        <v>2</v>
      </c>
      <c r="AG944">
        <v>65</v>
      </c>
      <c r="AH944">
        <v>2</v>
      </c>
    </row>
    <row r="945" spans="1:34">
      <c r="A945" t="s">
        <v>2869</v>
      </c>
      <c r="B945" s="24">
        <v>1817</v>
      </c>
      <c r="C945" s="24" t="s">
        <v>2870</v>
      </c>
      <c r="D945" s="24" t="s">
        <v>2871</v>
      </c>
      <c r="E945" s="93">
        <v>89</v>
      </c>
      <c r="F945" s="94">
        <v>4</v>
      </c>
      <c r="G945" s="94">
        <v>87</v>
      </c>
      <c r="H945" s="94">
        <v>4</v>
      </c>
      <c r="I945" s="94">
        <v>92</v>
      </c>
      <c r="J945" s="94">
        <v>4</v>
      </c>
      <c r="K945" s="94">
        <v>90</v>
      </c>
      <c r="L945" s="94">
        <v>2</v>
      </c>
      <c r="M945" s="94">
        <v>75</v>
      </c>
      <c r="N945" s="94">
        <v>2</v>
      </c>
      <c r="O945" s="94">
        <v>70</v>
      </c>
      <c r="P945" s="94">
        <v>2</v>
      </c>
      <c r="Q945">
        <v>100</v>
      </c>
      <c r="R945">
        <v>2</v>
      </c>
      <c r="S945">
        <v>85</v>
      </c>
      <c r="T945">
        <v>2</v>
      </c>
      <c r="U945">
        <v>79</v>
      </c>
      <c r="V945">
        <v>2</v>
      </c>
      <c r="W945">
        <v>90</v>
      </c>
      <c r="X945">
        <v>2</v>
      </c>
      <c r="Y945">
        <v>82</v>
      </c>
      <c r="Z945">
        <v>1</v>
      </c>
      <c r="AA945">
        <v>91</v>
      </c>
      <c r="AB945">
        <v>1</v>
      </c>
      <c r="AC945">
        <v>81</v>
      </c>
      <c r="AD945">
        <v>1</v>
      </c>
      <c r="AE945">
        <v>87</v>
      </c>
      <c r="AF945">
        <v>2</v>
      </c>
      <c r="AG945">
        <v>80</v>
      </c>
      <c r="AH945">
        <v>2</v>
      </c>
    </row>
    <row r="946" spans="1:34">
      <c r="A946" t="s">
        <v>2872</v>
      </c>
      <c r="B946" s="24">
        <v>1817</v>
      </c>
      <c r="C946" s="24" t="s">
        <v>2873</v>
      </c>
      <c r="D946" s="24" t="s">
        <v>2874</v>
      </c>
      <c r="E946" s="93">
        <v>88</v>
      </c>
      <c r="F946" s="94">
        <v>4</v>
      </c>
      <c r="G946" s="94">
        <v>94</v>
      </c>
      <c r="H946" s="94">
        <v>4</v>
      </c>
      <c r="I946" s="94">
        <v>87</v>
      </c>
      <c r="J946" s="94">
        <v>4</v>
      </c>
      <c r="K946" s="94">
        <v>91</v>
      </c>
      <c r="L946" s="94">
        <v>2</v>
      </c>
      <c r="M946" s="94">
        <v>93</v>
      </c>
      <c r="N946" s="94">
        <v>2</v>
      </c>
      <c r="O946" s="94">
        <v>80</v>
      </c>
      <c r="P946" s="94">
        <v>2</v>
      </c>
      <c r="Q946">
        <v>100</v>
      </c>
      <c r="R946">
        <v>2</v>
      </c>
      <c r="S946">
        <v>86</v>
      </c>
      <c r="T946">
        <v>2</v>
      </c>
      <c r="U946">
        <v>86</v>
      </c>
      <c r="V946">
        <v>2</v>
      </c>
      <c r="W946">
        <v>92</v>
      </c>
      <c r="X946">
        <v>2</v>
      </c>
      <c r="Y946">
        <v>85</v>
      </c>
      <c r="Z946">
        <v>1</v>
      </c>
      <c r="AA946">
        <v>91</v>
      </c>
      <c r="AB946">
        <v>1</v>
      </c>
      <c r="AC946">
        <v>80</v>
      </c>
      <c r="AD946">
        <v>1</v>
      </c>
      <c r="AE946">
        <v>90</v>
      </c>
      <c r="AF946">
        <v>2</v>
      </c>
      <c r="AG946">
        <v>78</v>
      </c>
      <c r="AH946">
        <v>2</v>
      </c>
    </row>
    <row r="947" spans="1:34">
      <c r="A947" t="s">
        <v>2875</v>
      </c>
      <c r="B947" s="24">
        <v>1817</v>
      </c>
      <c r="C947" s="24" t="s">
        <v>2876</v>
      </c>
      <c r="D947" s="24" t="s">
        <v>2877</v>
      </c>
      <c r="E947" s="93">
        <v>85</v>
      </c>
      <c r="F947" s="94">
        <v>4</v>
      </c>
      <c r="G947" s="94">
        <v>85</v>
      </c>
      <c r="H947" s="94">
        <v>4</v>
      </c>
      <c r="I947" s="94">
        <v>92</v>
      </c>
      <c r="J947" s="94">
        <v>4</v>
      </c>
      <c r="K947" s="94">
        <v>83</v>
      </c>
      <c r="L947" s="94">
        <v>2</v>
      </c>
      <c r="M947" s="94">
        <v>78</v>
      </c>
      <c r="N947" s="94">
        <v>2</v>
      </c>
      <c r="O947" s="94">
        <v>70</v>
      </c>
      <c r="P947" s="94">
        <v>2</v>
      </c>
      <c r="Q947">
        <v>88</v>
      </c>
      <c r="R947">
        <v>2</v>
      </c>
      <c r="S947">
        <v>81</v>
      </c>
      <c r="T947">
        <v>2</v>
      </c>
      <c r="U947">
        <v>75</v>
      </c>
      <c r="V947">
        <v>2</v>
      </c>
      <c r="W947">
        <v>82</v>
      </c>
      <c r="X947">
        <v>2</v>
      </c>
      <c r="Y947">
        <v>86</v>
      </c>
      <c r="Z947">
        <v>1</v>
      </c>
      <c r="AA947">
        <v>91</v>
      </c>
      <c r="AB947">
        <v>1</v>
      </c>
      <c r="AC947">
        <v>70</v>
      </c>
      <c r="AD947">
        <v>1</v>
      </c>
      <c r="AE947">
        <v>88</v>
      </c>
      <c r="AF947">
        <v>2</v>
      </c>
      <c r="AG947">
        <v>74</v>
      </c>
      <c r="AH947">
        <v>2</v>
      </c>
    </row>
    <row r="948" spans="1:34">
      <c r="A948" t="s">
        <v>2878</v>
      </c>
      <c r="B948" s="24">
        <v>1817</v>
      </c>
      <c r="C948" s="24" t="s">
        <v>2879</v>
      </c>
      <c r="D948" s="24" t="s">
        <v>2880</v>
      </c>
      <c r="E948" s="93">
        <v>90</v>
      </c>
      <c r="F948" s="94">
        <v>4</v>
      </c>
      <c r="G948" s="94">
        <v>90</v>
      </c>
      <c r="H948" s="94">
        <v>4</v>
      </c>
      <c r="I948" s="94">
        <v>95</v>
      </c>
      <c r="J948" s="94">
        <v>4</v>
      </c>
      <c r="K948" s="94">
        <v>82</v>
      </c>
      <c r="L948" s="94">
        <v>2</v>
      </c>
      <c r="M948" s="94">
        <v>70</v>
      </c>
      <c r="N948" s="94">
        <v>2</v>
      </c>
      <c r="O948" s="94">
        <v>70</v>
      </c>
      <c r="P948" s="94">
        <v>2</v>
      </c>
      <c r="Q948">
        <v>100</v>
      </c>
      <c r="R948">
        <v>2</v>
      </c>
      <c r="S948">
        <v>82</v>
      </c>
      <c r="T948">
        <v>2</v>
      </c>
      <c r="U948">
        <v>79</v>
      </c>
      <c r="V948">
        <v>2</v>
      </c>
      <c r="W948">
        <v>92</v>
      </c>
      <c r="X948">
        <v>2</v>
      </c>
      <c r="Y948">
        <v>82</v>
      </c>
      <c r="Z948">
        <v>1</v>
      </c>
      <c r="AA948">
        <v>91</v>
      </c>
      <c r="AB948">
        <v>1</v>
      </c>
      <c r="AC948">
        <v>85</v>
      </c>
      <c r="AD948">
        <v>1</v>
      </c>
      <c r="AE948">
        <v>82</v>
      </c>
      <c r="AF948">
        <v>2</v>
      </c>
      <c r="AG948">
        <v>90</v>
      </c>
      <c r="AH948">
        <v>2</v>
      </c>
    </row>
    <row r="949" spans="1:34">
      <c r="A949" t="s">
        <v>2881</v>
      </c>
      <c r="B949" s="24">
        <v>1817</v>
      </c>
      <c r="C949" s="24" t="s">
        <v>2882</v>
      </c>
      <c r="D949" s="24" t="s">
        <v>2883</v>
      </c>
      <c r="E949" s="93">
        <v>84</v>
      </c>
      <c r="F949" s="94">
        <v>4</v>
      </c>
      <c r="G949" s="94">
        <v>87</v>
      </c>
      <c r="H949" s="94">
        <v>4</v>
      </c>
      <c r="I949" s="94">
        <v>90</v>
      </c>
      <c r="J949" s="94">
        <v>4</v>
      </c>
      <c r="K949" s="94">
        <v>83</v>
      </c>
      <c r="L949" s="94">
        <v>2</v>
      </c>
      <c r="M949" s="94">
        <v>89</v>
      </c>
      <c r="N949" s="94">
        <v>2</v>
      </c>
      <c r="O949" s="94">
        <v>88</v>
      </c>
      <c r="P949" s="94">
        <v>2</v>
      </c>
      <c r="Q949">
        <v>93</v>
      </c>
      <c r="R949">
        <v>2</v>
      </c>
      <c r="S949">
        <v>83</v>
      </c>
      <c r="T949">
        <v>2</v>
      </c>
      <c r="U949">
        <v>82</v>
      </c>
      <c r="V949">
        <v>2</v>
      </c>
      <c r="W949">
        <v>83</v>
      </c>
      <c r="X949">
        <v>2</v>
      </c>
      <c r="Y949">
        <v>80</v>
      </c>
      <c r="Z949">
        <v>1</v>
      </c>
      <c r="AA949">
        <v>91</v>
      </c>
      <c r="AB949">
        <v>1</v>
      </c>
      <c r="AC949">
        <v>85</v>
      </c>
      <c r="AD949">
        <v>1</v>
      </c>
      <c r="AE949">
        <v>86</v>
      </c>
      <c r="AF949">
        <v>2</v>
      </c>
      <c r="AG949">
        <v>76</v>
      </c>
      <c r="AH949">
        <v>2</v>
      </c>
    </row>
    <row r="950" spans="1:34">
      <c r="A950" t="s">
        <v>2884</v>
      </c>
      <c r="B950" s="24">
        <v>1817</v>
      </c>
      <c r="C950" s="24" t="s">
        <v>2885</v>
      </c>
      <c r="D950" s="24" t="s">
        <v>2886</v>
      </c>
      <c r="E950" s="93">
        <v>85</v>
      </c>
      <c r="F950" s="94">
        <v>4</v>
      </c>
      <c r="G950" s="94">
        <v>88</v>
      </c>
      <c r="H950" s="94">
        <v>4</v>
      </c>
      <c r="I950" s="94">
        <v>98</v>
      </c>
      <c r="J950" s="94">
        <v>4</v>
      </c>
      <c r="K950" s="94">
        <v>83</v>
      </c>
      <c r="L950" s="94">
        <v>2</v>
      </c>
      <c r="M950" s="94">
        <v>85</v>
      </c>
      <c r="N950" s="94">
        <v>2</v>
      </c>
      <c r="O950" s="94">
        <v>70</v>
      </c>
      <c r="P950" s="94">
        <v>2</v>
      </c>
      <c r="Q950">
        <v>91</v>
      </c>
      <c r="R950">
        <v>2</v>
      </c>
      <c r="S950">
        <v>84</v>
      </c>
      <c r="T950">
        <v>2</v>
      </c>
      <c r="U950">
        <v>70</v>
      </c>
      <c r="V950">
        <v>2</v>
      </c>
      <c r="W950">
        <v>85</v>
      </c>
      <c r="X950">
        <v>2</v>
      </c>
      <c r="Y950">
        <v>87</v>
      </c>
      <c r="Z950">
        <v>1</v>
      </c>
      <c r="AA950">
        <v>91</v>
      </c>
      <c r="AB950">
        <v>1</v>
      </c>
      <c r="AC950">
        <v>80</v>
      </c>
      <c r="AD950">
        <v>1</v>
      </c>
      <c r="AE950">
        <v>89</v>
      </c>
      <c r="AF950">
        <v>2</v>
      </c>
      <c r="AG950">
        <v>80</v>
      </c>
      <c r="AH950">
        <v>2</v>
      </c>
    </row>
    <row r="951" spans="1:34">
      <c r="A951" t="s">
        <v>2887</v>
      </c>
      <c r="B951" s="24">
        <v>1817</v>
      </c>
      <c r="C951" s="24" t="s">
        <v>2888</v>
      </c>
      <c r="D951" s="24" t="s">
        <v>2889</v>
      </c>
      <c r="E951" s="93">
        <v>85</v>
      </c>
      <c r="F951" s="94">
        <v>4</v>
      </c>
      <c r="G951" s="94">
        <v>83</v>
      </c>
      <c r="H951" s="94">
        <v>4</v>
      </c>
      <c r="I951" s="94">
        <v>92</v>
      </c>
      <c r="J951" s="94">
        <v>4</v>
      </c>
      <c r="K951" s="94">
        <v>80</v>
      </c>
      <c r="L951" s="94">
        <v>2</v>
      </c>
      <c r="M951" s="94">
        <v>69</v>
      </c>
      <c r="N951" s="94">
        <v>2</v>
      </c>
      <c r="O951" s="94">
        <v>70</v>
      </c>
      <c r="P951" s="94">
        <v>2</v>
      </c>
      <c r="Q951">
        <v>87</v>
      </c>
      <c r="R951">
        <v>2</v>
      </c>
      <c r="S951">
        <v>85</v>
      </c>
      <c r="T951">
        <v>2</v>
      </c>
      <c r="U951">
        <v>70</v>
      </c>
      <c r="V951">
        <v>2</v>
      </c>
      <c r="W951">
        <v>85</v>
      </c>
      <c r="X951">
        <v>2</v>
      </c>
      <c r="Y951">
        <v>80</v>
      </c>
      <c r="Z951">
        <v>1</v>
      </c>
      <c r="AA951">
        <v>91</v>
      </c>
      <c r="AB951">
        <v>1</v>
      </c>
      <c r="AC951">
        <v>85</v>
      </c>
      <c r="AD951">
        <v>1</v>
      </c>
      <c r="AE951">
        <v>80</v>
      </c>
      <c r="AF951">
        <v>2</v>
      </c>
      <c r="AG951">
        <v>76</v>
      </c>
      <c r="AH951">
        <v>2</v>
      </c>
    </row>
    <row r="952" spans="1:34">
      <c r="A952" t="s">
        <v>2890</v>
      </c>
      <c r="B952" s="24">
        <v>1817</v>
      </c>
      <c r="C952" s="24" t="s">
        <v>2891</v>
      </c>
      <c r="D952" s="24" t="s">
        <v>2892</v>
      </c>
      <c r="E952" s="93">
        <v>87</v>
      </c>
      <c r="F952" s="94">
        <v>4</v>
      </c>
      <c r="G952" s="94">
        <v>86</v>
      </c>
      <c r="H952" s="94">
        <v>4</v>
      </c>
      <c r="I952" s="94">
        <v>93</v>
      </c>
      <c r="J952" s="94">
        <v>4</v>
      </c>
      <c r="K952" s="94">
        <v>82</v>
      </c>
      <c r="L952" s="94">
        <v>2</v>
      </c>
      <c r="M952" s="94">
        <v>73</v>
      </c>
      <c r="N952" s="94">
        <v>2</v>
      </c>
      <c r="O952" s="94">
        <v>70</v>
      </c>
      <c r="P952" s="94">
        <v>2</v>
      </c>
      <c r="Q952">
        <v>81</v>
      </c>
      <c r="R952">
        <v>2</v>
      </c>
      <c r="S952">
        <v>86</v>
      </c>
      <c r="T952">
        <v>2</v>
      </c>
      <c r="U952">
        <v>70</v>
      </c>
      <c r="V952">
        <v>2</v>
      </c>
      <c r="W952">
        <v>84</v>
      </c>
      <c r="X952">
        <v>2</v>
      </c>
      <c r="Y952">
        <v>82</v>
      </c>
      <c r="Z952">
        <v>1</v>
      </c>
      <c r="AA952">
        <v>91</v>
      </c>
      <c r="AB952">
        <v>1</v>
      </c>
      <c r="AC952">
        <v>80</v>
      </c>
      <c r="AD952">
        <v>1</v>
      </c>
      <c r="AE952">
        <v>82</v>
      </c>
      <c r="AF952">
        <v>2</v>
      </c>
      <c r="AG952">
        <v>70</v>
      </c>
      <c r="AH952">
        <v>2</v>
      </c>
    </row>
    <row r="953" spans="1:34">
      <c r="A953" t="s">
        <v>2893</v>
      </c>
      <c r="B953" s="24">
        <v>1817</v>
      </c>
      <c r="C953" s="24" t="s">
        <v>2894</v>
      </c>
      <c r="D953" s="24" t="s">
        <v>203</v>
      </c>
      <c r="E953" s="93">
        <v>97</v>
      </c>
      <c r="F953" s="94">
        <v>4</v>
      </c>
      <c r="G953" s="94">
        <v>93</v>
      </c>
      <c r="H953" s="94">
        <v>4</v>
      </c>
      <c r="I953" s="94">
        <v>92</v>
      </c>
      <c r="J953" s="94">
        <v>4</v>
      </c>
      <c r="K953" s="94">
        <v>85</v>
      </c>
      <c r="L953" s="94">
        <v>2</v>
      </c>
      <c r="M953" s="94">
        <v>86</v>
      </c>
      <c r="N953" s="94">
        <v>2</v>
      </c>
      <c r="O953" s="94">
        <v>85</v>
      </c>
      <c r="P953" s="94">
        <v>2</v>
      </c>
      <c r="Q953">
        <v>91</v>
      </c>
      <c r="R953">
        <v>2</v>
      </c>
      <c r="S953">
        <v>80</v>
      </c>
      <c r="T953">
        <v>2</v>
      </c>
      <c r="U953">
        <v>70</v>
      </c>
      <c r="V953">
        <v>2</v>
      </c>
      <c r="W953">
        <v>90</v>
      </c>
      <c r="X953">
        <v>2</v>
      </c>
      <c r="Y953">
        <v>80</v>
      </c>
      <c r="Z953">
        <v>1</v>
      </c>
      <c r="AA953">
        <v>91</v>
      </c>
      <c r="AB953">
        <v>1</v>
      </c>
      <c r="AC953">
        <v>70</v>
      </c>
      <c r="AD953">
        <v>1</v>
      </c>
      <c r="AE953">
        <v>82</v>
      </c>
      <c r="AF953">
        <v>2</v>
      </c>
      <c r="AG953">
        <v>78</v>
      </c>
      <c r="AH953">
        <v>2</v>
      </c>
    </row>
    <row r="954" spans="1:34">
      <c r="A954" t="s">
        <v>2895</v>
      </c>
      <c r="B954" s="24">
        <v>1817</v>
      </c>
      <c r="C954" s="24" t="s">
        <v>2896</v>
      </c>
      <c r="D954" s="24" t="s">
        <v>2897</v>
      </c>
      <c r="E954" s="93">
        <v>88</v>
      </c>
      <c r="F954" s="94">
        <v>4</v>
      </c>
      <c r="G954" s="94">
        <v>83</v>
      </c>
      <c r="H954" s="94">
        <v>4</v>
      </c>
      <c r="I954" s="94">
        <v>92</v>
      </c>
      <c r="J954" s="94">
        <v>4</v>
      </c>
      <c r="K954" s="94">
        <v>85</v>
      </c>
      <c r="L954" s="94">
        <v>2</v>
      </c>
      <c r="M954" s="94">
        <v>68</v>
      </c>
      <c r="N954" s="94">
        <v>2</v>
      </c>
      <c r="O954" s="94">
        <v>70</v>
      </c>
      <c r="P954" s="94">
        <v>2</v>
      </c>
      <c r="Q954">
        <v>94</v>
      </c>
      <c r="R954">
        <v>2</v>
      </c>
      <c r="S954">
        <v>81</v>
      </c>
      <c r="T954">
        <v>2</v>
      </c>
      <c r="U954">
        <v>78</v>
      </c>
      <c r="V954">
        <v>2</v>
      </c>
      <c r="W954">
        <v>84</v>
      </c>
      <c r="X954">
        <v>2</v>
      </c>
      <c r="Y954">
        <v>83</v>
      </c>
      <c r="Z954">
        <v>1</v>
      </c>
      <c r="AA954">
        <v>91</v>
      </c>
      <c r="AB954">
        <v>1</v>
      </c>
      <c r="AC954">
        <v>82</v>
      </c>
      <c r="AD954">
        <v>1</v>
      </c>
      <c r="AE954">
        <v>86</v>
      </c>
      <c r="AF954">
        <v>2</v>
      </c>
      <c r="AG954">
        <v>90</v>
      </c>
      <c r="AH954">
        <v>2</v>
      </c>
    </row>
    <row r="955" spans="1:34">
      <c r="A955" t="s">
        <v>2898</v>
      </c>
      <c r="B955" s="24">
        <v>1817</v>
      </c>
      <c r="C955" s="24" t="s">
        <v>2899</v>
      </c>
      <c r="D955" s="24" t="s">
        <v>193</v>
      </c>
      <c r="E955" s="93">
        <v>93</v>
      </c>
      <c r="F955" s="94">
        <v>4</v>
      </c>
      <c r="G955" s="94">
        <v>89</v>
      </c>
      <c r="H955" s="94">
        <v>4</v>
      </c>
      <c r="I955" s="94">
        <v>92</v>
      </c>
      <c r="J955" s="94">
        <v>4</v>
      </c>
      <c r="K955" s="94">
        <v>96</v>
      </c>
      <c r="L955" s="94">
        <v>2</v>
      </c>
      <c r="M955" s="94">
        <v>89</v>
      </c>
      <c r="N955" s="94">
        <v>2</v>
      </c>
      <c r="O955" s="94">
        <v>88</v>
      </c>
      <c r="P955" s="94">
        <v>2</v>
      </c>
      <c r="Q955">
        <v>100</v>
      </c>
      <c r="R955">
        <v>2</v>
      </c>
      <c r="S955">
        <v>82</v>
      </c>
      <c r="T955">
        <v>2</v>
      </c>
      <c r="U955">
        <v>88</v>
      </c>
      <c r="V955">
        <v>2</v>
      </c>
      <c r="W955">
        <v>92</v>
      </c>
      <c r="X955">
        <v>2</v>
      </c>
      <c r="Y955">
        <v>82</v>
      </c>
      <c r="Z955">
        <v>1</v>
      </c>
      <c r="AA955">
        <v>91</v>
      </c>
      <c r="AB955">
        <v>1</v>
      </c>
      <c r="AC955">
        <v>78</v>
      </c>
      <c r="AD955">
        <v>1</v>
      </c>
      <c r="AE955">
        <v>89</v>
      </c>
      <c r="AF955">
        <v>2</v>
      </c>
      <c r="AG955">
        <v>76</v>
      </c>
      <c r="AH955">
        <v>2</v>
      </c>
    </row>
    <row r="956" spans="1:34">
      <c r="A956" t="s">
        <v>2900</v>
      </c>
      <c r="B956" s="24">
        <v>1817</v>
      </c>
      <c r="C956" s="24" t="s">
        <v>2901</v>
      </c>
      <c r="D956" s="24" t="s">
        <v>2902</v>
      </c>
      <c r="E956" s="93">
        <v>93</v>
      </c>
      <c r="F956" s="94">
        <v>4</v>
      </c>
      <c r="G956" s="94">
        <v>90</v>
      </c>
      <c r="H956" s="94">
        <v>4</v>
      </c>
      <c r="I956" s="94">
        <v>92</v>
      </c>
      <c r="J956" s="94">
        <v>4</v>
      </c>
      <c r="K956" s="94">
        <v>89</v>
      </c>
      <c r="L956" s="94">
        <v>2</v>
      </c>
      <c r="M956" s="94">
        <v>88</v>
      </c>
      <c r="N956" s="94">
        <v>2</v>
      </c>
      <c r="O956" s="94">
        <v>80</v>
      </c>
      <c r="P956" s="94">
        <v>2</v>
      </c>
      <c r="Q956">
        <v>91</v>
      </c>
      <c r="R956">
        <v>2</v>
      </c>
      <c r="S956">
        <v>83</v>
      </c>
      <c r="T956">
        <v>2</v>
      </c>
      <c r="U956">
        <v>70</v>
      </c>
      <c r="V956">
        <v>2</v>
      </c>
      <c r="W956">
        <v>85</v>
      </c>
      <c r="X956">
        <v>2</v>
      </c>
      <c r="Y956">
        <v>80</v>
      </c>
      <c r="Z956">
        <v>1</v>
      </c>
      <c r="AA956">
        <v>91</v>
      </c>
      <c r="AB956">
        <v>1</v>
      </c>
      <c r="AC956">
        <v>78</v>
      </c>
      <c r="AD956">
        <v>1</v>
      </c>
      <c r="AE956">
        <v>90</v>
      </c>
      <c r="AF956">
        <v>2</v>
      </c>
      <c r="AG956">
        <v>78</v>
      </c>
      <c r="AH956">
        <v>2</v>
      </c>
    </row>
    <row r="957" spans="1:34">
      <c r="A957" t="s">
        <v>2903</v>
      </c>
      <c r="B957" s="24">
        <v>1817</v>
      </c>
      <c r="C957" s="24" t="s">
        <v>2904</v>
      </c>
      <c r="D957" s="24" t="s">
        <v>2905</v>
      </c>
      <c r="E957" s="93">
        <v>89</v>
      </c>
      <c r="F957" s="94">
        <v>4</v>
      </c>
      <c r="G957" s="94">
        <v>83</v>
      </c>
      <c r="H957" s="94">
        <v>4</v>
      </c>
      <c r="I957" s="94">
        <v>90</v>
      </c>
      <c r="J957" s="94">
        <v>4</v>
      </c>
      <c r="K957" s="94">
        <v>80</v>
      </c>
      <c r="L957" s="94">
        <v>2</v>
      </c>
      <c r="M957" s="94">
        <v>68</v>
      </c>
      <c r="N957" s="94">
        <v>2</v>
      </c>
      <c r="O957" s="94">
        <v>70</v>
      </c>
      <c r="P957" s="94">
        <v>2</v>
      </c>
      <c r="Q957">
        <v>70</v>
      </c>
      <c r="R957">
        <v>2</v>
      </c>
      <c r="S957">
        <v>84</v>
      </c>
      <c r="T957">
        <v>2</v>
      </c>
      <c r="U957">
        <v>78</v>
      </c>
      <c r="V957">
        <v>2</v>
      </c>
      <c r="W957">
        <v>80</v>
      </c>
      <c r="X957">
        <v>2</v>
      </c>
      <c r="Y957">
        <v>78</v>
      </c>
      <c r="Z957">
        <v>1</v>
      </c>
      <c r="AA957">
        <v>91</v>
      </c>
      <c r="AB957">
        <v>1</v>
      </c>
      <c r="AC957">
        <v>80</v>
      </c>
      <c r="AD957">
        <v>1</v>
      </c>
      <c r="AE957">
        <v>84</v>
      </c>
      <c r="AF957">
        <v>2</v>
      </c>
      <c r="AG957">
        <v>70</v>
      </c>
      <c r="AH957">
        <v>2</v>
      </c>
    </row>
    <row r="958" spans="1:34">
      <c r="A958" t="s">
        <v>2906</v>
      </c>
      <c r="B958" s="24">
        <v>1817</v>
      </c>
      <c r="C958" s="24" t="s">
        <v>2907</v>
      </c>
      <c r="D958" s="24" t="s">
        <v>2908</v>
      </c>
      <c r="E958" s="93">
        <v>92</v>
      </c>
      <c r="F958" s="94">
        <v>4</v>
      </c>
      <c r="G958" s="94">
        <v>83</v>
      </c>
      <c r="H958" s="94">
        <v>4</v>
      </c>
      <c r="I958" s="94">
        <v>92</v>
      </c>
      <c r="J958" s="94">
        <v>4</v>
      </c>
      <c r="K958" s="94">
        <v>85</v>
      </c>
      <c r="L958" s="94">
        <v>2</v>
      </c>
      <c r="M958" s="94">
        <v>85</v>
      </c>
      <c r="N958" s="94">
        <v>2</v>
      </c>
      <c r="O958" s="94">
        <v>70</v>
      </c>
      <c r="P958" s="94">
        <v>2</v>
      </c>
      <c r="Q958">
        <v>93</v>
      </c>
      <c r="R958">
        <v>2</v>
      </c>
      <c r="S958">
        <v>85</v>
      </c>
      <c r="T958">
        <v>2</v>
      </c>
      <c r="U958">
        <v>80</v>
      </c>
      <c r="V958">
        <v>2</v>
      </c>
      <c r="W958">
        <v>85</v>
      </c>
      <c r="X958">
        <v>2</v>
      </c>
      <c r="Y958">
        <v>80</v>
      </c>
      <c r="Z958">
        <v>1</v>
      </c>
      <c r="AA958">
        <v>91</v>
      </c>
      <c r="AB958">
        <v>1</v>
      </c>
      <c r="AC958">
        <v>76</v>
      </c>
      <c r="AD958">
        <v>1</v>
      </c>
      <c r="AE958">
        <v>88</v>
      </c>
      <c r="AF958">
        <v>2</v>
      </c>
      <c r="AG958">
        <v>76</v>
      </c>
      <c r="AH958">
        <v>2</v>
      </c>
    </row>
    <row r="959" spans="1:34">
      <c r="A959">
        <v>20181080</v>
      </c>
      <c r="B959" s="24">
        <v>1817</v>
      </c>
      <c r="C959" s="24" t="s">
        <v>2909</v>
      </c>
      <c r="D959" s="24" t="s">
        <v>2910</v>
      </c>
      <c r="E959" s="93">
        <v>80</v>
      </c>
      <c r="F959" s="94">
        <v>4</v>
      </c>
      <c r="G959" s="94">
        <v>74</v>
      </c>
      <c r="H959" s="94">
        <v>4</v>
      </c>
      <c r="I959" s="94">
        <v>75</v>
      </c>
      <c r="J959" s="94">
        <v>4</v>
      </c>
      <c r="K959" s="94">
        <v>80</v>
      </c>
      <c r="L959" s="94">
        <v>2</v>
      </c>
      <c r="M959" s="94">
        <v>61</v>
      </c>
      <c r="N959" s="94">
        <v>2</v>
      </c>
      <c r="O959" s="94">
        <v>70</v>
      </c>
      <c r="P959" s="94">
        <v>2</v>
      </c>
      <c r="Q959">
        <v>64</v>
      </c>
      <c r="R959">
        <v>2</v>
      </c>
      <c r="S959">
        <v>86</v>
      </c>
      <c r="T959">
        <v>2</v>
      </c>
      <c r="U959">
        <v>70</v>
      </c>
      <c r="V959">
        <v>2</v>
      </c>
      <c r="W959">
        <v>80</v>
      </c>
      <c r="X959">
        <v>2</v>
      </c>
      <c r="Y959">
        <v>79</v>
      </c>
      <c r="Z959">
        <v>1</v>
      </c>
      <c r="AA959">
        <v>91</v>
      </c>
      <c r="AB959">
        <v>1</v>
      </c>
      <c r="AC959">
        <v>80</v>
      </c>
      <c r="AD959">
        <v>1</v>
      </c>
      <c r="AE959">
        <v>50</v>
      </c>
      <c r="AF959">
        <v>1</v>
      </c>
      <c r="AG959">
        <v>80</v>
      </c>
      <c r="AH959">
        <v>2</v>
      </c>
    </row>
    <row r="960" spans="1:34">
      <c r="A960" t="s">
        <v>2911</v>
      </c>
      <c r="B960" s="24">
        <v>1818</v>
      </c>
      <c r="C960" s="24" t="s">
        <v>2912</v>
      </c>
      <c r="D960" s="24" t="s">
        <v>51</v>
      </c>
      <c r="E960" s="93">
        <v>98</v>
      </c>
      <c r="F960" s="94">
        <v>4</v>
      </c>
      <c r="G960" s="94">
        <v>92</v>
      </c>
      <c r="H960" s="94">
        <v>4</v>
      </c>
      <c r="I960" s="94">
        <v>95</v>
      </c>
      <c r="J960" s="94">
        <v>4</v>
      </c>
      <c r="K960" s="94">
        <v>92</v>
      </c>
      <c r="L960" s="94">
        <v>2</v>
      </c>
      <c r="M960" s="94">
        <v>91</v>
      </c>
      <c r="N960" s="94">
        <v>2</v>
      </c>
      <c r="O960" s="94">
        <v>90</v>
      </c>
      <c r="P960" s="94">
        <v>2</v>
      </c>
      <c r="Q960">
        <v>99</v>
      </c>
      <c r="R960">
        <v>2</v>
      </c>
      <c r="S960">
        <v>96</v>
      </c>
      <c r="T960">
        <v>2</v>
      </c>
      <c r="U960">
        <v>99</v>
      </c>
      <c r="V960">
        <v>2</v>
      </c>
      <c r="W960">
        <v>93</v>
      </c>
      <c r="X960">
        <v>2</v>
      </c>
      <c r="Y960">
        <v>78</v>
      </c>
      <c r="Z960">
        <v>1</v>
      </c>
      <c r="AA960">
        <v>92</v>
      </c>
      <c r="AB960">
        <v>1</v>
      </c>
      <c r="AC960">
        <v>78</v>
      </c>
      <c r="AD960">
        <v>1</v>
      </c>
      <c r="AE960">
        <v>86</v>
      </c>
      <c r="AF960">
        <v>2</v>
      </c>
      <c r="AG960">
        <v>90</v>
      </c>
      <c r="AH960">
        <v>2</v>
      </c>
    </row>
    <row r="961" spans="1:34">
      <c r="A961" t="s">
        <v>2913</v>
      </c>
      <c r="B961" s="24">
        <v>1818</v>
      </c>
      <c r="C961" s="24" t="s">
        <v>2914</v>
      </c>
      <c r="D961" s="24" t="s">
        <v>37</v>
      </c>
      <c r="E961" s="93">
        <v>95</v>
      </c>
      <c r="F961" s="94">
        <v>4</v>
      </c>
      <c r="G961" s="94">
        <v>90</v>
      </c>
      <c r="H961" s="94">
        <v>4</v>
      </c>
      <c r="I961" s="94">
        <v>96</v>
      </c>
      <c r="J961" s="94">
        <v>4</v>
      </c>
      <c r="K961" s="94">
        <v>93</v>
      </c>
      <c r="L961" s="94">
        <v>2</v>
      </c>
      <c r="M961" s="94">
        <v>94</v>
      </c>
      <c r="N961" s="94">
        <v>2</v>
      </c>
      <c r="O961" s="94">
        <v>90</v>
      </c>
      <c r="P961" s="94">
        <v>2</v>
      </c>
      <c r="Q961">
        <v>99</v>
      </c>
      <c r="R961">
        <v>2</v>
      </c>
      <c r="S961">
        <v>90</v>
      </c>
      <c r="T961">
        <v>2</v>
      </c>
      <c r="U961">
        <v>93</v>
      </c>
      <c r="V961">
        <v>2</v>
      </c>
      <c r="W961">
        <v>91</v>
      </c>
      <c r="X961">
        <v>2</v>
      </c>
      <c r="Y961">
        <v>80</v>
      </c>
      <c r="Z961">
        <v>1</v>
      </c>
      <c r="AA961">
        <v>92</v>
      </c>
      <c r="AB961">
        <v>1</v>
      </c>
      <c r="AC961">
        <v>73</v>
      </c>
      <c r="AD961">
        <v>1</v>
      </c>
      <c r="AE961">
        <v>90</v>
      </c>
      <c r="AF961">
        <v>2</v>
      </c>
      <c r="AG961">
        <v>90</v>
      </c>
      <c r="AH961">
        <v>2</v>
      </c>
    </row>
    <row r="962" spans="1:34">
      <c r="A962" t="s">
        <v>3113</v>
      </c>
      <c r="B962" s="24">
        <v>1818</v>
      </c>
      <c r="C962" s="24" t="s">
        <v>2916</v>
      </c>
      <c r="D962" s="24" t="s">
        <v>44</v>
      </c>
      <c r="E962" s="93">
        <v>92</v>
      </c>
      <c r="F962" s="94">
        <v>4</v>
      </c>
      <c r="G962" s="94">
        <v>88</v>
      </c>
      <c r="H962" s="94">
        <v>4</v>
      </c>
      <c r="I962" s="94">
        <v>90</v>
      </c>
      <c r="J962" s="94">
        <v>4</v>
      </c>
      <c r="K962" s="94">
        <v>95</v>
      </c>
      <c r="L962" s="94">
        <v>2</v>
      </c>
      <c r="M962" s="94">
        <v>96</v>
      </c>
      <c r="N962" s="94">
        <v>2</v>
      </c>
      <c r="O962" s="94">
        <v>91</v>
      </c>
      <c r="P962" s="94">
        <v>2</v>
      </c>
      <c r="Q962">
        <v>89</v>
      </c>
      <c r="R962">
        <v>2</v>
      </c>
      <c r="S962">
        <v>95</v>
      </c>
      <c r="T962">
        <v>2</v>
      </c>
      <c r="U962">
        <v>99</v>
      </c>
      <c r="V962">
        <v>2</v>
      </c>
      <c r="W962">
        <v>91</v>
      </c>
      <c r="X962">
        <v>2</v>
      </c>
      <c r="Y962">
        <v>79</v>
      </c>
      <c r="Z962">
        <v>1</v>
      </c>
      <c r="AA962">
        <v>92</v>
      </c>
      <c r="AB962">
        <v>1</v>
      </c>
      <c r="AC962">
        <v>76</v>
      </c>
      <c r="AD962">
        <v>1</v>
      </c>
      <c r="AE962">
        <v>88</v>
      </c>
      <c r="AF962">
        <v>2</v>
      </c>
      <c r="AG962">
        <v>90</v>
      </c>
      <c r="AH962">
        <v>2</v>
      </c>
    </row>
    <row r="963" spans="1:34">
      <c r="A963" t="s">
        <v>2918</v>
      </c>
      <c r="B963" s="24">
        <v>1818</v>
      </c>
      <c r="C963" s="24" t="s">
        <v>3258</v>
      </c>
      <c r="D963" s="24" t="s">
        <v>139</v>
      </c>
      <c r="E963" s="93">
        <v>92</v>
      </c>
      <c r="F963" s="94">
        <v>4</v>
      </c>
      <c r="G963" s="94">
        <v>88</v>
      </c>
      <c r="H963" s="94">
        <v>4</v>
      </c>
      <c r="I963" s="94">
        <v>90</v>
      </c>
      <c r="J963" s="94">
        <v>4</v>
      </c>
      <c r="K963" s="94">
        <v>94</v>
      </c>
      <c r="L963" s="94">
        <v>2</v>
      </c>
      <c r="M963" s="94">
        <v>92</v>
      </c>
      <c r="N963" s="94">
        <v>2</v>
      </c>
      <c r="O963" s="94">
        <v>95</v>
      </c>
      <c r="P963" s="94">
        <v>2</v>
      </c>
      <c r="Q963">
        <v>93</v>
      </c>
      <c r="R963">
        <v>2</v>
      </c>
      <c r="S963">
        <v>93</v>
      </c>
      <c r="T963">
        <v>2</v>
      </c>
      <c r="U963">
        <v>92</v>
      </c>
      <c r="V963">
        <v>2</v>
      </c>
      <c r="W963">
        <v>91</v>
      </c>
      <c r="X963">
        <v>2</v>
      </c>
      <c r="Y963">
        <v>78</v>
      </c>
      <c r="Z963">
        <v>1</v>
      </c>
      <c r="AA963">
        <v>92</v>
      </c>
      <c r="AB963">
        <v>1</v>
      </c>
      <c r="AC963">
        <v>80</v>
      </c>
      <c r="AD963">
        <v>1</v>
      </c>
      <c r="AE963">
        <v>84</v>
      </c>
      <c r="AF963">
        <v>2</v>
      </c>
      <c r="AG963">
        <v>90</v>
      </c>
      <c r="AH963">
        <v>2</v>
      </c>
    </row>
    <row r="964" spans="1:34">
      <c r="A964" t="s">
        <v>2920</v>
      </c>
      <c r="B964" s="24">
        <v>1818</v>
      </c>
      <c r="C964" s="24" t="s">
        <v>2919</v>
      </c>
      <c r="D964" s="24" t="s">
        <v>2922</v>
      </c>
      <c r="E964" s="93">
        <v>93</v>
      </c>
      <c r="F964" s="94">
        <v>4</v>
      </c>
      <c r="G964" s="94">
        <v>86</v>
      </c>
      <c r="H964" s="94">
        <v>4</v>
      </c>
      <c r="I964" s="94">
        <v>93</v>
      </c>
      <c r="J964" s="94">
        <v>4</v>
      </c>
      <c r="K964" s="94">
        <v>93</v>
      </c>
      <c r="L964" s="94">
        <v>2</v>
      </c>
      <c r="M964" s="94">
        <v>92</v>
      </c>
      <c r="N964" s="94">
        <v>2</v>
      </c>
      <c r="O964" s="94">
        <v>95</v>
      </c>
      <c r="P964" s="94">
        <v>2</v>
      </c>
      <c r="Q964">
        <v>90</v>
      </c>
      <c r="R964">
        <v>2</v>
      </c>
      <c r="S964">
        <v>92</v>
      </c>
      <c r="T964">
        <v>2</v>
      </c>
      <c r="U964">
        <v>99</v>
      </c>
      <c r="V964">
        <v>2</v>
      </c>
      <c r="W964">
        <v>91</v>
      </c>
      <c r="X964">
        <v>2</v>
      </c>
      <c r="Y964">
        <v>77</v>
      </c>
      <c r="Z964">
        <v>1</v>
      </c>
      <c r="AA964">
        <v>92</v>
      </c>
      <c r="AB964">
        <v>1</v>
      </c>
      <c r="AC964">
        <v>83</v>
      </c>
      <c r="AD964">
        <v>1</v>
      </c>
      <c r="AE964">
        <v>85</v>
      </c>
      <c r="AF964">
        <v>2</v>
      </c>
      <c r="AG964">
        <v>80</v>
      </c>
      <c r="AH964">
        <v>2</v>
      </c>
    </row>
    <row r="965" spans="1:34">
      <c r="A965" t="s">
        <v>1652</v>
      </c>
      <c r="B965" s="24">
        <v>1818</v>
      </c>
      <c r="C965" s="24" t="s">
        <v>2921</v>
      </c>
      <c r="D965" s="24" t="s">
        <v>1653</v>
      </c>
      <c r="E965" s="93">
        <v>94</v>
      </c>
      <c r="F965" s="94">
        <v>4</v>
      </c>
      <c r="G965" s="94">
        <v>88</v>
      </c>
      <c r="H965" s="94">
        <v>4</v>
      </c>
      <c r="I965" s="94">
        <v>94</v>
      </c>
      <c r="J965" s="94">
        <v>4</v>
      </c>
      <c r="K965" s="94">
        <v>91</v>
      </c>
      <c r="L965" s="94">
        <v>2</v>
      </c>
      <c r="M965" s="94">
        <v>96</v>
      </c>
      <c r="N965" s="94">
        <v>2</v>
      </c>
      <c r="O965" s="94">
        <v>90</v>
      </c>
      <c r="P965" s="94">
        <v>2</v>
      </c>
      <c r="Q965">
        <v>85</v>
      </c>
      <c r="R965">
        <v>2</v>
      </c>
      <c r="S965">
        <v>90</v>
      </c>
      <c r="T965">
        <v>2</v>
      </c>
      <c r="U965">
        <v>97</v>
      </c>
      <c r="V965">
        <v>2</v>
      </c>
      <c r="W965">
        <v>92</v>
      </c>
      <c r="X965">
        <v>2</v>
      </c>
      <c r="Y965">
        <v>70</v>
      </c>
      <c r="Z965">
        <v>1</v>
      </c>
      <c r="AA965">
        <v>92</v>
      </c>
      <c r="AB965">
        <v>1</v>
      </c>
      <c r="AC965">
        <v>73</v>
      </c>
      <c r="AD965">
        <v>1</v>
      </c>
      <c r="AE965">
        <v>89</v>
      </c>
      <c r="AF965">
        <v>2</v>
      </c>
      <c r="AG965">
        <v>76</v>
      </c>
      <c r="AH965">
        <v>2</v>
      </c>
    </row>
    <row r="966" spans="1:34">
      <c r="A966" t="s">
        <v>2929</v>
      </c>
      <c r="B966" s="24">
        <v>1818</v>
      </c>
      <c r="C966" s="24" t="s">
        <v>2924</v>
      </c>
      <c r="D966" s="24" t="s">
        <v>81</v>
      </c>
      <c r="E966" s="93">
        <v>95</v>
      </c>
      <c r="F966" s="94">
        <v>4</v>
      </c>
      <c r="G966" s="94">
        <v>88</v>
      </c>
      <c r="H966" s="94">
        <v>4</v>
      </c>
      <c r="I966" s="94">
        <v>93</v>
      </c>
      <c r="J966" s="94">
        <v>4</v>
      </c>
      <c r="K966" s="94">
        <v>95</v>
      </c>
      <c r="L966" s="94">
        <v>2</v>
      </c>
      <c r="M966" s="94">
        <v>90</v>
      </c>
      <c r="N966" s="94">
        <v>2</v>
      </c>
      <c r="O966" s="94">
        <v>93</v>
      </c>
      <c r="P966" s="94">
        <v>2</v>
      </c>
      <c r="Q966">
        <v>85</v>
      </c>
      <c r="R966">
        <v>2</v>
      </c>
      <c r="S966">
        <v>92</v>
      </c>
      <c r="T966">
        <v>2</v>
      </c>
      <c r="U966">
        <v>96</v>
      </c>
      <c r="V966">
        <v>2</v>
      </c>
      <c r="W966">
        <v>90</v>
      </c>
      <c r="X966">
        <v>2</v>
      </c>
      <c r="Y966">
        <v>72</v>
      </c>
      <c r="Z966">
        <v>1</v>
      </c>
      <c r="AA966">
        <v>92</v>
      </c>
      <c r="AB966">
        <v>1</v>
      </c>
      <c r="AC966">
        <v>80</v>
      </c>
      <c r="AD966">
        <v>1</v>
      </c>
      <c r="AE966">
        <v>91</v>
      </c>
      <c r="AF966">
        <v>2</v>
      </c>
      <c r="AG966">
        <v>90</v>
      </c>
      <c r="AH966">
        <v>2</v>
      </c>
    </row>
    <row r="967" spans="1:34">
      <c r="A967" t="s">
        <v>2933</v>
      </c>
      <c r="B967" s="24">
        <v>1818</v>
      </c>
      <c r="C967" s="24" t="s">
        <v>2927</v>
      </c>
      <c r="D967" s="24" t="s">
        <v>64</v>
      </c>
      <c r="E967" s="93">
        <v>93</v>
      </c>
      <c r="F967" s="94">
        <v>4</v>
      </c>
      <c r="G967" s="94">
        <v>95</v>
      </c>
      <c r="H967" s="94">
        <v>4</v>
      </c>
      <c r="I967" s="94">
        <v>98</v>
      </c>
      <c r="J967" s="94">
        <v>4</v>
      </c>
      <c r="K967" s="94">
        <v>92</v>
      </c>
      <c r="L967" s="94">
        <v>2</v>
      </c>
      <c r="M967" s="94">
        <v>96</v>
      </c>
      <c r="N967" s="94">
        <v>2</v>
      </c>
      <c r="O967" s="94">
        <v>99</v>
      </c>
      <c r="P967" s="94">
        <v>2</v>
      </c>
      <c r="Q967">
        <v>99</v>
      </c>
      <c r="R967">
        <v>2</v>
      </c>
      <c r="S967">
        <v>96</v>
      </c>
      <c r="T967">
        <v>2</v>
      </c>
      <c r="U967">
        <v>99</v>
      </c>
      <c r="V967">
        <v>2</v>
      </c>
      <c r="W967">
        <v>91</v>
      </c>
      <c r="X967">
        <v>2</v>
      </c>
      <c r="Y967">
        <v>80</v>
      </c>
      <c r="Z967">
        <v>1</v>
      </c>
      <c r="AA967">
        <v>92</v>
      </c>
      <c r="AB967">
        <v>1</v>
      </c>
      <c r="AC967">
        <v>84</v>
      </c>
      <c r="AD967">
        <v>1</v>
      </c>
      <c r="AE967">
        <v>86</v>
      </c>
      <c r="AF967">
        <v>2</v>
      </c>
      <c r="AG967">
        <v>76</v>
      </c>
      <c r="AH967">
        <v>2</v>
      </c>
    </row>
    <row r="968" spans="1:34">
      <c r="A968" t="s">
        <v>2941</v>
      </c>
      <c r="B968" s="24">
        <v>1818</v>
      </c>
      <c r="C968" s="24" t="s">
        <v>2930</v>
      </c>
      <c r="D968" s="24" t="s">
        <v>99</v>
      </c>
      <c r="E968" s="93">
        <v>97</v>
      </c>
      <c r="F968" s="94">
        <v>4</v>
      </c>
      <c r="G968" s="94">
        <v>90</v>
      </c>
      <c r="H968" s="94">
        <v>4</v>
      </c>
      <c r="I968" s="94">
        <v>95</v>
      </c>
      <c r="J968" s="94">
        <v>4</v>
      </c>
      <c r="K968" s="94">
        <v>96</v>
      </c>
      <c r="L968" s="94">
        <v>2</v>
      </c>
      <c r="M968" s="94">
        <v>97</v>
      </c>
      <c r="N968" s="94">
        <v>2</v>
      </c>
      <c r="O968" s="94">
        <v>90</v>
      </c>
      <c r="P968" s="94">
        <v>2</v>
      </c>
      <c r="Q968">
        <v>91</v>
      </c>
      <c r="R968">
        <v>2</v>
      </c>
      <c r="S968">
        <v>95</v>
      </c>
      <c r="T968">
        <v>2</v>
      </c>
      <c r="U968">
        <v>95</v>
      </c>
      <c r="V968">
        <v>2</v>
      </c>
      <c r="W968">
        <v>90</v>
      </c>
      <c r="X968">
        <v>2</v>
      </c>
      <c r="Y968">
        <v>78</v>
      </c>
      <c r="Z968">
        <v>1</v>
      </c>
      <c r="AA968">
        <v>92</v>
      </c>
      <c r="AB968">
        <v>1</v>
      </c>
      <c r="AC968">
        <v>76</v>
      </c>
      <c r="AD968">
        <v>1</v>
      </c>
      <c r="AE968">
        <v>86</v>
      </c>
      <c r="AF968">
        <v>2</v>
      </c>
      <c r="AG968">
        <v>90</v>
      </c>
      <c r="AH968">
        <v>2</v>
      </c>
    </row>
    <row r="969" spans="1:34">
      <c r="A969" t="s">
        <v>2943</v>
      </c>
      <c r="B969" s="24">
        <v>1818</v>
      </c>
      <c r="C969" s="24" t="s">
        <v>2932</v>
      </c>
      <c r="D969" s="24" t="s">
        <v>70</v>
      </c>
      <c r="E969" s="93">
        <v>90</v>
      </c>
      <c r="F969" s="94">
        <v>4</v>
      </c>
      <c r="G969" s="94">
        <v>90</v>
      </c>
      <c r="H969" s="94">
        <v>4</v>
      </c>
      <c r="I969" s="94">
        <v>95</v>
      </c>
      <c r="J969" s="94">
        <v>4</v>
      </c>
      <c r="K969" s="94">
        <v>92</v>
      </c>
      <c r="L969" s="94">
        <v>2</v>
      </c>
      <c r="M969" s="94">
        <v>90</v>
      </c>
      <c r="N969" s="94">
        <v>2</v>
      </c>
      <c r="O969" s="94">
        <v>90</v>
      </c>
      <c r="P969" s="94">
        <v>2</v>
      </c>
      <c r="Q969">
        <v>92</v>
      </c>
      <c r="R969">
        <v>2</v>
      </c>
      <c r="S969">
        <v>93</v>
      </c>
      <c r="T969">
        <v>2</v>
      </c>
      <c r="U969">
        <v>90</v>
      </c>
      <c r="V969">
        <v>2</v>
      </c>
      <c r="W969">
        <v>90</v>
      </c>
      <c r="X969">
        <v>2</v>
      </c>
      <c r="Y969">
        <v>81</v>
      </c>
      <c r="Z969">
        <v>1</v>
      </c>
      <c r="AA969">
        <v>92</v>
      </c>
      <c r="AB969">
        <v>1</v>
      </c>
      <c r="AC969">
        <v>78</v>
      </c>
      <c r="AD969">
        <v>1</v>
      </c>
      <c r="AE969">
        <v>88</v>
      </c>
      <c r="AF969">
        <v>2</v>
      </c>
      <c r="AG969">
        <v>88</v>
      </c>
      <c r="AH969">
        <v>2</v>
      </c>
    </row>
    <row r="970" spans="1:34">
      <c r="A970" t="s">
        <v>2945</v>
      </c>
      <c r="B970" s="24">
        <v>1818</v>
      </c>
      <c r="C970" s="24" t="s">
        <v>2934</v>
      </c>
      <c r="D970" s="24" t="s">
        <v>2946</v>
      </c>
      <c r="E970" s="93">
        <v>97</v>
      </c>
      <c r="F970" s="94">
        <v>4</v>
      </c>
      <c r="G970" s="94">
        <v>85</v>
      </c>
      <c r="H970" s="94">
        <v>4</v>
      </c>
      <c r="I970" s="94">
        <v>99</v>
      </c>
      <c r="J970" s="94">
        <v>4</v>
      </c>
      <c r="K970" s="94">
        <v>91</v>
      </c>
      <c r="L970" s="94">
        <v>2</v>
      </c>
      <c r="M970" s="94">
        <v>90</v>
      </c>
      <c r="N970" s="94">
        <v>2</v>
      </c>
      <c r="O970" s="94">
        <v>90</v>
      </c>
      <c r="P970" s="94">
        <v>2</v>
      </c>
      <c r="Q970">
        <v>90</v>
      </c>
      <c r="R970">
        <v>2</v>
      </c>
      <c r="S970">
        <v>95</v>
      </c>
      <c r="T970">
        <v>2</v>
      </c>
      <c r="U970">
        <v>88</v>
      </c>
      <c r="V970">
        <v>2</v>
      </c>
      <c r="W970">
        <v>90</v>
      </c>
      <c r="X970">
        <v>2</v>
      </c>
      <c r="Y970">
        <v>65</v>
      </c>
      <c r="Z970">
        <v>1</v>
      </c>
      <c r="AA970">
        <v>92</v>
      </c>
      <c r="AB970">
        <v>1</v>
      </c>
      <c r="AC970">
        <v>83</v>
      </c>
      <c r="AD970">
        <v>1</v>
      </c>
      <c r="AE970">
        <v>92</v>
      </c>
      <c r="AF970">
        <v>2</v>
      </c>
      <c r="AG970">
        <v>90</v>
      </c>
      <c r="AH970">
        <v>2</v>
      </c>
    </row>
    <row r="971" spans="1:34">
      <c r="A971" t="s">
        <v>2947</v>
      </c>
      <c r="B971" s="24">
        <v>1818</v>
      </c>
      <c r="C971" s="24" t="s">
        <v>2936</v>
      </c>
      <c r="D971" s="24" t="s">
        <v>14</v>
      </c>
      <c r="E971" s="93">
        <v>98</v>
      </c>
      <c r="F971" s="94">
        <v>4</v>
      </c>
      <c r="G971" s="94">
        <v>91</v>
      </c>
      <c r="H971" s="94">
        <v>4</v>
      </c>
      <c r="I971" s="94">
        <v>97</v>
      </c>
      <c r="J971" s="94">
        <v>4</v>
      </c>
      <c r="K971" s="94">
        <v>90</v>
      </c>
      <c r="L971" s="94">
        <v>2</v>
      </c>
      <c r="M971" s="94">
        <v>90</v>
      </c>
      <c r="N971" s="94">
        <v>2</v>
      </c>
      <c r="O971" s="94">
        <v>90</v>
      </c>
      <c r="P971" s="94">
        <v>2</v>
      </c>
      <c r="Q971">
        <v>97</v>
      </c>
      <c r="R971">
        <v>2</v>
      </c>
      <c r="S971">
        <v>90</v>
      </c>
      <c r="T971">
        <v>2</v>
      </c>
      <c r="U971">
        <v>95</v>
      </c>
      <c r="V971">
        <v>2</v>
      </c>
      <c r="W971">
        <v>90</v>
      </c>
      <c r="X971">
        <v>2</v>
      </c>
      <c r="Y971">
        <v>70</v>
      </c>
      <c r="Z971">
        <v>1</v>
      </c>
      <c r="AA971">
        <v>92</v>
      </c>
      <c r="AB971">
        <v>1</v>
      </c>
      <c r="AC971">
        <v>82</v>
      </c>
      <c r="AD971">
        <v>1</v>
      </c>
      <c r="AE971">
        <v>90</v>
      </c>
      <c r="AF971">
        <v>2</v>
      </c>
      <c r="AG971">
        <v>90</v>
      </c>
      <c r="AH971">
        <v>2</v>
      </c>
    </row>
    <row r="972" spans="1:34">
      <c r="A972" t="s">
        <v>2949</v>
      </c>
      <c r="B972" s="24">
        <v>1818</v>
      </c>
      <c r="C972" s="24" t="s">
        <v>2939</v>
      </c>
      <c r="D972" s="24" t="s">
        <v>84</v>
      </c>
      <c r="E972" s="93">
        <v>97</v>
      </c>
      <c r="F972" s="94">
        <v>4</v>
      </c>
      <c r="G972" s="94">
        <v>90</v>
      </c>
      <c r="H972" s="94">
        <v>4</v>
      </c>
      <c r="I972" s="94">
        <v>95</v>
      </c>
      <c r="J972" s="94">
        <v>4</v>
      </c>
      <c r="K972" s="94">
        <v>92</v>
      </c>
      <c r="L972" s="94">
        <v>2</v>
      </c>
      <c r="M972" s="94">
        <v>95</v>
      </c>
      <c r="N972" s="94">
        <v>2</v>
      </c>
      <c r="O972" s="94">
        <v>90</v>
      </c>
      <c r="P972" s="94">
        <v>2</v>
      </c>
      <c r="Q972">
        <v>98</v>
      </c>
      <c r="R972">
        <v>2</v>
      </c>
      <c r="S972">
        <v>95</v>
      </c>
      <c r="T972">
        <v>2</v>
      </c>
      <c r="U972">
        <v>96</v>
      </c>
      <c r="V972">
        <v>2</v>
      </c>
      <c r="W972">
        <v>90</v>
      </c>
      <c r="X972">
        <v>2</v>
      </c>
      <c r="Y972">
        <v>60</v>
      </c>
      <c r="Z972">
        <v>1</v>
      </c>
      <c r="AA972">
        <v>92</v>
      </c>
      <c r="AB972">
        <v>1</v>
      </c>
      <c r="AC972">
        <v>80</v>
      </c>
      <c r="AD972">
        <v>1</v>
      </c>
      <c r="AE972">
        <v>92</v>
      </c>
      <c r="AF972">
        <v>2</v>
      </c>
      <c r="AG972">
        <v>90</v>
      </c>
      <c r="AH972">
        <v>2</v>
      </c>
    </row>
    <row r="973" spans="1:34">
      <c r="A973" t="s">
        <v>2954</v>
      </c>
      <c r="B973" s="24">
        <v>1818</v>
      </c>
      <c r="C973" s="24" t="s">
        <v>2942</v>
      </c>
      <c r="D973" s="24" t="s">
        <v>79</v>
      </c>
      <c r="E973" s="93">
        <v>100</v>
      </c>
      <c r="F973" s="94">
        <v>4</v>
      </c>
      <c r="G973" s="94">
        <v>90</v>
      </c>
      <c r="H973" s="94">
        <v>4</v>
      </c>
      <c r="I973" s="94">
        <v>98</v>
      </c>
      <c r="J973" s="94">
        <v>4</v>
      </c>
      <c r="K973" s="94">
        <v>91</v>
      </c>
      <c r="L973" s="94">
        <v>2</v>
      </c>
      <c r="M973" s="94">
        <v>95</v>
      </c>
      <c r="N973" s="94">
        <v>2</v>
      </c>
      <c r="O973" s="94">
        <v>90</v>
      </c>
      <c r="P973" s="94">
        <v>2</v>
      </c>
      <c r="Q973">
        <v>99</v>
      </c>
      <c r="R973">
        <v>2</v>
      </c>
      <c r="S973">
        <v>96</v>
      </c>
      <c r="T973">
        <v>2</v>
      </c>
      <c r="U973">
        <v>92</v>
      </c>
      <c r="V973">
        <v>2</v>
      </c>
      <c r="W973">
        <v>91</v>
      </c>
      <c r="X973">
        <v>2</v>
      </c>
      <c r="Y973">
        <v>70</v>
      </c>
      <c r="Z973">
        <v>1</v>
      </c>
      <c r="AA973">
        <v>92</v>
      </c>
      <c r="AB973">
        <v>1</v>
      </c>
      <c r="AC973">
        <v>78</v>
      </c>
      <c r="AD973">
        <v>1</v>
      </c>
      <c r="AE973">
        <v>87</v>
      </c>
      <c r="AF973">
        <v>2</v>
      </c>
      <c r="AG973">
        <v>87</v>
      </c>
      <c r="AH973">
        <v>2</v>
      </c>
    </row>
    <row r="974" spans="1:34">
      <c r="A974" t="s">
        <v>2958</v>
      </c>
      <c r="B974" s="24">
        <v>1818</v>
      </c>
      <c r="C974" s="24" t="s">
        <v>2944</v>
      </c>
      <c r="D974" s="24" t="s">
        <v>36</v>
      </c>
      <c r="E974" s="93">
        <v>93</v>
      </c>
      <c r="F974" s="94">
        <v>4</v>
      </c>
      <c r="G974" s="94">
        <v>95</v>
      </c>
      <c r="H974" s="94">
        <v>4</v>
      </c>
      <c r="I974" s="94">
        <v>94</v>
      </c>
      <c r="J974" s="94">
        <v>4</v>
      </c>
      <c r="K974" s="94">
        <v>94</v>
      </c>
      <c r="L974" s="94">
        <v>2</v>
      </c>
      <c r="M974" s="94">
        <v>91</v>
      </c>
      <c r="N974" s="94">
        <v>2</v>
      </c>
      <c r="O974" s="94">
        <v>90</v>
      </c>
      <c r="P974" s="94">
        <v>2</v>
      </c>
      <c r="Q974">
        <v>97</v>
      </c>
      <c r="R974">
        <v>2</v>
      </c>
      <c r="S974">
        <v>93</v>
      </c>
      <c r="T974">
        <v>2</v>
      </c>
      <c r="U974">
        <v>99</v>
      </c>
      <c r="V974">
        <v>2</v>
      </c>
      <c r="W974">
        <v>90</v>
      </c>
      <c r="X974">
        <v>2</v>
      </c>
      <c r="Y974">
        <v>66</v>
      </c>
      <c r="Z974">
        <v>1</v>
      </c>
      <c r="AA974">
        <v>92</v>
      </c>
      <c r="AB974">
        <v>1</v>
      </c>
      <c r="AC974">
        <v>80</v>
      </c>
      <c r="AD974">
        <v>1</v>
      </c>
      <c r="AE974">
        <v>85</v>
      </c>
      <c r="AF974">
        <v>2</v>
      </c>
      <c r="AG974">
        <v>90</v>
      </c>
      <c r="AH974">
        <v>2</v>
      </c>
    </row>
    <row r="975" spans="1:34">
      <c r="A975" t="s">
        <v>1563</v>
      </c>
      <c r="B975" s="24">
        <v>1818</v>
      </c>
      <c r="C975" s="24" t="s">
        <v>3296</v>
      </c>
      <c r="D975" s="24" t="s">
        <v>94</v>
      </c>
      <c r="E975" s="93">
        <v>95</v>
      </c>
      <c r="F975" s="94">
        <v>4</v>
      </c>
      <c r="G975" s="94">
        <v>93</v>
      </c>
      <c r="H975" s="94">
        <v>4</v>
      </c>
      <c r="I975" s="94">
        <v>98</v>
      </c>
      <c r="J975" s="94">
        <v>4</v>
      </c>
      <c r="K975" s="94">
        <v>93</v>
      </c>
      <c r="L975" s="94">
        <v>2</v>
      </c>
      <c r="M975" s="94">
        <v>98</v>
      </c>
      <c r="N975" s="94">
        <v>2</v>
      </c>
      <c r="O975" s="94">
        <v>90</v>
      </c>
      <c r="P975" s="94">
        <v>2</v>
      </c>
      <c r="Q975">
        <v>95</v>
      </c>
      <c r="R975">
        <v>2</v>
      </c>
      <c r="S975">
        <v>95</v>
      </c>
      <c r="T975">
        <v>2</v>
      </c>
      <c r="U975">
        <v>97</v>
      </c>
      <c r="V975">
        <v>2</v>
      </c>
      <c r="W975">
        <v>90</v>
      </c>
      <c r="X975">
        <v>2</v>
      </c>
      <c r="Y975">
        <v>75</v>
      </c>
      <c r="Z975">
        <v>1</v>
      </c>
      <c r="AA975">
        <v>92</v>
      </c>
      <c r="AB975">
        <v>1</v>
      </c>
      <c r="AC975">
        <v>78</v>
      </c>
      <c r="AD975">
        <v>1</v>
      </c>
      <c r="AE975">
        <v>86</v>
      </c>
      <c r="AF975">
        <v>2</v>
      </c>
      <c r="AG975">
        <v>76</v>
      </c>
      <c r="AH975">
        <v>2</v>
      </c>
    </row>
    <row r="976" spans="1:34">
      <c r="A976" t="s">
        <v>2960</v>
      </c>
      <c r="B976" s="24">
        <v>1818</v>
      </c>
      <c r="C976" s="24" t="s">
        <v>2948</v>
      </c>
      <c r="D976" s="24" t="s">
        <v>32</v>
      </c>
      <c r="E976" s="93">
        <v>99</v>
      </c>
      <c r="F976" s="94">
        <v>4</v>
      </c>
      <c r="G976" s="94">
        <v>90</v>
      </c>
      <c r="H976" s="94">
        <v>4</v>
      </c>
      <c r="I976" s="94">
        <v>97</v>
      </c>
      <c r="J976" s="94">
        <v>4</v>
      </c>
      <c r="K976" s="94">
        <v>90</v>
      </c>
      <c r="L976" s="94">
        <v>2</v>
      </c>
      <c r="M976" s="94">
        <v>93</v>
      </c>
      <c r="N976" s="94">
        <v>2</v>
      </c>
      <c r="O976" s="94">
        <v>90</v>
      </c>
      <c r="P976" s="94">
        <v>2</v>
      </c>
      <c r="Q976">
        <v>99</v>
      </c>
      <c r="R976">
        <v>2</v>
      </c>
      <c r="S976">
        <v>93</v>
      </c>
      <c r="T976">
        <v>2</v>
      </c>
      <c r="U976">
        <v>86</v>
      </c>
      <c r="V976">
        <v>2</v>
      </c>
      <c r="W976">
        <v>91</v>
      </c>
      <c r="X976">
        <v>2</v>
      </c>
      <c r="Y976">
        <v>78</v>
      </c>
      <c r="Z976">
        <v>1</v>
      </c>
      <c r="AA976">
        <v>92</v>
      </c>
      <c r="AB976">
        <v>1</v>
      </c>
      <c r="AC976">
        <v>80</v>
      </c>
      <c r="AD976">
        <v>1</v>
      </c>
      <c r="AE976">
        <v>90</v>
      </c>
      <c r="AF976">
        <v>2</v>
      </c>
      <c r="AG976">
        <v>78</v>
      </c>
      <c r="AH976">
        <v>2</v>
      </c>
    </row>
    <row r="977" spans="1:34">
      <c r="A977" t="s">
        <v>2962</v>
      </c>
      <c r="B977" s="24">
        <v>1818</v>
      </c>
      <c r="C977" s="24" t="s">
        <v>2950</v>
      </c>
      <c r="D977" s="24" t="s">
        <v>92</v>
      </c>
      <c r="E977" s="93">
        <v>94</v>
      </c>
      <c r="F977" s="94">
        <v>4</v>
      </c>
      <c r="G977" s="94">
        <v>95</v>
      </c>
      <c r="H977" s="94">
        <v>4</v>
      </c>
      <c r="I977" s="94">
        <v>94</v>
      </c>
      <c r="J977" s="94">
        <v>4</v>
      </c>
      <c r="K977" s="94">
        <v>92</v>
      </c>
      <c r="L977" s="94">
        <v>2</v>
      </c>
      <c r="M977" s="94">
        <v>92</v>
      </c>
      <c r="N977" s="94">
        <v>2</v>
      </c>
      <c r="O977" s="94">
        <v>90</v>
      </c>
      <c r="P977" s="94">
        <v>2</v>
      </c>
      <c r="Q977">
        <v>99</v>
      </c>
      <c r="R977">
        <v>2</v>
      </c>
      <c r="S977">
        <v>90</v>
      </c>
      <c r="T977">
        <v>2</v>
      </c>
      <c r="U977">
        <v>98</v>
      </c>
      <c r="V977">
        <v>2</v>
      </c>
      <c r="W977">
        <v>90</v>
      </c>
      <c r="X977">
        <v>2</v>
      </c>
      <c r="Y977">
        <v>80</v>
      </c>
      <c r="Z977">
        <v>1</v>
      </c>
      <c r="AA977">
        <v>92</v>
      </c>
      <c r="AB977">
        <v>1</v>
      </c>
      <c r="AC977">
        <v>70</v>
      </c>
      <c r="AD977">
        <v>1</v>
      </c>
      <c r="AE977">
        <v>90</v>
      </c>
      <c r="AF977">
        <v>2</v>
      </c>
      <c r="AG977">
        <v>90</v>
      </c>
      <c r="AH977">
        <v>2</v>
      </c>
    </row>
    <row r="978" spans="1:34">
      <c r="A978" t="s">
        <v>2964</v>
      </c>
      <c r="B978" s="24">
        <v>1818</v>
      </c>
      <c r="C978" s="24" t="s">
        <v>2952</v>
      </c>
      <c r="D978" s="24" t="s">
        <v>59</v>
      </c>
      <c r="E978" s="93">
        <v>90</v>
      </c>
      <c r="F978" s="94">
        <v>4</v>
      </c>
      <c r="G978" s="94">
        <v>95</v>
      </c>
      <c r="H978" s="94">
        <v>4</v>
      </c>
      <c r="I978" s="94">
        <v>98</v>
      </c>
      <c r="J978" s="94">
        <v>4</v>
      </c>
      <c r="K978" s="94">
        <v>91</v>
      </c>
      <c r="L978" s="94">
        <v>2</v>
      </c>
      <c r="M978" s="94">
        <v>90</v>
      </c>
      <c r="N978" s="94">
        <v>2</v>
      </c>
      <c r="O978" s="94">
        <v>97</v>
      </c>
      <c r="P978" s="94">
        <v>2</v>
      </c>
      <c r="Q978">
        <v>88</v>
      </c>
      <c r="R978">
        <v>2</v>
      </c>
      <c r="S978">
        <v>93</v>
      </c>
      <c r="T978">
        <v>2</v>
      </c>
      <c r="U978">
        <v>99</v>
      </c>
      <c r="V978">
        <v>2</v>
      </c>
      <c r="W978">
        <v>90</v>
      </c>
      <c r="X978">
        <v>2</v>
      </c>
      <c r="Y978">
        <v>75</v>
      </c>
      <c r="Z978">
        <v>1</v>
      </c>
      <c r="AA978">
        <v>92</v>
      </c>
      <c r="AB978">
        <v>1</v>
      </c>
      <c r="AC978">
        <v>82</v>
      </c>
      <c r="AD978">
        <v>1</v>
      </c>
      <c r="AE978">
        <v>83</v>
      </c>
      <c r="AF978">
        <v>2</v>
      </c>
      <c r="AG978">
        <v>78</v>
      </c>
      <c r="AH978">
        <v>2</v>
      </c>
    </row>
    <row r="979" spans="1:34">
      <c r="A979" t="s">
        <v>2966</v>
      </c>
      <c r="B979" s="24">
        <v>1818</v>
      </c>
      <c r="C979" s="24" t="s">
        <v>2955</v>
      </c>
      <c r="D979" s="24" t="s">
        <v>127</v>
      </c>
      <c r="E979" s="93">
        <v>95</v>
      </c>
      <c r="F979" s="94">
        <v>4</v>
      </c>
      <c r="G979" s="94">
        <v>90</v>
      </c>
      <c r="H979" s="94">
        <v>4</v>
      </c>
      <c r="I979" s="94">
        <v>97</v>
      </c>
      <c r="J979" s="94">
        <v>4</v>
      </c>
      <c r="K979" s="94">
        <v>93</v>
      </c>
      <c r="L979" s="94">
        <v>2</v>
      </c>
      <c r="M979" s="94">
        <v>94</v>
      </c>
      <c r="N979" s="94">
        <v>2</v>
      </c>
      <c r="O979" s="94">
        <v>97</v>
      </c>
      <c r="P979" s="94">
        <v>2</v>
      </c>
      <c r="Q979">
        <v>100</v>
      </c>
      <c r="R979">
        <v>2</v>
      </c>
      <c r="S979">
        <v>93</v>
      </c>
      <c r="T979">
        <v>2</v>
      </c>
      <c r="U979">
        <v>96</v>
      </c>
      <c r="V979">
        <v>2</v>
      </c>
      <c r="W979">
        <v>91</v>
      </c>
      <c r="X979">
        <v>2</v>
      </c>
      <c r="Y979">
        <v>76</v>
      </c>
      <c r="Z979">
        <v>1</v>
      </c>
      <c r="AA979">
        <v>92</v>
      </c>
      <c r="AB979">
        <v>1</v>
      </c>
      <c r="AC979">
        <v>60</v>
      </c>
      <c r="AD979">
        <v>1</v>
      </c>
      <c r="AE979">
        <v>90</v>
      </c>
      <c r="AF979">
        <v>2</v>
      </c>
      <c r="AG979">
        <v>90</v>
      </c>
      <c r="AH979">
        <v>2</v>
      </c>
    </row>
    <row r="980" spans="1:34">
      <c r="A980" t="s">
        <v>2968</v>
      </c>
      <c r="B980" s="24">
        <v>1818</v>
      </c>
      <c r="C980" s="24" t="s">
        <v>2957</v>
      </c>
      <c r="D980" s="24" t="s">
        <v>124</v>
      </c>
      <c r="E980" s="93">
        <v>93</v>
      </c>
      <c r="F980" s="94">
        <v>4</v>
      </c>
      <c r="G980" s="94">
        <v>92</v>
      </c>
      <c r="H980" s="94">
        <v>4</v>
      </c>
      <c r="I980" s="94">
        <v>92</v>
      </c>
      <c r="J980" s="94">
        <v>4</v>
      </c>
      <c r="K980" s="94">
        <v>95</v>
      </c>
      <c r="L980" s="94">
        <v>2</v>
      </c>
      <c r="M980" s="94">
        <v>97</v>
      </c>
      <c r="N980" s="94">
        <v>2</v>
      </c>
      <c r="O980" s="94">
        <v>97</v>
      </c>
      <c r="P980" s="94">
        <v>2</v>
      </c>
      <c r="Q980">
        <v>94</v>
      </c>
      <c r="R980">
        <v>2</v>
      </c>
      <c r="S980">
        <v>96</v>
      </c>
      <c r="T980">
        <v>2</v>
      </c>
      <c r="U980">
        <v>98</v>
      </c>
      <c r="V980">
        <v>2</v>
      </c>
      <c r="W980">
        <v>90</v>
      </c>
      <c r="X980">
        <v>2</v>
      </c>
      <c r="Y980">
        <v>80</v>
      </c>
      <c r="Z980">
        <v>1</v>
      </c>
      <c r="AA980">
        <v>92</v>
      </c>
      <c r="AB980">
        <v>1</v>
      </c>
      <c r="AC980">
        <v>78</v>
      </c>
      <c r="AD980">
        <v>1</v>
      </c>
      <c r="AE980">
        <v>85</v>
      </c>
      <c r="AF980">
        <v>2</v>
      </c>
      <c r="AG980">
        <v>90</v>
      </c>
      <c r="AH980">
        <v>2</v>
      </c>
    </row>
    <row r="981" spans="1:34">
      <c r="A981" t="s">
        <v>2970</v>
      </c>
      <c r="B981" s="24">
        <v>1818</v>
      </c>
      <c r="C981" s="24" t="s">
        <v>2959</v>
      </c>
      <c r="D981" s="24" t="s">
        <v>88</v>
      </c>
      <c r="E981" s="93">
        <v>90</v>
      </c>
      <c r="F981" s="94">
        <v>4</v>
      </c>
      <c r="G981" s="94">
        <v>90</v>
      </c>
      <c r="H981" s="94">
        <v>4</v>
      </c>
      <c r="I981" s="94">
        <v>92</v>
      </c>
      <c r="J981" s="94">
        <v>4</v>
      </c>
      <c r="K981" s="94">
        <v>96</v>
      </c>
      <c r="L981" s="94">
        <v>2</v>
      </c>
      <c r="M981" s="94">
        <v>95</v>
      </c>
      <c r="N981" s="94">
        <v>2</v>
      </c>
      <c r="O981" s="94">
        <v>90</v>
      </c>
      <c r="P981" s="94">
        <v>2</v>
      </c>
      <c r="Q981">
        <v>99</v>
      </c>
      <c r="R981">
        <v>2</v>
      </c>
      <c r="S981">
        <v>93</v>
      </c>
      <c r="T981">
        <v>2</v>
      </c>
      <c r="U981">
        <v>93</v>
      </c>
      <c r="V981">
        <v>2</v>
      </c>
      <c r="W981">
        <v>90</v>
      </c>
      <c r="X981">
        <v>2</v>
      </c>
      <c r="Y981">
        <v>82</v>
      </c>
      <c r="Z981">
        <v>1</v>
      </c>
      <c r="AA981">
        <v>92</v>
      </c>
      <c r="AB981">
        <v>1</v>
      </c>
      <c r="AC981">
        <v>83</v>
      </c>
      <c r="AD981">
        <v>1</v>
      </c>
      <c r="AE981">
        <v>92</v>
      </c>
      <c r="AF981">
        <v>2</v>
      </c>
      <c r="AG981">
        <v>76</v>
      </c>
      <c r="AH981">
        <v>2</v>
      </c>
    </row>
    <row r="982" spans="1:34">
      <c r="A982" t="s">
        <v>2974</v>
      </c>
      <c r="B982" s="24">
        <v>1818</v>
      </c>
      <c r="C982" s="24" t="s">
        <v>2961</v>
      </c>
      <c r="D982" s="24" t="s">
        <v>142</v>
      </c>
      <c r="E982" s="93">
        <v>97</v>
      </c>
      <c r="F982" s="94">
        <v>4</v>
      </c>
      <c r="G982" s="94">
        <v>88</v>
      </c>
      <c r="H982" s="94">
        <v>4</v>
      </c>
      <c r="I982" s="94">
        <v>94</v>
      </c>
      <c r="J982" s="94">
        <v>4</v>
      </c>
      <c r="K982" s="94">
        <v>92</v>
      </c>
      <c r="L982" s="94">
        <v>2</v>
      </c>
      <c r="M982" s="94">
        <v>90</v>
      </c>
      <c r="N982" s="94">
        <v>2</v>
      </c>
      <c r="O982" s="94">
        <v>90</v>
      </c>
      <c r="P982" s="94">
        <v>2</v>
      </c>
      <c r="Q982">
        <v>93</v>
      </c>
      <c r="R982">
        <v>2</v>
      </c>
      <c r="S982">
        <v>90</v>
      </c>
      <c r="T982">
        <v>2</v>
      </c>
      <c r="U982">
        <v>88</v>
      </c>
      <c r="V982">
        <v>2</v>
      </c>
      <c r="W982">
        <v>90</v>
      </c>
      <c r="X982">
        <v>2</v>
      </c>
      <c r="Y982">
        <v>85</v>
      </c>
      <c r="Z982">
        <v>1</v>
      </c>
      <c r="AA982">
        <v>92</v>
      </c>
      <c r="AB982">
        <v>1</v>
      </c>
      <c r="AC982">
        <v>76</v>
      </c>
      <c r="AD982">
        <v>1</v>
      </c>
      <c r="AE982">
        <v>94</v>
      </c>
      <c r="AF982">
        <v>2</v>
      </c>
      <c r="AG982">
        <v>90</v>
      </c>
      <c r="AH982">
        <v>2</v>
      </c>
    </row>
    <row r="983" spans="1:34">
      <c r="A983" t="s">
        <v>2976</v>
      </c>
      <c r="B983" s="24">
        <v>1818</v>
      </c>
      <c r="C983" s="24" t="s">
        <v>2963</v>
      </c>
      <c r="D983" s="24" t="s">
        <v>21</v>
      </c>
      <c r="E983" s="93">
        <v>96</v>
      </c>
      <c r="F983" s="94">
        <v>4</v>
      </c>
      <c r="G983" s="94">
        <v>98</v>
      </c>
      <c r="H983" s="94">
        <v>4</v>
      </c>
      <c r="I983" s="94">
        <v>93</v>
      </c>
      <c r="J983" s="94">
        <v>4</v>
      </c>
      <c r="K983" s="94">
        <v>97</v>
      </c>
      <c r="L983" s="94">
        <v>2</v>
      </c>
      <c r="M983" s="94">
        <v>93</v>
      </c>
      <c r="N983" s="94">
        <v>2</v>
      </c>
      <c r="O983" s="94">
        <v>90</v>
      </c>
      <c r="P983" s="94">
        <v>2</v>
      </c>
      <c r="Q983">
        <v>99</v>
      </c>
      <c r="R983">
        <v>2</v>
      </c>
      <c r="S983">
        <v>93</v>
      </c>
      <c r="T983">
        <v>2</v>
      </c>
      <c r="U983">
        <v>98</v>
      </c>
      <c r="V983">
        <v>2</v>
      </c>
      <c r="W983">
        <v>91</v>
      </c>
      <c r="X983">
        <v>2</v>
      </c>
      <c r="Y983">
        <v>79</v>
      </c>
      <c r="Z983">
        <v>1</v>
      </c>
      <c r="AA983">
        <v>92</v>
      </c>
      <c r="AB983">
        <v>1</v>
      </c>
      <c r="AC983">
        <v>82</v>
      </c>
      <c r="AD983">
        <v>1</v>
      </c>
      <c r="AE983">
        <v>90</v>
      </c>
      <c r="AF983">
        <v>2</v>
      </c>
      <c r="AG983">
        <v>90</v>
      </c>
      <c r="AH983">
        <v>2</v>
      </c>
    </row>
    <row r="984" spans="1:34">
      <c r="A984" t="s">
        <v>2981</v>
      </c>
      <c r="B984" s="24">
        <v>1818</v>
      </c>
      <c r="C984" s="24" t="s">
        <v>2965</v>
      </c>
      <c r="D984" s="24" t="s">
        <v>3307</v>
      </c>
      <c r="E984" s="93">
        <v>93</v>
      </c>
      <c r="F984" s="94">
        <v>4</v>
      </c>
      <c r="G984" s="94">
        <v>88</v>
      </c>
      <c r="H984" s="94">
        <v>4</v>
      </c>
      <c r="I984" s="94">
        <v>92</v>
      </c>
      <c r="J984" s="94">
        <v>4</v>
      </c>
      <c r="K984" s="94">
        <v>95</v>
      </c>
      <c r="L984" s="94">
        <v>2</v>
      </c>
      <c r="M984" s="94">
        <v>95</v>
      </c>
      <c r="N984" s="94">
        <v>2</v>
      </c>
      <c r="O984" s="94">
        <v>95</v>
      </c>
      <c r="P984" s="94">
        <v>2</v>
      </c>
      <c r="Q984">
        <v>91</v>
      </c>
      <c r="R984">
        <v>2</v>
      </c>
      <c r="S984">
        <v>92</v>
      </c>
      <c r="T984">
        <v>2</v>
      </c>
      <c r="U984">
        <v>93</v>
      </c>
      <c r="V984">
        <v>2</v>
      </c>
      <c r="W984">
        <v>91</v>
      </c>
      <c r="X984">
        <v>2</v>
      </c>
      <c r="Y984">
        <v>80</v>
      </c>
      <c r="Z984">
        <v>1</v>
      </c>
      <c r="AA984">
        <v>92</v>
      </c>
      <c r="AB984">
        <v>1</v>
      </c>
      <c r="AC984">
        <v>80</v>
      </c>
      <c r="AD984">
        <v>1</v>
      </c>
      <c r="AE984">
        <v>87</v>
      </c>
      <c r="AF984">
        <v>2</v>
      </c>
    </row>
    <row r="985" spans="1:34">
      <c r="A985" t="s">
        <v>2986</v>
      </c>
      <c r="B985" s="24">
        <v>1818</v>
      </c>
      <c r="C985" s="24" t="s">
        <v>2967</v>
      </c>
      <c r="D985" s="24" t="s">
        <v>166</v>
      </c>
      <c r="E985" s="93">
        <v>97</v>
      </c>
      <c r="F985" s="94">
        <v>4</v>
      </c>
      <c r="G985" s="94">
        <v>88</v>
      </c>
      <c r="H985" s="94">
        <v>4</v>
      </c>
      <c r="I985" s="94">
        <v>93</v>
      </c>
      <c r="J985" s="94">
        <v>4</v>
      </c>
      <c r="K985" s="94">
        <v>92</v>
      </c>
      <c r="L985" s="94">
        <v>2</v>
      </c>
      <c r="M985" s="94">
        <v>90</v>
      </c>
      <c r="N985" s="94">
        <v>2</v>
      </c>
      <c r="O985" s="94">
        <v>90</v>
      </c>
      <c r="P985" s="94">
        <v>2</v>
      </c>
      <c r="Q985">
        <v>94</v>
      </c>
      <c r="R985">
        <v>2</v>
      </c>
      <c r="S985">
        <v>93</v>
      </c>
      <c r="T985">
        <v>2</v>
      </c>
      <c r="U985">
        <v>86</v>
      </c>
      <c r="V985">
        <v>2</v>
      </c>
      <c r="W985">
        <v>90</v>
      </c>
      <c r="X985">
        <v>2</v>
      </c>
      <c r="Y985">
        <v>68</v>
      </c>
      <c r="Z985">
        <v>1</v>
      </c>
      <c r="AA985">
        <v>92</v>
      </c>
      <c r="AB985">
        <v>1</v>
      </c>
      <c r="AC985">
        <v>76</v>
      </c>
      <c r="AD985">
        <v>1</v>
      </c>
      <c r="AE985">
        <v>85</v>
      </c>
      <c r="AF985">
        <v>2</v>
      </c>
      <c r="AG985">
        <v>90</v>
      </c>
      <c r="AH985">
        <v>2</v>
      </c>
    </row>
    <row r="986" spans="1:34">
      <c r="A986" t="s">
        <v>2988</v>
      </c>
      <c r="B986" s="24">
        <v>1818</v>
      </c>
      <c r="C986" s="24" t="s">
        <v>2969</v>
      </c>
      <c r="D986" s="24" t="s">
        <v>15</v>
      </c>
      <c r="E986" s="93">
        <v>90</v>
      </c>
      <c r="F986" s="94">
        <v>4</v>
      </c>
      <c r="G986" s="94">
        <v>92</v>
      </c>
      <c r="H986" s="94">
        <v>4</v>
      </c>
      <c r="I986" s="94">
        <v>99</v>
      </c>
      <c r="J986" s="94">
        <v>4</v>
      </c>
      <c r="K986" s="94">
        <v>93</v>
      </c>
      <c r="L986" s="94">
        <v>2</v>
      </c>
      <c r="M986" s="94">
        <v>90</v>
      </c>
      <c r="N986" s="94">
        <v>2</v>
      </c>
      <c r="O986" s="94">
        <v>91</v>
      </c>
      <c r="P986" s="94">
        <v>2</v>
      </c>
      <c r="Q986">
        <v>92</v>
      </c>
      <c r="R986">
        <v>2</v>
      </c>
      <c r="S986">
        <v>96</v>
      </c>
      <c r="T986">
        <v>2</v>
      </c>
      <c r="U986">
        <v>93</v>
      </c>
      <c r="V986">
        <v>2</v>
      </c>
      <c r="W986">
        <v>90</v>
      </c>
      <c r="X986">
        <v>2</v>
      </c>
      <c r="Y986">
        <v>75</v>
      </c>
      <c r="Z986">
        <v>1</v>
      </c>
      <c r="AA986">
        <v>92</v>
      </c>
      <c r="AB986">
        <v>1</v>
      </c>
      <c r="AC986">
        <v>76</v>
      </c>
      <c r="AD986">
        <v>1</v>
      </c>
      <c r="AE986">
        <v>87</v>
      </c>
      <c r="AF986">
        <v>2</v>
      </c>
      <c r="AG986">
        <v>88</v>
      </c>
      <c r="AH986">
        <v>2</v>
      </c>
    </row>
    <row r="987" spans="1:34">
      <c r="A987" t="s">
        <v>2990</v>
      </c>
      <c r="B987" s="24">
        <v>1818</v>
      </c>
      <c r="C987" s="24" t="s">
        <v>2971</v>
      </c>
      <c r="D987" s="24" t="s">
        <v>102</v>
      </c>
      <c r="E987" s="93">
        <v>98</v>
      </c>
      <c r="F987" s="94">
        <v>4</v>
      </c>
      <c r="G987" s="94">
        <v>90</v>
      </c>
      <c r="H987" s="94">
        <v>4</v>
      </c>
      <c r="I987" s="94">
        <v>97</v>
      </c>
      <c r="J987" s="94">
        <v>4</v>
      </c>
      <c r="K987" s="94">
        <v>91</v>
      </c>
      <c r="L987" s="94">
        <v>2</v>
      </c>
      <c r="M987" s="94">
        <v>93</v>
      </c>
      <c r="N987" s="94">
        <v>2</v>
      </c>
      <c r="O987" s="94">
        <v>90</v>
      </c>
      <c r="P987" s="94">
        <v>2</v>
      </c>
      <c r="Q987">
        <v>97</v>
      </c>
      <c r="R987">
        <v>2</v>
      </c>
      <c r="S987">
        <v>95</v>
      </c>
      <c r="T987">
        <v>2</v>
      </c>
      <c r="U987">
        <v>92</v>
      </c>
      <c r="V987">
        <v>2</v>
      </c>
      <c r="W987">
        <v>90</v>
      </c>
      <c r="X987">
        <v>2</v>
      </c>
      <c r="Y987">
        <v>74</v>
      </c>
      <c r="Z987">
        <v>1</v>
      </c>
      <c r="AA987">
        <v>92</v>
      </c>
      <c r="AB987">
        <v>1</v>
      </c>
      <c r="AC987">
        <v>78</v>
      </c>
      <c r="AD987">
        <v>1</v>
      </c>
      <c r="AE987">
        <v>88</v>
      </c>
      <c r="AF987">
        <v>2</v>
      </c>
      <c r="AG987">
        <v>80</v>
      </c>
      <c r="AH987">
        <v>2</v>
      </c>
    </row>
    <row r="988" spans="1:34">
      <c r="A988" t="s">
        <v>2995</v>
      </c>
      <c r="B988" s="24">
        <v>1818</v>
      </c>
      <c r="C988" s="24" t="s">
        <v>2973</v>
      </c>
      <c r="D988" s="24" t="s">
        <v>66</v>
      </c>
      <c r="E988" s="93">
        <v>97</v>
      </c>
      <c r="F988" s="94">
        <v>4</v>
      </c>
      <c r="G988" s="94">
        <v>94</v>
      </c>
      <c r="H988" s="94">
        <v>4</v>
      </c>
      <c r="I988" s="94">
        <v>97</v>
      </c>
      <c r="J988" s="94">
        <v>4</v>
      </c>
      <c r="K988" s="94">
        <v>90</v>
      </c>
      <c r="L988" s="94">
        <v>2</v>
      </c>
      <c r="M988" s="94">
        <v>90</v>
      </c>
      <c r="N988" s="94">
        <v>2</v>
      </c>
      <c r="O988" s="94">
        <v>90</v>
      </c>
      <c r="P988" s="94">
        <v>2</v>
      </c>
      <c r="Q988">
        <v>93</v>
      </c>
      <c r="R988">
        <v>2</v>
      </c>
      <c r="S988">
        <v>93</v>
      </c>
      <c r="T988">
        <v>2</v>
      </c>
      <c r="U988">
        <v>97</v>
      </c>
      <c r="V988">
        <v>2</v>
      </c>
      <c r="W988">
        <v>90</v>
      </c>
      <c r="X988">
        <v>2</v>
      </c>
      <c r="Y988">
        <v>73</v>
      </c>
      <c r="Z988">
        <v>1</v>
      </c>
      <c r="AA988">
        <v>92</v>
      </c>
      <c r="AB988">
        <v>1</v>
      </c>
      <c r="AC988">
        <v>75</v>
      </c>
      <c r="AD988">
        <v>1</v>
      </c>
      <c r="AE988">
        <v>88</v>
      </c>
      <c r="AF988">
        <v>2</v>
      </c>
      <c r="AG988">
        <v>88</v>
      </c>
      <c r="AH988">
        <v>2</v>
      </c>
    </row>
    <row r="989" spans="1:34">
      <c r="A989" t="s">
        <v>3001</v>
      </c>
      <c r="B989" s="24">
        <v>1818</v>
      </c>
      <c r="C989" s="24" t="s">
        <v>2975</v>
      </c>
      <c r="D989" s="24" t="s">
        <v>24</v>
      </c>
      <c r="E989" s="93">
        <v>98</v>
      </c>
      <c r="F989" s="94">
        <v>4</v>
      </c>
      <c r="G989" s="94">
        <v>98</v>
      </c>
      <c r="H989" s="94">
        <v>4</v>
      </c>
      <c r="I989" s="94">
        <v>98</v>
      </c>
      <c r="J989" s="94">
        <v>4</v>
      </c>
      <c r="K989" s="94">
        <v>98</v>
      </c>
      <c r="L989" s="94">
        <v>2</v>
      </c>
      <c r="M989" s="94">
        <v>94</v>
      </c>
      <c r="N989" s="94">
        <v>2</v>
      </c>
      <c r="O989" s="94">
        <v>97</v>
      </c>
      <c r="P989" s="94">
        <v>2</v>
      </c>
      <c r="Q989">
        <v>99</v>
      </c>
      <c r="R989">
        <v>2</v>
      </c>
      <c r="S989">
        <v>95</v>
      </c>
      <c r="T989">
        <v>2</v>
      </c>
      <c r="U989">
        <v>99</v>
      </c>
      <c r="V989">
        <v>2</v>
      </c>
      <c r="W989">
        <v>90</v>
      </c>
      <c r="X989">
        <v>2</v>
      </c>
      <c r="Y989">
        <v>70</v>
      </c>
      <c r="Z989">
        <v>1</v>
      </c>
      <c r="AA989">
        <v>92</v>
      </c>
      <c r="AB989">
        <v>1</v>
      </c>
      <c r="AC989">
        <v>90</v>
      </c>
      <c r="AD989">
        <v>1</v>
      </c>
      <c r="AE989">
        <v>80</v>
      </c>
      <c r="AF989">
        <v>2</v>
      </c>
      <c r="AG989">
        <v>90</v>
      </c>
      <c r="AH989">
        <v>2</v>
      </c>
    </row>
    <row r="990" spans="1:34">
      <c r="A990" t="s">
        <v>3003</v>
      </c>
      <c r="B990" s="24">
        <v>1818</v>
      </c>
      <c r="C990" s="24" t="s">
        <v>2977</v>
      </c>
      <c r="D990" s="24" t="s">
        <v>116</v>
      </c>
      <c r="E990" s="93">
        <v>96</v>
      </c>
      <c r="F990" s="94">
        <v>4</v>
      </c>
      <c r="G990" s="94">
        <v>92</v>
      </c>
      <c r="H990" s="94">
        <v>4</v>
      </c>
      <c r="I990" s="94">
        <v>96</v>
      </c>
      <c r="J990" s="94">
        <v>4</v>
      </c>
      <c r="K990" s="94">
        <v>92</v>
      </c>
      <c r="L990" s="94">
        <v>2</v>
      </c>
      <c r="M990" s="94">
        <v>91</v>
      </c>
      <c r="N990" s="94">
        <v>2</v>
      </c>
      <c r="O990" s="94">
        <v>90</v>
      </c>
      <c r="P990" s="94">
        <v>2</v>
      </c>
      <c r="Q990">
        <v>90</v>
      </c>
      <c r="R990">
        <v>2</v>
      </c>
      <c r="S990">
        <v>90</v>
      </c>
      <c r="T990">
        <v>2</v>
      </c>
      <c r="U990">
        <v>86</v>
      </c>
      <c r="V990">
        <v>2</v>
      </c>
      <c r="W990">
        <v>91</v>
      </c>
      <c r="X990">
        <v>2</v>
      </c>
      <c r="Y990">
        <v>80</v>
      </c>
      <c r="Z990">
        <v>1</v>
      </c>
      <c r="AA990">
        <v>92</v>
      </c>
      <c r="AB990">
        <v>1</v>
      </c>
      <c r="AC990">
        <v>86</v>
      </c>
      <c r="AD990">
        <v>1</v>
      </c>
      <c r="AE990">
        <v>90</v>
      </c>
      <c r="AF990">
        <v>2</v>
      </c>
      <c r="AG990">
        <v>76</v>
      </c>
      <c r="AH990">
        <v>2</v>
      </c>
    </row>
    <row r="991" spans="1:34">
      <c r="A991" t="s">
        <v>3006</v>
      </c>
      <c r="B991" s="24">
        <v>1818</v>
      </c>
      <c r="C991" s="24" t="s">
        <v>2979</v>
      </c>
      <c r="D991" s="24" t="s">
        <v>41</v>
      </c>
      <c r="E991" s="93">
        <v>95</v>
      </c>
      <c r="F991" s="94">
        <v>4</v>
      </c>
      <c r="G991" s="94">
        <v>90</v>
      </c>
      <c r="H991" s="94">
        <v>4</v>
      </c>
      <c r="I991" s="94">
        <v>94</v>
      </c>
      <c r="J991" s="94">
        <v>4</v>
      </c>
      <c r="K991" s="94">
        <v>95</v>
      </c>
      <c r="L991" s="94">
        <v>2</v>
      </c>
      <c r="M991" s="94">
        <v>93</v>
      </c>
      <c r="N991" s="94">
        <v>2</v>
      </c>
      <c r="O991" s="94">
        <v>90</v>
      </c>
      <c r="P991" s="94">
        <v>2</v>
      </c>
      <c r="Q991">
        <v>95</v>
      </c>
      <c r="R991">
        <v>2</v>
      </c>
      <c r="S991">
        <v>96</v>
      </c>
      <c r="T991">
        <v>2</v>
      </c>
      <c r="U991">
        <v>92</v>
      </c>
      <c r="V991">
        <v>2</v>
      </c>
      <c r="W991">
        <v>90</v>
      </c>
      <c r="X991">
        <v>2</v>
      </c>
      <c r="Y991">
        <v>79</v>
      </c>
      <c r="Z991">
        <v>1</v>
      </c>
      <c r="AA991">
        <v>92</v>
      </c>
      <c r="AB991">
        <v>1</v>
      </c>
      <c r="AC991">
        <v>85</v>
      </c>
      <c r="AD991">
        <v>1</v>
      </c>
      <c r="AE991">
        <v>86</v>
      </c>
      <c r="AF991">
        <v>2</v>
      </c>
      <c r="AG991">
        <v>78</v>
      </c>
      <c r="AH991">
        <v>2</v>
      </c>
    </row>
    <row r="992" spans="1:34">
      <c r="A992" t="s">
        <v>3007</v>
      </c>
      <c r="B992" s="24">
        <v>1818</v>
      </c>
      <c r="C992" s="24" t="s">
        <v>2982</v>
      </c>
      <c r="D992" s="24" t="s">
        <v>58</v>
      </c>
      <c r="E992" s="93">
        <v>98</v>
      </c>
      <c r="F992" s="94">
        <v>4</v>
      </c>
      <c r="G992" s="94">
        <v>96</v>
      </c>
      <c r="H992" s="94">
        <v>4</v>
      </c>
      <c r="I992" s="94">
        <v>97</v>
      </c>
      <c r="J992" s="94">
        <v>4</v>
      </c>
      <c r="K992" s="94">
        <v>96</v>
      </c>
      <c r="L992" s="94">
        <v>2</v>
      </c>
      <c r="M992" s="94">
        <v>99</v>
      </c>
      <c r="N992" s="94">
        <v>2</v>
      </c>
      <c r="O992" s="94">
        <v>97</v>
      </c>
      <c r="P992" s="94">
        <v>2</v>
      </c>
      <c r="Q992">
        <v>93</v>
      </c>
      <c r="R992">
        <v>2</v>
      </c>
      <c r="S992">
        <v>96</v>
      </c>
      <c r="T992">
        <v>2</v>
      </c>
      <c r="U992">
        <v>98</v>
      </c>
      <c r="V992">
        <v>2</v>
      </c>
      <c r="W992">
        <v>95</v>
      </c>
      <c r="X992">
        <v>2</v>
      </c>
      <c r="Y992">
        <v>78</v>
      </c>
      <c r="Z992">
        <v>1</v>
      </c>
      <c r="AA992">
        <v>92</v>
      </c>
      <c r="AB992">
        <v>1</v>
      </c>
      <c r="AC992">
        <v>83</v>
      </c>
      <c r="AD992">
        <v>1</v>
      </c>
      <c r="AE992">
        <v>92</v>
      </c>
      <c r="AF992">
        <v>2</v>
      </c>
      <c r="AG992">
        <v>90</v>
      </c>
      <c r="AH992">
        <v>2</v>
      </c>
    </row>
    <row r="993" spans="1:34">
      <c r="A993" t="s">
        <v>3182</v>
      </c>
      <c r="B993" s="24">
        <v>1818</v>
      </c>
      <c r="C993" s="24" t="s">
        <v>2984</v>
      </c>
      <c r="D993" s="24" t="s">
        <v>112</v>
      </c>
      <c r="E993" s="93">
        <v>98</v>
      </c>
      <c r="F993" s="94">
        <v>4</v>
      </c>
      <c r="G993" s="94">
        <v>86</v>
      </c>
      <c r="H993" s="94">
        <v>4</v>
      </c>
      <c r="I993" s="94">
        <v>97</v>
      </c>
      <c r="J993" s="94">
        <v>4</v>
      </c>
      <c r="K993" s="94">
        <v>95</v>
      </c>
      <c r="L993" s="94">
        <v>2</v>
      </c>
      <c r="M993" s="94">
        <v>95</v>
      </c>
      <c r="N993" s="94">
        <v>2</v>
      </c>
      <c r="O993" s="94">
        <v>90</v>
      </c>
      <c r="P993" s="94">
        <v>2</v>
      </c>
      <c r="Q993">
        <v>88</v>
      </c>
      <c r="R993">
        <v>2</v>
      </c>
      <c r="S993">
        <v>95</v>
      </c>
      <c r="T993">
        <v>2</v>
      </c>
      <c r="U993">
        <v>88</v>
      </c>
      <c r="V993">
        <v>2</v>
      </c>
      <c r="W993">
        <v>90</v>
      </c>
      <c r="X993">
        <v>2</v>
      </c>
      <c r="Y993">
        <v>80</v>
      </c>
      <c r="Z993">
        <v>1</v>
      </c>
      <c r="AA993">
        <v>92</v>
      </c>
      <c r="AB993">
        <v>1</v>
      </c>
      <c r="AC993">
        <v>85</v>
      </c>
      <c r="AD993">
        <v>1</v>
      </c>
      <c r="AE993">
        <v>88</v>
      </c>
      <c r="AF993">
        <v>2</v>
      </c>
      <c r="AG993">
        <v>88</v>
      </c>
      <c r="AH993">
        <v>2</v>
      </c>
    </row>
    <row r="994" spans="1:34">
      <c r="A994" t="s">
        <v>3008</v>
      </c>
      <c r="B994" s="24">
        <v>1818</v>
      </c>
      <c r="C994" s="24" t="s">
        <v>2987</v>
      </c>
      <c r="D994" s="24" t="s">
        <v>27</v>
      </c>
      <c r="E994" s="93">
        <v>100</v>
      </c>
      <c r="F994" s="94">
        <v>4</v>
      </c>
      <c r="G994" s="94">
        <v>87</v>
      </c>
      <c r="H994" s="94">
        <v>4</v>
      </c>
      <c r="I994" s="94">
        <v>90</v>
      </c>
      <c r="J994" s="94">
        <v>4</v>
      </c>
      <c r="K994" s="94">
        <v>96</v>
      </c>
      <c r="L994" s="94">
        <v>2</v>
      </c>
      <c r="M994" s="94">
        <v>93</v>
      </c>
      <c r="N994" s="94">
        <v>2</v>
      </c>
      <c r="O994" s="94">
        <v>90</v>
      </c>
      <c r="P994" s="94">
        <v>2</v>
      </c>
      <c r="Q994">
        <v>88</v>
      </c>
      <c r="R994">
        <v>2</v>
      </c>
      <c r="S994">
        <v>90</v>
      </c>
      <c r="T994">
        <v>2</v>
      </c>
      <c r="U994">
        <v>95</v>
      </c>
      <c r="V994">
        <v>2</v>
      </c>
      <c r="W994">
        <v>91</v>
      </c>
      <c r="X994">
        <v>2</v>
      </c>
      <c r="Y994">
        <v>83</v>
      </c>
      <c r="Z994">
        <v>1</v>
      </c>
      <c r="AA994">
        <v>92</v>
      </c>
      <c r="AB994">
        <v>1</v>
      </c>
      <c r="AC994">
        <v>86</v>
      </c>
      <c r="AD994">
        <v>1</v>
      </c>
      <c r="AE994">
        <v>80</v>
      </c>
      <c r="AF994">
        <v>2</v>
      </c>
      <c r="AG994">
        <v>78</v>
      </c>
      <c r="AH994">
        <v>2</v>
      </c>
    </row>
    <row r="995" spans="1:34">
      <c r="A995" t="s">
        <v>3009</v>
      </c>
      <c r="B995" s="24">
        <v>1818</v>
      </c>
      <c r="C995" s="24" t="s">
        <v>2989</v>
      </c>
      <c r="D995" s="24" t="s">
        <v>100</v>
      </c>
      <c r="E995" s="93">
        <v>97</v>
      </c>
      <c r="F995" s="94">
        <v>4</v>
      </c>
      <c r="G995" s="94">
        <v>95</v>
      </c>
      <c r="H995" s="94">
        <v>4</v>
      </c>
      <c r="I995" s="94">
        <v>96</v>
      </c>
      <c r="J995" s="94">
        <v>4</v>
      </c>
      <c r="K995" s="94">
        <v>92</v>
      </c>
      <c r="L995" s="94">
        <v>2</v>
      </c>
      <c r="M995" s="94">
        <v>90</v>
      </c>
      <c r="N995" s="94">
        <v>2</v>
      </c>
      <c r="O995" s="94">
        <v>91</v>
      </c>
      <c r="P995" s="94">
        <v>2</v>
      </c>
      <c r="Q995">
        <v>99</v>
      </c>
      <c r="R995">
        <v>2</v>
      </c>
      <c r="S995">
        <v>93</v>
      </c>
      <c r="T995">
        <v>2</v>
      </c>
      <c r="U995">
        <v>99</v>
      </c>
      <c r="V995">
        <v>2</v>
      </c>
      <c r="W995">
        <v>93</v>
      </c>
      <c r="X995">
        <v>2</v>
      </c>
      <c r="Y995">
        <v>80</v>
      </c>
      <c r="Z995">
        <v>1</v>
      </c>
      <c r="AA995">
        <v>92</v>
      </c>
      <c r="AB995">
        <v>1</v>
      </c>
      <c r="AC995">
        <v>80</v>
      </c>
      <c r="AD995">
        <v>1</v>
      </c>
      <c r="AE995">
        <v>90</v>
      </c>
      <c r="AF995">
        <v>2</v>
      </c>
      <c r="AG995">
        <v>80</v>
      </c>
      <c r="AH995">
        <v>2</v>
      </c>
    </row>
    <row r="996" spans="1:34">
      <c r="A996" t="s">
        <v>3102</v>
      </c>
      <c r="B996" s="24">
        <v>1818</v>
      </c>
      <c r="C996" s="24" t="s">
        <v>2991</v>
      </c>
      <c r="D996" s="24" t="s">
        <v>164</v>
      </c>
      <c r="E996" s="93">
        <v>90</v>
      </c>
      <c r="F996" s="94">
        <v>4</v>
      </c>
      <c r="G996" s="94">
        <v>95</v>
      </c>
      <c r="H996" s="94">
        <v>4</v>
      </c>
      <c r="I996" s="94">
        <v>90</v>
      </c>
      <c r="J996" s="94">
        <v>4</v>
      </c>
      <c r="K996" s="94">
        <v>92</v>
      </c>
      <c r="L996" s="94">
        <v>2</v>
      </c>
      <c r="M996" s="94">
        <v>91</v>
      </c>
      <c r="N996" s="94">
        <v>2</v>
      </c>
      <c r="O996" s="94">
        <v>90</v>
      </c>
      <c r="P996" s="94">
        <v>2</v>
      </c>
      <c r="Q996">
        <v>88</v>
      </c>
      <c r="R996">
        <v>2</v>
      </c>
      <c r="S996">
        <v>92</v>
      </c>
      <c r="T996">
        <v>2</v>
      </c>
      <c r="U996">
        <v>97</v>
      </c>
      <c r="V996">
        <v>2</v>
      </c>
      <c r="W996">
        <v>90</v>
      </c>
      <c r="X996">
        <v>2</v>
      </c>
      <c r="Y996">
        <v>79</v>
      </c>
      <c r="Z996">
        <v>1</v>
      </c>
      <c r="AA996">
        <v>92</v>
      </c>
      <c r="AB996">
        <v>1</v>
      </c>
      <c r="AC996">
        <v>75</v>
      </c>
      <c r="AD996">
        <v>1</v>
      </c>
      <c r="AE996">
        <v>81</v>
      </c>
      <c r="AF996">
        <v>2</v>
      </c>
      <c r="AG996">
        <v>77</v>
      </c>
      <c r="AH996">
        <v>2</v>
      </c>
    </row>
    <row r="997" spans="1:34">
      <c r="A997" t="s">
        <v>3010</v>
      </c>
      <c r="B997" s="24">
        <v>1818</v>
      </c>
      <c r="C997" s="24" t="s">
        <v>2993</v>
      </c>
      <c r="D997" s="24" t="s">
        <v>149</v>
      </c>
      <c r="E997" s="93">
        <v>95</v>
      </c>
      <c r="F997" s="94">
        <v>4</v>
      </c>
      <c r="G997" s="94">
        <v>88</v>
      </c>
      <c r="H997" s="94">
        <v>4</v>
      </c>
      <c r="I997" s="94">
        <v>98</v>
      </c>
      <c r="J997" s="94">
        <v>4</v>
      </c>
      <c r="K997" s="94">
        <v>92</v>
      </c>
      <c r="L997" s="94">
        <v>2</v>
      </c>
      <c r="M997" s="94">
        <v>92</v>
      </c>
      <c r="N997" s="94">
        <v>2</v>
      </c>
      <c r="O997" s="94">
        <v>90</v>
      </c>
      <c r="P997" s="94">
        <v>2</v>
      </c>
      <c r="Q997">
        <v>92</v>
      </c>
      <c r="R997">
        <v>2</v>
      </c>
      <c r="S997">
        <v>95</v>
      </c>
      <c r="T997">
        <v>2</v>
      </c>
      <c r="U997">
        <v>88</v>
      </c>
      <c r="V997">
        <v>2</v>
      </c>
      <c r="W997">
        <v>92</v>
      </c>
      <c r="X997">
        <v>2</v>
      </c>
      <c r="Y997">
        <v>80</v>
      </c>
      <c r="Z997">
        <v>1</v>
      </c>
      <c r="AA997">
        <v>92</v>
      </c>
      <c r="AB997">
        <v>1</v>
      </c>
      <c r="AC997">
        <v>78</v>
      </c>
      <c r="AD997">
        <v>1</v>
      </c>
      <c r="AE997">
        <v>88</v>
      </c>
      <c r="AF997">
        <v>2</v>
      </c>
      <c r="AG997">
        <v>90</v>
      </c>
      <c r="AH997">
        <v>2</v>
      </c>
    </row>
    <row r="998" spans="1:34">
      <c r="A998" t="s">
        <v>3011</v>
      </c>
      <c r="B998" s="24">
        <v>1818</v>
      </c>
      <c r="C998" s="24" t="s">
        <v>2996</v>
      </c>
      <c r="D998" s="24" t="s">
        <v>13</v>
      </c>
      <c r="E998" s="93">
        <v>96</v>
      </c>
      <c r="F998" s="94">
        <v>4</v>
      </c>
      <c r="G998" s="94">
        <v>98</v>
      </c>
      <c r="H998" s="94">
        <v>4</v>
      </c>
      <c r="I998" s="94">
        <v>99</v>
      </c>
      <c r="J998" s="94">
        <v>4</v>
      </c>
      <c r="K998" s="94">
        <v>93</v>
      </c>
      <c r="L998" s="94">
        <v>2</v>
      </c>
      <c r="M998" s="94">
        <v>97</v>
      </c>
      <c r="N998" s="94">
        <v>2</v>
      </c>
      <c r="O998" s="94">
        <v>99</v>
      </c>
      <c r="P998" s="94">
        <v>2</v>
      </c>
      <c r="Q998">
        <v>99</v>
      </c>
      <c r="R998">
        <v>2</v>
      </c>
      <c r="S998">
        <v>98</v>
      </c>
      <c r="T998">
        <v>2</v>
      </c>
      <c r="U998">
        <v>99</v>
      </c>
      <c r="V998">
        <v>2</v>
      </c>
      <c r="W998">
        <v>90</v>
      </c>
      <c r="X998">
        <v>2</v>
      </c>
      <c r="Y998">
        <v>78</v>
      </c>
      <c r="Z998">
        <v>1</v>
      </c>
      <c r="AA998">
        <v>92</v>
      </c>
      <c r="AB998">
        <v>1</v>
      </c>
      <c r="AC998">
        <v>85</v>
      </c>
      <c r="AD998">
        <v>1</v>
      </c>
      <c r="AE998">
        <v>82</v>
      </c>
      <c r="AF998">
        <v>2</v>
      </c>
      <c r="AG998">
        <v>77</v>
      </c>
      <c r="AH998">
        <v>2</v>
      </c>
    </row>
    <row r="999" spans="1:34">
      <c r="A999" t="s">
        <v>3012</v>
      </c>
      <c r="B999" s="24">
        <v>1818</v>
      </c>
      <c r="C999" s="24" t="s">
        <v>2998</v>
      </c>
      <c r="D999" s="24" t="s">
        <v>120</v>
      </c>
      <c r="E999" s="93">
        <v>95</v>
      </c>
      <c r="F999" s="94">
        <v>4</v>
      </c>
      <c r="G999" s="94">
        <v>90</v>
      </c>
      <c r="H999" s="94">
        <v>4</v>
      </c>
      <c r="I999" s="94">
        <v>96</v>
      </c>
      <c r="J999" s="94">
        <v>4</v>
      </c>
      <c r="K999" s="94">
        <v>94</v>
      </c>
      <c r="L999" s="94">
        <v>2</v>
      </c>
      <c r="M999" s="94">
        <v>90</v>
      </c>
      <c r="N999" s="94">
        <v>2</v>
      </c>
      <c r="O999" s="94">
        <v>90</v>
      </c>
      <c r="P999" s="94">
        <v>2</v>
      </c>
      <c r="Q999">
        <v>97</v>
      </c>
      <c r="R999">
        <v>2</v>
      </c>
      <c r="S999">
        <v>90</v>
      </c>
      <c r="T999">
        <v>2</v>
      </c>
      <c r="U999">
        <v>92</v>
      </c>
      <c r="V999">
        <v>2</v>
      </c>
      <c r="W999">
        <v>91</v>
      </c>
      <c r="X999">
        <v>2</v>
      </c>
      <c r="Y999">
        <v>79</v>
      </c>
      <c r="Z999">
        <v>1</v>
      </c>
      <c r="AA999">
        <v>92</v>
      </c>
      <c r="AB999">
        <v>1</v>
      </c>
      <c r="AC999">
        <v>88</v>
      </c>
      <c r="AD999">
        <v>1</v>
      </c>
      <c r="AE999">
        <v>87</v>
      </c>
      <c r="AF999">
        <v>2</v>
      </c>
      <c r="AG999">
        <v>77</v>
      </c>
      <c r="AH999">
        <v>2</v>
      </c>
    </row>
    <row r="1000" spans="1:34">
      <c r="A1000" t="s">
        <v>3013</v>
      </c>
      <c r="B1000" s="24">
        <v>1818</v>
      </c>
      <c r="C1000" s="24" t="s">
        <v>3259</v>
      </c>
      <c r="D1000" s="24" t="s">
        <v>90</v>
      </c>
      <c r="E1000" s="93">
        <v>94</v>
      </c>
      <c r="F1000" s="94">
        <v>4</v>
      </c>
      <c r="G1000" s="94">
        <v>90</v>
      </c>
      <c r="H1000" s="94">
        <v>4</v>
      </c>
      <c r="I1000" s="94">
        <v>97</v>
      </c>
      <c r="J1000" s="94">
        <v>4</v>
      </c>
      <c r="K1000" s="94">
        <v>91</v>
      </c>
      <c r="L1000" s="94">
        <v>2</v>
      </c>
      <c r="M1000" s="94">
        <v>90</v>
      </c>
      <c r="N1000" s="94">
        <v>2</v>
      </c>
      <c r="O1000" s="94">
        <v>90</v>
      </c>
      <c r="P1000" s="94">
        <v>2</v>
      </c>
      <c r="Q1000">
        <v>99</v>
      </c>
      <c r="R1000">
        <v>2</v>
      </c>
      <c r="S1000">
        <v>93</v>
      </c>
      <c r="T1000">
        <v>2</v>
      </c>
      <c r="U1000">
        <v>90</v>
      </c>
      <c r="V1000">
        <v>2</v>
      </c>
      <c r="W1000">
        <v>90</v>
      </c>
      <c r="X1000">
        <v>2</v>
      </c>
      <c r="Y1000">
        <v>70</v>
      </c>
      <c r="Z1000">
        <v>1</v>
      </c>
      <c r="AA1000">
        <v>92</v>
      </c>
      <c r="AB1000">
        <v>1</v>
      </c>
      <c r="AC1000">
        <v>88</v>
      </c>
      <c r="AD1000">
        <v>1</v>
      </c>
      <c r="AE1000">
        <v>88</v>
      </c>
      <c r="AF1000">
        <v>2</v>
      </c>
      <c r="AG1000">
        <v>80</v>
      </c>
      <c r="AH1000">
        <v>2</v>
      </c>
    </row>
    <row r="1001" spans="1:34">
      <c r="A1001" t="s">
        <v>3014</v>
      </c>
      <c r="B1001" s="24">
        <v>1818</v>
      </c>
      <c r="C1001" s="24" t="s">
        <v>3002</v>
      </c>
      <c r="D1001" s="24" t="s">
        <v>46</v>
      </c>
      <c r="E1001" s="93">
        <v>95</v>
      </c>
      <c r="F1001" s="94">
        <v>4</v>
      </c>
      <c r="G1001" s="94">
        <v>90</v>
      </c>
      <c r="H1001" s="94">
        <v>4</v>
      </c>
      <c r="I1001" s="94">
        <v>98</v>
      </c>
      <c r="J1001" s="94">
        <v>4</v>
      </c>
      <c r="K1001" s="94">
        <v>93</v>
      </c>
      <c r="L1001" s="94">
        <v>2</v>
      </c>
      <c r="M1001" s="94">
        <v>94</v>
      </c>
      <c r="N1001" s="94">
        <v>2</v>
      </c>
      <c r="O1001" s="94">
        <v>99</v>
      </c>
      <c r="P1001" s="94">
        <v>2</v>
      </c>
      <c r="Q1001">
        <v>96</v>
      </c>
      <c r="R1001">
        <v>2</v>
      </c>
      <c r="S1001">
        <v>96</v>
      </c>
      <c r="T1001">
        <v>2</v>
      </c>
      <c r="U1001">
        <v>96</v>
      </c>
      <c r="V1001">
        <v>2</v>
      </c>
      <c r="W1001">
        <v>91</v>
      </c>
      <c r="X1001">
        <v>2</v>
      </c>
      <c r="Y1001">
        <v>72</v>
      </c>
      <c r="Z1001">
        <v>1</v>
      </c>
      <c r="AA1001">
        <v>92</v>
      </c>
      <c r="AB1001">
        <v>1</v>
      </c>
      <c r="AC1001">
        <v>80</v>
      </c>
      <c r="AD1001">
        <v>1</v>
      </c>
      <c r="AE1001">
        <v>84</v>
      </c>
      <c r="AF1001">
        <v>2</v>
      </c>
      <c r="AG1001">
        <v>85</v>
      </c>
      <c r="AH1001">
        <v>2</v>
      </c>
    </row>
    <row r="1002" spans="1:34">
      <c r="A1002" t="s">
        <v>3015</v>
      </c>
      <c r="B1002" s="24">
        <v>1819</v>
      </c>
      <c r="C1002" s="24" t="s">
        <v>3016</v>
      </c>
      <c r="D1002" s="24" t="s">
        <v>3017</v>
      </c>
      <c r="E1002" s="93">
        <v>90</v>
      </c>
      <c r="F1002" s="94">
        <v>4</v>
      </c>
      <c r="G1002" s="94">
        <v>85</v>
      </c>
      <c r="H1002" s="94">
        <v>4</v>
      </c>
      <c r="I1002" s="94">
        <v>88</v>
      </c>
      <c r="J1002" s="94">
        <v>4</v>
      </c>
      <c r="K1002" s="94">
        <v>90</v>
      </c>
      <c r="L1002" s="94">
        <v>2</v>
      </c>
      <c r="M1002" s="94">
        <v>92</v>
      </c>
      <c r="N1002" s="94">
        <v>2</v>
      </c>
      <c r="O1002" s="94">
        <v>81</v>
      </c>
      <c r="P1002" s="94">
        <v>2</v>
      </c>
      <c r="Q1002">
        <v>95</v>
      </c>
      <c r="R1002">
        <v>2</v>
      </c>
      <c r="S1002">
        <v>90</v>
      </c>
      <c r="T1002">
        <v>2</v>
      </c>
      <c r="U1002">
        <v>90</v>
      </c>
      <c r="V1002">
        <v>2</v>
      </c>
      <c r="W1002">
        <v>96</v>
      </c>
      <c r="X1002">
        <v>2</v>
      </c>
      <c r="Y1002">
        <v>81</v>
      </c>
      <c r="Z1002">
        <v>1</v>
      </c>
      <c r="AA1002">
        <v>92</v>
      </c>
      <c r="AB1002">
        <v>1</v>
      </c>
      <c r="AC1002">
        <v>86</v>
      </c>
      <c r="AD1002">
        <v>1</v>
      </c>
      <c r="AE1002">
        <v>90</v>
      </c>
      <c r="AF1002">
        <v>2</v>
      </c>
    </row>
    <row r="1003" spans="1:34">
      <c r="A1003" t="s">
        <v>2915</v>
      </c>
      <c r="B1003" s="24">
        <v>1819</v>
      </c>
      <c r="C1003" s="24" t="s">
        <v>3019</v>
      </c>
      <c r="D1003" s="24" t="s">
        <v>2917</v>
      </c>
      <c r="E1003" s="93">
        <v>89</v>
      </c>
      <c r="F1003" s="94">
        <v>4</v>
      </c>
      <c r="G1003" s="94">
        <v>90</v>
      </c>
      <c r="H1003" s="94">
        <v>4</v>
      </c>
      <c r="I1003" s="94">
        <v>92</v>
      </c>
      <c r="J1003" s="94">
        <v>4</v>
      </c>
      <c r="K1003" s="94">
        <v>90</v>
      </c>
      <c r="L1003" s="94">
        <v>2</v>
      </c>
      <c r="M1003" s="94">
        <v>92</v>
      </c>
      <c r="N1003" s="94">
        <v>2</v>
      </c>
      <c r="O1003" s="94">
        <v>83</v>
      </c>
      <c r="P1003" s="94">
        <v>2</v>
      </c>
      <c r="Q1003">
        <v>91</v>
      </c>
      <c r="R1003">
        <v>2</v>
      </c>
      <c r="S1003">
        <v>89</v>
      </c>
      <c r="T1003">
        <v>2</v>
      </c>
      <c r="U1003">
        <v>90</v>
      </c>
      <c r="V1003">
        <v>2</v>
      </c>
      <c r="W1003">
        <v>85</v>
      </c>
      <c r="X1003">
        <v>2</v>
      </c>
      <c r="Y1003">
        <v>80</v>
      </c>
      <c r="Z1003">
        <v>1</v>
      </c>
      <c r="AA1003">
        <v>92</v>
      </c>
      <c r="AB1003">
        <v>1</v>
      </c>
      <c r="AC1003">
        <v>88</v>
      </c>
      <c r="AD1003">
        <v>1</v>
      </c>
      <c r="AE1003">
        <v>88</v>
      </c>
      <c r="AF1003">
        <v>2</v>
      </c>
    </row>
    <row r="1004" spans="1:34">
      <c r="A1004" t="s">
        <v>3018</v>
      </c>
      <c r="B1004" s="24">
        <v>1819</v>
      </c>
      <c r="C1004" s="24" t="s">
        <v>3022</v>
      </c>
      <c r="D1004" s="24" t="s">
        <v>3020</v>
      </c>
      <c r="E1004" s="93">
        <v>96</v>
      </c>
      <c r="F1004" s="94">
        <v>4</v>
      </c>
      <c r="G1004" s="94">
        <v>90</v>
      </c>
      <c r="H1004" s="94">
        <v>4</v>
      </c>
      <c r="I1004" s="94">
        <v>90</v>
      </c>
      <c r="J1004" s="94">
        <v>4</v>
      </c>
      <c r="K1004" s="94">
        <v>90</v>
      </c>
      <c r="L1004" s="94">
        <v>2</v>
      </c>
      <c r="M1004" s="94">
        <v>90</v>
      </c>
      <c r="N1004" s="94">
        <v>2</v>
      </c>
      <c r="O1004" s="94">
        <v>73</v>
      </c>
      <c r="P1004" s="94">
        <v>2</v>
      </c>
      <c r="Q1004">
        <v>92</v>
      </c>
      <c r="R1004">
        <v>2</v>
      </c>
      <c r="S1004">
        <v>88</v>
      </c>
      <c r="T1004">
        <v>2</v>
      </c>
      <c r="U1004">
        <v>88</v>
      </c>
      <c r="V1004">
        <v>2</v>
      </c>
      <c r="W1004">
        <v>85</v>
      </c>
      <c r="X1004">
        <v>2</v>
      </c>
      <c r="Y1004">
        <v>82</v>
      </c>
      <c r="Z1004">
        <v>1</v>
      </c>
      <c r="AA1004">
        <v>92</v>
      </c>
      <c r="AB1004">
        <v>1</v>
      </c>
      <c r="AC1004">
        <v>87</v>
      </c>
      <c r="AD1004">
        <v>1</v>
      </c>
      <c r="AE1004">
        <v>87</v>
      </c>
      <c r="AF1004">
        <v>2</v>
      </c>
    </row>
    <row r="1005" spans="1:34">
      <c r="A1005" t="s">
        <v>3021</v>
      </c>
      <c r="B1005" s="24">
        <v>1819</v>
      </c>
      <c r="C1005" s="24" t="s">
        <v>3025</v>
      </c>
      <c r="D1005" s="24" t="s">
        <v>3023</v>
      </c>
      <c r="E1005" s="93">
        <v>94</v>
      </c>
      <c r="F1005" s="94">
        <v>4</v>
      </c>
      <c r="G1005" s="94">
        <v>85</v>
      </c>
      <c r="H1005" s="94">
        <v>4</v>
      </c>
      <c r="I1005" s="94">
        <v>93</v>
      </c>
      <c r="J1005" s="94">
        <v>4</v>
      </c>
      <c r="K1005" s="94">
        <v>85</v>
      </c>
      <c r="L1005" s="94">
        <v>2</v>
      </c>
      <c r="M1005" s="94">
        <v>84</v>
      </c>
      <c r="N1005" s="94">
        <v>2</v>
      </c>
      <c r="O1005" s="94">
        <v>83</v>
      </c>
      <c r="P1005" s="94">
        <v>2</v>
      </c>
      <c r="Q1005">
        <v>90</v>
      </c>
      <c r="R1005">
        <v>2</v>
      </c>
      <c r="S1005">
        <v>89</v>
      </c>
      <c r="T1005">
        <v>2</v>
      </c>
      <c r="U1005">
        <v>90</v>
      </c>
      <c r="V1005">
        <v>2</v>
      </c>
      <c r="W1005">
        <v>81</v>
      </c>
      <c r="X1005">
        <v>2</v>
      </c>
      <c r="Y1005">
        <v>83</v>
      </c>
      <c r="Z1005">
        <v>1</v>
      </c>
      <c r="AA1005">
        <v>92</v>
      </c>
      <c r="AB1005">
        <v>1</v>
      </c>
      <c r="AC1005">
        <v>80</v>
      </c>
      <c r="AD1005">
        <v>1</v>
      </c>
      <c r="AE1005">
        <v>88</v>
      </c>
      <c r="AF1005">
        <v>2</v>
      </c>
    </row>
    <row r="1006" spans="1:34">
      <c r="A1006" t="s">
        <v>2923</v>
      </c>
      <c r="B1006" s="24">
        <v>1819</v>
      </c>
      <c r="C1006" s="24" t="s">
        <v>3028</v>
      </c>
      <c r="D1006" s="24" t="s">
        <v>2925</v>
      </c>
      <c r="E1006" s="93">
        <v>90</v>
      </c>
      <c r="F1006" s="94">
        <v>4</v>
      </c>
      <c r="G1006" s="94">
        <v>92</v>
      </c>
      <c r="H1006" s="94">
        <v>4</v>
      </c>
      <c r="I1006" s="94">
        <v>98</v>
      </c>
      <c r="J1006" s="94">
        <v>4</v>
      </c>
      <c r="K1006" s="94">
        <v>82</v>
      </c>
      <c r="L1006" s="94">
        <v>2</v>
      </c>
      <c r="M1006" s="94">
        <v>89</v>
      </c>
      <c r="N1006" s="94">
        <v>2</v>
      </c>
      <c r="O1006" s="94">
        <v>91</v>
      </c>
      <c r="P1006" s="94">
        <v>2</v>
      </c>
      <c r="Q1006">
        <v>97</v>
      </c>
      <c r="R1006">
        <v>2</v>
      </c>
      <c r="S1006">
        <v>87</v>
      </c>
      <c r="T1006">
        <v>2</v>
      </c>
      <c r="U1006">
        <v>99</v>
      </c>
      <c r="V1006">
        <v>2</v>
      </c>
      <c r="W1006">
        <v>85</v>
      </c>
      <c r="X1006">
        <v>2</v>
      </c>
      <c r="Y1006">
        <v>84</v>
      </c>
      <c r="Z1006">
        <v>1</v>
      </c>
      <c r="AA1006">
        <v>92</v>
      </c>
      <c r="AB1006">
        <v>1</v>
      </c>
      <c r="AC1006">
        <v>78</v>
      </c>
      <c r="AD1006">
        <v>1</v>
      </c>
      <c r="AE1006">
        <v>60</v>
      </c>
      <c r="AF1006">
        <v>2</v>
      </c>
    </row>
    <row r="1007" spans="1:34">
      <c r="A1007" t="s">
        <v>3024</v>
      </c>
      <c r="B1007" s="24">
        <v>1819</v>
      </c>
      <c r="C1007" s="24" t="s">
        <v>3031</v>
      </c>
      <c r="D1007" s="24" t="s">
        <v>3026</v>
      </c>
      <c r="E1007" s="93">
        <v>90</v>
      </c>
      <c r="F1007" s="94">
        <v>4</v>
      </c>
      <c r="G1007" s="94">
        <v>85</v>
      </c>
      <c r="H1007" s="94">
        <v>4</v>
      </c>
      <c r="I1007" s="94">
        <v>90</v>
      </c>
      <c r="J1007" s="94">
        <v>4</v>
      </c>
      <c r="K1007" s="94">
        <v>83</v>
      </c>
      <c r="L1007" s="94">
        <v>2</v>
      </c>
      <c r="M1007" s="94">
        <v>89</v>
      </c>
      <c r="N1007" s="94">
        <v>2</v>
      </c>
      <c r="O1007" s="94">
        <v>77</v>
      </c>
      <c r="P1007" s="94">
        <v>2</v>
      </c>
      <c r="Q1007">
        <v>90</v>
      </c>
      <c r="R1007">
        <v>2</v>
      </c>
      <c r="S1007">
        <v>86</v>
      </c>
      <c r="T1007">
        <v>2</v>
      </c>
      <c r="U1007">
        <v>90</v>
      </c>
      <c r="V1007">
        <v>2</v>
      </c>
      <c r="W1007">
        <v>93</v>
      </c>
      <c r="X1007">
        <v>2</v>
      </c>
      <c r="Y1007">
        <v>78</v>
      </c>
      <c r="Z1007">
        <v>1</v>
      </c>
      <c r="AA1007">
        <v>92</v>
      </c>
      <c r="AB1007">
        <v>1</v>
      </c>
      <c r="AC1007">
        <v>80</v>
      </c>
      <c r="AD1007">
        <v>1</v>
      </c>
      <c r="AE1007">
        <v>89</v>
      </c>
      <c r="AF1007">
        <v>2</v>
      </c>
    </row>
    <row r="1008" spans="1:34">
      <c r="A1008" t="s">
        <v>2926</v>
      </c>
      <c r="B1008" s="24">
        <v>1819</v>
      </c>
      <c r="C1008" s="24" t="s">
        <v>3034</v>
      </c>
      <c r="D1008" s="24" t="s">
        <v>2928</v>
      </c>
      <c r="E1008" s="93">
        <v>88</v>
      </c>
      <c r="F1008" s="94">
        <v>4</v>
      </c>
      <c r="G1008" s="94">
        <v>93</v>
      </c>
      <c r="H1008" s="94">
        <v>4</v>
      </c>
      <c r="I1008" s="94">
        <v>98</v>
      </c>
      <c r="J1008" s="94">
        <v>4</v>
      </c>
      <c r="K1008" s="94">
        <v>81</v>
      </c>
      <c r="L1008" s="94">
        <v>2</v>
      </c>
      <c r="M1008" s="94">
        <v>94</v>
      </c>
      <c r="N1008" s="94">
        <v>2</v>
      </c>
      <c r="O1008" s="94">
        <v>83</v>
      </c>
      <c r="P1008" s="94">
        <v>2</v>
      </c>
      <c r="Q1008">
        <v>99</v>
      </c>
      <c r="R1008">
        <v>2</v>
      </c>
      <c r="S1008">
        <v>90</v>
      </c>
      <c r="T1008">
        <v>2</v>
      </c>
      <c r="U1008">
        <v>90</v>
      </c>
      <c r="V1008">
        <v>2</v>
      </c>
      <c r="W1008">
        <v>81</v>
      </c>
      <c r="X1008">
        <v>2</v>
      </c>
      <c r="Y1008">
        <v>79</v>
      </c>
      <c r="Z1008">
        <v>1</v>
      </c>
      <c r="AA1008">
        <v>92</v>
      </c>
      <c r="AB1008">
        <v>1</v>
      </c>
      <c r="AC1008">
        <v>85</v>
      </c>
      <c r="AD1008">
        <v>1</v>
      </c>
      <c r="AE1008">
        <v>84</v>
      </c>
      <c r="AF1008">
        <v>2</v>
      </c>
    </row>
    <row r="1009" spans="1:32">
      <c r="A1009" t="s">
        <v>3027</v>
      </c>
      <c r="B1009" s="24">
        <v>1819</v>
      </c>
      <c r="C1009" s="24" t="s">
        <v>3037</v>
      </c>
      <c r="D1009" s="24" t="s">
        <v>3029</v>
      </c>
      <c r="E1009" s="93">
        <v>90</v>
      </c>
      <c r="F1009" s="94">
        <v>4</v>
      </c>
      <c r="G1009" s="94">
        <v>80</v>
      </c>
      <c r="H1009" s="94">
        <v>4</v>
      </c>
      <c r="I1009" s="94">
        <v>95</v>
      </c>
      <c r="J1009" s="94">
        <v>4</v>
      </c>
      <c r="K1009" s="94">
        <v>82</v>
      </c>
      <c r="L1009" s="94">
        <v>2</v>
      </c>
      <c r="M1009" s="94">
        <v>93</v>
      </c>
      <c r="N1009" s="94">
        <v>2</v>
      </c>
      <c r="O1009" s="94">
        <v>77</v>
      </c>
      <c r="P1009" s="94">
        <v>2</v>
      </c>
      <c r="Q1009">
        <v>93</v>
      </c>
      <c r="R1009">
        <v>2</v>
      </c>
      <c r="S1009">
        <v>86</v>
      </c>
      <c r="T1009">
        <v>2</v>
      </c>
      <c r="U1009">
        <v>81</v>
      </c>
      <c r="V1009">
        <v>2</v>
      </c>
      <c r="W1009">
        <v>81</v>
      </c>
      <c r="X1009">
        <v>2</v>
      </c>
      <c r="Y1009">
        <v>78</v>
      </c>
      <c r="Z1009">
        <v>1</v>
      </c>
      <c r="AA1009">
        <v>92</v>
      </c>
      <c r="AB1009">
        <v>1</v>
      </c>
      <c r="AC1009">
        <v>87</v>
      </c>
      <c r="AD1009">
        <v>1</v>
      </c>
      <c r="AE1009">
        <v>87</v>
      </c>
      <c r="AF1009">
        <v>2</v>
      </c>
    </row>
    <row r="1010" spans="1:32">
      <c r="A1010" t="s">
        <v>1218</v>
      </c>
      <c r="B1010" s="24">
        <v>1819</v>
      </c>
      <c r="C1010" s="24" t="s">
        <v>3039</v>
      </c>
      <c r="D1010" s="24" t="s">
        <v>1220</v>
      </c>
      <c r="E1010" s="93">
        <v>88</v>
      </c>
      <c r="F1010" s="94">
        <v>4</v>
      </c>
      <c r="G1010" s="94">
        <v>80</v>
      </c>
      <c r="H1010" s="94">
        <v>4</v>
      </c>
      <c r="I1010" s="94">
        <v>91</v>
      </c>
      <c r="J1010" s="94">
        <v>4</v>
      </c>
      <c r="K1010" s="94">
        <v>80</v>
      </c>
      <c r="L1010" s="94">
        <v>2</v>
      </c>
      <c r="M1010" s="94">
        <v>96</v>
      </c>
      <c r="N1010" s="94">
        <v>2</v>
      </c>
      <c r="O1010" s="94">
        <v>83</v>
      </c>
      <c r="P1010" s="94">
        <v>2</v>
      </c>
      <c r="Q1010">
        <v>90</v>
      </c>
      <c r="R1010">
        <v>2</v>
      </c>
      <c r="S1010">
        <v>85</v>
      </c>
      <c r="T1010">
        <v>2</v>
      </c>
      <c r="U1010">
        <v>90</v>
      </c>
      <c r="V1010">
        <v>2</v>
      </c>
      <c r="W1010">
        <v>81</v>
      </c>
      <c r="X1010">
        <v>2</v>
      </c>
      <c r="Y1010">
        <v>80</v>
      </c>
      <c r="Z1010">
        <v>1</v>
      </c>
      <c r="AA1010">
        <v>92</v>
      </c>
      <c r="AB1010">
        <v>1</v>
      </c>
      <c r="AC1010">
        <v>80</v>
      </c>
      <c r="AD1010">
        <v>1</v>
      </c>
      <c r="AE1010">
        <v>89</v>
      </c>
      <c r="AF1010">
        <v>2</v>
      </c>
    </row>
    <row r="1011" spans="1:32">
      <c r="A1011" t="s">
        <v>3030</v>
      </c>
      <c r="B1011" s="24">
        <v>1819</v>
      </c>
      <c r="C1011" s="24" t="s">
        <v>3042</v>
      </c>
      <c r="D1011" s="24" t="s">
        <v>3032</v>
      </c>
      <c r="E1011" s="93">
        <v>90</v>
      </c>
      <c r="F1011" s="94">
        <v>4</v>
      </c>
      <c r="G1011" s="94">
        <v>88</v>
      </c>
      <c r="H1011" s="94">
        <v>4</v>
      </c>
      <c r="I1011" s="94">
        <v>90</v>
      </c>
      <c r="J1011" s="94">
        <v>4</v>
      </c>
      <c r="K1011" s="94">
        <v>89</v>
      </c>
      <c r="L1011" s="94">
        <v>2</v>
      </c>
      <c r="M1011" s="94">
        <v>86</v>
      </c>
      <c r="N1011" s="94">
        <v>2</v>
      </c>
      <c r="O1011" s="94">
        <v>81</v>
      </c>
      <c r="P1011" s="94">
        <v>2</v>
      </c>
      <c r="Q1011">
        <v>91</v>
      </c>
      <c r="R1011">
        <v>2</v>
      </c>
      <c r="S1011">
        <v>86</v>
      </c>
      <c r="T1011">
        <v>2</v>
      </c>
      <c r="U1011">
        <v>95</v>
      </c>
      <c r="V1011">
        <v>2</v>
      </c>
      <c r="W1011">
        <v>87</v>
      </c>
      <c r="X1011">
        <v>2</v>
      </c>
      <c r="Y1011">
        <v>79</v>
      </c>
      <c r="Z1011">
        <v>1</v>
      </c>
      <c r="AA1011">
        <v>92</v>
      </c>
      <c r="AB1011">
        <v>1</v>
      </c>
      <c r="AC1011">
        <v>90</v>
      </c>
      <c r="AD1011">
        <v>1</v>
      </c>
      <c r="AE1011">
        <v>85</v>
      </c>
      <c r="AF1011">
        <v>2</v>
      </c>
    </row>
    <row r="1012" spans="1:32">
      <c r="A1012" t="s">
        <v>3033</v>
      </c>
      <c r="B1012" s="24">
        <v>1819</v>
      </c>
      <c r="C1012" s="24" t="s">
        <v>3044</v>
      </c>
      <c r="D1012" s="24" t="s">
        <v>3035</v>
      </c>
      <c r="E1012" s="93">
        <v>88</v>
      </c>
      <c r="F1012" s="94">
        <v>4</v>
      </c>
      <c r="G1012" s="94">
        <v>85</v>
      </c>
      <c r="H1012" s="94">
        <v>4</v>
      </c>
      <c r="I1012" s="94">
        <v>94</v>
      </c>
      <c r="J1012" s="94">
        <v>4</v>
      </c>
      <c r="K1012" s="94">
        <v>87</v>
      </c>
      <c r="L1012" s="94">
        <v>2</v>
      </c>
      <c r="M1012" s="94">
        <v>87</v>
      </c>
      <c r="N1012" s="94">
        <v>2</v>
      </c>
      <c r="O1012" s="94">
        <v>79</v>
      </c>
      <c r="P1012" s="94">
        <v>2</v>
      </c>
      <c r="Q1012">
        <v>90</v>
      </c>
      <c r="R1012">
        <v>2</v>
      </c>
      <c r="S1012">
        <v>86</v>
      </c>
      <c r="T1012">
        <v>2</v>
      </c>
      <c r="U1012">
        <v>92</v>
      </c>
      <c r="V1012">
        <v>2</v>
      </c>
      <c r="W1012">
        <v>86</v>
      </c>
      <c r="X1012">
        <v>2</v>
      </c>
      <c r="Y1012">
        <v>82</v>
      </c>
      <c r="Z1012">
        <v>1</v>
      </c>
      <c r="AA1012">
        <v>92</v>
      </c>
      <c r="AB1012">
        <v>1</v>
      </c>
      <c r="AC1012">
        <v>80</v>
      </c>
      <c r="AD1012">
        <v>1</v>
      </c>
      <c r="AE1012">
        <v>86</v>
      </c>
      <c r="AF1012">
        <v>2</v>
      </c>
    </row>
    <row r="1013" spans="1:32">
      <c r="A1013" t="s">
        <v>3036</v>
      </c>
      <c r="B1013" s="24">
        <v>1819</v>
      </c>
      <c r="C1013" s="24" t="s">
        <v>3046</v>
      </c>
      <c r="D1013" s="24" t="s">
        <v>136</v>
      </c>
      <c r="E1013" s="93">
        <v>96</v>
      </c>
      <c r="F1013" s="94">
        <v>4</v>
      </c>
      <c r="G1013" s="94">
        <v>90</v>
      </c>
      <c r="H1013" s="94">
        <v>4</v>
      </c>
      <c r="I1013" s="94">
        <v>94</v>
      </c>
      <c r="J1013" s="94">
        <v>4</v>
      </c>
      <c r="K1013" s="94">
        <v>85</v>
      </c>
      <c r="L1013" s="94">
        <v>2</v>
      </c>
      <c r="M1013" s="94">
        <v>90</v>
      </c>
      <c r="N1013" s="94">
        <v>2</v>
      </c>
      <c r="O1013" s="94">
        <v>79</v>
      </c>
      <c r="P1013" s="94">
        <v>2</v>
      </c>
      <c r="Q1013">
        <v>100</v>
      </c>
      <c r="R1013">
        <v>2</v>
      </c>
      <c r="S1013">
        <v>91</v>
      </c>
      <c r="T1013">
        <v>2</v>
      </c>
      <c r="U1013">
        <v>86</v>
      </c>
      <c r="V1013">
        <v>2</v>
      </c>
      <c r="W1013">
        <v>81</v>
      </c>
      <c r="X1013">
        <v>2</v>
      </c>
      <c r="Y1013">
        <v>81</v>
      </c>
      <c r="Z1013">
        <v>1</v>
      </c>
      <c r="AA1013">
        <v>92</v>
      </c>
      <c r="AB1013">
        <v>1</v>
      </c>
      <c r="AC1013">
        <v>88</v>
      </c>
      <c r="AD1013">
        <v>1</v>
      </c>
      <c r="AE1013">
        <v>90</v>
      </c>
      <c r="AF1013">
        <v>2</v>
      </c>
    </row>
    <row r="1014" spans="1:32">
      <c r="A1014" t="s">
        <v>1548</v>
      </c>
      <c r="B1014" s="24">
        <v>1819</v>
      </c>
      <c r="C1014" s="24" t="s">
        <v>3049</v>
      </c>
      <c r="D1014" s="24" t="s">
        <v>130</v>
      </c>
      <c r="E1014" s="93">
        <v>95</v>
      </c>
      <c r="F1014" s="94">
        <v>4</v>
      </c>
      <c r="G1014" s="94">
        <v>96</v>
      </c>
      <c r="H1014" s="94">
        <v>4</v>
      </c>
      <c r="I1014" s="94">
        <v>99</v>
      </c>
      <c r="J1014" s="94">
        <v>4</v>
      </c>
      <c r="K1014" s="94">
        <v>86</v>
      </c>
      <c r="L1014" s="94">
        <v>2</v>
      </c>
      <c r="M1014" s="94">
        <v>98</v>
      </c>
      <c r="N1014" s="94">
        <v>2</v>
      </c>
      <c r="O1014" s="94">
        <v>87</v>
      </c>
      <c r="P1014" s="94">
        <v>2</v>
      </c>
      <c r="Q1014">
        <v>99</v>
      </c>
      <c r="R1014">
        <v>2</v>
      </c>
      <c r="S1014">
        <v>87</v>
      </c>
      <c r="T1014">
        <v>2</v>
      </c>
      <c r="U1014">
        <v>90</v>
      </c>
      <c r="V1014">
        <v>2</v>
      </c>
      <c r="W1014">
        <v>84</v>
      </c>
      <c r="X1014">
        <v>2</v>
      </c>
      <c r="Y1014">
        <v>76</v>
      </c>
      <c r="Z1014">
        <v>1</v>
      </c>
      <c r="AA1014">
        <v>92</v>
      </c>
      <c r="AB1014">
        <v>1</v>
      </c>
      <c r="AC1014">
        <v>80</v>
      </c>
      <c r="AD1014">
        <v>1</v>
      </c>
      <c r="AE1014">
        <v>86</v>
      </c>
      <c r="AF1014">
        <v>2</v>
      </c>
    </row>
    <row r="1015" spans="1:32">
      <c r="A1015" t="s">
        <v>3038</v>
      </c>
      <c r="B1015" s="24">
        <v>1819</v>
      </c>
      <c r="C1015" s="24" t="s">
        <v>3051</v>
      </c>
      <c r="D1015" s="24" t="s">
        <v>3040</v>
      </c>
      <c r="E1015" s="93">
        <v>94</v>
      </c>
      <c r="F1015" s="94">
        <v>4</v>
      </c>
      <c r="G1015" s="94">
        <v>80</v>
      </c>
      <c r="H1015" s="94">
        <v>4</v>
      </c>
      <c r="I1015" s="94">
        <v>95</v>
      </c>
      <c r="J1015" s="94">
        <v>4</v>
      </c>
      <c r="K1015" s="94">
        <v>82</v>
      </c>
      <c r="L1015" s="94">
        <v>2</v>
      </c>
      <c r="M1015" s="94">
        <v>83</v>
      </c>
      <c r="N1015" s="94">
        <v>2</v>
      </c>
      <c r="O1015" s="94">
        <v>79</v>
      </c>
      <c r="P1015" s="94">
        <v>2</v>
      </c>
      <c r="Q1015">
        <v>95</v>
      </c>
      <c r="R1015">
        <v>2</v>
      </c>
      <c r="S1015">
        <v>85</v>
      </c>
      <c r="T1015">
        <v>2</v>
      </c>
      <c r="U1015">
        <v>72</v>
      </c>
      <c r="V1015">
        <v>2</v>
      </c>
      <c r="W1015">
        <v>81</v>
      </c>
      <c r="X1015">
        <v>2</v>
      </c>
      <c r="Y1015">
        <v>82</v>
      </c>
      <c r="Z1015">
        <v>1</v>
      </c>
      <c r="AA1015">
        <v>92</v>
      </c>
      <c r="AB1015">
        <v>1</v>
      </c>
      <c r="AC1015">
        <v>78</v>
      </c>
      <c r="AD1015">
        <v>1</v>
      </c>
      <c r="AE1015">
        <v>87</v>
      </c>
      <c r="AF1015">
        <v>2</v>
      </c>
    </row>
    <row r="1016" spans="1:32">
      <c r="A1016" t="s">
        <v>3041</v>
      </c>
      <c r="B1016" s="24">
        <v>1819</v>
      </c>
      <c r="C1016" s="24" t="s">
        <v>3054</v>
      </c>
      <c r="D1016" s="24" t="s">
        <v>129</v>
      </c>
      <c r="E1016" s="93">
        <v>96</v>
      </c>
      <c r="F1016" s="94">
        <v>4</v>
      </c>
      <c r="G1016" s="94">
        <v>80</v>
      </c>
      <c r="H1016" s="94">
        <v>4</v>
      </c>
      <c r="I1016" s="94">
        <v>85</v>
      </c>
      <c r="J1016" s="94">
        <v>4</v>
      </c>
      <c r="K1016" s="94">
        <v>83</v>
      </c>
      <c r="L1016" s="94">
        <v>2</v>
      </c>
      <c r="M1016" s="94">
        <v>92</v>
      </c>
      <c r="N1016" s="94">
        <v>2</v>
      </c>
      <c r="O1016" s="94">
        <v>99</v>
      </c>
      <c r="P1016" s="94">
        <v>2</v>
      </c>
      <c r="Q1016">
        <v>95</v>
      </c>
      <c r="R1016">
        <v>2</v>
      </c>
      <c r="S1016">
        <v>88</v>
      </c>
      <c r="T1016">
        <v>2</v>
      </c>
      <c r="U1016">
        <v>92</v>
      </c>
      <c r="V1016">
        <v>2</v>
      </c>
      <c r="W1016">
        <v>86</v>
      </c>
      <c r="X1016">
        <v>2</v>
      </c>
      <c r="Y1016">
        <v>86</v>
      </c>
      <c r="Z1016">
        <v>1</v>
      </c>
      <c r="AA1016">
        <v>92</v>
      </c>
      <c r="AB1016">
        <v>1</v>
      </c>
      <c r="AC1016">
        <v>75</v>
      </c>
      <c r="AD1016">
        <v>1</v>
      </c>
      <c r="AE1016">
        <v>90</v>
      </c>
      <c r="AF1016">
        <v>2</v>
      </c>
    </row>
    <row r="1017" spans="1:32">
      <c r="A1017" t="s">
        <v>3043</v>
      </c>
      <c r="B1017" s="24">
        <v>1819</v>
      </c>
      <c r="C1017" s="24" t="s">
        <v>3057</v>
      </c>
      <c r="D1017" s="24" t="s">
        <v>95</v>
      </c>
      <c r="E1017" s="93">
        <v>96</v>
      </c>
      <c r="F1017" s="94">
        <v>4</v>
      </c>
      <c r="G1017" s="94">
        <v>95</v>
      </c>
      <c r="H1017" s="94">
        <v>4</v>
      </c>
      <c r="I1017" s="94">
        <v>91</v>
      </c>
      <c r="J1017" s="94">
        <v>4</v>
      </c>
      <c r="K1017" s="94">
        <v>86</v>
      </c>
      <c r="L1017" s="94">
        <v>2</v>
      </c>
      <c r="M1017" s="94">
        <v>93</v>
      </c>
      <c r="N1017" s="94">
        <v>2</v>
      </c>
      <c r="O1017" s="94">
        <v>93</v>
      </c>
      <c r="P1017" s="94">
        <v>2</v>
      </c>
      <c r="Q1017">
        <v>99</v>
      </c>
      <c r="R1017">
        <v>2</v>
      </c>
      <c r="S1017">
        <v>94</v>
      </c>
      <c r="T1017">
        <v>2</v>
      </c>
      <c r="U1017">
        <v>97</v>
      </c>
      <c r="V1017">
        <v>2</v>
      </c>
      <c r="W1017">
        <v>89</v>
      </c>
      <c r="X1017">
        <v>2</v>
      </c>
      <c r="Y1017">
        <v>78</v>
      </c>
      <c r="Z1017">
        <v>1</v>
      </c>
      <c r="AA1017">
        <v>92</v>
      </c>
      <c r="AB1017">
        <v>1</v>
      </c>
      <c r="AC1017">
        <v>80</v>
      </c>
      <c r="AD1017">
        <v>1</v>
      </c>
      <c r="AE1017">
        <v>88</v>
      </c>
      <c r="AF1017">
        <v>2</v>
      </c>
    </row>
    <row r="1018" spans="1:32">
      <c r="A1018" t="s">
        <v>3045</v>
      </c>
      <c r="B1018" s="24">
        <v>1819</v>
      </c>
      <c r="C1018" s="24" t="s">
        <v>3060</v>
      </c>
      <c r="D1018" s="24" t="s">
        <v>3047</v>
      </c>
      <c r="E1018" s="93">
        <v>95</v>
      </c>
      <c r="F1018" s="94">
        <v>4</v>
      </c>
      <c r="G1018" s="94">
        <v>85</v>
      </c>
      <c r="H1018" s="94">
        <v>4</v>
      </c>
      <c r="I1018" s="94">
        <v>96</v>
      </c>
      <c r="J1018" s="94">
        <v>4</v>
      </c>
      <c r="K1018" s="94">
        <v>84</v>
      </c>
      <c r="L1018" s="94">
        <v>2</v>
      </c>
      <c r="M1018" s="94">
        <v>85</v>
      </c>
      <c r="N1018" s="94">
        <v>2</v>
      </c>
      <c r="O1018" s="94">
        <v>70</v>
      </c>
      <c r="P1018" s="94">
        <v>2</v>
      </c>
      <c r="Q1018">
        <v>91</v>
      </c>
      <c r="R1018">
        <v>2</v>
      </c>
      <c r="S1018">
        <v>88</v>
      </c>
      <c r="T1018">
        <v>2</v>
      </c>
      <c r="U1018">
        <v>90</v>
      </c>
      <c r="V1018">
        <v>2</v>
      </c>
      <c r="W1018">
        <v>85</v>
      </c>
      <c r="X1018">
        <v>2</v>
      </c>
      <c r="Y1018">
        <v>79</v>
      </c>
      <c r="Z1018">
        <v>1</v>
      </c>
      <c r="AA1018">
        <v>92</v>
      </c>
      <c r="AB1018">
        <v>1</v>
      </c>
      <c r="AC1018">
        <v>88</v>
      </c>
      <c r="AD1018">
        <v>1</v>
      </c>
      <c r="AE1018">
        <v>87</v>
      </c>
      <c r="AF1018">
        <v>2</v>
      </c>
    </row>
    <row r="1019" spans="1:32">
      <c r="A1019" t="s">
        <v>3048</v>
      </c>
      <c r="B1019" s="24">
        <v>1819</v>
      </c>
      <c r="C1019" s="24" t="s">
        <v>3063</v>
      </c>
      <c r="D1019" s="24" t="s">
        <v>71</v>
      </c>
      <c r="E1019" s="93">
        <v>98</v>
      </c>
      <c r="F1019" s="94">
        <v>4</v>
      </c>
      <c r="G1019" s="94">
        <v>90</v>
      </c>
      <c r="H1019" s="94">
        <v>4</v>
      </c>
      <c r="I1019" s="94">
        <v>92</v>
      </c>
      <c r="J1019" s="94">
        <v>4</v>
      </c>
      <c r="K1019" s="94">
        <v>85</v>
      </c>
      <c r="L1019" s="94">
        <v>2</v>
      </c>
      <c r="M1019" s="94">
        <v>95</v>
      </c>
      <c r="N1019" s="94">
        <v>2</v>
      </c>
      <c r="O1019" s="94">
        <v>89</v>
      </c>
      <c r="P1019" s="94">
        <v>2</v>
      </c>
      <c r="Q1019">
        <v>99</v>
      </c>
      <c r="R1019">
        <v>2</v>
      </c>
      <c r="S1019">
        <v>96</v>
      </c>
      <c r="T1019">
        <v>2</v>
      </c>
      <c r="U1019">
        <v>93</v>
      </c>
      <c r="V1019">
        <v>2</v>
      </c>
      <c r="W1019">
        <v>82</v>
      </c>
      <c r="X1019">
        <v>2</v>
      </c>
      <c r="Y1019">
        <v>82</v>
      </c>
      <c r="Z1019">
        <v>1</v>
      </c>
      <c r="AA1019">
        <v>92</v>
      </c>
      <c r="AB1019">
        <v>1</v>
      </c>
      <c r="AC1019">
        <v>85</v>
      </c>
      <c r="AD1019">
        <v>1</v>
      </c>
      <c r="AE1019">
        <v>90</v>
      </c>
      <c r="AF1019">
        <v>2</v>
      </c>
    </row>
    <row r="1020" spans="1:32">
      <c r="A1020" t="s">
        <v>2972</v>
      </c>
      <c r="B1020" s="24">
        <v>1819</v>
      </c>
      <c r="C1020" s="24" t="s">
        <v>3066</v>
      </c>
      <c r="D1020" s="24" t="s">
        <v>96</v>
      </c>
      <c r="E1020" s="93">
        <v>93</v>
      </c>
      <c r="F1020" s="94">
        <v>4</v>
      </c>
      <c r="G1020" s="94">
        <v>90</v>
      </c>
      <c r="H1020" s="94">
        <v>4</v>
      </c>
      <c r="I1020" s="94">
        <v>93</v>
      </c>
      <c r="J1020" s="94">
        <v>4</v>
      </c>
      <c r="K1020" s="94">
        <v>84</v>
      </c>
      <c r="L1020" s="94">
        <v>2</v>
      </c>
      <c r="M1020" s="94">
        <v>90</v>
      </c>
      <c r="N1020" s="94">
        <v>2</v>
      </c>
      <c r="O1020" s="94">
        <v>87</v>
      </c>
      <c r="P1020" s="94">
        <v>2</v>
      </c>
      <c r="Q1020">
        <v>99</v>
      </c>
      <c r="R1020">
        <v>2</v>
      </c>
      <c r="S1020">
        <v>88</v>
      </c>
      <c r="T1020">
        <v>2</v>
      </c>
      <c r="V1020">
        <v>2</v>
      </c>
      <c r="W1020">
        <v>83</v>
      </c>
      <c r="X1020">
        <v>2</v>
      </c>
      <c r="Y1020">
        <v>80</v>
      </c>
      <c r="Z1020">
        <v>1</v>
      </c>
      <c r="AA1020">
        <v>92</v>
      </c>
      <c r="AB1020">
        <v>1</v>
      </c>
      <c r="AC1020">
        <v>85</v>
      </c>
      <c r="AD1020">
        <v>1</v>
      </c>
      <c r="AE1020">
        <v>89</v>
      </c>
      <c r="AF1020">
        <v>2</v>
      </c>
    </row>
    <row r="1021" spans="1:32">
      <c r="A1021" t="s">
        <v>3050</v>
      </c>
      <c r="B1021" s="24">
        <v>1819</v>
      </c>
      <c r="C1021" s="24" t="s">
        <v>3069</v>
      </c>
      <c r="D1021" s="24" t="s">
        <v>3052</v>
      </c>
      <c r="E1021" s="93">
        <v>87</v>
      </c>
      <c r="F1021" s="94">
        <v>4</v>
      </c>
      <c r="G1021" s="94">
        <v>85</v>
      </c>
      <c r="H1021" s="94">
        <v>4</v>
      </c>
      <c r="I1021" s="94">
        <v>95</v>
      </c>
      <c r="J1021" s="94">
        <v>4</v>
      </c>
      <c r="K1021" s="94">
        <v>86</v>
      </c>
      <c r="L1021" s="94">
        <v>2</v>
      </c>
      <c r="M1021" s="94">
        <v>91</v>
      </c>
      <c r="N1021" s="94">
        <v>2</v>
      </c>
      <c r="O1021" s="94">
        <v>70</v>
      </c>
      <c r="P1021" s="94">
        <v>2</v>
      </c>
      <c r="Q1021">
        <v>91</v>
      </c>
      <c r="R1021">
        <v>2</v>
      </c>
      <c r="S1021">
        <v>86</v>
      </c>
      <c r="T1021">
        <v>2</v>
      </c>
      <c r="U1021">
        <v>86</v>
      </c>
      <c r="V1021">
        <v>2</v>
      </c>
      <c r="W1021">
        <v>85</v>
      </c>
      <c r="X1021">
        <v>2</v>
      </c>
      <c r="Y1021">
        <v>80</v>
      </c>
      <c r="Z1021">
        <v>1</v>
      </c>
      <c r="AA1021">
        <v>92</v>
      </c>
      <c r="AB1021">
        <v>1</v>
      </c>
      <c r="AC1021">
        <v>93</v>
      </c>
      <c r="AD1021">
        <v>1</v>
      </c>
      <c r="AE1021">
        <v>88</v>
      </c>
      <c r="AF1021">
        <v>2</v>
      </c>
    </row>
    <row r="1022" spans="1:32">
      <c r="A1022" t="s">
        <v>3053</v>
      </c>
      <c r="B1022" s="24">
        <v>1819</v>
      </c>
      <c r="C1022" s="24" t="s">
        <v>3072</v>
      </c>
      <c r="D1022" s="24" t="s">
        <v>3055</v>
      </c>
      <c r="E1022" s="93">
        <v>100</v>
      </c>
      <c r="F1022" s="94">
        <v>4</v>
      </c>
      <c r="G1022" s="94">
        <v>85</v>
      </c>
      <c r="H1022" s="94">
        <v>4</v>
      </c>
      <c r="I1022" s="94">
        <v>95</v>
      </c>
      <c r="J1022" s="94">
        <v>4</v>
      </c>
      <c r="K1022" s="94">
        <v>85</v>
      </c>
      <c r="L1022" s="94">
        <v>2</v>
      </c>
      <c r="M1022" s="94">
        <v>83</v>
      </c>
      <c r="N1022" s="94">
        <v>2</v>
      </c>
      <c r="O1022" s="94">
        <v>81</v>
      </c>
      <c r="P1022" s="94">
        <v>2</v>
      </c>
      <c r="Q1022">
        <v>92</v>
      </c>
      <c r="R1022">
        <v>2</v>
      </c>
      <c r="S1022">
        <v>90</v>
      </c>
      <c r="T1022">
        <v>2</v>
      </c>
      <c r="U1022">
        <v>90</v>
      </c>
      <c r="V1022">
        <v>2</v>
      </c>
      <c r="W1022">
        <v>86</v>
      </c>
      <c r="X1022">
        <v>2</v>
      </c>
      <c r="Y1022">
        <v>90</v>
      </c>
      <c r="Z1022">
        <v>1</v>
      </c>
      <c r="AA1022">
        <v>92</v>
      </c>
      <c r="AB1022">
        <v>1</v>
      </c>
      <c r="AC1022">
        <v>88</v>
      </c>
      <c r="AD1022">
        <v>1</v>
      </c>
      <c r="AE1022">
        <v>90</v>
      </c>
      <c r="AF1022">
        <v>2</v>
      </c>
    </row>
    <row r="1023" spans="1:32">
      <c r="A1023" t="s">
        <v>3056</v>
      </c>
      <c r="B1023" s="24">
        <v>1819</v>
      </c>
      <c r="C1023" s="24" t="s">
        <v>3075</v>
      </c>
      <c r="D1023" s="24" t="s">
        <v>3058</v>
      </c>
      <c r="E1023" s="93">
        <v>85</v>
      </c>
      <c r="F1023" s="94">
        <v>4</v>
      </c>
      <c r="G1023" s="94">
        <v>80</v>
      </c>
      <c r="H1023" s="94">
        <v>4</v>
      </c>
      <c r="I1023" s="94">
        <v>90</v>
      </c>
      <c r="J1023" s="94">
        <v>4</v>
      </c>
      <c r="K1023" s="94">
        <v>89</v>
      </c>
      <c r="L1023" s="94">
        <v>2</v>
      </c>
      <c r="M1023" s="94">
        <v>91</v>
      </c>
      <c r="N1023" s="94">
        <v>2</v>
      </c>
      <c r="O1023" s="94">
        <v>73</v>
      </c>
      <c r="P1023" s="94">
        <v>2</v>
      </c>
      <c r="Q1023">
        <v>88</v>
      </c>
      <c r="R1023">
        <v>2</v>
      </c>
      <c r="S1023">
        <v>86</v>
      </c>
      <c r="T1023">
        <v>2</v>
      </c>
      <c r="V1023">
        <v>2</v>
      </c>
      <c r="W1023">
        <v>81</v>
      </c>
      <c r="X1023">
        <v>2</v>
      </c>
      <c r="Y1023">
        <v>75</v>
      </c>
      <c r="Z1023">
        <v>1</v>
      </c>
      <c r="AA1023">
        <v>92</v>
      </c>
      <c r="AB1023">
        <v>1</v>
      </c>
      <c r="AC1023">
        <v>86</v>
      </c>
      <c r="AD1023">
        <v>1</v>
      </c>
      <c r="AE1023">
        <v>60</v>
      </c>
      <c r="AF1023">
        <v>2</v>
      </c>
    </row>
    <row r="1024" spans="1:32">
      <c r="A1024" t="s">
        <v>3059</v>
      </c>
      <c r="B1024" s="24">
        <v>1819</v>
      </c>
      <c r="C1024" s="24" t="s">
        <v>3078</v>
      </c>
      <c r="D1024" s="24" t="s">
        <v>3061</v>
      </c>
      <c r="E1024" s="93">
        <v>89</v>
      </c>
      <c r="F1024" s="94">
        <v>4</v>
      </c>
      <c r="G1024" s="94">
        <v>85</v>
      </c>
      <c r="H1024" s="94">
        <v>4</v>
      </c>
      <c r="I1024" s="94">
        <v>92</v>
      </c>
      <c r="J1024" s="94">
        <v>4</v>
      </c>
      <c r="K1024" s="94">
        <v>89</v>
      </c>
      <c r="L1024" s="94">
        <v>2</v>
      </c>
      <c r="M1024" s="94">
        <v>86</v>
      </c>
      <c r="N1024" s="94">
        <v>2</v>
      </c>
      <c r="O1024" s="94">
        <v>85</v>
      </c>
      <c r="P1024" s="94">
        <v>2</v>
      </c>
      <c r="Q1024">
        <v>92</v>
      </c>
      <c r="R1024">
        <v>2</v>
      </c>
      <c r="S1024">
        <v>88</v>
      </c>
      <c r="T1024">
        <v>2</v>
      </c>
      <c r="U1024">
        <v>93</v>
      </c>
      <c r="V1024">
        <v>2</v>
      </c>
      <c r="W1024">
        <v>84</v>
      </c>
      <c r="X1024">
        <v>2</v>
      </c>
      <c r="Y1024">
        <v>82</v>
      </c>
      <c r="Z1024">
        <v>1</v>
      </c>
      <c r="AA1024">
        <v>92</v>
      </c>
      <c r="AB1024">
        <v>1</v>
      </c>
      <c r="AC1024">
        <v>85</v>
      </c>
      <c r="AD1024">
        <v>1</v>
      </c>
      <c r="AE1024">
        <v>83</v>
      </c>
      <c r="AF1024">
        <v>2</v>
      </c>
    </row>
    <row r="1025" spans="1:32">
      <c r="A1025" t="s">
        <v>3062</v>
      </c>
      <c r="B1025" s="24">
        <v>1819</v>
      </c>
      <c r="C1025" s="24" t="s">
        <v>3080</v>
      </c>
      <c r="D1025" s="24" t="s">
        <v>3064</v>
      </c>
      <c r="E1025" s="93">
        <v>87</v>
      </c>
      <c r="F1025" s="94">
        <v>4</v>
      </c>
      <c r="G1025" s="94">
        <v>80</v>
      </c>
      <c r="H1025" s="94">
        <v>4</v>
      </c>
      <c r="I1025" s="94">
        <v>87</v>
      </c>
      <c r="J1025" s="94">
        <v>4</v>
      </c>
      <c r="K1025" s="94">
        <v>85</v>
      </c>
      <c r="L1025" s="94">
        <v>2</v>
      </c>
      <c r="M1025" s="94">
        <v>88</v>
      </c>
      <c r="N1025" s="94">
        <v>2</v>
      </c>
      <c r="O1025" s="94">
        <v>81</v>
      </c>
      <c r="P1025" s="94">
        <v>2</v>
      </c>
      <c r="Q1025">
        <v>89</v>
      </c>
      <c r="R1025">
        <v>2</v>
      </c>
      <c r="S1025">
        <v>86</v>
      </c>
      <c r="T1025">
        <v>2</v>
      </c>
      <c r="U1025">
        <v>90</v>
      </c>
      <c r="V1025">
        <v>2</v>
      </c>
      <c r="W1025">
        <v>82</v>
      </c>
      <c r="X1025">
        <v>2</v>
      </c>
      <c r="Y1025">
        <v>80</v>
      </c>
      <c r="Z1025">
        <v>1</v>
      </c>
      <c r="AA1025">
        <v>92</v>
      </c>
      <c r="AB1025">
        <v>1</v>
      </c>
      <c r="AC1025">
        <v>82</v>
      </c>
      <c r="AD1025">
        <v>1</v>
      </c>
      <c r="AE1025">
        <v>60</v>
      </c>
      <c r="AF1025">
        <v>2</v>
      </c>
    </row>
    <row r="1026" spans="1:32">
      <c r="A1026" t="s">
        <v>1869</v>
      </c>
      <c r="B1026" s="24">
        <v>1819</v>
      </c>
      <c r="C1026" s="24" t="s">
        <v>3082</v>
      </c>
      <c r="D1026" s="24" t="s">
        <v>1871</v>
      </c>
      <c r="E1026" s="93">
        <v>86</v>
      </c>
      <c r="F1026" s="94">
        <v>4</v>
      </c>
      <c r="G1026" s="94">
        <v>82</v>
      </c>
      <c r="H1026" s="94">
        <v>4</v>
      </c>
      <c r="I1026" s="94">
        <v>80</v>
      </c>
      <c r="J1026" s="94">
        <v>4</v>
      </c>
      <c r="K1026" s="94">
        <v>84</v>
      </c>
      <c r="L1026" s="94">
        <v>2</v>
      </c>
      <c r="M1026" s="94">
        <v>95</v>
      </c>
      <c r="N1026" s="94">
        <v>2</v>
      </c>
      <c r="O1026" s="94">
        <v>70</v>
      </c>
      <c r="P1026" s="94">
        <v>2</v>
      </c>
      <c r="Q1026">
        <v>89</v>
      </c>
      <c r="R1026">
        <v>2</v>
      </c>
      <c r="S1026">
        <v>86</v>
      </c>
      <c r="T1026">
        <v>2</v>
      </c>
      <c r="U1026">
        <v>81</v>
      </c>
      <c r="V1026">
        <v>2</v>
      </c>
      <c r="W1026">
        <v>85</v>
      </c>
      <c r="X1026">
        <v>2</v>
      </c>
      <c r="Y1026">
        <v>83</v>
      </c>
      <c r="Z1026">
        <v>1</v>
      </c>
      <c r="AA1026">
        <v>92</v>
      </c>
      <c r="AB1026">
        <v>1</v>
      </c>
      <c r="AC1026">
        <v>86</v>
      </c>
      <c r="AD1026">
        <v>1</v>
      </c>
      <c r="AE1026">
        <v>80</v>
      </c>
      <c r="AF1026">
        <v>2</v>
      </c>
    </row>
    <row r="1027" spans="1:32">
      <c r="A1027" t="s">
        <v>3065</v>
      </c>
      <c r="B1027" s="24">
        <v>1819</v>
      </c>
      <c r="C1027" s="24" t="s">
        <v>3085</v>
      </c>
      <c r="D1027" s="24" t="s">
        <v>3067</v>
      </c>
      <c r="E1027" s="93">
        <v>87</v>
      </c>
      <c r="F1027" s="94">
        <v>4</v>
      </c>
      <c r="G1027" s="94">
        <v>88</v>
      </c>
      <c r="H1027" s="94">
        <v>4</v>
      </c>
      <c r="I1027" s="94">
        <v>94</v>
      </c>
      <c r="J1027" s="94">
        <v>4</v>
      </c>
      <c r="K1027" s="94">
        <v>85</v>
      </c>
      <c r="L1027" s="94">
        <v>2</v>
      </c>
      <c r="M1027" s="94">
        <v>86</v>
      </c>
      <c r="N1027" s="94">
        <v>2</v>
      </c>
      <c r="O1027" s="94">
        <v>79</v>
      </c>
      <c r="P1027" s="94">
        <v>2</v>
      </c>
      <c r="Q1027">
        <v>90</v>
      </c>
      <c r="R1027">
        <v>2</v>
      </c>
      <c r="S1027">
        <v>87</v>
      </c>
      <c r="T1027">
        <v>2</v>
      </c>
      <c r="U1027">
        <v>98</v>
      </c>
      <c r="V1027">
        <v>2</v>
      </c>
      <c r="W1027">
        <v>86</v>
      </c>
      <c r="X1027">
        <v>2</v>
      </c>
      <c r="Y1027">
        <v>86</v>
      </c>
      <c r="Z1027">
        <v>1</v>
      </c>
      <c r="AA1027">
        <v>92</v>
      </c>
      <c r="AB1027">
        <v>1</v>
      </c>
      <c r="AC1027">
        <v>86</v>
      </c>
      <c r="AD1027">
        <v>1</v>
      </c>
      <c r="AE1027">
        <v>88</v>
      </c>
      <c r="AF1027">
        <v>2</v>
      </c>
    </row>
    <row r="1028" spans="1:32">
      <c r="A1028" t="s">
        <v>333</v>
      </c>
      <c r="B1028" s="24">
        <v>1819</v>
      </c>
      <c r="C1028" s="24" t="s">
        <v>3088</v>
      </c>
      <c r="D1028" s="24" t="s">
        <v>334</v>
      </c>
      <c r="E1028" s="93">
        <v>88</v>
      </c>
      <c r="F1028" s="94">
        <v>4</v>
      </c>
      <c r="G1028" s="94">
        <v>85</v>
      </c>
      <c r="H1028" s="94">
        <v>4</v>
      </c>
      <c r="I1028" s="94">
        <v>92</v>
      </c>
      <c r="J1028" s="94">
        <v>4</v>
      </c>
      <c r="K1028" s="94">
        <v>82</v>
      </c>
      <c r="L1028" s="94">
        <v>2</v>
      </c>
      <c r="M1028" s="94">
        <v>88</v>
      </c>
      <c r="N1028" s="94">
        <v>2</v>
      </c>
      <c r="O1028" s="94">
        <v>73</v>
      </c>
      <c r="P1028" s="94">
        <v>2</v>
      </c>
      <c r="Q1028">
        <v>92</v>
      </c>
      <c r="R1028">
        <v>2</v>
      </c>
      <c r="S1028">
        <v>88</v>
      </c>
      <c r="T1028">
        <v>2</v>
      </c>
      <c r="U1028">
        <v>90</v>
      </c>
      <c r="V1028">
        <v>2</v>
      </c>
      <c r="W1028">
        <v>82</v>
      </c>
      <c r="X1028">
        <v>2</v>
      </c>
      <c r="Y1028">
        <v>88</v>
      </c>
      <c r="Z1028">
        <v>1</v>
      </c>
      <c r="AA1028">
        <v>92</v>
      </c>
      <c r="AB1028">
        <v>1</v>
      </c>
      <c r="AC1028">
        <v>76</v>
      </c>
      <c r="AD1028">
        <v>1</v>
      </c>
      <c r="AE1028">
        <v>88</v>
      </c>
      <c r="AF1028">
        <v>2</v>
      </c>
    </row>
    <row r="1029" spans="1:32">
      <c r="A1029" t="s">
        <v>3068</v>
      </c>
      <c r="B1029" s="24">
        <v>1819</v>
      </c>
      <c r="C1029" s="24" t="s">
        <v>3090</v>
      </c>
      <c r="D1029" s="24" t="s">
        <v>3070</v>
      </c>
      <c r="E1029" s="93">
        <v>88</v>
      </c>
      <c r="F1029" s="94">
        <v>4</v>
      </c>
      <c r="G1029" s="94">
        <v>88</v>
      </c>
      <c r="H1029" s="94">
        <v>4</v>
      </c>
      <c r="I1029" s="94">
        <v>94</v>
      </c>
      <c r="J1029" s="94">
        <v>4</v>
      </c>
      <c r="K1029" s="94">
        <v>82</v>
      </c>
      <c r="L1029" s="94">
        <v>2</v>
      </c>
      <c r="M1029" s="94">
        <v>93</v>
      </c>
      <c r="N1029" s="94">
        <v>2</v>
      </c>
      <c r="O1029" s="94">
        <v>79</v>
      </c>
      <c r="P1029" s="94">
        <v>2</v>
      </c>
      <c r="Q1029">
        <v>91</v>
      </c>
      <c r="R1029">
        <v>2</v>
      </c>
      <c r="S1029">
        <v>87</v>
      </c>
      <c r="T1029">
        <v>2</v>
      </c>
      <c r="U1029">
        <v>76</v>
      </c>
      <c r="V1029">
        <v>2</v>
      </c>
      <c r="W1029">
        <v>84</v>
      </c>
      <c r="X1029">
        <v>2</v>
      </c>
      <c r="Y1029">
        <v>86</v>
      </c>
      <c r="Z1029">
        <v>1</v>
      </c>
      <c r="AA1029">
        <v>92</v>
      </c>
      <c r="AB1029">
        <v>1</v>
      </c>
      <c r="AC1029">
        <v>80</v>
      </c>
      <c r="AD1029">
        <v>1</v>
      </c>
      <c r="AE1029">
        <v>90</v>
      </c>
      <c r="AF1029">
        <v>2</v>
      </c>
    </row>
    <row r="1030" spans="1:32">
      <c r="A1030" t="s">
        <v>2983</v>
      </c>
      <c r="B1030" s="24">
        <v>1819</v>
      </c>
      <c r="C1030" s="24" t="s">
        <v>3093</v>
      </c>
      <c r="D1030" s="24" t="s">
        <v>2985</v>
      </c>
      <c r="E1030" s="93">
        <v>88</v>
      </c>
      <c r="F1030" s="94">
        <v>4</v>
      </c>
      <c r="G1030" s="94">
        <v>90</v>
      </c>
      <c r="H1030" s="94">
        <v>4</v>
      </c>
      <c r="I1030" s="94">
        <v>95</v>
      </c>
      <c r="J1030" s="94">
        <v>4</v>
      </c>
      <c r="K1030" s="94">
        <v>86</v>
      </c>
      <c r="L1030" s="94">
        <v>2</v>
      </c>
      <c r="M1030" s="94">
        <v>90</v>
      </c>
      <c r="N1030" s="94">
        <v>2</v>
      </c>
      <c r="O1030" s="94">
        <v>83</v>
      </c>
      <c r="P1030" s="94">
        <v>2</v>
      </c>
      <c r="Q1030">
        <v>97</v>
      </c>
      <c r="R1030">
        <v>2</v>
      </c>
      <c r="S1030">
        <v>88</v>
      </c>
      <c r="T1030">
        <v>2</v>
      </c>
      <c r="U1030">
        <v>93</v>
      </c>
      <c r="V1030">
        <v>2</v>
      </c>
      <c r="W1030">
        <v>93</v>
      </c>
      <c r="X1030">
        <v>2</v>
      </c>
      <c r="Y1030">
        <v>84</v>
      </c>
      <c r="Z1030">
        <v>1</v>
      </c>
      <c r="AA1030">
        <v>92</v>
      </c>
      <c r="AB1030">
        <v>1</v>
      </c>
      <c r="AC1030">
        <v>89</v>
      </c>
      <c r="AD1030">
        <v>1</v>
      </c>
      <c r="AE1030">
        <v>90</v>
      </c>
      <c r="AF1030">
        <v>2</v>
      </c>
    </row>
    <row r="1031" spans="1:32">
      <c r="A1031" t="s">
        <v>3071</v>
      </c>
      <c r="B1031" s="24">
        <v>1819</v>
      </c>
      <c r="C1031" s="24" t="s">
        <v>3096</v>
      </c>
      <c r="D1031" s="24" t="s">
        <v>3073</v>
      </c>
      <c r="E1031" s="93">
        <v>90</v>
      </c>
      <c r="F1031" s="94">
        <v>4</v>
      </c>
      <c r="G1031" s="94">
        <v>80</v>
      </c>
      <c r="H1031" s="94">
        <v>4</v>
      </c>
      <c r="I1031" s="94">
        <v>99</v>
      </c>
      <c r="J1031" s="94">
        <v>4</v>
      </c>
      <c r="K1031" s="94">
        <v>82</v>
      </c>
      <c r="L1031" s="94">
        <v>2</v>
      </c>
      <c r="M1031" s="94">
        <v>96</v>
      </c>
      <c r="N1031" s="94">
        <v>2</v>
      </c>
      <c r="O1031" s="94">
        <v>81</v>
      </c>
      <c r="P1031" s="94">
        <v>2</v>
      </c>
      <c r="Q1031">
        <v>87</v>
      </c>
      <c r="R1031">
        <v>2</v>
      </c>
      <c r="S1031">
        <v>88</v>
      </c>
      <c r="T1031">
        <v>2</v>
      </c>
      <c r="U1031">
        <v>90</v>
      </c>
      <c r="V1031">
        <v>2</v>
      </c>
      <c r="W1031">
        <v>80</v>
      </c>
      <c r="X1031">
        <v>2</v>
      </c>
      <c r="Y1031">
        <v>80</v>
      </c>
      <c r="Z1031">
        <v>1</v>
      </c>
      <c r="AA1031">
        <v>92</v>
      </c>
      <c r="AB1031">
        <v>1</v>
      </c>
      <c r="AC1031">
        <v>80</v>
      </c>
      <c r="AD1031">
        <v>1</v>
      </c>
      <c r="AE1031">
        <v>60</v>
      </c>
      <c r="AF1031">
        <v>2</v>
      </c>
    </row>
    <row r="1032" spans="1:32">
      <c r="A1032" t="s">
        <v>2992</v>
      </c>
      <c r="B1032" s="24">
        <v>1819</v>
      </c>
      <c r="C1032" s="24" t="s">
        <v>3098</v>
      </c>
      <c r="D1032" s="24" t="s">
        <v>2994</v>
      </c>
      <c r="E1032" s="93">
        <v>100</v>
      </c>
      <c r="F1032" s="94">
        <v>4</v>
      </c>
      <c r="G1032" s="94">
        <v>90</v>
      </c>
      <c r="H1032" s="94">
        <v>4</v>
      </c>
      <c r="I1032" s="94">
        <v>95</v>
      </c>
      <c r="J1032" s="94">
        <v>4</v>
      </c>
      <c r="K1032" s="94">
        <v>92</v>
      </c>
      <c r="L1032" s="94">
        <v>2</v>
      </c>
      <c r="M1032" s="94">
        <v>95</v>
      </c>
      <c r="N1032" s="94">
        <v>2</v>
      </c>
      <c r="O1032" s="94">
        <v>87</v>
      </c>
      <c r="P1032" s="94">
        <v>2</v>
      </c>
      <c r="Q1032">
        <v>98</v>
      </c>
      <c r="R1032">
        <v>2</v>
      </c>
      <c r="S1032">
        <v>90</v>
      </c>
      <c r="T1032">
        <v>2</v>
      </c>
      <c r="U1032">
        <v>99</v>
      </c>
      <c r="V1032">
        <v>2</v>
      </c>
      <c r="W1032">
        <v>82</v>
      </c>
      <c r="X1032">
        <v>2</v>
      </c>
      <c r="Y1032">
        <v>82</v>
      </c>
      <c r="Z1032">
        <v>1</v>
      </c>
      <c r="AA1032">
        <v>92</v>
      </c>
      <c r="AB1032">
        <v>1</v>
      </c>
      <c r="AC1032">
        <v>88</v>
      </c>
      <c r="AD1032">
        <v>1</v>
      </c>
      <c r="AE1032">
        <v>88</v>
      </c>
      <c r="AF1032">
        <v>2</v>
      </c>
    </row>
    <row r="1033" spans="1:32">
      <c r="A1033" t="s">
        <v>2997</v>
      </c>
      <c r="B1033" s="24">
        <v>1819</v>
      </c>
      <c r="C1033" s="24" t="s">
        <v>3100</v>
      </c>
      <c r="D1033" s="24" t="s">
        <v>161</v>
      </c>
      <c r="E1033" s="93">
        <v>88</v>
      </c>
      <c r="F1033" s="94">
        <v>4</v>
      </c>
      <c r="G1033" s="94">
        <v>90</v>
      </c>
      <c r="H1033" s="94">
        <v>4</v>
      </c>
      <c r="I1033" s="94">
        <v>96</v>
      </c>
      <c r="J1033" s="94">
        <v>4</v>
      </c>
      <c r="K1033" s="94">
        <v>83</v>
      </c>
      <c r="L1033" s="94">
        <v>2</v>
      </c>
      <c r="M1033" s="94">
        <v>92</v>
      </c>
      <c r="N1033" s="94">
        <v>2</v>
      </c>
      <c r="O1033" s="94">
        <v>79</v>
      </c>
      <c r="P1033" s="94">
        <v>2</v>
      </c>
      <c r="Q1033">
        <v>92</v>
      </c>
      <c r="R1033">
        <v>2</v>
      </c>
      <c r="S1033">
        <v>86</v>
      </c>
      <c r="T1033">
        <v>2</v>
      </c>
      <c r="U1033">
        <v>90</v>
      </c>
      <c r="V1033">
        <v>2</v>
      </c>
      <c r="W1033">
        <v>85</v>
      </c>
      <c r="X1033">
        <v>2</v>
      </c>
      <c r="Y1033">
        <v>81</v>
      </c>
      <c r="Z1033">
        <v>1</v>
      </c>
      <c r="AA1033">
        <v>92</v>
      </c>
      <c r="AB1033">
        <v>1</v>
      </c>
      <c r="AC1033">
        <v>80</v>
      </c>
      <c r="AD1033">
        <v>1</v>
      </c>
      <c r="AE1033">
        <v>87</v>
      </c>
      <c r="AF1033">
        <v>2</v>
      </c>
    </row>
    <row r="1034" spans="1:32">
      <c r="A1034" t="s">
        <v>3074</v>
      </c>
      <c r="B1034" s="24">
        <v>1819</v>
      </c>
      <c r="C1034" s="24" t="s">
        <v>3103</v>
      </c>
      <c r="D1034" s="24" t="s">
        <v>3076</v>
      </c>
      <c r="E1034" s="93">
        <v>88</v>
      </c>
      <c r="F1034" s="94">
        <v>4</v>
      </c>
      <c r="G1034" s="94">
        <v>88</v>
      </c>
      <c r="H1034" s="94">
        <v>4</v>
      </c>
      <c r="I1034" s="94">
        <v>89</v>
      </c>
      <c r="J1034" s="94">
        <v>4</v>
      </c>
      <c r="K1034" s="94">
        <v>85</v>
      </c>
      <c r="L1034" s="94">
        <v>2</v>
      </c>
      <c r="M1034" s="94">
        <v>87</v>
      </c>
      <c r="N1034" s="94">
        <v>2</v>
      </c>
      <c r="O1034" s="94">
        <v>75</v>
      </c>
      <c r="P1034" s="94">
        <v>2</v>
      </c>
      <c r="Q1034">
        <v>92</v>
      </c>
      <c r="R1034">
        <v>2</v>
      </c>
      <c r="S1034">
        <v>85</v>
      </c>
      <c r="T1034">
        <v>2</v>
      </c>
      <c r="U1034">
        <v>86</v>
      </c>
      <c r="V1034">
        <v>2</v>
      </c>
      <c r="W1034">
        <v>81</v>
      </c>
      <c r="X1034">
        <v>2</v>
      </c>
      <c r="Y1034">
        <v>83</v>
      </c>
      <c r="Z1034">
        <v>1</v>
      </c>
      <c r="AA1034">
        <v>92</v>
      </c>
      <c r="AB1034">
        <v>1</v>
      </c>
      <c r="AC1034">
        <v>78</v>
      </c>
      <c r="AD1034">
        <v>1</v>
      </c>
      <c r="AE1034">
        <v>85</v>
      </c>
      <c r="AF1034">
        <v>2</v>
      </c>
    </row>
    <row r="1035" spans="1:32">
      <c r="A1035" t="s">
        <v>3077</v>
      </c>
      <c r="B1035" s="24">
        <v>1819</v>
      </c>
      <c r="C1035" s="24" t="s">
        <v>3105</v>
      </c>
      <c r="D1035" s="24" t="s">
        <v>3079</v>
      </c>
      <c r="E1035" s="93">
        <v>88</v>
      </c>
      <c r="F1035" s="94">
        <v>4</v>
      </c>
      <c r="G1035" s="94">
        <v>86</v>
      </c>
      <c r="H1035" s="94">
        <v>4</v>
      </c>
      <c r="I1035" s="94">
        <v>90</v>
      </c>
      <c r="J1035" s="94">
        <v>4</v>
      </c>
      <c r="K1035" s="94">
        <v>83</v>
      </c>
      <c r="L1035" s="94">
        <v>2</v>
      </c>
      <c r="M1035" s="94">
        <v>91</v>
      </c>
      <c r="N1035" s="94">
        <v>2</v>
      </c>
      <c r="O1035" s="94">
        <v>81</v>
      </c>
      <c r="P1035" s="94">
        <v>2</v>
      </c>
      <c r="Q1035">
        <v>93</v>
      </c>
      <c r="R1035">
        <v>2</v>
      </c>
      <c r="S1035">
        <v>86</v>
      </c>
      <c r="T1035">
        <v>2</v>
      </c>
      <c r="U1035">
        <v>90</v>
      </c>
      <c r="V1035">
        <v>2</v>
      </c>
      <c r="W1035">
        <v>86</v>
      </c>
      <c r="X1035">
        <v>2</v>
      </c>
      <c r="Y1035">
        <v>82</v>
      </c>
      <c r="Z1035">
        <v>1</v>
      </c>
      <c r="AA1035">
        <v>92</v>
      </c>
      <c r="AB1035">
        <v>1</v>
      </c>
      <c r="AC1035">
        <v>85</v>
      </c>
      <c r="AD1035">
        <v>1</v>
      </c>
      <c r="AE1035">
        <v>88</v>
      </c>
      <c r="AF1035">
        <v>2</v>
      </c>
    </row>
    <row r="1036" spans="1:32">
      <c r="A1036">
        <v>20181079</v>
      </c>
      <c r="B1036" s="24">
        <v>1819</v>
      </c>
      <c r="C1036" s="24" t="s">
        <v>3286</v>
      </c>
      <c r="D1036" s="24" t="s">
        <v>3287</v>
      </c>
      <c r="E1036" s="93">
        <v>90</v>
      </c>
      <c r="F1036" s="94">
        <v>4</v>
      </c>
      <c r="G1036" s="94">
        <v>85</v>
      </c>
      <c r="H1036" s="94">
        <v>4</v>
      </c>
      <c r="I1036" s="94">
        <v>98</v>
      </c>
      <c r="J1036" s="94">
        <v>4</v>
      </c>
      <c r="K1036" s="94">
        <v>81</v>
      </c>
      <c r="L1036" s="94">
        <v>2</v>
      </c>
      <c r="M1036" s="94">
        <v>88</v>
      </c>
      <c r="N1036" s="94">
        <v>2</v>
      </c>
      <c r="O1036" s="94">
        <v>70</v>
      </c>
      <c r="P1036" s="94">
        <v>2</v>
      </c>
      <c r="Q1036">
        <v>89</v>
      </c>
      <c r="R1036">
        <v>2</v>
      </c>
      <c r="S1036">
        <v>86</v>
      </c>
      <c r="T1036">
        <v>2</v>
      </c>
      <c r="U1036">
        <v>85</v>
      </c>
      <c r="V1036">
        <v>2</v>
      </c>
      <c r="W1036">
        <v>81</v>
      </c>
      <c r="X1036">
        <v>2</v>
      </c>
      <c r="Y1036">
        <v>81</v>
      </c>
      <c r="Z1036">
        <v>1</v>
      </c>
      <c r="AA1036">
        <v>92</v>
      </c>
      <c r="AB1036">
        <v>1</v>
      </c>
      <c r="AC1036">
        <v>76</v>
      </c>
      <c r="AD1036">
        <v>1</v>
      </c>
      <c r="AE1036">
        <v>87</v>
      </c>
      <c r="AF1036">
        <v>2</v>
      </c>
    </row>
    <row r="1037" spans="1:32">
      <c r="A1037" t="s">
        <v>3081</v>
      </c>
      <c r="B1037" s="24">
        <v>1819</v>
      </c>
      <c r="C1037" s="24" t="s">
        <v>3276</v>
      </c>
      <c r="D1037" s="24" t="s">
        <v>3083</v>
      </c>
      <c r="E1037" s="93">
        <v>89</v>
      </c>
      <c r="F1037" s="94">
        <v>4</v>
      </c>
      <c r="G1037" s="94">
        <v>93</v>
      </c>
      <c r="H1037" s="94">
        <v>4</v>
      </c>
      <c r="I1037" s="94">
        <v>91</v>
      </c>
      <c r="J1037" s="94">
        <v>4</v>
      </c>
      <c r="K1037" s="94">
        <v>82</v>
      </c>
      <c r="L1037" s="94">
        <v>2</v>
      </c>
      <c r="M1037" s="94">
        <v>93</v>
      </c>
      <c r="N1037" s="94">
        <v>2</v>
      </c>
      <c r="O1037" s="94">
        <v>85</v>
      </c>
      <c r="P1037" s="94">
        <v>2</v>
      </c>
      <c r="Q1037">
        <v>92</v>
      </c>
      <c r="R1037">
        <v>2</v>
      </c>
      <c r="S1037">
        <v>87</v>
      </c>
      <c r="T1037">
        <v>2</v>
      </c>
      <c r="U1037">
        <v>88</v>
      </c>
      <c r="V1037">
        <v>2</v>
      </c>
      <c r="W1037">
        <v>88</v>
      </c>
      <c r="X1037">
        <v>2</v>
      </c>
      <c r="Y1037">
        <v>80</v>
      </c>
      <c r="Z1037">
        <v>1</v>
      </c>
      <c r="AA1037">
        <v>92</v>
      </c>
      <c r="AB1037">
        <v>1</v>
      </c>
      <c r="AC1037">
        <v>72</v>
      </c>
      <c r="AD1037">
        <v>1</v>
      </c>
      <c r="AE1037">
        <v>84</v>
      </c>
      <c r="AF1037">
        <v>2</v>
      </c>
    </row>
    <row r="1038" spans="1:32">
      <c r="A1038" t="s">
        <v>3084</v>
      </c>
      <c r="B1038" s="24">
        <v>1819</v>
      </c>
      <c r="C1038" s="24" t="s">
        <v>3285</v>
      </c>
      <c r="D1038" s="24" t="s">
        <v>3086</v>
      </c>
      <c r="E1038" s="93">
        <v>86</v>
      </c>
      <c r="F1038" s="94">
        <v>4</v>
      </c>
      <c r="G1038" s="94">
        <v>80</v>
      </c>
      <c r="H1038" s="94">
        <v>4</v>
      </c>
      <c r="I1038" s="94">
        <v>97</v>
      </c>
      <c r="J1038" s="94">
        <v>4</v>
      </c>
      <c r="K1038" s="94">
        <v>83</v>
      </c>
      <c r="L1038" s="94">
        <v>2</v>
      </c>
      <c r="M1038" s="94">
        <v>84</v>
      </c>
      <c r="N1038" s="94">
        <v>2</v>
      </c>
      <c r="O1038" s="94">
        <v>79</v>
      </c>
      <c r="P1038" s="94">
        <v>2</v>
      </c>
      <c r="Q1038">
        <v>89</v>
      </c>
      <c r="R1038">
        <v>2</v>
      </c>
      <c r="S1038">
        <v>87</v>
      </c>
      <c r="T1038">
        <v>2</v>
      </c>
      <c r="U1038">
        <v>85</v>
      </c>
      <c r="V1038">
        <v>2</v>
      </c>
      <c r="W1038">
        <v>81</v>
      </c>
      <c r="X1038">
        <v>2</v>
      </c>
      <c r="Y1038">
        <v>78</v>
      </c>
      <c r="Z1038">
        <v>1</v>
      </c>
      <c r="AA1038">
        <v>92</v>
      </c>
      <c r="AB1038">
        <v>1</v>
      </c>
      <c r="AC1038">
        <v>98</v>
      </c>
      <c r="AD1038">
        <v>1</v>
      </c>
      <c r="AE1038">
        <v>86</v>
      </c>
      <c r="AF1038">
        <v>2</v>
      </c>
    </row>
    <row r="1039" spans="1:32">
      <c r="A1039" t="s">
        <v>3087</v>
      </c>
      <c r="B1039" s="24">
        <v>1819</v>
      </c>
      <c r="C1039" s="24" t="s">
        <v>3270</v>
      </c>
      <c r="D1039" s="24" t="s">
        <v>53</v>
      </c>
      <c r="E1039" s="93">
        <v>92</v>
      </c>
      <c r="F1039" s="94">
        <v>4</v>
      </c>
      <c r="G1039" s="94">
        <v>90</v>
      </c>
      <c r="H1039" s="94">
        <v>4</v>
      </c>
      <c r="I1039" s="94">
        <v>96</v>
      </c>
      <c r="J1039" s="94">
        <v>4</v>
      </c>
      <c r="K1039" s="94">
        <v>84</v>
      </c>
      <c r="L1039" s="94">
        <v>2</v>
      </c>
      <c r="M1039" s="94">
        <v>84</v>
      </c>
      <c r="N1039" s="94">
        <v>2</v>
      </c>
      <c r="O1039" s="94">
        <v>85</v>
      </c>
      <c r="P1039" s="94">
        <v>2</v>
      </c>
      <c r="Q1039">
        <v>98</v>
      </c>
      <c r="R1039">
        <v>2</v>
      </c>
      <c r="S1039">
        <v>90</v>
      </c>
      <c r="T1039">
        <v>2</v>
      </c>
      <c r="U1039">
        <v>88</v>
      </c>
      <c r="V1039">
        <v>2</v>
      </c>
      <c r="W1039">
        <v>83</v>
      </c>
      <c r="X1039">
        <v>2</v>
      </c>
      <c r="Y1039">
        <v>85</v>
      </c>
      <c r="Z1039">
        <v>1</v>
      </c>
      <c r="AA1039">
        <v>92</v>
      </c>
      <c r="AB1039">
        <v>1</v>
      </c>
      <c r="AC1039">
        <v>72</v>
      </c>
      <c r="AD1039">
        <v>1</v>
      </c>
      <c r="AE1039">
        <v>85</v>
      </c>
      <c r="AF1039">
        <v>2</v>
      </c>
    </row>
    <row r="1040" spans="1:32">
      <c r="A1040" t="s">
        <v>3089</v>
      </c>
      <c r="B1040" s="24">
        <v>1819</v>
      </c>
      <c r="C1040" s="24" t="s">
        <v>3279</v>
      </c>
      <c r="D1040" s="24" t="s">
        <v>3091</v>
      </c>
      <c r="E1040" s="93">
        <v>95</v>
      </c>
      <c r="F1040" s="94">
        <v>4</v>
      </c>
      <c r="G1040" s="94">
        <v>88</v>
      </c>
      <c r="H1040" s="94">
        <v>4</v>
      </c>
      <c r="I1040" s="94">
        <v>91</v>
      </c>
      <c r="J1040" s="94">
        <v>4</v>
      </c>
      <c r="K1040" s="94">
        <v>82</v>
      </c>
      <c r="L1040" s="94">
        <v>2</v>
      </c>
      <c r="M1040" s="94">
        <v>92</v>
      </c>
      <c r="N1040" s="94">
        <v>2</v>
      </c>
      <c r="O1040" s="94">
        <v>85</v>
      </c>
      <c r="P1040" s="94">
        <v>2</v>
      </c>
      <c r="Q1040">
        <v>89</v>
      </c>
      <c r="R1040">
        <v>2</v>
      </c>
      <c r="S1040">
        <v>89</v>
      </c>
      <c r="T1040">
        <v>2</v>
      </c>
      <c r="U1040">
        <v>92</v>
      </c>
      <c r="V1040">
        <v>2</v>
      </c>
      <c r="W1040">
        <v>91</v>
      </c>
      <c r="X1040">
        <v>2</v>
      </c>
      <c r="Y1040">
        <v>80</v>
      </c>
      <c r="Z1040">
        <v>1</v>
      </c>
      <c r="AA1040">
        <v>92</v>
      </c>
      <c r="AB1040">
        <v>1</v>
      </c>
      <c r="AC1040">
        <v>65</v>
      </c>
      <c r="AD1040">
        <v>1</v>
      </c>
      <c r="AE1040">
        <v>88</v>
      </c>
      <c r="AF1040">
        <v>2</v>
      </c>
    </row>
    <row r="1041" spans="1:32">
      <c r="A1041" t="s">
        <v>3092</v>
      </c>
      <c r="B1041" s="24">
        <v>1819</v>
      </c>
      <c r="C1041" s="24" t="s">
        <v>3283</v>
      </c>
      <c r="D1041" s="24" t="s">
        <v>3094</v>
      </c>
      <c r="E1041" s="93">
        <v>94</v>
      </c>
      <c r="F1041" s="94">
        <v>4</v>
      </c>
      <c r="G1041" s="94">
        <v>88</v>
      </c>
      <c r="H1041" s="94">
        <v>4</v>
      </c>
      <c r="I1041" s="94">
        <v>83</v>
      </c>
      <c r="J1041" s="94">
        <v>4</v>
      </c>
      <c r="K1041" s="94">
        <v>82</v>
      </c>
      <c r="L1041" s="94">
        <v>2</v>
      </c>
      <c r="M1041" s="94">
        <v>89</v>
      </c>
      <c r="N1041" s="94">
        <v>2</v>
      </c>
      <c r="O1041" s="94">
        <v>73</v>
      </c>
      <c r="P1041" s="94">
        <v>2</v>
      </c>
      <c r="Q1041">
        <v>89</v>
      </c>
      <c r="R1041">
        <v>2</v>
      </c>
      <c r="S1041">
        <v>88</v>
      </c>
      <c r="T1041">
        <v>2</v>
      </c>
      <c r="U1041">
        <v>88</v>
      </c>
      <c r="V1041">
        <v>2</v>
      </c>
      <c r="W1041">
        <v>84</v>
      </c>
      <c r="X1041">
        <v>2</v>
      </c>
      <c r="Y1041">
        <v>81</v>
      </c>
      <c r="Z1041">
        <v>1</v>
      </c>
      <c r="AA1041">
        <v>92</v>
      </c>
      <c r="AB1041">
        <v>1</v>
      </c>
      <c r="AC1041">
        <v>80</v>
      </c>
      <c r="AD1041">
        <v>1</v>
      </c>
      <c r="AE1041">
        <v>87</v>
      </c>
      <c r="AF1041">
        <v>2</v>
      </c>
    </row>
    <row r="1042" spans="1:32">
      <c r="A1042" t="s">
        <v>3095</v>
      </c>
      <c r="B1042" s="24">
        <v>1819</v>
      </c>
      <c r="C1042" s="24" t="s">
        <v>3277</v>
      </c>
      <c r="D1042" s="24" t="s">
        <v>65</v>
      </c>
      <c r="E1042" s="93">
        <v>89</v>
      </c>
      <c r="F1042" s="94">
        <v>4</v>
      </c>
      <c r="G1042" s="94">
        <v>90</v>
      </c>
      <c r="H1042" s="94">
        <v>4</v>
      </c>
      <c r="I1042" s="94">
        <v>96</v>
      </c>
      <c r="J1042" s="94">
        <v>4</v>
      </c>
      <c r="K1042" s="94">
        <v>82</v>
      </c>
      <c r="L1042" s="94">
        <v>2</v>
      </c>
      <c r="M1042" s="94">
        <v>87</v>
      </c>
      <c r="N1042" s="94">
        <v>2</v>
      </c>
      <c r="O1042" s="94">
        <v>77</v>
      </c>
      <c r="P1042" s="94">
        <v>2</v>
      </c>
      <c r="Q1042">
        <v>91</v>
      </c>
      <c r="R1042">
        <v>2</v>
      </c>
      <c r="S1042">
        <v>88</v>
      </c>
      <c r="T1042">
        <v>2</v>
      </c>
      <c r="U1042">
        <v>90</v>
      </c>
      <c r="V1042">
        <v>2</v>
      </c>
      <c r="W1042">
        <v>86</v>
      </c>
      <c r="X1042">
        <v>2</v>
      </c>
      <c r="Y1042">
        <v>60</v>
      </c>
      <c r="Z1042">
        <v>1</v>
      </c>
      <c r="AA1042">
        <v>92</v>
      </c>
      <c r="AB1042">
        <v>1</v>
      </c>
      <c r="AC1042">
        <v>80</v>
      </c>
      <c r="AD1042">
        <v>1</v>
      </c>
      <c r="AE1042">
        <v>89</v>
      </c>
      <c r="AF1042">
        <v>2</v>
      </c>
    </row>
    <row r="1043" spans="1:32">
      <c r="A1043" t="s">
        <v>3097</v>
      </c>
      <c r="B1043" s="24">
        <v>1819</v>
      </c>
      <c r="C1043" s="24" t="s">
        <v>3284</v>
      </c>
      <c r="D1043" s="24" t="s">
        <v>158</v>
      </c>
      <c r="E1043" s="93">
        <v>96</v>
      </c>
      <c r="F1043" s="94">
        <v>4</v>
      </c>
      <c r="G1043" s="94">
        <v>88</v>
      </c>
      <c r="H1043" s="94">
        <v>4</v>
      </c>
      <c r="I1043" s="94">
        <v>89</v>
      </c>
      <c r="J1043" s="94">
        <v>4</v>
      </c>
      <c r="K1043" s="94">
        <v>83</v>
      </c>
      <c r="L1043" s="94">
        <v>2</v>
      </c>
      <c r="M1043" s="94">
        <v>94</v>
      </c>
      <c r="N1043" s="94">
        <v>2</v>
      </c>
      <c r="O1043" s="94">
        <v>83</v>
      </c>
      <c r="P1043" s="94">
        <v>2</v>
      </c>
      <c r="Q1043">
        <v>92</v>
      </c>
      <c r="R1043">
        <v>2</v>
      </c>
      <c r="S1043">
        <v>92</v>
      </c>
      <c r="T1043">
        <v>2</v>
      </c>
      <c r="U1043">
        <v>98</v>
      </c>
      <c r="V1043">
        <v>2</v>
      </c>
      <c r="W1043">
        <v>83</v>
      </c>
      <c r="X1043">
        <v>2</v>
      </c>
      <c r="Y1043">
        <v>82</v>
      </c>
      <c r="Z1043">
        <v>1</v>
      </c>
      <c r="AA1043">
        <v>92</v>
      </c>
      <c r="AB1043">
        <v>1</v>
      </c>
      <c r="AC1043">
        <v>76</v>
      </c>
      <c r="AD1043">
        <v>1</v>
      </c>
      <c r="AE1043">
        <v>90</v>
      </c>
      <c r="AF1043">
        <v>2</v>
      </c>
    </row>
    <row r="1044" spans="1:32">
      <c r="A1044" t="s">
        <v>3099</v>
      </c>
      <c r="B1044" s="24">
        <v>1819</v>
      </c>
      <c r="C1044" s="24" t="s">
        <v>3282</v>
      </c>
      <c r="D1044" s="24" t="s">
        <v>3101</v>
      </c>
      <c r="E1044" s="93">
        <v>90</v>
      </c>
      <c r="F1044" s="94">
        <v>4</v>
      </c>
      <c r="G1044" s="94">
        <v>86</v>
      </c>
      <c r="H1044" s="94">
        <v>4</v>
      </c>
      <c r="I1044" s="94">
        <v>93</v>
      </c>
      <c r="J1044" s="94">
        <v>4</v>
      </c>
      <c r="K1044" s="94">
        <v>81</v>
      </c>
      <c r="L1044" s="94">
        <v>2</v>
      </c>
      <c r="M1044" s="94">
        <v>95</v>
      </c>
      <c r="N1044" s="94">
        <v>2</v>
      </c>
      <c r="O1044" s="94">
        <v>81</v>
      </c>
      <c r="P1044" s="94">
        <v>2</v>
      </c>
      <c r="Q1044">
        <v>89</v>
      </c>
      <c r="R1044">
        <v>2</v>
      </c>
      <c r="S1044">
        <v>88</v>
      </c>
      <c r="T1044">
        <v>2</v>
      </c>
      <c r="U1044">
        <v>95</v>
      </c>
      <c r="V1044">
        <v>2</v>
      </c>
      <c r="W1044">
        <v>81</v>
      </c>
      <c r="X1044">
        <v>2</v>
      </c>
      <c r="Y1044">
        <v>80</v>
      </c>
      <c r="Z1044">
        <v>1</v>
      </c>
      <c r="AA1044">
        <v>92</v>
      </c>
      <c r="AB1044">
        <v>1</v>
      </c>
      <c r="AC1044">
        <v>65</v>
      </c>
      <c r="AD1044">
        <v>1</v>
      </c>
      <c r="AE1044">
        <v>89</v>
      </c>
      <c r="AF1044">
        <v>2</v>
      </c>
    </row>
    <row r="1045" spans="1:32">
      <c r="A1045" t="s">
        <v>3104</v>
      </c>
      <c r="B1045" s="24">
        <v>1819</v>
      </c>
      <c r="C1045" s="24" t="s">
        <v>3275</v>
      </c>
      <c r="D1045" s="24" t="s">
        <v>3106</v>
      </c>
      <c r="E1045" s="93">
        <v>90</v>
      </c>
      <c r="F1045" s="94">
        <v>4</v>
      </c>
      <c r="G1045" s="94">
        <v>85</v>
      </c>
      <c r="H1045" s="94">
        <v>4</v>
      </c>
      <c r="I1045" s="94">
        <v>95</v>
      </c>
      <c r="J1045" s="94">
        <v>4</v>
      </c>
      <c r="K1045" s="94">
        <v>83</v>
      </c>
      <c r="L1045" s="94">
        <v>2</v>
      </c>
      <c r="M1045" s="94">
        <v>89</v>
      </c>
      <c r="N1045" s="94">
        <v>2</v>
      </c>
      <c r="O1045" s="94">
        <v>83</v>
      </c>
      <c r="P1045" s="94">
        <v>2</v>
      </c>
      <c r="Q1045">
        <v>92</v>
      </c>
      <c r="R1045">
        <v>2</v>
      </c>
      <c r="S1045">
        <v>87</v>
      </c>
      <c r="T1045">
        <v>2</v>
      </c>
      <c r="U1045">
        <v>90</v>
      </c>
      <c r="V1045">
        <v>2</v>
      </c>
      <c r="W1045">
        <v>88</v>
      </c>
      <c r="X1045">
        <v>2</v>
      </c>
      <c r="Y1045">
        <v>82</v>
      </c>
      <c r="Z1045">
        <v>1</v>
      </c>
      <c r="AA1045">
        <v>92</v>
      </c>
      <c r="AB1045">
        <v>1</v>
      </c>
      <c r="AC1045">
        <v>78</v>
      </c>
      <c r="AD1045">
        <v>1</v>
      </c>
      <c r="AE1045">
        <v>87</v>
      </c>
      <c r="AF1045">
        <v>2</v>
      </c>
    </row>
    <row r="1046" spans="1:32">
      <c r="A1046" t="s">
        <v>2287</v>
      </c>
      <c r="B1046" s="24">
        <v>1819</v>
      </c>
      <c r="C1046" s="24" t="s">
        <v>3298</v>
      </c>
      <c r="D1046" s="24" t="s">
        <v>2288</v>
      </c>
      <c r="E1046" s="93">
        <v>87</v>
      </c>
      <c r="F1046" s="94">
        <v>4</v>
      </c>
      <c r="G1046" s="94">
        <v>85</v>
      </c>
      <c r="H1046" s="94">
        <v>4</v>
      </c>
      <c r="I1046" s="94">
        <v>94</v>
      </c>
      <c r="J1046" s="94">
        <v>4</v>
      </c>
      <c r="K1046" s="94">
        <v>82</v>
      </c>
      <c r="L1046" s="94">
        <v>2</v>
      </c>
      <c r="M1046" s="94">
        <v>94</v>
      </c>
      <c r="N1046" s="94">
        <v>2</v>
      </c>
      <c r="O1046" s="94">
        <v>70</v>
      </c>
      <c r="P1046" s="94">
        <v>2</v>
      </c>
      <c r="Q1046">
        <v>89</v>
      </c>
      <c r="R1046">
        <v>2</v>
      </c>
      <c r="S1046">
        <v>88</v>
      </c>
      <c r="T1046">
        <v>2</v>
      </c>
      <c r="U1046">
        <v>76</v>
      </c>
      <c r="V1046">
        <v>2</v>
      </c>
      <c r="W1046">
        <v>80</v>
      </c>
      <c r="X1046">
        <v>2</v>
      </c>
      <c r="Y1046">
        <v>83</v>
      </c>
      <c r="Z1046">
        <v>1</v>
      </c>
      <c r="AA1046">
        <v>92</v>
      </c>
      <c r="AB1046">
        <v>1</v>
      </c>
      <c r="AC1046">
        <v>70</v>
      </c>
      <c r="AD1046">
        <v>1</v>
      </c>
      <c r="AE1046">
        <v>88</v>
      </c>
      <c r="AF1046">
        <v>2</v>
      </c>
    </row>
    <row r="1047" spans="1:32">
      <c r="A1047" t="s">
        <v>2563</v>
      </c>
      <c r="B1047" s="24">
        <v>1819</v>
      </c>
      <c r="C1047" s="24" t="s">
        <v>3297</v>
      </c>
      <c r="D1047" s="24" t="s">
        <v>132</v>
      </c>
      <c r="E1047" s="93">
        <v>89</v>
      </c>
      <c r="F1047" s="94">
        <v>4</v>
      </c>
      <c r="G1047" s="94">
        <v>80</v>
      </c>
      <c r="H1047" s="94">
        <v>4</v>
      </c>
      <c r="I1047" s="94">
        <v>98</v>
      </c>
      <c r="J1047" s="94">
        <v>4</v>
      </c>
      <c r="K1047" s="94">
        <v>82</v>
      </c>
      <c r="L1047" s="94">
        <v>2</v>
      </c>
      <c r="M1047" s="94">
        <v>97</v>
      </c>
      <c r="N1047" s="94">
        <v>2</v>
      </c>
      <c r="O1047" s="94">
        <v>70</v>
      </c>
      <c r="P1047" s="94">
        <v>2</v>
      </c>
      <c r="Q1047">
        <v>90</v>
      </c>
      <c r="R1047">
        <v>2</v>
      </c>
      <c r="S1047">
        <v>90</v>
      </c>
      <c r="T1047">
        <v>2</v>
      </c>
      <c r="U1047">
        <v>92</v>
      </c>
      <c r="V1047">
        <v>2</v>
      </c>
      <c r="W1047">
        <v>80</v>
      </c>
      <c r="X1047">
        <v>2</v>
      </c>
      <c r="Y1047">
        <v>80</v>
      </c>
      <c r="Z1047">
        <v>1</v>
      </c>
      <c r="AA1047">
        <v>92</v>
      </c>
      <c r="AB1047">
        <v>1</v>
      </c>
      <c r="AC1047">
        <v>78</v>
      </c>
      <c r="AD1047">
        <v>1</v>
      </c>
      <c r="AE1047">
        <v>60</v>
      </c>
      <c r="AF1047">
        <v>2</v>
      </c>
    </row>
    <row r="1048" spans="1:32">
      <c r="A1048" t="s">
        <v>815</v>
      </c>
      <c r="B1048" s="24">
        <v>1819</v>
      </c>
      <c r="C1048" s="24" t="s">
        <v>3310</v>
      </c>
      <c r="D1048" s="24" t="s">
        <v>817</v>
      </c>
      <c r="E1048" s="93">
        <v>92</v>
      </c>
      <c r="F1048" s="94">
        <v>4</v>
      </c>
      <c r="G1048" s="94">
        <v>96</v>
      </c>
      <c r="H1048" s="94">
        <v>4</v>
      </c>
      <c r="I1048" s="94">
        <v>90</v>
      </c>
      <c r="J1048" s="94">
        <v>4</v>
      </c>
      <c r="K1048" s="94">
        <v>84</v>
      </c>
      <c r="L1048" s="94">
        <v>2</v>
      </c>
      <c r="M1048" s="94">
        <v>80</v>
      </c>
      <c r="N1048" s="94">
        <v>2</v>
      </c>
      <c r="O1048" s="94">
        <v>70</v>
      </c>
      <c r="P1048" s="94">
        <v>2</v>
      </c>
      <c r="Q1048">
        <v>90</v>
      </c>
      <c r="R1048">
        <v>2</v>
      </c>
      <c r="S1048">
        <v>87</v>
      </c>
      <c r="T1048">
        <v>2</v>
      </c>
      <c r="U1048">
        <v>75</v>
      </c>
      <c r="V1048">
        <v>2</v>
      </c>
      <c r="W1048">
        <v>88</v>
      </c>
      <c r="X1048">
        <v>2</v>
      </c>
      <c r="Z1048">
        <v>1</v>
      </c>
      <c r="AA1048">
        <v>92</v>
      </c>
      <c r="AB1048">
        <v>1</v>
      </c>
      <c r="AC1048">
        <v>85</v>
      </c>
      <c r="AD1048">
        <v>1</v>
      </c>
      <c r="AE1048">
        <v>87</v>
      </c>
      <c r="AF1048">
        <v>2</v>
      </c>
    </row>
    <row r="1049" spans="1:32">
      <c r="A1049" t="s">
        <v>3107</v>
      </c>
      <c r="B1049" s="24">
        <v>1820</v>
      </c>
      <c r="C1049" s="24" t="s">
        <v>3108</v>
      </c>
      <c r="D1049" s="24" t="s">
        <v>3109</v>
      </c>
      <c r="E1049" s="93">
        <v>84</v>
      </c>
      <c r="F1049" s="94">
        <v>4</v>
      </c>
      <c r="G1049" s="94">
        <v>90</v>
      </c>
      <c r="H1049" s="94">
        <v>4</v>
      </c>
      <c r="I1049" s="94">
        <v>95</v>
      </c>
      <c r="J1049" s="94">
        <v>4</v>
      </c>
      <c r="K1049" s="94">
        <v>86</v>
      </c>
      <c r="L1049" s="94">
        <v>2</v>
      </c>
      <c r="M1049" s="94">
        <v>92</v>
      </c>
      <c r="N1049" s="94">
        <v>2</v>
      </c>
      <c r="O1049" s="94">
        <v>97</v>
      </c>
      <c r="P1049" s="94">
        <v>2</v>
      </c>
      <c r="Q1049">
        <v>90</v>
      </c>
      <c r="R1049">
        <v>2</v>
      </c>
      <c r="S1049">
        <v>87</v>
      </c>
      <c r="T1049">
        <v>2</v>
      </c>
      <c r="U1049">
        <v>88</v>
      </c>
      <c r="V1049">
        <v>2</v>
      </c>
      <c r="W1049">
        <v>85</v>
      </c>
      <c r="X1049">
        <v>2</v>
      </c>
      <c r="Y1049">
        <v>85</v>
      </c>
      <c r="Z1049">
        <v>1</v>
      </c>
      <c r="AA1049">
        <v>90</v>
      </c>
      <c r="AB1049">
        <v>1</v>
      </c>
      <c r="AC1049">
        <v>86</v>
      </c>
      <c r="AD1049">
        <v>1</v>
      </c>
      <c r="AE1049">
        <v>88</v>
      </c>
      <c r="AF1049">
        <v>2</v>
      </c>
    </row>
    <row r="1050" spans="1:32">
      <c r="A1050" t="s">
        <v>3110</v>
      </c>
      <c r="B1050" s="24">
        <v>1820</v>
      </c>
      <c r="C1050" s="24" t="s">
        <v>3111</v>
      </c>
      <c r="D1050" s="24" t="s">
        <v>3112</v>
      </c>
      <c r="E1050" s="93">
        <v>86</v>
      </c>
      <c r="F1050" s="94">
        <v>4</v>
      </c>
      <c r="G1050" s="94">
        <v>92</v>
      </c>
      <c r="H1050" s="94">
        <v>4</v>
      </c>
      <c r="I1050" s="94">
        <v>96</v>
      </c>
      <c r="J1050" s="94">
        <v>4</v>
      </c>
      <c r="K1050" s="94">
        <v>82</v>
      </c>
      <c r="L1050" s="94">
        <v>2</v>
      </c>
      <c r="M1050" s="94">
        <v>84</v>
      </c>
      <c r="N1050" s="94">
        <v>2</v>
      </c>
      <c r="O1050" s="94">
        <v>79</v>
      </c>
      <c r="P1050" s="94">
        <v>2</v>
      </c>
      <c r="Q1050">
        <v>91</v>
      </c>
      <c r="R1050">
        <v>2</v>
      </c>
      <c r="S1050">
        <v>87</v>
      </c>
      <c r="T1050">
        <v>2</v>
      </c>
      <c r="U1050">
        <v>86</v>
      </c>
      <c r="V1050">
        <v>2</v>
      </c>
      <c r="W1050">
        <v>88</v>
      </c>
      <c r="X1050">
        <v>2</v>
      </c>
      <c r="Y1050">
        <v>86</v>
      </c>
      <c r="Z1050">
        <v>1</v>
      </c>
      <c r="AA1050">
        <v>90</v>
      </c>
      <c r="AB1050">
        <v>1</v>
      </c>
      <c r="AC1050">
        <v>80</v>
      </c>
      <c r="AD1050">
        <v>1</v>
      </c>
      <c r="AE1050">
        <v>80</v>
      </c>
      <c r="AF1050">
        <v>2</v>
      </c>
    </row>
    <row r="1051" spans="1:32">
      <c r="A1051" t="s">
        <v>409</v>
      </c>
      <c r="B1051" s="24">
        <v>1820</v>
      </c>
      <c r="C1051" s="24" t="s">
        <v>3114</v>
      </c>
      <c r="D1051" s="24" t="s">
        <v>411</v>
      </c>
      <c r="E1051" s="93">
        <v>90</v>
      </c>
      <c r="F1051" s="94">
        <v>4</v>
      </c>
      <c r="G1051" s="94">
        <v>96</v>
      </c>
      <c r="H1051" s="94">
        <v>4</v>
      </c>
      <c r="I1051" s="94">
        <v>97</v>
      </c>
      <c r="J1051" s="94">
        <v>4</v>
      </c>
      <c r="K1051" s="94">
        <v>83</v>
      </c>
      <c r="L1051" s="94">
        <v>2</v>
      </c>
      <c r="M1051" s="94">
        <v>95</v>
      </c>
      <c r="N1051" s="94">
        <v>2</v>
      </c>
      <c r="O1051" s="94">
        <v>79</v>
      </c>
      <c r="P1051" s="94">
        <v>2</v>
      </c>
      <c r="Q1051">
        <v>97</v>
      </c>
      <c r="R1051">
        <v>2</v>
      </c>
      <c r="S1051">
        <v>87</v>
      </c>
      <c r="T1051">
        <v>2</v>
      </c>
      <c r="U1051">
        <v>88</v>
      </c>
      <c r="V1051">
        <v>2</v>
      </c>
      <c r="W1051">
        <v>84</v>
      </c>
      <c r="X1051">
        <v>2</v>
      </c>
      <c r="Y1051">
        <v>83</v>
      </c>
      <c r="Z1051">
        <v>1</v>
      </c>
      <c r="AA1051">
        <v>90</v>
      </c>
      <c r="AB1051">
        <v>1</v>
      </c>
      <c r="AC1051">
        <v>85</v>
      </c>
      <c r="AD1051">
        <v>1</v>
      </c>
      <c r="AE1051">
        <v>87</v>
      </c>
      <c r="AF1051">
        <v>2</v>
      </c>
    </row>
    <row r="1052" spans="1:32">
      <c r="A1052" t="s">
        <v>3115</v>
      </c>
      <c r="B1052" s="24">
        <v>1820</v>
      </c>
      <c r="C1052" s="24" t="s">
        <v>3116</v>
      </c>
      <c r="D1052" s="24" t="s">
        <v>3117</v>
      </c>
      <c r="E1052" s="93">
        <v>88</v>
      </c>
      <c r="F1052" s="94">
        <v>4</v>
      </c>
      <c r="G1052" s="94">
        <v>95</v>
      </c>
      <c r="H1052" s="94">
        <v>4</v>
      </c>
      <c r="I1052" s="94">
        <v>87</v>
      </c>
      <c r="J1052" s="94">
        <v>4</v>
      </c>
      <c r="K1052" s="94">
        <v>82</v>
      </c>
      <c r="L1052" s="94">
        <v>2</v>
      </c>
      <c r="M1052" s="94">
        <v>92</v>
      </c>
      <c r="N1052" s="94">
        <v>2</v>
      </c>
      <c r="O1052" s="94">
        <v>99</v>
      </c>
      <c r="P1052" s="94">
        <v>2</v>
      </c>
      <c r="Q1052">
        <v>98</v>
      </c>
      <c r="R1052">
        <v>2</v>
      </c>
      <c r="S1052">
        <v>88</v>
      </c>
      <c r="T1052">
        <v>2</v>
      </c>
      <c r="U1052">
        <v>86</v>
      </c>
      <c r="V1052">
        <v>2</v>
      </c>
      <c r="W1052">
        <v>82</v>
      </c>
      <c r="X1052">
        <v>2</v>
      </c>
      <c r="Y1052">
        <v>80</v>
      </c>
      <c r="Z1052">
        <v>1</v>
      </c>
      <c r="AA1052">
        <v>90</v>
      </c>
      <c r="AB1052">
        <v>1</v>
      </c>
      <c r="AC1052">
        <v>78</v>
      </c>
      <c r="AD1052">
        <v>1</v>
      </c>
      <c r="AE1052">
        <v>85</v>
      </c>
      <c r="AF1052">
        <v>2</v>
      </c>
    </row>
    <row r="1053" spans="1:32">
      <c r="A1053">
        <v>20180914</v>
      </c>
      <c r="B1053" s="24">
        <v>1820</v>
      </c>
      <c r="C1053" s="24" t="s">
        <v>3234</v>
      </c>
      <c r="D1053" s="24" t="s">
        <v>3235</v>
      </c>
      <c r="E1053" s="93">
        <v>85</v>
      </c>
      <c r="F1053" s="94">
        <v>4</v>
      </c>
      <c r="G1053" s="94">
        <v>90</v>
      </c>
      <c r="H1053" s="94">
        <v>4</v>
      </c>
      <c r="I1053" s="94">
        <v>92</v>
      </c>
      <c r="J1053" s="94">
        <v>4</v>
      </c>
      <c r="K1053" s="94">
        <v>82</v>
      </c>
      <c r="L1053" s="94">
        <v>2</v>
      </c>
      <c r="M1053" s="94">
        <v>86</v>
      </c>
      <c r="N1053" s="94">
        <v>2</v>
      </c>
      <c r="O1053" s="94">
        <v>91</v>
      </c>
      <c r="P1053" s="94">
        <v>2</v>
      </c>
      <c r="Q1053">
        <v>98</v>
      </c>
      <c r="R1053">
        <v>2</v>
      </c>
      <c r="S1053">
        <v>93</v>
      </c>
      <c r="T1053">
        <v>2</v>
      </c>
      <c r="U1053">
        <v>70</v>
      </c>
      <c r="V1053">
        <v>2</v>
      </c>
      <c r="W1053">
        <v>87</v>
      </c>
      <c r="X1053">
        <v>2</v>
      </c>
      <c r="Y1053">
        <v>87</v>
      </c>
      <c r="Z1053">
        <v>1</v>
      </c>
      <c r="AA1053">
        <v>90</v>
      </c>
      <c r="AB1053">
        <v>1</v>
      </c>
      <c r="AC1053">
        <v>80</v>
      </c>
      <c r="AD1053">
        <v>1</v>
      </c>
      <c r="AE1053">
        <v>88</v>
      </c>
      <c r="AF1053">
        <v>2</v>
      </c>
    </row>
    <row r="1054" spans="1:32">
      <c r="A1054" t="s">
        <v>3118</v>
      </c>
      <c r="B1054" s="24">
        <v>1820</v>
      </c>
      <c r="C1054" s="24" t="s">
        <v>3119</v>
      </c>
      <c r="D1054" s="24" t="s">
        <v>3120</v>
      </c>
      <c r="E1054" s="93">
        <v>83</v>
      </c>
      <c r="F1054" s="94">
        <v>4</v>
      </c>
      <c r="G1054" s="94">
        <v>95</v>
      </c>
      <c r="H1054" s="94">
        <v>4</v>
      </c>
      <c r="I1054" s="94">
        <v>96</v>
      </c>
      <c r="J1054" s="94">
        <v>4</v>
      </c>
      <c r="K1054" s="94">
        <v>83</v>
      </c>
      <c r="L1054" s="94">
        <v>2</v>
      </c>
      <c r="M1054" s="94">
        <v>83</v>
      </c>
      <c r="N1054" s="94">
        <v>2</v>
      </c>
      <c r="O1054" s="94">
        <v>77</v>
      </c>
      <c r="P1054" s="94">
        <v>2</v>
      </c>
      <c r="Q1054">
        <v>85</v>
      </c>
      <c r="R1054">
        <v>2</v>
      </c>
      <c r="S1054">
        <v>88</v>
      </c>
      <c r="T1054">
        <v>2</v>
      </c>
      <c r="U1054">
        <v>92</v>
      </c>
      <c r="V1054">
        <v>2</v>
      </c>
      <c r="W1054">
        <v>85</v>
      </c>
      <c r="X1054">
        <v>2</v>
      </c>
      <c r="Y1054">
        <v>84</v>
      </c>
      <c r="Z1054">
        <v>1</v>
      </c>
      <c r="AA1054">
        <v>90</v>
      </c>
      <c r="AB1054">
        <v>1</v>
      </c>
      <c r="AC1054">
        <v>92</v>
      </c>
      <c r="AD1054">
        <v>1</v>
      </c>
      <c r="AE1054">
        <v>87</v>
      </c>
      <c r="AF1054">
        <v>2</v>
      </c>
    </row>
    <row r="1055" spans="1:32">
      <c r="A1055" t="s">
        <v>3121</v>
      </c>
      <c r="B1055" s="24">
        <v>1820</v>
      </c>
      <c r="C1055" s="24" t="s">
        <v>3122</v>
      </c>
      <c r="D1055" s="24" t="s">
        <v>3123</v>
      </c>
      <c r="E1055" s="93">
        <v>84</v>
      </c>
      <c r="F1055" s="94">
        <v>4</v>
      </c>
      <c r="G1055" s="94">
        <v>90</v>
      </c>
      <c r="H1055" s="94">
        <v>4</v>
      </c>
      <c r="I1055" s="94">
        <v>91</v>
      </c>
      <c r="J1055" s="94">
        <v>4</v>
      </c>
      <c r="K1055" s="94">
        <v>84</v>
      </c>
      <c r="L1055" s="94">
        <v>2</v>
      </c>
      <c r="M1055" s="94">
        <v>84</v>
      </c>
      <c r="N1055" s="94">
        <v>2</v>
      </c>
      <c r="O1055" s="94">
        <v>81</v>
      </c>
      <c r="P1055" s="94">
        <v>2</v>
      </c>
      <c r="Q1055">
        <v>87</v>
      </c>
      <c r="R1055">
        <v>2</v>
      </c>
      <c r="S1055">
        <v>91</v>
      </c>
      <c r="T1055">
        <v>2</v>
      </c>
      <c r="U1055">
        <v>88</v>
      </c>
      <c r="V1055">
        <v>2</v>
      </c>
      <c r="W1055">
        <v>84</v>
      </c>
      <c r="X1055">
        <v>2</v>
      </c>
      <c r="Y1055">
        <v>88</v>
      </c>
      <c r="Z1055">
        <v>1</v>
      </c>
      <c r="AA1055">
        <v>90</v>
      </c>
      <c r="AB1055">
        <v>1</v>
      </c>
      <c r="AC1055">
        <v>76</v>
      </c>
      <c r="AD1055">
        <v>1</v>
      </c>
      <c r="AE1055">
        <v>88</v>
      </c>
      <c r="AF1055">
        <v>2</v>
      </c>
    </row>
    <row r="1056" spans="1:32">
      <c r="A1056" t="s">
        <v>3124</v>
      </c>
      <c r="B1056" s="24">
        <v>1820</v>
      </c>
      <c r="C1056" s="24" t="s">
        <v>3125</v>
      </c>
      <c r="D1056" s="24" t="s">
        <v>3126</v>
      </c>
      <c r="E1056" s="93">
        <v>83</v>
      </c>
      <c r="F1056" s="94">
        <v>4</v>
      </c>
      <c r="G1056" s="94">
        <v>88</v>
      </c>
      <c r="H1056" s="94">
        <v>4</v>
      </c>
      <c r="I1056" s="94">
        <v>88</v>
      </c>
      <c r="J1056" s="94">
        <v>4</v>
      </c>
      <c r="K1056" s="94">
        <v>85</v>
      </c>
      <c r="L1056" s="94">
        <v>2</v>
      </c>
      <c r="M1056" s="94">
        <v>88</v>
      </c>
      <c r="N1056" s="94">
        <v>2</v>
      </c>
      <c r="O1056" s="94">
        <v>81</v>
      </c>
      <c r="P1056" s="94">
        <v>2</v>
      </c>
      <c r="Q1056">
        <v>100</v>
      </c>
      <c r="R1056">
        <v>2</v>
      </c>
      <c r="S1056">
        <v>88</v>
      </c>
      <c r="T1056">
        <v>2</v>
      </c>
      <c r="U1056">
        <v>90</v>
      </c>
      <c r="V1056">
        <v>2</v>
      </c>
      <c r="W1056">
        <v>82</v>
      </c>
      <c r="X1056">
        <v>2</v>
      </c>
      <c r="Y1056">
        <v>82</v>
      </c>
      <c r="Z1056">
        <v>1</v>
      </c>
      <c r="AA1056">
        <v>90</v>
      </c>
      <c r="AB1056">
        <v>1</v>
      </c>
      <c r="AC1056">
        <v>90</v>
      </c>
      <c r="AD1056">
        <v>1</v>
      </c>
      <c r="AE1056">
        <v>89</v>
      </c>
      <c r="AF1056">
        <v>2</v>
      </c>
    </row>
    <row r="1057" spans="1:32">
      <c r="A1057" t="s">
        <v>3127</v>
      </c>
      <c r="B1057" s="24">
        <v>1820</v>
      </c>
      <c r="C1057" s="24" t="s">
        <v>3128</v>
      </c>
      <c r="D1057" s="24" t="s">
        <v>3129</v>
      </c>
      <c r="E1057" s="93">
        <v>82</v>
      </c>
      <c r="F1057" s="94">
        <v>4</v>
      </c>
      <c r="G1057" s="94">
        <v>89</v>
      </c>
      <c r="H1057" s="94">
        <v>4</v>
      </c>
      <c r="I1057" s="94">
        <v>88</v>
      </c>
      <c r="J1057" s="94">
        <v>4</v>
      </c>
      <c r="K1057" s="94">
        <v>85</v>
      </c>
      <c r="L1057" s="94">
        <v>2</v>
      </c>
      <c r="M1057" s="94">
        <v>83</v>
      </c>
      <c r="N1057" s="94">
        <v>2</v>
      </c>
      <c r="O1057" s="94">
        <v>83</v>
      </c>
      <c r="P1057" s="94">
        <v>2</v>
      </c>
      <c r="Q1057">
        <v>94</v>
      </c>
      <c r="R1057">
        <v>2</v>
      </c>
      <c r="S1057">
        <v>87</v>
      </c>
      <c r="T1057">
        <v>2</v>
      </c>
      <c r="U1057">
        <v>88</v>
      </c>
      <c r="V1057">
        <v>2</v>
      </c>
      <c r="W1057">
        <v>92</v>
      </c>
      <c r="X1057">
        <v>2</v>
      </c>
      <c r="Y1057">
        <v>83</v>
      </c>
      <c r="Z1057">
        <v>1</v>
      </c>
      <c r="AA1057">
        <v>90</v>
      </c>
      <c r="AB1057">
        <v>1</v>
      </c>
      <c r="AC1057">
        <v>76</v>
      </c>
      <c r="AD1057">
        <v>1</v>
      </c>
      <c r="AE1057">
        <v>90</v>
      </c>
      <c r="AF1057">
        <v>2</v>
      </c>
    </row>
    <row r="1058" spans="1:32">
      <c r="A1058" t="s">
        <v>1676</v>
      </c>
      <c r="B1058" s="24">
        <v>1820</v>
      </c>
      <c r="C1058" s="24" t="s">
        <v>3233</v>
      </c>
      <c r="D1058" s="24" t="s">
        <v>1677</v>
      </c>
      <c r="E1058" s="93">
        <v>85</v>
      </c>
      <c r="F1058" s="94">
        <v>4</v>
      </c>
      <c r="G1058" s="94">
        <v>92</v>
      </c>
      <c r="H1058" s="94">
        <v>4</v>
      </c>
      <c r="I1058" s="94">
        <v>86</v>
      </c>
      <c r="J1058" s="94">
        <v>4</v>
      </c>
      <c r="K1058" s="94">
        <v>82</v>
      </c>
      <c r="L1058" s="94">
        <v>2</v>
      </c>
      <c r="M1058" s="94">
        <v>98</v>
      </c>
      <c r="N1058" s="94">
        <v>2</v>
      </c>
      <c r="O1058" s="94">
        <v>71</v>
      </c>
      <c r="P1058" s="94">
        <v>2</v>
      </c>
      <c r="Q1058">
        <v>95</v>
      </c>
      <c r="R1058">
        <v>2</v>
      </c>
      <c r="S1058">
        <v>88</v>
      </c>
      <c r="T1058">
        <v>2</v>
      </c>
      <c r="U1058">
        <v>83</v>
      </c>
      <c r="V1058">
        <v>2</v>
      </c>
      <c r="W1058">
        <v>85</v>
      </c>
      <c r="X1058">
        <v>2</v>
      </c>
      <c r="Y1058">
        <v>86</v>
      </c>
      <c r="Z1058">
        <v>1</v>
      </c>
      <c r="AA1058">
        <v>90</v>
      </c>
      <c r="AB1058">
        <v>1</v>
      </c>
      <c r="AC1058">
        <v>78</v>
      </c>
      <c r="AD1058">
        <v>1</v>
      </c>
      <c r="AE1058">
        <v>91</v>
      </c>
      <c r="AF1058">
        <v>2</v>
      </c>
    </row>
    <row r="1059" spans="1:32">
      <c r="A1059" t="s">
        <v>3130</v>
      </c>
      <c r="B1059" s="24">
        <v>1820</v>
      </c>
      <c r="C1059" s="24" t="s">
        <v>3131</v>
      </c>
      <c r="D1059" s="24" t="s">
        <v>3132</v>
      </c>
      <c r="E1059" s="93">
        <v>100</v>
      </c>
      <c r="F1059" s="94">
        <v>4</v>
      </c>
      <c r="G1059" s="94">
        <v>95</v>
      </c>
      <c r="H1059" s="94">
        <v>4</v>
      </c>
      <c r="I1059" s="94">
        <v>92</v>
      </c>
      <c r="J1059" s="94">
        <v>4</v>
      </c>
      <c r="K1059" s="94">
        <v>87</v>
      </c>
      <c r="L1059" s="94">
        <v>2</v>
      </c>
      <c r="M1059" s="94">
        <v>88</v>
      </c>
      <c r="N1059" s="94">
        <v>2</v>
      </c>
      <c r="O1059" s="94">
        <v>70</v>
      </c>
      <c r="P1059" s="94">
        <v>2</v>
      </c>
      <c r="Q1059">
        <v>86</v>
      </c>
      <c r="R1059">
        <v>2</v>
      </c>
      <c r="S1059">
        <v>88</v>
      </c>
      <c r="T1059">
        <v>2</v>
      </c>
      <c r="U1059">
        <v>90</v>
      </c>
      <c r="V1059">
        <v>2</v>
      </c>
      <c r="W1059">
        <v>85</v>
      </c>
      <c r="X1059">
        <v>2</v>
      </c>
      <c r="Y1059">
        <v>80</v>
      </c>
      <c r="Z1059">
        <v>1</v>
      </c>
      <c r="AA1059">
        <v>90</v>
      </c>
      <c r="AB1059">
        <v>1</v>
      </c>
      <c r="AC1059">
        <v>76</v>
      </c>
      <c r="AD1059">
        <v>1</v>
      </c>
      <c r="AE1059">
        <v>87</v>
      </c>
      <c r="AF1059">
        <v>2</v>
      </c>
    </row>
    <row r="1060" spans="1:32">
      <c r="A1060" t="s">
        <v>3133</v>
      </c>
      <c r="B1060" s="24">
        <v>1820</v>
      </c>
      <c r="C1060" s="24" t="s">
        <v>3134</v>
      </c>
      <c r="D1060" s="24" t="s">
        <v>3135</v>
      </c>
      <c r="E1060" s="93">
        <v>84</v>
      </c>
      <c r="F1060" s="94">
        <v>4</v>
      </c>
      <c r="G1060" s="94">
        <v>95</v>
      </c>
      <c r="H1060" s="94">
        <v>4</v>
      </c>
      <c r="I1060" s="94">
        <v>91</v>
      </c>
      <c r="J1060" s="94">
        <v>4</v>
      </c>
      <c r="K1060" s="94">
        <v>89</v>
      </c>
      <c r="L1060" s="94">
        <v>2</v>
      </c>
      <c r="M1060" s="94">
        <v>91</v>
      </c>
      <c r="N1060" s="94">
        <v>2</v>
      </c>
      <c r="O1060" s="94">
        <v>77</v>
      </c>
      <c r="P1060" s="94">
        <v>2</v>
      </c>
      <c r="Q1060">
        <v>85</v>
      </c>
      <c r="R1060">
        <v>2</v>
      </c>
      <c r="S1060">
        <v>87</v>
      </c>
      <c r="T1060">
        <v>2</v>
      </c>
      <c r="U1060">
        <v>88</v>
      </c>
      <c r="V1060">
        <v>2</v>
      </c>
      <c r="W1060">
        <v>82</v>
      </c>
      <c r="X1060">
        <v>2</v>
      </c>
      <c r="Y1060">
        <v>78</v>
      </c>
      <c r="Z1060">
        <v>1</v>
      </c>
      <c r="AA1060">
        <v>90</v>
      </c>
      <c r="AB1060">
        <v>1</v>
      </c>
      <c r="AC1060">
        <v>70</v>
      </c>
      <c r="AD1060">
        <v>1</v>
      </c>
      <c r="AE1060">
        <v>88</v>
      </c>
      <c r="AF1060">
        <v>2</v>
      </c>
    </row>
    <row r="1061" spans="1:32">
      <c r="A1061" t="s">
        <v>3136</v>
      </c>
      <c r="B1061" s="24">
        <v>1820</v>
      </c>
      <c r="C1061" s="24" t="s">
        <v>3137</v>
      </c>
      <c r="D1061" s="24" t="s">
        <v>3138</v>
      </c>
      <c r="E1061" s="93">
        <v>83</v>
      </c>
      <c r="F1061" s="94">
        <v>4</v>
      </c>
      <c r="G1061" s="94">
        <v>96</v>
      </c>
      <c r="H1061" s="94">
        <v>4</v>
      </c>
      <c r="I1061" s="94">
        <v>94</v>
      </c>
      <c r="J1061" s="94">
        <v>4</v>
      </c>
      <c r="K1061" s="94">
        <v>84</v>
      </c>
      <c r="L1061" s="94">
        <v>2</v>
      </c>
      <c r="M1061" s="94">
        <v>89</v>
      </c>
      <c r="N1061" s="94">
        <v>2</v>
      </c>
      <c r="O1061" s="94">
        <v>85</v>
      </c>
      <c r="P1061" s="94">
        <v>2</v>
      </c>
      <c r="Q1061">
        <v>83</v>
      </c>
      <c r="R1061">
        <v>2</v>
      </c>
      <c r="S1061">
        <v>88</v>
      </c>
      <c r="T1061">
        <v>2</v>
      </c>
      <c r="U1061">
        <v>86</v>
      </c>
      <c r="V1061">
        <v>2</v>
      </c>
      <c r="W1061">
        <v>89</v>
      </c>
      <c r="X1061">
        <v>2</v>
      </c>
      <c r="Y1061">
        <v>79</v>
      </c>
      <c r="Z1061">
        <v>1</v>
      </c>
      <c r="AA1061">
        <v>90</v>
      </c>
      <c r="AB1061">
        <v>1</v>
      </c>
      <c r="AC1061">
        <v>70</v>
      </c>
      <c r="AD1061">
        <v>1</v>
      </c>
      <c r="AE1061">
        <v>85</v>
      </c>
      <c r="AF1061">
        <v>2</v>
      </c>
    </row>
    <row r="1062" spans="1:32">
      <c r="A1062" t="s">
        <v>3139</v>
      </c>
      <c r="B1062" s="24">
        <v>1820</v>
      </c>
      <c r="C1062" s="24" t="s">
        <v>3140</v>
      </c>
      <c r="D1062" s="24" t="s">
        <v>3141</v>
      </c>
      <c r="E1062" s="93">
        <v>84</v>
      </c>
      <c r="F1062" s="94">
        <v>4</v>
      </c>
      <c r="G1062" s="94">
        <v>90</v>
      </c>
      <c r="H1062" s="94">
        <v>4</v>
      </c>
      <c r="I1062" s="94">
        <v>95</v>
      </c>
      <c r="J1062" s="94">
        <v>4</v>
      </c>
      <c r="K1062" s="94">
        <v>85</v>
      </c>
      <c r="L1062" s="94">
        <v>2</v>
      </c>
      <c r="M1062" s="94">
        <v>92</v>
      </c>
      <c r="N1062" s="94">
        <v>2</v>
      </c>
      <c r="O1062" s="94">
        <v>93</v>
      </c>
      <c r="P1062" s="94">
        <v>2</v>
      </c>
      <c r="Q1062">
        <v>96</v>
      </c>
      <c r="R1062">
        <v>2</v>
      </c>
      <c r="S1062">
        <v>88</v>
      </c>
      <c r="T1062">
        <v>2</v>
      </c>
      <c r="U1062">
        <v>99</v>
      </c>
      <c r="V1062">
        <v>2</v>
      </c>
      <c r="W1062">
        <v>84</v>
      </c>
      <c r="X1062">
        <v>2</v>
      </c>
      <c r="Y1062">
        <v>82</v>
      </c>
      <c r="Z1062">
        <v>1</v>
      </c>
      <c r="AA1062">
        <v>90</v>
      </c>
      <c r="AB1062">
        <v>1</v>
      </c>
      <c r="AC1062">
        <v>85</v>
      </c>
      <c r="AD1062">
        <v>1</v>
      </c>
      <c r="AE1062">
        <v>89</v>
      </c>
      <c r="AF1062">
        <v>2</v>
      </c>
    </row>
    <row r="1063" spans="1:32">
      <c r="A1063" t="s">
        <v>3142</v>
      </c>
      <c r="B1063" s="24">
        <v>1820</v>
      </c>
      <c r="C1063" s="24" t="s">
        <v>3143</v>
      </c>
      <c r="D1063" s="24" t="s">
        <v>3144</v>
      </c>
      <c r="E1063" s="93">
        <v>88</v>
      </c>
      <c r="F1063" s="94">
        <v>4</v>
      </c>
      <c r="G1063" s="94">
        <v>90</v>
      </c>
      <c r="H1063" s="94">
        <v>4</v>
      </c>
      <c r="I1063" s="94">
        <v>91</v>
      </c>
      <c r="J1063" s="94">
        <v>4</v>
      </c>
      <c r="K1063" s="94">
        <v>86</v>
      </c>
      <c r="L1063" s="94">
        <v>2</v>
      </c>
      <c r="M1063" s="94">
        <v>88</v>
      </c>
      <c r="N1063" s="94">
        <v>2</v>
      </c>
      <c r="O1063" s="94">
        <v>87</v>
      </c>
      <c r="P1063" s="94">
        <v>2</v>
      </c>
      <c r="Q1063">
        <v>97</v>
      </c>
      <c r="R1063">
        <v>2</v>
      </c>
      <c r="S1063">
        <v>95</v>
      </c>
      <c r="T1063">
        <v>2</v>
      </c>
      <c r="U1063">
        <v>92</v>
      </c>
      <c r="V1063">
        <v>2</v>
      </c>
      <c r="W1063">
        <v>86</v>
      </c>
      <c r="X1063">
        <v>2</v>
      </c>
      <c r="Y1063">
        <v>81</v>
      </c>
      <c r="Z1063">
        <v>1</v>
      </c>
      <c r="AA1063">
        <v>90</v>
      </c>
      <c r="AB1063">
        <v>1</v>
      </c>
      <c r="AC1063">
        <v>68</v>
      </c>
      <c r="AD1063">
        <v>1</v>
      </c>
      <c r="AE1063">
        <v>90</v>
      </c>
      <c r="AF1063">
        <v>2</v>
      </c>
    </row>
    <row r="1064" spans="1:32">
      <c r="A1064" t="s">
        <v>3145</v>
      </c>
      <c r="B1064" s="24">
        <v>1820</v>
      </c>
      <c r="C1064" s="24" t="s">
        <v>3146</v>
      </c>
      <c r="D1064" s="24" t="s">
        <v>3147</v>
      </c>
      <c r="E1064" s="93">
        <v>90</v>
      </c>
      <c r="F1064" s="94">
        <v>4</v>
      </c>
      <c r="G1064" s="94">
        <v>91</v>
      </c>
      <c r="H1064" s="94">
        <v>4</v>
      </c>
      <c r="I1064" s="94">
        <v>85</v>
      </c>
      <c r="J1064" s="94">
        <v>4</v>
      </c>
      <c r="K1064" s="94">
        <v>82</v>
      </c>
      <c r="L1064" s="94">
        <v>2</v>
      </c>
      <c r="M1064" s="94">
        <v>85</v>
      </c>
      <c r="N1064" s="94">
        <v>2</v>
      </c>
      <c r="O1064" s="94">
        <v>75</v>
      </c>
      <c r="P1064" s="94">
        <v>2</v>
      </c>
      <c r="Q1064">
        <v>99</v>
      </c>
      <c r="R1064">
        <v>2</v>
      </c>
      <c r="S1064">
        <v>89</v>
      </c>
      <c r="T1064">
        <v>2</v>
      </c>
      <c r="U1064">
        <v>86</v>
      </c>
      <c r="V1064">
        <v>2</v>
      </c>
      <c r="W1064">
        <v>90</v>
      </c>
      <c r="X1064">
        <v>2</v>
      </c>
      <c r="Y1064">
        <v>80</v>
      </c>
      <c r="Z1064">
        <v>1</v>
      </c>
      <c r="AA1064">
        <v>90</v>
      </c>
      <c r="AB1064">
        <v>1</v>
      </c>
      <c r="AC1064">
        <v>76</v>
      </c>
      <c r="AD1064">
        <v>1</v>
      </c>
      <c r="AE1064">
        <v>88</v>
      </c>
      <c r="AF1064">
        <v>2</v>
      </c>
    </row>
    <row r="1065" spans="1:32">
      <c r="A1065" t="s">
        <v>3148</v>
      </c>
      <c r="B1065" s="24">
        <v>1820</v>
      </c>
      <c r="C1065" s="24" t="s">
        <v>3149</v>
      </c>
      <c r="D1065" s="24" t="s">
        <v>3150</v>
      </c>
      <c r="E1065" s="93">
        <v>87</v>
      </c>
      <c r="F1065" s="94">
        <v>4</v>
      </c>
      <c r="G1065" s="94">
        <v>90</v>
      </c>
      <c r="H1065" s="94">
        <v>4</v>
      </c>
      <c r="I1065" s="94">
        <v>91</v>
      </c>
      <c r="J1065" s="94">
        <v>4</v>
      </c>
      <c r="K1065" s="94">
        <v>86</v>
      </c>
      <c r="L1065" s="94">
        <v>2</v>
      </c>
      <c r="M1065" s="94">
        <v>93</v>
      </c>
      <c r="N1065" s="94">
        <v>2</v>
      </c>
      <c r="O1065" s="94">
        <v>85</v>
      </c>
      <c r="P1065" s="94">
        <v>2</v>
      </c>
      <c r="Q1065">
        <v>88</v>
      </c>
      <c r="R1065">
        <v>2</v>
      </c>
      <c r="S1065">
        <v>88</v>
      </c>
      <c r="T1065">
        <v>2</v>
      </c>
      <c r="U1065">
        <v>85</v>
      </c>
      <c r="V1065">
        <v>2</v>
      </c>
      <c r="W1065">
        <v>87</v>
      </c>
      <c r="X1065">
        <v>2</v>
      </c>
      <c r="Y1065">
        <v>81</v>
      </c>
      <c r="Z1065">
        <v>1</v>
      </c>
      <c r="AA1065">
        <v>90</v>
      </c>
      <c r="AB1065">
        <v>1</v>
      </c>
      <c r="AC1065">
        <v>90</v>
      </c>
      <c r="AD1065">
        <v>1</v>
      </c>
      <c r="AE1065">
        <v>87</v>
      </c>
      <c r="AF1065">
        <v>2</v>
      </c>
    </row>
    <row r="1066" spans="1:32">
      <c r="A1066" t="s">
        <v>3151</v>
      </c>
      <c r="B1066" s="24">
        <v>1820</v>
      </c>
      <c r="C1066" s="24" t="s">
        <v>3152</v>
      </c>
      <c r="D1066" s="24" t="s">
        <v>26</v>
      </c>
      <c r="E1066" s="93">
        <v>86</v>
      </c>
      <c r="F1066" s="94">
        <v>4</v>
      </c>
      <c r="G1066" s="94">
        <v>89</v>
      </c>
      <c r="H1066" s="94">
        <v>4</v>
      </c>
      <c r="I1066" s="94">
        <v>92</v>
      </c>
      <c r="J1066" s="94">
        <v>4</v>
      </c>
      <c r="K1066" s="94">
        <v>81</v>
      </c>
      <c r="L1066" s="94">
        <v>2</v>
      </c>
      <c r="M1066" s="94">
        <v>89</v>
      </c>
      <c r="N1066" s="94">
        <v>2</v>
      </c>
      <c r="O1066" s="94">
        <v>75</v>
      </c>
      <c r="P1066" s="94">
        <v>2</v>
      </c>
      <c r="Q1066">
        <v>87</v>
      </c>
      <c r="R1066">
        <v>2</v>
      </c>
      <c r="S1066">
        <v>90</v>
      </c>
      <c r="T1066">
        <v>2</v>
      </c>
      <c r="U1066">
        <v>78</v>
      </c>
      <c r="V1066">
        <v>2</v>
      </c>
      <c r="W1066">
        <v>84</v>
      </c>
      <c r="X1066">
        <v>2</v>
      </c>
      <c r="Y1066">
        <v>82</v>
      </c>
      <c r="Z1066">
        <v>1</v>
      </c>
      <c r="AA1066">
        <v>90</v>
      </c>
      <c r="AB1066">
        <v>1</v>
      </c>
      <c r="AC1066">
        <v>75</v>
      </c>
      <c r="AD1066">
        <v>1</v>
      </c>
      <c r="AE1066">
        <v>86</v>
      </c>
      <c r="AF1066">
        <v>2</v>
      </c>
    </row>
    <row r="1067" spans="1:32">
      <c r="A1067" t="s">
        <v>3153</v>
      </c>
      <c r="B1067" s="24">
        <v>1820</v>
      </c>
      <c r="C1067" s="24" t="s">
        <v>3154</v>
      </c>
      <c r="D1067" s="24" t="s">
        <v>103</v>
      </c>
      <c r="E1067" s="93">
        <v>100</v>
      </c>
      <c r="F1067" s="94">
        <v>4</v>
      </c>
      <c r="G1067" s="94">
        <v>93</v>
      </c>
      <c r="H1067" s="94">
        <v>4</v>
      </c>
      <c r="I1067" s="94">
        <v>86</v>
      </c>
      <c r="J1067" s="94">
        <v>4</v>
      </c>
      <c r="K1067" s="94">
        <v>82</v>
      </c>
      <c r="L1067" s="94">
        <v>2</v>
      </c>
      <c r="M1067" s="94">
        <v>89</v>
      </c>
      <c r="N1067" s="94">
        <v>2</v>
      </c>
      <c r="O1067" s="94">
        <v>77</v>
      </c>
      <c r="P1067" s="94">
        <v>2</v>
      </c>
      <c r="Q1067">
        <v>93</v>
      </c>
      <c r="R1067">
        <v>2</v>
      </c>
      <c r="S1067">
        <v>87</v>
      </c>
      <c r="T1067">
        <v>2</v>
      </c>
      <c r="U1067">
        <v>82</v>
      </c>
      <c r="V1067">
        <v>2</v>
      </c>
      <c r="W1067">
        <v>82</v>
      </c>
      <c r="X1067">
        <v>2</v>
      </c>
      <c r="Y1067">
        <v>80</v>
      </c>
      <c r="Z1067">
        <v>1</v>
      </c>
      <c r="AA1067">
        <v>90</v>
      </c>
      <c r="AB1067">
        <v>1</v>
      </c>
      <c r="AC1067">
        <v>76</v>
      </c>
      <c r="AD1067">
        <v>1</v>
      </c>
      <c r="AE1067">
        <v>90</v>
      </c>
      <c r="AF1067">
        <v>2</v>
      </c>
    </row>
    <row r="1068" spans="1:32">
      <c r="A1068" t="s">
        <v>3155</v>
      </c>
      <c r="B1068" s="24">
        <v>1820</v>
      </c>
      <c r="C1068" s="24" t="s">
        <v>3156</v>
      </c>
      <c r="D1068" s="24" t="s">
        <v>125</v>
      </c>
      <c r="E1068" s="93">
        <v>84</v>
      </c>
      <c r="F1068" s="94">
        <v>4</v>
      </c>
      <c r="G1068" s="94">
        <v>90</v>
      </c>
      <c r="H1068" s="94">
        <v>4</v>
      </c>
      <c r="I1068" s="94">
        <v>97</v>
      </c>
      <c r="J1068" s="94">
        <v>4</v>
      </c>
      <c r="K1068" s="94">
        <v>83</v>
      </c>
      <c r="L1068" s="94">
        <v>2</v>
      </c>
      <c r="M1068" s="94">
        <v>84</v>
      </c>
      <c r="N1068" s="94">
        <v>2</v>
      </c>
      <c r="O1068" s="94">
        <v>97</v>
      </c>
      <c r="P1068" s="94">
        <v>2</v>
      </c>
      <c r="Q1068">
        <v>91</v>
      </c>
      <c r="R1068">
        <v>2</v>
      </c>
      <c r="S1068">
        <v>98</v>
      </c>
      <c r="T1068">
        <v>2</v>
      </c>
      <c r="U1068">
        <v>99</v>
      </c>
      <c r="V1068">
        <v>2</v>
      </c>
      <c r="W1068">
        <v>89</v>
      </c>
      <c r="X1068">
        <v>2</v>
      </c>
      <c r="Y1068">
        <v>81</v>
      </c>
      <c r="Z1068">
        <v>1</v>
      </c>
      <c r="AA1068">
        <v>90</v>
      </c>
      <c r="AB1068">
        <v>1</v>
      </c>
      <c r="AC1068">
        <v>75</v>
      </c>
      <c r="AD1068">
        <v>1</v>
      </c>
      <c r="AE1068">
        <v>84</v>
      </c>
      <c r="AF1068">
        <v>2</v>
      </c>
    </row>
    <row r="1069" spans="1:32">
      <c r="A1069" t="s">
        <v>3157</v>
      </c>
      <c r="B1069" s="24">
        <v>1820</v>
      </c>
      <c r="C1069" s="24" t="s">
        <v>3158</v>
      </c>
      <c r="D1069" s="24" t="s">
        <v>3159</v>
      </c>
      <c r="E1069" s="93">
        <v>85</v>
      </c>
      <c r="F1069" s="94">
        <v>4</v>
      </c>
      <c r="G1069" s="94">
        <v>92</v>
      </c>
      <c r="H1069" s="94">
        <v>4</v>
      </c>
      <c r="I1069" s="94">
        <v>95</v>
      </c>
      <c r="J1069" s="94">
        <v>4</v>
      </c>
      <c r="K1069" s="94">
        <v>81</v>
      </c>
      <c r="L1069" s="94">
        <v>2</v>
      </c>
      <c r="M1069" s="94">
        <v>87</v>
      </c>
      <c r="N1069" s="94">
        <v>2</v>
      </c>
      <c r="O1069" s="94">
        <v>70</v>
      </c>
      <c r="P1069" s="94">
        <v>2</v>
      </c>
      <c r="Q1069">
        <v>93</v>
      </c>
      <c r="R1069">
        <v>2</v>
      </c>
      <c r="S1069">
        <v>86</v>
      </c>
      <c r="T1069">
        <v>2</v>
      </c>
      <c r="U1069">
        <v>95</v>
      </c>
      <c r="V1069">
        <v>2</v>
      </c>
      <c r="W1069">
        <v>84</v>
      </c>
      <c r="X1069">
        <v>2</v>
      </c>
      <c r="Y1069">
        <v>82</v>
      </c>
      <c r="Z1069">
        <v>1</v>
      </c>
      <c r="AA1069">
        <v>90</v>
      </c>
      <c r="AB1069">
        <v>1</v>
      </c>
      <c r="AC1069">
        <v>73</v>
      </c>
      <c r="AD1069">
        <v>1</v>
      </c>
      <c r="AE1069">
        <v>90</v>
      </c>
      <c r="AF1069">
        <v>2</v>
      </c>
    </row>
    <row r="1070" spans="1:32">
      <c r="A1070" t="s">
        <v>3160</v>
      </c>
      <c r="B1070" s="24">
        <v>1820</v>
      </c>
      <c r="C1070" s="24" t="s">
        <v>3161</v>
      </c>
      <c r="D1070" s="24" t="s">
        <v>134</v>
      </c>
      <c r="E1070" s="93">
        <v>91</v>
      </c>
      <c r="F1070" s="94">
        <v>4</v>
      </c>
      <c r="G1070" s="94">
        <v>90</v>
      </c>
      <c r="H1070" s="94">
        <v>4</v>
      </c>
      <c r="I1070" s="94">
        <v>90</v>
      </c>
      <c r="J1070" s="94">
        <v>4</v>
      </c>
      <c r="K1070" s="94">
        <v>83</v>
      </c>
      <c r="L1070" s="94">
        <v>2</v>
      </c>
      <c r="M1070" s="94">
        <v>85</v>
      </c>
      <c r="N1070" s="94">
        <v>2</v>
      </c>
      <c r="O1070" s="94">
        <v>85</v>
      </c>
      <c r="P1070" s="94">
        <v>2</v>
      </c>
      <c r="Q1070">
        <v>91</v>
      </c>
      <c r="R1070">
        <v>2</v>
      </c>
      <c r="S1070">
        <v>86</v>
      </c>
      <c r="T1070">
        <v>2</v>
      </c>
      <c r="U1070">
        <v>85</v>
      </c>
      <c r="V1070">
        <v>2</v>
      </c>
      <c r="W1070">
        <v>82</v>
      </c>
      <c r="X1070">
        <v>2</v>
      </c>
      <c r="Y1070">
        <v>83</v>
      </c>
      <c r="Z1070">
        <v>1</v>
      </c>
      <c r="AA1070">
        <v>90</v>
      </c>
      <c r="AB1070">
        <v>1</v>
      </c>
      <c r="AC1070">
        <v>72</v>
      </c>
      <c r="AD1070">
        <v>1</v>
      </c>
      <c r="AE1070">
        <v>84</v>
      </c>
      <c r="AF1070">
        <v>2</v>
      </c>
    </row>
    <row r="1071" spans="1:32">
      <c r="A1071" t="s">
        <v>3162</v>
      </c>
      <c r="B1071" s="24">
        <v>1820</v>
      </c>
      <c r="C1071" s="24" t="s">
        <v>3163</v>
      </c>
      <c r="D1071" s="24" t="s">
        <v>3164</v>
      </c>
      <c r="E1071" s="93">
        <v>84</v>
      </c>
      <c r="F1071" s="94">
        <v>4</v>
      </c>
      <c r="G1071" s="94">
        <v>89</v>
      </c>
      <c r="H1071" s="94">
        <v>4</v>
      </c>
      <c r="I1071" s="94">
        <v>87</v>
      </c>
      <c r="J1071" s="94">
        <v>4</v>
      </c>
      <c r="K1071" s="94">
        <v>87</v>
      </c>
      <c r="L1071" s="94">
        <v>2</v>
      </c>
      <c r="M1071" s="94">
        <v>94</v>
      </c>
      <c r="N1071" s="94">
        <v>2</v>
      </c>
      <c r="O1071" s="94">
        <v>71</v>
      </c>
      <c r="P1071" s="94">
        <v>2</v>
      </c>
      <c r="Q1071">
        <v>84</v>
      </c>
      <c r="R1071">
        <v>2</v>
      </c>
      <c r="S1071">
        <v>87</v>
      </c>
      <c r="T1071">
        <v>2</v>
      </c>
      <c r="U1071">
        <v>80</v>
      </c>
      <c r="V1071">
        <v>2</v>
      </c>
      <c r="W1071">
        <v>90</v>
      </c>
      <c r="X1071">
        <v>2</v>
      </c>
      <c r="Y1071">
        <v>80</v>
      </c>
      <c r="Z1071">
        <v>1</v>
      </c>
      <c r="AA1071">
        <v>90</v>
      </c>
      <c r="AB1071">
        <v>1</v>
      </c>
      <c r="AC1071">
        <v>86</v>
      </c>
      <c r="AD1071">
        <v>1</v>
      </c>
      <c r="AE1071">
        <v>85</v>
      </c>
      <c r="AF1071">
        <v>2</v>
      </c>
    </row>
    <row r="1072" spans="1:32">
      <c r="A1072" t="s">
        <v>3165</v>
      </c>
      <c r="B1072" s="24">
        <v>1820</v>
      </c>
      <c r="C1072" s="24" t="s">
        <v>3166</v>
      </c>
      <c r="D1072" s="24" t="s">
        <v>151</v>
      </c>
      <c r="E1072" s="93">
        <v>86</v>
      </c>
      <c r="F1072" s="94">
        <v>4</v>
      </c>
      <c r="G1072" s="94">
        <v>95</v>
      </c>
      <c r="H1072" s="94">
        <v>4</v>
      </c>
      <c r="I1072" s="94">
        <v>95</v>
      </c>
      <c r="J1072" s="94">
        <v>4</v>
      </c>
      <c r="K1072" s="94">
        <v>85</v>
      </c>
      <c r="L1072" s="94">
        <v>2</v>
      </c>
      <c r="M1072" s="94">
        <v>93</v>
      </c>
      <c r="N1072" s="94">
        <v>2</v>
      </c>
      <c r="O1072" s="94">
        <v>95</v>
      </c>
      <c r="P1072" s="94">
        <v>2</v>
      </c>
      <c r="Q1072">
        <v>93</v>
      </c>
      <c r="R1072">
        <v>2</v>
      </c>
      <c r="S1072">
        <v>86</v>
      </c>
      <c r="T1072">
        <v>2</v>
      </c>
      <c r="U1072">
        <v>95</v>
      </c>
      <c r="V1072">
        <v>2</v>
      </c>
      <c r="W1072">
        <v>90</v>
      </c>
      <c r="X1072">
        <v>2</v>
      </c>
      <c r="Y1072">
        <v>80</v>
      </c>
      <c r="Z1072">
        <v>1</v>
      </c>
      <c r="AA1072">
        <v>90</v>
      </c>
      <c r="AB1072">
        <v>1</v>
      </c>
      <c r="AC1072">
        <v>90</v>
      </c>
      <c r="AD1072">
        <v>1</v>
      </c>
      <c r="AE1072">
        <v>88</v>
      </c>
      <c r="AF1072">
        <v>2</v>
      </c>
    </row>
    <row r="1073" spans="1:32">
      <c r="A1073" t="s">
        <v>3167</v>
      </c>
      <c r="B1073" s="24">
        <v>1820</v>
      </c>
      <c r="C1073" s="24" t="s">
        <v>3168</v>
      </c>
      <c r="D1073" s="24" t="s">
        <v>163</v>
      </c>
      <c r="E1073" s="93">
        <v>85</v>
      </c>
      <c r="F1073" s="94">
        <v>4</v>
      </c>
      <c r="G1073" s="94">
        <v>91</v>
      </c>
      <c r="H1073" s="94">
        <v>4</v>
      </c>
      <c r="I1073" s="94">
        <v>95</v>
      </c>
      <c r="J1073" s="94">
        <v>4</v>
      </c>
      <c r="K1073" s="94">
        <v>84</v>
      </c>
      <c r="L1073" s="94">
        <v>2</v>
      </c>
      <c r="M1073" s="94">
        <v>86</v>
      </c>
      <c r="N1073" s="94">
        <v>2</v>
      </c>
      <c r="O1073" s="94">
        <v>70</v>
      </c>
      <c r="P1073" s="94">
        <v>2</v>
      </c>
      <c r="Q1073">
        <v>87</v>
      </c>
      <c r="R1073">
        <v>2</v>
      </c>
      <c r="S1073">
        <v>88</v>
      </c>
      <c r="T1073">
        <v>2</v>
      </c>
      <c r="U1073">
        <v>76</v>
      </c>
      <c r="V1073">
        <v>2</v>
      </c>
      <c r="W1073">
        <v>94</v>
      </c>
      <c r="X1073">
        <v>2</v>
      </c>
      <c r="Y1073">
        <v>83</v>
      </c>
      <c r="Z1073">
        <v>1</v>
      </c>
      <c r="AA1073">
        <v>90</v>
      </c>
      <c r="AB1073">
        <v>1</v>
      </c>
      <c r="AC1073">
        <v>82</v>
      </c>
      <c r="AD1073">
        <v>1</v>
      </c>
      <c r="AE1073">
        <v>86</v>
      </c>
      <c r="AF1073">
        <v>2</v>
      </c>
    </row>
    <row r="1074" spans="1:32">
      <c r="A1074" t="s">
        <v>3169</v>
      </c>
      <c r="B1074" s="24">
        <v>1820</v>
      </c>
      <c r="C1074" s="24" t="s">
        <v>3170</v>
      </c>
      <c r="D1074" s="24" t="s">
        <v>3171</v>
      </c>
      <c r="E1074" s="93">
        <v>88</v>
      </c>
      <c r="F1074" s="94">
        <v>4</v>
      </c>
      <c r="G1074" s="94">
        <v>95</v>
      </c>
      <c r="H1074" s="94">
        <v>4</v>
      </c>
      <c r="I1074" s="94">
        <v>94</v>
      </c>
      <c r="J1074" s="94">
        <v>4</v>
      </c>
      <c r="K1074" s="94">
        <v>85</v>
      </c>
      <c r="L1074" s="94">
        <v>2</v>
      </c>
      <c r="M1074" s="94">
        <v>89</v>
      </c>
      <c r="N1074" s="94">
        <v>2</v>
      </c>
      <c r="O1074" s="94">
        <v>73</v>
      </c>
      <c r="P1074" s="94">
        <v>2</v>
      </c>
      <c r="Q1074">
        <v>98</v>
      </c>
      <c r="R1074">
        <v>2</v>
      </c>
      <c r="S1074">
        <v>87</v>
      </c>
      <c r="T1074">
        <v>2</v>
      </c>
      <c r="U1074">
        <v>81</v>
      </c>
      <c r="V1074">
        <v>2</v>
      </c>
      <c r="W1074">
        <v>88</v>
      </c>
      <c r="X1074">
        <v>2</v>
      </c>
      <c r="Y1074">
        <v>80</v>
      </c>
      <c r="Z1074">
        <v>1</v>
      </c>
      <c r="AA1074">
        <v>90</v>
      </c>
      <c r="AB1074">
        <v>1</v>
      </c>
      <c r="AC1074">
        <v>72</v>
      </c>
      <c r="AD1074">
        <v>1</v>
      </c>
      <c r="AE1074">
        <v>89</v>
      </c>
      <c r="AF1074">
        <v>2</v>
      </c>
    </row>
    <row r="1075" spans="1:32">
      <c r="A1075" t="s">
        <v>3172</v>
      </c>
      <c r="B1075" s="24">
        <v>1820</v>
      </c>
      <c r="C1075" s="24" t="s">
        <v>3173</v>
      </c>
      <c r="D1075" s="24" t="s">
        <v>45</v>
      </c>
      <c r="E1075" s="93">
        <v>86</v>
      </c>
      <c r="F1075" s="94">
        <v>4</v>
      </c>
      <c r="G1075" s="94">
        <v>93</v>
      </c>
      <c r="H1075" s="94">
        <v>4</v>
      </c>
      <c r="I1075" s="94">
        <v>97</v>
      </c>
      <c r="J1075" s="94">
        <v>4</v>
      </c>
      <c r="K1075" s="94">
        <v>89</v>
      </c>
      <c r="L1075" s="94">
        <v>2</v>
      </c>
      <c r="M1075" s="94">
        <v>92</v>
      </c>
      <c r="N1075" s="94">
        <v>2</v>
      </c>
      <c r="O1075" s="94">
        <v>81</v>
      </c>
      <c r="P1075" s="94">
        <v>2</v>
      </c>
      <c r="Q1075">
        <v>87</v>
      </c>
      <c r="R1075">
        <v>2</v>
      </c>
      <c r="S1075">
        <v>88</v>
      </c>
      <c r="T1075">
        <v>2</v>
      </c>
      <c r="U1075">
        <v>78</v>
      </c>
      <c r="V1075">
        <v>2</v>
      </c>
      <c r="W1075">
        <v>91</v>
      </c>
      <c r="X1075">
        <v>2</v>
      </c>
      <c r="Y1075">
        <v>82</v>
      </c>
      <c r="Z1075">
        <v>1</v>
      </c>
      <c r="AA1075">
        <v>90</v>
      </c>
      <c r="AB1075">
        <v>1</v>
      </c>
      <c r="AC1075">
        <v>76</v>
      </c>
      <c r="AD1075">
        <v>1</v>
      </c>
      <c r="AE1075">
        <v>87</v>
      </c>
      <c r="AF1075">
        <v>2</v>
      </c>
    </row>
    <row r="1076" spans="1:32">
      <c r="A1076" t="s">
        <v>3174</v>
      </c>
      <c r="B1076" s="24">
        <v>1820</v>
      </c>
      <c r="C1076" s="24" t="s">
        <v>3175</v>
      </c>
      <c r="D1076" s="24" t="s">
        <v>140</v>
      </c>
      <c r="E1076" s="93">
        <v>86</v>
      </c>
      <c r="F1076" s="94">
        <v>4</v>
      </c>
      <c r="G1076" s="94">
        <v>90</v>
      </c>
      <c r="H1076" s="94">
        <v>4</v>
      </c>
      <c r="I1076" s="94">
        <v>99</v>
      </c>
      <c r="J1076" s="94">
        <v>4</v>
      </c>
      <c r="K1076" s="94">
        <v>85</v>
      </c>
      <c r="L1076" s="94">
        <v>2</v>
      </c>
      <c r="M1076" s="94">
        <v>94</v>
      </c>
      <c r="N1076" s="94">
        <v>2</v>
      </c>
      <c r="O1076" s="94">
        <v>85</v>
      </c>
      <c r="P1076" s="94">
        <v>2</v>
      </c>
      <c r="Q1076">
        <v>75</v>
      </c>
      <c r="R1076">
        <v>2</v>
      </c>
      <c r="S1076">
        <v>89</v>
      </c>
      <c r="T1076">
        <v>2</v>
      </c>
      <c r="U1076">
        <v>92</v>
      </c>
      <c r="V1076">
        <v>2</v>
      </c>
      <c r="W1076">
        <v>85</v>
      </c>
      <c r="X1076">
        <v>2</v>
      </c>
      <c r="Y1076">
        <v>91</v>
      </c>
      <c r="Z1076">
        <v>1</v>
      </c>
      <c r="AA1076">
        <v>90</v>
      </c>
      <c r="AB1076">
        <v>1</v>
      </c>
      <c r="AC1076">
        <v>85</v>
      </c>
      <c r="AD1076">
        <v>1</v>
      </c>
      <c r="AE1076">
        <v>86</v>
      </c>
      <c r="AF1076">
        <v>2</v>
      </c>
    </row>
    <row r="1077" spans="1:32">
      <c r="A1077" t="s">
        <v>3176</v>
      </c>
      <c r="B1077" s="24">
        <v>1820</v>
      </c>
      <c r="C1077" s="24" t="s">
        <v>3177</v>
      </c>
      <c r="D1077" s="24" t="s">
        <v>3178</v>
      </c>
      <c r="E1077" s="93">
        <v>83</v>
      </c>
      <c r="F1077" s="94">
        <v>4</v>
      </c>
      <c r="G1077" s="94">
        <v>92</v>
      </c>
      <c r="H1077" s="94">
        <v>4</v>
      </c>
      <c r="I1077" s="94">
        <v>98</v>
      </c>
      <c r="J1077" s="94">
        <v>4</v>
      </c>
      <c r="K1077" s="94">
        <v>85</v>
      </c>
      <c r="L1077" s="94">
        <v>2</v>
      </c>
      <c r="M1077" s="94">
        <v>97</v>
      </c>
      <c r="N1077" s="94">
        <v>2</v>
      </c>
      <c r="O1077" s="94">
        <v>85</v>
      </c>
      <c r="P1077" s="94">
        <v>2</v>
      </c>
      <c r="Q1077">
        <v>91</v>
      </c>
      <c r="R1077">
        <v>2</v>
      </c>
      <c r="S1077">
        <v>88</v>
      </c>
      <c r="T1077">
        <v>2</v>
      </c>
      <c r="U1077">
        <v>96</v>
      </c>
      <c r="V1077">
        <v>2</v>
      </c>
      <c r="W1077">
        <v>93</v>
      </c>
      <c r="X1077">
        <v>2</v>
      </c>
      <c r="Y1077">
        <v>76</v>
      </c>
      <c r="Z1077">
        <v>1</v>
      </c>
      <c r="AA1077">
        <v>90</v>
      </c>
      <c r="AB1077">
        <v>1</v>
      </c>
      <c r="AC1077">
        <v>68</v>
      </c>
      <c r="AD1077">
        <v>1</v>
      </c>
      <c r="AE1077">
        <v>87</v>
      </c>
      <c r="AF1077">
        <v>2</v>
      </c>
    </row>
    <row r="1078" spans="1:32">
      <c r="A1078" t="s">
        <v>3179</v>
      </c>
      <c r="B1078" s="24">
        <v>1820</v>
      </c>
      <c r="C1078" s="24" t="s">
        <v>3180</v>
      </c>
      <c r="D1078" s="24" t="s">
        <v>3181</v>
      </c>
      <c r="E1078" s="93">
        <v>88</v>
      </c>
      <c r="F1078" s="94">
        <v>4</v>
      </c>
      <c r="G1078" s="94">
        <v>90</v>
      </c>
      <c r="H1078" s="94">
        <v>4</v>
      </c>
      <c r="I1078" s="94">
        <v>88</v>
      </c>
      <c r="J1078" s="94">
        <v>4</v>
      </c>
      <c r="K1078" s="94">
        <v>86</v>
      </c>
      <c r="L1078" s="94">
        <v>2</v>
      </c>
      <c r="M1078" s="94">
        <v>98</v>
      </c>
      <c r="N1078" s="94">
        <v>2</v>
      </c>
      <c r="O1078" s="94">
        <v>95</v>
      </c>
      <c r="P1078" s="94">
        <v>2</v>
      </c>
      <c r="Q1078">
        <v>93</v>
      </c>
      <c r="R1078">
        <v>2</v>
      </c>
      <c r="S1078">
        <v>87</v>
      </c>
      <c r="T1078">
        <v>2</v>
      </c>
      <c r="U1078">
        <v>88</v>
      </c>
      <c r="V1078">
        <v>2</v>
      </c>
      <c r="W1078">
        <v>90</v>
      </c>
      <c r="X1078">
        <v>2</v>
      </c>
      <c r="Y1078">
        <v>84</v>
      </c>
      <c r="Z1078">
        <v>1</v>
      </c>
      <c r="AA1078">
        <v>90</v>
      </c>
      <c r="AB1078">
        <v>1</v>
      </c>
      <c r="AC1078">
        <v>74</v>
      </c>
      <c r="AD1078">
        <v>1</v>
      </c>
      <c r="AE1078">
        <v>82</v>
      </c>
      <c r="AF1078">
        <v>2</v>
      </c>
    </row>
    <row r="1079" spans="1:32">
      <c r="A1079" t="s">
        <v>2354</v>
      </c>
      <c r="B1079" s="24">
        <v>1820</v>
      </c>
      <c r="C1079" s="24" t="s">
        <v>3183</v>
      </c>
      <c r="D1079" s="24" t="s">
        <v>2356</v>
      </c>
      <c r="E1079" s="93">
        <v>84</v>
      </c>
      <c r="F1079" s="94">
        <v>4</v>
      </c>
      <c r="G1079" s="94">
        <v>92</v>
      </c>
      <c r="H1079" s="94">
        <v>4</v>
      </c>
      <c r="I1079" s="94">
        <v>92</v>
      </c>
      <c r="J1079" s="94">
        <v>4</v>
      </c>
      <c r="K1079" s="94">
        <v>84</v>
      </c>
      <c r="L1079" s="94">
        <v>2</v>
      </c>
      <c r="M1079" s="94">
        <v>97</v>
      </c>
      <c r="N1079" s="94">
        <v>2</v>
      </c>
      <c r="O1079" s="94">
        <v>79</v>
      </c>
      <c r="P1079" s="94">
        <v>2</v>
      </c>
      <c r="Q1079">
        <v>94</v>
      </c>
      <c r="R1079">
        <v>2</v>
      </c>
      <c r="S1079">
        <v>88</v>
      </c>
      <c r="T1079">
        <v>2</v>
      </c>
      <c r="U1079">
        <v>93</v>
      </c>
      <c r="V1079">
        <v>2</v>
      </c>
      <c r="W1079">
        <v>85</v>
      </c>
      <c r="X1079">
        <v>2</v>
      </c>
      <c r="Y1079">
        <v>78</v>
      </c>
      <c r="Z1079">
        <v>1</v>
      </c>
      <c r="AA1079">
        <v>90</v>
      </c>
      <c r="AB1079">
        <v>1</v>
      </c>
      <c r="AC1079">
        <v>70</v>
      </c>
      <c r="AD1079">
        <v>1</v>
      </c>
      <c r="AE1079">
        <v>89</v>
      </c>
      <c r="AF1079">
        <v>2</v>
      </c>
    </row>
    <row r="1080" spans="1:32">
      <c r="A1080" t="s">
        <v>3184</v>
      </c>
      <c r="B1080" s="24">
        <v>1820</v>
      </c>
      <c r="C1080" s="24" t="s">
        <v>3185</v>
      </c>
      <c r="D1080" s="24" t="s">
        <v>3186</v>
      </c>
      <c r="E1080" s="93">
        <v>91</v>
      </c>
      <c r="F1080" s="94">
        <v>4</v>
      </c>
      <c r="G1080" s="94">
        <v>92</v>
      </c>
      <c r="H1080" s="94">
        <v>4</v>
      </c>
      <c r="I1080" s="94">
        <v>96</v>
      </c>
      <c r="J1080" s="94">
        <v>4</v>
      </c>
      <c r="K1080" s="94">
        <v>87</v>
      </c>
      <c r="L1080" s="94">
        <v>2</v>
      </c>
      <c r="M1080" s="94">
        <v>90</v>
      </c>
      <c r="N1080" s="94">
        <v>2</v>
      </c>
      <c r="O1080" s="94">
        <v>73</v>
      </c>
      <c r="P1080" s="94">
        <v>2</v>
      </c>
      <c r="Q1080">
        <v>80</v>
      </c>
      <c r="R1080">
        <v>2</v>
      </c>
      <c r="S1080">
        <v>88</v>
      </c>
      <c r="T1080">
        <v>2</v>
      </c>
      <c r="U1080">
        <v>79</v>
      </c>
      <c r="V1080">
        <v>2</v>
      </c>
      <c r="W1080">
        <v>83</v>
      </c>
      <c r="X1080">
        <v>2</v>
      </c>
      <c r="Y1080">
        <v>79</v>
      </c>
      <c r="Z1080">
        <v>1</v>
      </c>
      <c r="AA1080">
        <v>90</v>
      </c>
      <c r="AB1080">
        <v>1</v>
      </c>
      <c r="AC1080">
        <v>80</v>
      </c>
      <c r="AD1080">
        <v>1</v>
      </c>
      <c r="AE1080">
        <v>88</v>
      </c>
      <c r="AF1080">
        <v>2</v>
      </c>
    </row>
    <row r="1081" spans="1:32">
      <c r="A1081" t="s">
        <v>3187</v>
      </c>
      <c r="B1081" s="24">
        <v>1820</v>
      </c>
      <c r="C1081" s="24" t="s">
        <v>3188</v>
      </c>
      <c r="D1081" s="24" t="s">
        <v>3189</v>
      </c>
      <c r="E1081" s="93">
        <v>85</v>
      </c>
      <c r="F1081" s="94">
        <v>4</v>
      </c>
      <c r="G1081" s="94">
        <v>90</v>
      </c>
      <c r="H1081" s="94">
        <v>4</v>
      </c>
      <c r="I1081" s="94">
        <v>89</v>
      </c>
      <c r="J1081" s="94">
        <v>4</v>
      </c>
      <c r="K1081" s="94">
        <v>82</v>
      </c>
      <c r="L1081" s="94">
        <v>2</v>
      </c>
      <c r="M1081" s="94">
        <v>89</v>
      </c>
      <c r="N1081" s="94">
        <v>2</v>
      </c>
      <c r="O1081" s="94">
        <v>70</v>
      </c>
      <c r="P1081" s="94">
        <v>2</v>
      </c>
      <c r="Q1081">
        <v>82</v>
      </c>
      <c r="R1081">
        <v>2</v>
      </c>
      <c r="S1081">
        <v>88</v>
      </c>
      <c r="T1081">
        <v>2</v>
      </c>
      <c r="U1081">
        <v>88</v>
      </c>
      <c r="V1081">
        <v>2</v>
      </c>
      <c r="W1081">
        <v>87</v>
      </c>
      <c r="X1081">
        <v>2</v>
      </c>
      <c r="Y1081">
        <v>77</v>
      </c>
      <c r="Z1081">
        <v>1</v>
      </c>
      <c r="AA1081">
        <v>90</v>
      </c>
      <c r="AB1081">
        <v>1</v>
      </c>
      <c r="AC1081">
        <v>85</v>
      </c>
      <c r="AD1081">
        <v>1</v>
      </c>
      <c r="AE1081">
        <v>85</v>
      </c>
      <c r="AF1081">
        <v>2</v>
      </c>
    </row>
    <row r="1082" spans="1:32">
      <c r="A1082" t="s">
        <v>3190</v>
      </c>
      <c r="B1082" s="24">
        <v>1820</v>
      </c>
      <c r="C1082" s="24" t="s">
        <v>3191</v>
      </c>
      <c r="D1082" s="24" t="s">
        <v>3192</v>
      </c>
      <c r="E1082" s="93">
        <v>85</v>
      </c>
      <c r="F1082" s="94">
        <v>4</v>
      </c>
      <c r="G1082" s="94">
        <v>91</v>
      </c>
      <c r="H1082" s="94">
        <v>4</v>
      </c>
      <c r="I1082" s="94">
        <v>83</v>
      </c>
      <c r="J1082" s="94">
        <v>4</v>
      </c>
      <c r="K1082" s="94">
        <v>83</v>
      </c>
      <c r="L1082" s="94">
        <v>2</v>
      </c>
      <c r="M1082" s="94">
        <v>87</v>
      </c>
      <c r="N1082" s="94">
        <v>2</v>
      </c>
      <c r="O1082" s="94">
        <v>87</v>
      </c>
      <c r="P1082" s="94">
        <v>2</v>
      </c>
      <c r="Q1082">
        <v>81</v>
      </c>
      <c r="R1082">
        <v>2</v>
      </c>
      <c r="S1082">
        <v>88</v>
      </c>
      <c r="T1082">
        <v>2</v>
      </c>
      <c r="U1082">
        <v>88</v>
      </c>
      <c r="V1082">
        <v>2</v>
      </c>
      <c r="W1082">
        <v>80</v>
      </c>
      <c r="X1082">
        <v>2</v>
      </c>
      <c r="Y1082">
        <v>76</v>
      </c>
      <c r="Z1082">
        <v>1</v>
      </c>
      <c r="AA1082">
        <v>90</v>
      </c>
      <c r="AB1082">
        <v>1</v>
      </c>
      <c r="AC1082">
        <v>75</v>
      </c>
      <c r="AD1082">
        <v>1</v>
      </c>
      <c r="AE1082">
        <v>86</v>
      </c>
      <c r="AF1082">
        <v>2</v>
      </c>
    </row>
    <row r="1083" spans="1:32">
      <c r="A1083" t="s">
        <v>3193</v>
      </c>
      <c r="B1083" s="24">
        <v>1820</v>
      </c>
      <c r="C1083" s="24" t="s">
        <v>3194</v>
      </c>
      <c r="D1083" s="24" t="s">
        <v>3195</v>
      </c>
      <c r="E1083" s="93">
        <v>86</v>
      </c>
      <c r="F1083" s="94">
        <v>4</v>
      </c>
      <c r="G1083" s="94">
        <v>90</v>
      </c>
      <c r="H1083" s="94">
        <v>4</v>
      </c>
      <c r="I1083" s="94">
        <v>92</v>
      </c>
      <c r="J1083" s="94">
        <v>4</v>
      </c>
      <c r="K1083" s="94">
        <v>84</v>
      </c>
      <c r="L1083" s="94">
        <v>2</v>
      </c>
      <c r="M1083" s="94">
        <v>80</v>
      </c>
      <c r="N1083" s="94">
        <v>2</v>
      </c>
      <c r="O1083" s="94">
        <v>85</v>
      </c>
      <c r="P1083" s="94">
        <v>2</v>
      </c>
      <c r="Q1083">
        <v>90</v>
      </c>
      <c r="R1083">
        <v>2</v>
      </c>
      <c r="S1083">
        <v>88</v>
      </c>
      <c r="T1083">
        <v>2</v>
      </c>
      <c r="U1083">
        <v>85</v>
      </c>
      <c r="V1083">
        <v>2</v>
      </c>
      <c r="W1083">
        <v>85</v>
      </c>
      <c r="X1083">
        <v>2</v>
      </c>
      <c r="Y1083">
        <v>78</v>
      </c>
      <c r="Z1083">
        <v>1</v>
      </c>
      <c r="AA1083">
        <v>90</v>
      </c>
      <c r="AB1083">
        <v>1</v>
      </c>
      <c r="AC1083">
        <v>86</v>
      </c>
      <c r="AD1083">
        <v>1</v>
      </c>
      <c r="AE1083">
        <v>90</v>
      </c>
      <c r="AF1083">
        <v>2</v>
      </c>
    </row>
    <row r="1084" spans="1:32">
      <c r="A1084" t="s">
        <v>489</v>
      </c>
      <c r="B1084" s="24">
        <v>1820</v>
      </c>
      <c r="C1084" s="24" t="s">
        <v>3243</v>
      </c>
      <c r="D1084" s="24" t="s">
        <v>490</v>
      </c>
      <c r="E1084" s="93">
        <v>82</v>
      </c>
      <c r="F1084" s="94">
        <v>4</v>
      </c>
      <c r="G1084" s="94">
        <v>89</v>
      </c>
      <c r="H1084" s="94">
        <v>4</v>
      </c>
      <c r="I1084" s="94">
        <v>96</v>
      </c>
      <c r="J1084" s="94">
        <v>4</v>
      </c>
      <c r="K1084" s="94">
        <v>83</v>
      </c>
      <c r="L1084" s="94">
        <v>2</v>
      </c>
      <c r="M1084" s="94">
        <v>94</v>
      </c>
      <c r="N1084" s="94">
        <v>2</v>
      </c>
      <c r="O1084" s="94">
        <v>77</v>
      </c>
      <c r="P1084" s="94">
        <v>2</v>
      </c>
      <c r="Q1084">
        <v>87</v>
      </c>
      <c r="R1084">
        <v>2</v>
      </c>
      <c r="S1084">
        <v>88</v>
      </c>
      <c r="T1084">
        <v>2</v>
      </c>
      <c r="U1084">
        <v>85</v>
      </c>
      <c r="V1084">
        <v>2</v>
      </c>
      <c r="W1084">
        <v>80</v>
      </c>
      <c r="X1084">
        <v>2</v>
      </c>
      <c r="Y1084">
        <v>83</v>
      </c>
      <c r="Z1084">
        <v>1</v>
      </c>
      <c r="AA1084">
        <v>90</v>
      </c>
      <c r="AB1084">
        <v>1</v>
      </c>
      <c r="AC1084">
        <v>78</v>
      </c>
      <c r="AD1084">
        <v>1</v>
      </c>
      <c r="AE1084">
        <v>83</v>
      </c>
      <c r="AF1084">
        <v>2</v>
      </c>
    </row>
    <row r="1085" spans="1:32">
      <c r="A1085" t="s">
        <v>3004</v>
      </c>
      <c r="B1085" s="24">
        <v>1820</v>
      </c>
      <c r="C1085" s="24" t="s">
        <v>3268</v>
      </c>
      <c r="D1085" s="24" t="s">
        <v>3005</v>
      </c>
      <c r="E1085" s="93">
        <v>86</v>
      </c>
      <c r="F1085" s="94">
        <v>4</v>
      </c>
      <c r="G1085" s="94">
        <v>90</v>
      </c>
      <c r="H1085" s="94">
        <v>4</v>
      </c>
      <c r="I1085" s="94">
        <v>92</v>
      </c>
      <c r="J1085" s="94">
        <v>4</v>
      </c>
      <c r="K1085" s="94">
        <v>82</v>
      </c>
      <c r="L1085" s="94">
        <v>2</v>
      </c>
      <c r="M1085" s="94">
        <v>98</v>
      </c>
      <c r="N1085" s="94">
        <v>2</v>
      </c>
      <c r="O1085" s="94">
        <v>87</v>
      </c>
      <c r="P1085" s="94">
        <v>2</v>
      </c>
      <c r="Q1085">
        <v>90</v>
      </c>
      <c r="R1085">
        <v>2</v>
      </c>
      <c r="S1085">
        <v>88</v>
      </c>
      <c r="T1085">
        <v>2</v>
      </c>
      <c r="U1085">
        <v>90</v>
      </c>
      <c r="V1085">
        <v>2</v>
      </c>
      <c r="W1085">
        <v>93</v>
      </c>
      <c r="X1085">
        <v>2</v>
      </c>
      <c r="Y1085">
        <v>72</v>
      </c>
      <c r="Z1085">
        <v>1</v>
      </c>
      <c r="AA1085">
        <v>90</v>
      </c>
      <c r="AB1085">
        <v>1</v>
      </c>
      <c r="AC1085">
        <v>76</v>
      </c>
      <c r="AD1085">
        <v>1</v>
      </c>
      <c r="AE1085">
        <v>86</v>
      </c>
      <c r="AF1085">
        <v>2</v>
      </c>
    </row>
    <row r="1086" spans="1:32">
      <c r="A1086" t="s">
        <v>2931</v>
      </c>
      <c r="B1086" s="24">
        <v>1820</v>
      </c>
      <c r="C1086" s="24" t="s">
        <v>3269</v>
      </c>
      <c r="D1086" s="24" t="s">
        <v>93</v>
      </c>
      <c r="E1086" s="93">
        <v>86</v>
      </c>
      <c r="F1086" s="94">
        <v>4</v>
      </c>
      <c r="G1086" s="94">
        <v>91</v>
      </c>
      <c r="H1086" s="94">
        <v>4</v>
      </c>
      <c r="I1086" s="94">
        <v>93</v>
      </c>
      <c r="J1086" s="94">
        <v>4</v>
      </c>
      <c r="K1086" s="94">
        <v>81</v>
      </c>
      <c r="L1086" s="94">
        <v>2</v>
      </c>
      <c r="M1086" s="94">
        <v>86</v>
      </c>
      <c r="N1086" s="94">
        <v>2</v>
      </c>
      <c r="O1086" s="94">
        <v>85</v>
      </c>
      <c r="P1086" s="94">
        <v>2</v>
      </c>
      <c r="Q1086">
        <v>98</v>
      </c>
      <c r="R1086">
        <v>2</v>
      </c>
      <c r="S1086">
        <v>90</v>
      </c>
      <c r="T1086">
        <v>2</v>
      </c>
      <c r="U1086">
        <v>90</v>
      </c>
      <c r="V1086">
        <v>2</v>
      </c>
      <c r="W1086">
        <v>85</v>
      </c>
      <c r="X1086">
        <v>2</v>
      </c>
      <c r="Y1086">
        <v>90</v>
      </c>
      <c r="Z1086">
        <v>1</v>
      </c>
      <c r="AA1086">
        <v>90</v>
      </c>
      <c r="AB1086">
        <v>1</v>
      </c>
      <c r="AC1086">
        <v>73</v>
      </c>
      <c r="AD1086">
        <v>1</v>
      </c>
      <c r="AE1086">
        <v>88</v>
      </c>
      <c r="AF1086">
        <v>2</v>
      </c>
    </row>
    <row r="1087" spans="1:32">
      <c r="A1087" t="s">
        <v>2935</v>
      </c>
      <c r="B1087" s="24">
        <v>1820</v>
      </c>
      <c r="C1087" s="24" t="s">
        <v>3273</v>
      </c>
      <c r="D1087" s="24" t="s">
        <v>2937</v>
      </c>
      <c r="E1087" s="93">
        <v>92</v>
      </c>
      <c r="F1087" s="94">
        <v>4</v>
      </c>
      <c r="G1087" s="94">
        <v>95</v>
      </c>
      <c r="H1087" s="94">
        <v>4</v>
      </c>
      <c r="I1087" s="94">
        <v>88</v>
      </c>
      <c r="J1087" s="94">
        <v>4</v>
      </c>
      <c r="K1087" s="94">
        <v>80</v>
      </c>
      <c r="L1087" s="94">
        <v>2</v>
      </c>
      <c r="M1087" s="94">
        <v>90</v>
      </c>
      <c r="N1087" s="94">
        <v>2</v>
      </c>
      <c r="O1087" s="94">
        <v>70</v>
      </c>
      <c r="P1087" s="94">
        <v>2</v>
      </c>
      <c r="Q1087">
        <v>89</v>
      </c>
      <c r="R1087">
        <v>2</v>
      </c>
      <c r="S1087">
        <v>87</v>
      </c>
      <c r="T1087">
        <v>2</v>
      </c>
      <c r="U1087">
        <v>86</v>
      </c>
      <c r="V1087">
        <v>2</v>
      </c>
      <c r="W1087">
        <v>83</v>
      </c>
      <c r="X1087">
        <v>2</v>
      </c>
      <c r="Y1087">
        <v>83</v>
      </c>
      <c r="Z1087">
        <v>1</v>
      </c>
      <c r="AA1087">
        <v>90</v>
      </c>
      <c r="AB1087">
        <v>1</v>
      </c>
      <c r="AC1087">
        <v>76</v>
      </c>
      <c r="AD1087">
        <v>1</v>
      </c>
      <c r="AE1087">
        <v>90</v>
      </c>
      <c r="AF1087">
        <v>2</v>
      </c>
    </row>
    <row r="1088" spans="1:32">
      <c r="A1088" t="s">
        <v>2951</v>
      </c>
      <c r="B1088" s="24">
        <v>1820</v>
      </c>
      <c r="C1088" s="24" t="s">
        <v>3267</v>
      </c>
      <c r="D1088" s="24" t="s">
        <v>2953</v>
      </c>
      <c r="E1088" s="93">
        <v>93</v>
      </c>
      <c r="F1088" s="94">
        <v>4</v>
      </c>
      <c r="G1088" s="94">
        <v>90</v>
      </c>
      <c r="H1088" s="94">
        <v>4</v>
      </c>
      <c r="I1088" s="94">
        <v>96</v>
      </c>
      <c r="J1088" s="94">
        <v>4</v>
      </c>
      <c r="K1088" s="94">
        <v>83</v>
      </c>
      <c r="L1088" s="94">
        <v>2</v>
      </c>
      <c r="M1088" s="94">
        <v>96</v>
      </c>
      <c r="N1088" s="94">
        <v>2</v>
      </c>
      <c r="O1088" s="94">
        <v>93</v>
      </c>
      <c r="P1088" s="94">
        <v>2</v>
      </c>
      <c r="Q1088">
        <v>85</v>
      </c>
      <c r="R1088">
        <v>2</v>
      </c>
      <c r="S1088">
        <v>87</v>
      </c>
      <c r="T1088">
        <v>2</v>
      </c>
      <c r="U1088">
        <v>90</v>
      </c>
      <c r="V1088">
        <v>2</v>
      </c>
      <c r="W1088">
        <v>88</v>
      </c>
      <c r="X1088">
        <v>2</v>
      </c>
      <c r="Y1088">
        <v>84</v>
      </c>
      <c r="Z1088">
        <v>1</v>
      </c>
      <c r="AA1088">
        <v>90</v>
      </c>
      <c r="AB1088">
        <v>1</v>
      </c>
      <c r="AC1088">
        <v>73</v>
      </c>
      <c r="AD1088">
        <v>1</v>
      </c>
      <c r="AE1088">
        <v>84</v>
      </c>
      <c r="AF1088">
        <v>2</v>
      </c>
    </row>
    <row r="1089" spans="1:32">
      <c r="A1089" t="s">
        <v>2956</v>
      </c>
      <c r="B1089" s="24">
        <v>1820</v>
      </c>
      <c r="C1089" s="24" t="s">
        <v>3281</v>
      </c>
      <c r="D1089" s="24" t="s">
        <v>157</v>
      </c>
      <c r="E1089" s="93">
        <v>82</v>
      </c>
      <c r="F1089" s="94">
        <v>4</v>
      </c>
      <c r="G1089" s="94">
        <v>85</v>
      </c>
      <c r="H1089" s="94">
        <v>4</v>
      </c>
      <c r="I1089" s="94">
        <v>92</v>
      </c>
      <c r="J1089" s="94">
        <v>4</v>
      </c>
      <c r="K1089" s="94">
        <v>82</v>
      </c>
      <c r="L1089" s="94">
        <v>2</v>
      </c>
      <c r="M1089" s="94">
        <v>95</v>
      </c>
      <c r="N1089" s="94">
        <v>2</v>
      </c>
      <c r="O1089" s="94">
        <v>81</v>
      </c>
      <c r="P1089" s="94">
        <v>2</v>
      </c>
      <c r="Q1089">
        <v>93</v>
      </c>
      <c r="R1089">
        <v>2</v>
      </c>
      <c r="S1089">
        <v>88</v>
      </c>
      <c r="T1089">
        <v>2</v>
      </c>
      <c r="U1089">
        <v>88</v>
      </c>
      <c r="V1089">
        <v>2</v>
      </c>
      <c r="W1089">
        <v>84</v>
      </c>
      <c r="X1089">
        <v>2</v>
      </c>
      <c r="Y1089">
        <v>80</v>
      </c>
      <c r="Z1089">
        <v>1</v>
      </c>
      <c r="AA1089">
        <v>90</v>
      </c>
      <c r="AB1089">
        <v>1</v>
      </c>
      <c r="AC1089">
        <v>70</v>
      </c>
      <c r="AD1089">
        <v>1</v>
      </c>
      <c r="AE1089">
        <v>86</v>
      </c>
      <c r="AF1089">
        <v>2</v>
      </c>
    </row>
    <row r="1090" spans="1:32">
      <c r="A1090" t="s">
        <v>2938</v>
      </c>
      <c r="B1090" s="24">
        <v>1820</v>
      </c>
      <c r="C1090" s="24" t="s">
        <v>3280</v>
      </c>
      <c r="D1090" s="24" t="s">
        <v>2940</v>
      </c>
      <c r="E1090" s="93">
        <v>91</v>
      </c>
      <c r="F1090" s="94">
        <v>4</v>
      </c>
      <c r="G1090" s="94">
        <v>90</v>
      </c>
      <c r="H1090" s="94">
        <v>4</v>
      </c>
      <c r="I1090" s="94">
        <v>90</v>
      </c>
      <c r="J1090" s="94">
        <v>4</v>
      </c>
      <c r="K1090" s="94">
        <v>86</v>
      </c>
      <c r="L1090" s="94">
        <v>2</v>
      </c>
      <c r="M1090" s="94">
        <v>90</v>
      </c>
      <c r="N1090" s="94">
        <v>2</v>
      </c>
      <c r="O1090" s="94">
        <v>73</v>
      </c>
      <c r="P1090" s="94">
        <v>2</v>
      </c>
      <c r="Q1090">
        <v>93</v>
      </c>
      <c r="R1090">
        <v>2</v>
      </c>
      <c r="S1090">
        <v>89</v>
      </c>
      <c r="T1090">
        <v>2</v>
      </c>
      <c r="U1090">
        <v>78</v>
      </c>
      <c r="V1090">
        <v>2</v>
      </c>
      <c r="W1090">
        <v>92</v>
      </c>
      <c r="X1090">
        <v>2</v>
      </c>
      <c r="Y1090">
        <v>78</v>
      </c>
      <c r="Z1090">
        <v>1</v>
      </c>
      <c r="AA1090">
        <v>90</v>
      </c>
      <c r="AB1090">
        <v>1</v>
      </c>
      <c r="AC1090">
        <v>86</v>
      </c>
      <c r="AD1090">
        <v>1</v>
      </c>
      <c r="AE1090">
        <v>88</v>
      </c>
      <c r="AF1090">
        <v>2</v>
      </c>
    </row>
    <row r="1091" spans="1:32">
      <c r="A1091" t="s">
        <v>2978</v>
      </c>
      <c r="B1091" s="24">
        <v>1820</v>
      </c>
      <c r="C1091" s="24" t="s">
        <v>3274</v>
      </c>
      <c r="D1091" s="24" t="s">
        <v>2980</v>
      </c>
      <c r="E1091" s="93">
        <v>83</v>
      </c>
      <c r="F1091" s="94">
        <v>4</v>
      </c>
      <c r="G1091" s="94">
        <v>95</v>
      </c>
      <c r="H1091" s="94">
        <v>4</v>
      </c>
      <c r="I1091" s="94">
        <v>85</v>
      </c>
      <c r="J1091" s="94">
        <v>4</v>
      </c>
      <c r="K1091" s="94">
        <v>89</v>
      </c>
      <c r="L1091" s="94">
        <v>2</v>
      </c>
      <c r="M1091" s="94">
        <v>94</v>
      </c>
      <c r="N1091" s="94">
        <v>2</v>
      </c>
      <c r="O1091" s="94">
        <v>77</v>
      </c>
      <c r="P1091" s="94">
        <v>2</v>
      </c>
      <c r="Q1091">
        <v>88</v>
      </c>
      <c r="R1091">
        <v>2</v>
      </c>
      <c r="S1091">
        <v>88</v>
      </c>
      <c r="T1091">
        <v>2</v>
      </c>
      <c r="U1091">
        <v>81</v>
      </c>
      <c r="V1091">
        <v>2</v>
      </c>
      <c r="W1091">
        <v>84</v>
      </c>
      <c r="X1091">
        <v>2</v>
      </c>
      <c r="Y1091">
        <v>79</v>
      </c>
      <c r="Z1091">
        <v>1</v>
      </c>
      <c r="AA1091">
        <v>90</v>
      </c>
      <c r="AB1091">
        <v>1</v>
      </c>
      <c r="AC1091">
        <v>82</v>
      </c>
      <c r="AD1091">
        <v>1</v>
      </c>
      <c r="AE1091">
        <v>89</v>
      </c>
      <c r="AF1091">
        <v>2</v>
      </c>
    </row>
    <row r="1092" spans="1:32">
      <c r="A1092">
        <v>20181089</v>
      </c>
      <c r="B1092" s="24">
        <v>1820</v>
      </c>
      <c r="C1092" s="24" t="s">
        <v>3271</v>
      </c>
      <c r="D1092" s="24" t="s">
        <v>3272</v>
      </c>
      <c r="E1092" s="93">
        <v>86</v>
      </c>
      <c r="F1092" s="94">
        <v>4</v>
      </c>
      <c r="G1092" s="94">
        <v>90</v>
      </c>
      <c r="H1092" s="94">
        <v>4</v>
      </c>
      <c r="I1092" s="94">
        <v>95</v>
      </c>
      <c r="J1092" s="94">
        <v>4</v>
      </c>
      <c r="K1092" s="94">
        <v>87</v>
      </c>
      <c r="L1092" s="94">
        <v>2</v>
      </c>
      <c r="M1092" s="94">
        <v>86</v>
      </c>
      <c r="N1092" s="94">
        <v>2</v>
      </c>
      <c r="O1092" s="94">
        <v>77</v>
      </c>
      <c r="P1092" s="94">
        <v>2</v>
      </c>
      <c r="Q1092">
        <v>96</v>
      </c>
      <c r="R1092">
        <v>2</v>
      </c>
      <c r="S1092">
        <v>88</v>
      </c>
      <c r="T1092">
        <v>2</v>
      </c>
      <c r="U1092">
        <v>90</v>
      </c>
      <c r="V1092">
        <v>2</v>
      </c>
      <c r="W1092">
        <v>81</v>
      </c>
      <c r="X1092">
        <v>2</v>
      </c>
      <c r="Y1092">
        <v>91</v>
      </c>
      <c r="Z1092">
        <v>1</v>
      </c>
      <c r="AA1092">
        <v>90</v>
      </c>
      <c r="AB1092">
        <v>1</v>
      </c>
      <c r="AC1092">
        <v>75</v>
      </c>
      <c r="AD1092">
        <v>1</v>
      </c>
      <c r="AE1092">
        <v>87</v>
      </c>
      <c r="AF1092">
        <v>2</v>
      </c>
    </row>
    <row r="1093" spans="1:32">
      <c r="A1093" t="s">
        <v>407</v>
      </c>
      <c r="B1093" s="24">
        <v>1820</v>
      </c>
      <c r="C1093" s="24" t="s">
        <v>3278</v>
      </c>
      <c r="D1093" s="24" t="s">
        <v>408</v>
      </c>
      <c r="E1093" s="93">
        <v>85</v>
      </c>
      <c r="F1093" s="94">
        <v>4</v>
      </c>
      <c r="G1093" s="94">
        <v>90</v>
      </c>
      <c r="H1093" s="94">
        <v>4</v>
      </c>
      <c r="I1093" s="94">
        <v>91</v>
      </c>
      <c r="J1093" s="94">
        <v>4</v>
      </c>
      <c r="K1093" s="94">
        <v>82</v>
      </c>
      <c r="L1093" s="94">
        <v>2</v>
      </c>
      <c r="M1093" s="94">
        <v>95</v>
      </c>
      <c r="N1093" s="94">
        <v>2</v>
      </c>
      <c r="O1093" s="94">
        <v>87</v>
      </c>
      <c r="P1093" s="94">
        <v>2</v>
      </c>
      <c r="Q1093">
        <v>80</v>
      </c>
      <c r="R1093">
        <v>2</v>
      </c>
      <c r="S1093">
        <v>88</v>
      </c>
      <c r="T1093">
        <v>2</v>
      </c>
      <c r="U1093">
        <v>90</v>
      </c>
      <c r="V1093">
        <v>2</v>
      </c>
      <c r="W1093">
        <v>85</v>
      </c>
      <c r="X1093">
        <v>2</v>
      </c>
      <c r="Y1093">
        <v>78</v>
      </c>
      <c r="Z1093">
        <v>1</v>
      </c>
      <c r="AA1093">
        <v>90</v>
      </c>
      <c r="AB1093">
        <v>1</v>
      </c>
      <c r="AC1093">
        <v>73</v>
      </c>
      <c r="AD1093">
        <v>1</v>
      </c>
      <c r="AE1093">
        <v>85</v>
      </c>
      <c r="AF1093">
        <v>2</v>
      </c>
    </row>
    <row r="1094" spans="1:32">
      <c r="A1094" t="s">
        <v>2305</v>
      </c>
      <c r="B1094" s="24">
        <v>1820</v>
      </c>
      <c r="C1094" s="24" t="s">
        <v>3299</v>
      </c>
      <c r="D1094" s="24" t="s">
        <v>2306</v>
      </c>
      <c r="E1094" s="93">
        <v>84</v>
      </c>
      <c r="F1094" s="94">
        <v>4</v>
      </c>
      <c r="G1094" s="94">
        <v>88</v>
      </c>
      <c r="H1094" s="94">
        <v>4</v>
      </c>
      <c r="I1094" s="94">
        <v>90</v>
      </c>
      <c r="J1094" s="94">
        <v>4</v>
      </c>
      <c r="K1094" s="94">
        <v>84</v>
      </c>
      <c r="L1094" s="94">
        <v>2</v>
      </c>
      <c r="M1094" s="94">
        <v>96</v>
      </c>
      <c r="N1094" s="94">
        <v>2</v>
      </c>
      <c r="O1094" s="94">
        <v>70</v>
      </c>
      <c r="P1094" s="94">
        <v>2</v>
      </c>
      <c r="Q1094">
        <v>80</v>
      </c>
      <c r="R1094">
        <v>2</v>
      </c>
      <c r="S1094">
        <v>88</v>
      </c>
      <c r="T1094">
        <v>2</v>
      </c>
      <c r="U1094">
        <v>78</v>
      </c>
      <c r="V1094">
        <v>2</v>
      </c>
      <c r="W1094">
        <v>80</v>
      </c>
      <c r="X1094">
        <v>2</v>
      </c>
      <c r="Y1094">
        <v>79</v>
      </c>
      <c r="Z1094">
        <v>1</v>
      </c>
      <c r="AA1094">
        <v>90</v>
      </c>
      <c r="AB1094">
        <v>1</v>
      </c>
      <c r="AC1094">
        <v>76</v>
      </c>
      <c r="AD1094">
        <v>1</v>
      </c>
      <c r="AE1094">
        <v>88</v>
      </c>
      <c r="AF1094">
        <v>2</v>
      </c>
    </row>
    <row r="1095" spans="1:32">
      <c r="A1095" t="s">
        <v>2602</v>
      </c>
      <c r="B1095" s="24">
        <v>1820</v>
      </c>
      <c r="C1095" s="24" t="s">
        <v>3309</v>
      </c>
      <c r="D1095" s="24" t="s">
        <v>2603</v>
      </c>
      <c r="E1095" s="93">
        <v>82</v>
      </c>
      <c r="F1095" s="94">
        <v>4</v>
      </c>
      <c r="G1095" s="94">
        <v>90</v>
      </c>
      <c r="H1095" s="94">
        <v>4</v>
      </c>
      <c r="I1095" s="94">
        <v>83</v>
      </c>
      <c r="J1095" s="94">
        <v>4</v>
      </c>
      <c r="K1095" s="94">
        <v>85</v>
      </c>
      <c r="L1095" s="94">
        <v>2</v>
      </c>
      <c r="M1095" s="94">
        <v>80</v>
      </c>
      <c r="N1095" s="94">
        <v>2</v>
      </c>
      <c r="O1095" s="94">
        <v>80</v>
      </c>
      <c r="P1095" s="94">
        <v>2</v>
      </c>
      <c r="Q1095">
        <v>80</v>
      </c>
      <c r="R1095">
        <v>2</v>
      </c>
      <c r="S1095">
        <v>87</v>
      </c>
      <c r="T1095">
        <v>2</v>
      </c>
      <c r="U1095">
        <v>82</v>
      </c>
      <c r="V1095">
        <v>2</v>
      </c>
      <c r="W1095">
        <v>83</v>
      </c>
      <c r="X1095">
        <v>2</v>
      </c>
      <c r="Y1095">
        <v>78</v>
      </c>
      <c r="Z1095">
        <v>1</v>
      </c>
      <c r="AA1095">
        <v>90</v>
      </c>
      <c r="AB1095">
        <v>1</v>
      </c>
      <c r="AC1095">
        <v>76</v>
      </c>
      <c r="AD1095">
        <v>1</v>
      </c>
      <c r="AE1095">
        <v>86</v>
      </c>
      <c r="AF1095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光荣榜</vt:lpstr>
      <vt:lpstr>机改</vt:lpstr>
      <vt:lpstr>理科</vt:lpstr>
      <vt:lpstr>文科</vt:lpstr>
      <vt:lpstr>总表</vt:lpstr>
      <vt:lpstr>统计表</vt:lpstr>
      <vt:lpstr>贡献值</vt:lpstr>
      <vt:lpstr>期评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2019-11-26T08:57:50Z</dcterms:modified>
</cp:coreProperties>
</file>